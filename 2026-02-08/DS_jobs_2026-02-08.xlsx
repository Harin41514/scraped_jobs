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in-d6a3c3069d7c772f</t>
        </is>
      </c>
      <c r="B2" t="inlineStr">
        <is>
          <t>Sr. Principal Data Scientist - Machine Learning Engineer</t>
        </is>
      </c>
      <c r="C2" t="inlineStr">
        <is>
          <t>Northrop Grumman</t>
        </is>
      </c>
      <c r="D2" t="inlineStr">
        <is>
          <t>indeed</t>
        </is>
      </c>
      <c r="E2" t="inlineStr"/>
      <c r="F2" t="inlineStr"/>
      <c r="G2" t="inlineStr">
        <is>
          <t>Falls Church, VA, US</t>
        </is>
      </c>
      <c r="H2" s="2" t="n">
        <v>46058</v>
      </c>
      <c r="I2"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
      <c r="A3" t="inlineStr">
        <is>
          <t>in-ccb918f1fdeca412</t>
        </is>
      </c>
      <c r="B3" t="inlineStr">
        <is>
          <t>Sr. Principal Data Scientist - Machine Learning Engineer</t>
        </is>
      </c>
      <c r="C3" t="inlineStr">
        <is>
          <t>Northrop Grumman</t>
        </is>
      </c>
      <c r="D3" t="inlineStr">
        <is>
          <t>indeed</t>
        </is>
      </c>
      <c r="E3" t="inlineStr"/>
      <c r="F3" t="inlineStr"/>
      <c r="G3" t="inlineStr">
        <is>
          <t>Falls Church, VA, US</t>
        </is>
      </c>
      <c r="H3" s="2" t="n">
        <v>46058</v>
      </c>
      <c r="I3"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
      <c r="A4" t="inlineStr">
        <is>
          <t>in-017a818bf8814c36</t>
        </is>
      </c>
      <c r="B4" t="inlineStr">
        <is>
          <t>AIML - Sr Data Scientist, Evaluation</t>
        </is>
      </c>
      <c r="C4" t="inlineStr">
        <is>
          <t>Apple</t>
        </is>
      </c>
      <c r="D4" t="inlineStr">
        <is>
          <t>indeed</t>
        </is>
      </c>
      <c r="E4" t="inlineStr"/>
      <c r="F4" t="inlineStr"/>
      <c r="G4" t="inlineStr">
        <is>
          <t>Cupertino, CA, US</t>
        </is>
      </c>
      <c r="H4" s="2" t="n">
        <v>46060</v>
      </c>
      <c r="I4"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**Preferred Qualifications**  
Proven ability to collaborate effectively across functions and work well within a team.  
Capable of driving projects of varying sizes and scopes \- some will take months and some weeks \- and you will need to know when to dive deep.  
Worked with methods that address accuracy and variability in human annotation data.  
Ability to learn new technology and skills to accommodate changing working requirements.  
**Minimum Qualifications**  
5 years of relevant work experience. Advanced degree in a quantitative field such as Statistics, Operational Research, Bioinformatics, Economics, Psychology, Computer Science, Sociology, Mathematics, Physics, or similar quantitative field.  
Proficiency in data science, machine learning, and analytics, including statistical data analysis. Experience crafting, conducting, analyzing, and interpreting experiments and investigations, especially on data quality, evaluation and risk assessment.  
Strong programming skills, including data\-querying skills (SQL and/or Spark, etc.) and experience with a scripting language for data processing and development (e.g., Python, R, or Scala).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
      <c r="A5" t="inlineStr">
        <is>
          <t>in-531a489ca3a79e54</t>
        </is>
      </c>
      <c r="B5" t="inlineStr">
        <is>
          <t>AIML - Sr Data Scientist, Evaluation</t>
        </is>
      </c>
      <c r="C5" t="inlineStr">
        <is>
          <t>Apple</t>
        </is>
      </c>
      <c r="D5" t="inlineStr">
        <is>
          <t>indeed</t>
        </is>
      </c>
      <c r="E5" t="inlineStr"/>
      <c r="F5" t="inlineStr"/>
      <c r="G5" t="inlineStr">
        <is>
          <t>Cupertino, CA, US</t>
        </is>
      </c>
      <c r="H5" s="2" t="n">
        <v>46060</v>
      </c>
      <c r="I5"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**Preferred Qualifications**  
Proven ability to collaborate effectively across functions and work well within a team.  
Capable of driving projects of varying sizes and scopes \- some will take months and some weeks \- and you will need to know when to dive deep.  
Worked with methods that address accuracy and variability in human annotation data.  
Ability to learn new technology and skills to accommodate changing working requirements.  
**Minimum Qualifications**  
5 years of relevant work experience. Advanced degree in a quantitative field such as Statistics, Operational Research, Bioinformatics, Economics, Psychology, Computer Science, Sociology, Mathematics, Physics, or similar quantitative field.  
Proficiency in data science, machine learning, and analytics, including statistical data analysis. Experience crafting, conducting, analyzing, and interpreting experiments and investigations, especially on data quality, evaluation and risk assessment.  
Strong programming skills, including data\-querying skills (SQL and/or Spark, etc.) and experience with a scripting language for data processing and development (e.g., Python, R, or Scala).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
      <c r="A6" t="inlineStr">
        <is>
          <t>in-fa340a3619fe7d8f</t>
        </is>
      </c>
      <c r="B6" t="inlineStr">
        <is>
          <t>Data Scientist</t>
        </is>
      </c>
      <c r="C6" t="inlineStr">
        <is>
          <t>Apple</t>
        </is>
      </c>
      <c r="D6" t="inlineStr">
        <is>
          <t>indeed</t>
        </is>
      </c>
      <c r="E6" t="inlineStr"/>
      <c r="F6" t="inlineStr"/>
      <c r="G6" t="inlineStr">
        <is>
          <t>Culver City, CA, US</t>
        </is>
      </c>
      <c r="H6" s="2" t="n">
        <v>46060</v>
      </c>
      <c r="I6" t="inlineStr">
        <is>
          <t>We’re idealists. Inventors. Forever tinkering with products and processes, always on the lookout for better. Whether you work at our global offices, offsite, or even at home, a job at Apple will be demanding. But it also rewards forward\-thinking, creative thinking and hard work. And none of us here would have it any other way. Does an exciting, dynamic, and fast\-paced environment catch your attention? Do you like puzzles and determining solutions that are not obvious? Terrific! Consider joining our team! The Applications team is looking for an outstanding Data Scientist to design, develop, and scale advanced marketing measurement and optimization models. This role will lead the development of Marketing (Media) Mix Models (MMM), budget allocation frameworks across sub\-channels, and channel quality prediction models to inform strategic and tactical marketing investment decisions. You will partner closely with Marketing, Business, and Product stakeholders to drive data\-informed budget decisions and improve marketing ROI.  
**Description**  
The Data Scientist will work on designing, developing, and deploying machine learning\-driven marketing measurement and optimization models to inform strategic and tactical marketing investment decisions. The role focuses on building Marketing (Media) Mix Models, budget allocation and optimization frameworks across sub\-channels, and predictive machine learning models to assess channel quality and efficiency. This role collaborates closely with Marketing, Product, and Business partners to translate business problems into scalable, explainable, and production\-ready ML solutions. The ideal candidate combines strong expertise in machine learning, statistical modeling, causal inference, optimization, and marketing analytics with the ability to communicate insights clearly and drive measurable business impact in a fast\-paced, cross\-functional environment.  
**Preferred Qualifications**  
Ability to translate research ideas into scalable, production\-level ML/AI solutions.  
Experience in building and maintaining machine learning pipelines, including data preprocessing, model training, and deployment.  
Experience developing AI tools, frameworks, or APIs to support model deployment or LLM\-based applications.  
Familiarity with generative AI techniques (e.g., diffusion models, transformer architectures)  
**Minimum Qualifications**  
PhD in Statistics, Mathematics, Economics, Operations Research, or a related quantitative field with 3\+ years of relevant experience; or MS with 5\+ years of experience in applied modeling and optimization roles.  
Strong hands\-on experience with Marketing / Media Mix Models (MMM), including budget allocation, optimization frameworks, marginal ROI analysis, and incorporating experimentation results (e.g., geo\-lift tests, A/B experiments).  
Experience modeling marketing performance at granular levels, including sub\-channel dimensions such as creative, placement, audience, and brand vs. performance.  
Strong foundation in statistics, regression, time\-series analysis, causal inference, and optimization, with familiarity in Bayesian MMM, hierarchical models, or probabilistic forecasting.  
Experience designing, implementing, and evaluating ML models in Python, with solid understanding of model validation techniques and performance metrics.  
Proven ability to work with large\-scale, multi\-source datasets, and apply quantitative methods to real\-world business problems.  
Working proficiency with distributed data systems and big data tools (e.g., Hadoop, Spark).  
Strong communication, collaboration, and stakeholder influence skills, with a demonstrated track record of driving business impact through data\-driven recommendations.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
      <c r="A7" t="inlineStr">
        <is>
          <t>in-b35341e438af7d07</t>
        </is>
      </c>
      <c r="B7" t="inlineStr">
        <is>
          <t>Data Scientist</t>
        </is>
      </c>
      <c r="C7" t="inlineStr">
        <is>
          <t>Apple</t>
        </is>
      </c>
      <c r="D7" t="inlineStr">
        <is>
          <t>indeed</t>
        </is>
      </c>
      <c r="E7" t="inlineStr"/>
      <c r="F7" t="inlineStr"/>
      <c r="G7" t="inlineStr">
        <is>
          <t>Culver City, CA, US</t>
        </is>
      </c>
      <c r="H7" s="2" t="n">
        <v>46060</v>
      </c>
      <c r="I7" t="inlineStr">
        <is>
          <t>We’re idealists. Inventors. Forever tinkering with products and processes, always on the lookout for better. Whether you work at our global offices, offsite, or even at home, a job at Apple will be demanding. But it also rewards forward\-thinking, creative thinking and hard work. And none of us here would have it any other way. Does an exciting, dynamic, and fast\-paced environment catch your attention? Do you like puzzles and determining solutions that are not obvious? Terrific! Consider joining our team! The Applications team is looking for an outstanding Data Scientist to design, develop, and scale advanced marketing measurement and optimization models. This role will lead the development of Marketing (Media) Mix Models (MMM), budget allocation frameworks across sub\-channels, and channel quality prediction models to inform strategic and tactical marketing investment decisions. You will partner closely with Marketing, Business, and Product stakeholders to drive data\-informed budget decisions and improve marketing ROI.  
**Description**  
The Data Scientist will work on designing, developing, and deploying machine learning\-driven marketing measurement and optimization models to inform strategic and tactical marketing investment decisions. The role focuses on building Marketing (Media) Mix Models, budget allocation and optimization frameworks across sub\-channels, and predictive machine learning models to assess channel quality and efficiency. This role collaborates closely with Marketing, Product, and Business partners to translate business problems into scalable, explainable, and production\-ready ML solutions. The ideal candidate combines strong expertise in machine learning, statistical modeling, causal inference, optimization, and marketing analytics with the ability to communicate insights clearly and drive measurable business impact in a fast\-paced, cross\-functional environment.  
**Preferred Qualifications**  
Ability to translate research ideas into scalable, production\-level ML/AI solutions.  
Experience in building and maintaining machine learning pipelines, including data preprocessing, model training, and deployment.  
Experience developing AI tools, frameworks, or APIs to support model deployment or LLM\-based applications.  
Familiarity with generative AI techniques (e.g., diffusion models, transformer architectures)  
**Minimum Qualifications**  
PhD in Statistics, Mathematics, Economics, Operations Research, or a related quantitative field with 3\+ years of relevant experience; or MS with 5\+ years of experience in applied modeling and optimization roles.  
Strong hands\-on experience with Marketing / Media Mix Models (MMM), including budget allocation, optimization frameworks, marginal ROI analysis, and incorporating experimentation results (e.g., geo\-lift tests, A/B experiments).  
Experience modeling marketing performance at granular levels, including sub\-channel dimensions such as creative, placement, audience, and brand vs. performance.  
Strong foundation in statistics, regression, time\-series analysis, causal inference, and optimization, with familiarity in Bayesian MMM, hierarchical models, or probabilistic forecasting.  
Experience designing, implementing, and evaluating ML models in Python, with solid understanding of model validation techniques and performance metrics.  
Proven ability to work with large\-scale, multi\-source datasets, and apply quantitative methods to real\-world business problems.  
Working proficiency with distributed data systems and big data tools (e.g., Hadoop, Spark).  
Strong communication, collaboration, and stakeholder influence skills, with a demonstrated track record of driving business impact through data\-driven recommendations.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
      <c r="A8" t="inlineStr">
        <is>
          <t>in-23ce32a689ae2864</t>
        </is>
      </c>
      <c r="B8" t="inlineStr">
        <is>
          <t>Data Scientist</t>
        </is>
      </c>
      <c r="C8" t="inlineStr">
        <is>
          <t>Apple</t>
        </is>
      </c>
      <c r="D8" t="inlineStr">
        <is>
          <t>indeed</t>
        </is>
      </c>
      <c r="E8" t="inlineStr"/>
      <c r="F8" t="inlineStr"/>
      <c r="G8" t="inlineStr">
        <is>
          <t>Culver City, CA, US</t>
        </is>
      </c>
      <c r="H8" s="2" t="n">
        <v>46060</v>
      </c>
      <c r="I8" t="inlineStr">
        <is>
          <t>We’re idealists. Inventors. Forever tinkering with products and processes, always on the lookout for better. Whether you work at our global offices, offsite, or even at home, a job at Apple will be demanding. But it also rewards forward\-thinking, creative thinking and hard work. And none of us here would have it any other way. Does an exciting, dynamic, and fast\-paced environment catch your attention? Do you like puzzles and determining solutions that are not obvious? Terrific! Consider joining our team! The Applications team is looking for an outstanding Data Scientist to design, develop, and scale advanced marketing measurement and optimization models. This role will lead the development of Marketing (Media) Mix Models (MMM), budget allocation frameworks across sub\-channels, and channel quality prediction models to inform strategic and tactical marketing investment decisions. You will partner closely with Marketing, Business, and Product stakeholders to drive data\-informed budget decisions and improve marketing ROI.  
**Description**  
The Data Scientist will work on designing, developing, and deploying machine learning\-driven marketing measurement and optimization models to inform strategic and tactical marketing investment decisions. The role focuses on building Marketing (Media) Mix Models, budget allocation and optimization frameworks across sub\-channels, and predictive machine learning models to assess channel quality and efficiency. This role collaborates closely with Marketing, Product, and Business partners to translate business problems into scalable, explainable, and production\-ready ML solutions. The ideal candidate combines strong expertise in machine learning, statistical modeling, causal inference, optimization, and marketing analytics with the ability to communicate insights clearly and drive measurable business impact in a fast\-paced, cross\-functional environment.  
**Preferred Qualifications**  
Ability to translate research ideas into scalable, production\-level ML/AI solutions.  
Experience in building and maintaining machine learning pipelines, including data preprocessing, model training, and deployment.  
Experience developing AI tools, frameworks, or APIs to support model deployment or LLM\-based applications.  
Familiarity with generative AI techniques (e.g., diffusion models, transformer architectures)  
**Minimum Qualifications**  
PhD in Statistics, Mathematics, Economics, Operations Research, or a related quantitative field with 3\+ years of relevant experience; or MS with 5\+ years of experience in applied modeling and optimization roles.  
Strong hands\-on experience with Marketing / Media Mix Models (MMM), including budget allocation, optimization frameworks, marginal ROI analysis, and incorporating experimentation results (e.g., geo\-lift tests, A/B experiments).  
Experience modeling marketing performance at granular levels, including sub\-channel dimensions such as creative, placement, audience, and brand vs. performance.  
Strong foundation in statistics, regression, time\-series analysis, causal inference, and optimization, with familiarity in Bayesian MMM, hierarchical models, or probabilistic forecasting.  
Experience designing, implementing, and evaluating ML models in Python, with solid understanding of model validation techniques and performance metrics.  
Proven ability to work with large\-scale, multi\-source datasets, and apply quantitative methods to real\-world business problems.  
Working proficiency with distributed data systems and big data tools (e.g., Hadoop, Spark).  
Strong communication, collaboration, and stakeholder influence skills, with a demonstrated track record of driving business impact through data\-driven recommendations.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
      <c r="A9" t="inlineStr">
        <is>
          <t>in-fd723c8538fb388b</t>
        </is>
      </c>
      <c r="B9" t="inlineStr">
        <is>
          <t>Data Scientist</t>
        </is>
      </c>
      <c r="C9" t="inlineStr">
        <is>
          <t>T-Mobile</t>
        </is>
      </c>
      <c r="D9" t="inlineStr">
        <is>
          <t>indeed</t>
        </is>
      </c>
      <c r="E9" t="inlineStr"/>
      <c r="F9" t="inlineStr"/>
      <c r="G9" t="inlineStr">
        <is>
          <t>Bellevue, WA, US</t>
        </is>
      </c>
      <c r="H9" s="2" t="n">
        <v>46060</v>
      </c>
      <c r="I9"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 This is not a remote position. T\-Mobile is a hybrid work environment requiring work in the office three (3\) days per week. The successful candidate will be commuting distance to the greater Seattle, Washington area headquarters\*\*  
Job Overview  
As a Data Scientist, you are responsible for applying machine learning techniques and statistical methods to solve business problems. You will collaborate with a multi\-disciplinary team of technical and non\-technical business stakeholders on a wide range of challenges. You must be able to work across the entire machine learning (ML) lifecycle, including problem framing, data collection, exploratory data analysis, model development, deployment, and performance measurement. Paramount to this job is the understanding that a Data Scientist's ultimate goal is to create real business value from data.**Job Responsibilities**:
* Extract, prepare and model large, complex data sets using a combination of skills, including machine learning theory, mathematics, statistics, and programming.
* Perform data mining and statistical analyses on ad hoc business problems.
* Define problems in mathematical terms. For example, “Why is product feature X underperforming?” and “What data on user behavior might help explain it?”
* Communicate important information and insights to business leaders using verbal, written, and data visualization skills.
 **Education and Work Experience**:
* Bachelor's Degree Quantitative Discipline (math, statistics, economics, computer science, physics, engineering) (Required)
* Master's/Advanced Degree Quantitative Discipline (math, statistics, economics, computer science, physics, engineering) (Preferred)
* 2\-4 years Industry experience in predictive modeling, data science, and analysis in an ML engineer or data scientist role Required
* 2\-4 years Experience with data scripting languages (e.g., SQL, Python, R) Required
* 2\-4 years Experience in data visualization Required
* 2\-4 years Experience developing statistics\-based analytics reports Preferred
* 2\-4 years Experience in the telecom industry Preferred
 **Knowledge, Skills and Abilities**:
* Mathematics Calculus, linear algebra, statistics, and probability (Required)
* Programming Working knowledge of Python and SQL (Required)
* Machine Learning: Solid understanding of machine learning concepts and techniques related to supervised and unsupervised learning (Required)
 **\#LI\-Coporate**
* At least 18 years of age
* Legally authorized to work in the United States
**Travel**:  
Travel Required (Yes/No): No  
**DOT Regulated**:  
DOT Regulated Position (Yes/No): No  
Safety Sensitive Position (Yes/No): No  
Base Pay Range: $86,300 \- $155,700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10">
      <c r="A10" t="inlineStr">
        <is>
          <t>in-ed0f4179da65a27a</t>
        </is>
      </c>
      <c r="B10" t="inlineStr">
        <is>
          <t>Sr. Applied Scientist, Amazon Ads</t>
        </is>
      </c>
      <c r="C10" t="inlineStr">
        <is>
          <t>Amazon.com</t>
        </is>
      </c>
      <c r="D10" t="inlineStr">
        <is>
          <t>indeed</t>
        </is>
      </c>
      <c r="E10" t="inlineStr"/>
      <c r="F10" t="inlineStr"/>
      <c r="G10" t="inlineStr">
        <is>
          <t>Tukwila, WA,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in-ee26e85a7ed8eba1</t>
        </is>
      </c>
      <c r="B11" t="inlineStr">
        <is>
          <t>Sr. Applied Scientist, Amazon Ads</t>
        </is>
      </c>
      <c r="C11" t="inlineStr">
        <is>
          <t>Amazon.com</t>
        </is>
      </c>
      <c r="D11" t="inlineStr">
        <is>
          <t>indeed</t>
        </is>
      </c>
      <c r="E11" t="inlineStr"/>
      <c r="F11" t="inlineStr"/>
      <c r="G11" t="inlineStr">
        <is>
          <t>Boulder, CO,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in-bb37ebe1c9f91f79</t>
        </is>
      </c>
      <c r="B12" t="inlineStr">
        <is>
          <t>Sr. Applied Scientist, Amazon Ads</t>
        </is>
      </c>
      <c r="C12" t="inlineStr">
        <is>
          <t>Amazon.com</t>
        </is>
      </c>
      <c r="D12" t="inlineStr">
        <is>
          <t>indeed</t>
        </is>
      </c>
      <c r="E12" t="inlineStr"/>
      <c r="F12" t="inlineStr"/>
      <c r="G12" t="inlineStr">
        <is>
          <t>Seattle, WA,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in-967b59fd8aa63173</t>
        </is>
      </c>
      <c r="B13" t="inlineStr">
        <is>
          <t>Sr. Applied Scientist, Amazon Ads</t>
        </is>
      </c>
      <c r="C13" t="inlineStr">
        <is>
          <t>Amazon.com</t>
        </is>
      </c>
      <c r="D13" t="inlineStr">
        <is>
          <t>indeed</t>
        </is>
      </c>
      <c r="E13" t="inlineStr"/>
      <c r="F13" t="inlineStr"/>
      <c r="G13" t="inlineStr">
        <is>
          <t>Palo Alto, CA,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in-ce63870ee31bfaa4</t>
        </is>
      </c>
      <c r="B14" t="inlineStr">
        <is>
          <t>Sr. Applied Scientist, Amazon Ads</t>
        </is>
      </c>
      <c r="C14" t="inlineStr">
        <is>
          <t>Amazon.com</t>
        </is>
      </c>
      <c r="D14" t="inlineStr">
        <is>
          <t>indeed</t>
        </is>
      </c>
      <c r="E14" t="inlineStr"/>
      <c r="F14" t="inlineStr"/>
      <c r="G14" t="inlineStr">
        <is>
          <t>Sunnyvale,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in-b603e4ad201efd97</t>
        </is>
      </c>
      <c r="B15" t="inlineStr">
        <is>
          <t>Sr. Applied Scientist, Amazon Ads</t>
        </is>
      </c>
      <c r="C15" t="inlineStr">
        <is>
          <t>Amazon.com</t>
        </is>
      </c>
      <c r="D15" t="inlineStr">
        <is>
          <t>indeed</t>
        </is>
      </c>
      <c r="E15" t="inlineStr"/>
      <c r="F15" t="inlineStr"/>
      <c r="G15" t="inlineStr">
        <is>
          <t>Santa Monica, CA,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in-0feefb7327b78de3</t>
        </is>
      </c>
      <c r="B16" t="inlineStr">
        <is>
          <t>Sr. Applied Scientist, Amazon Ads</t>
        </is>
      </c>
      <c r="C16" t="inlineStr">
        <is>
          <t>Amazon.com</t>
        </is>
      </c>
      <c r="D16" t="inlineStr">
        <is>
          <t>indeed</t>
        </is>
      </c>
      <c r="E16" t="inlineStr"/>
      <c r="F16" t="inlineStr"/>
      <c r="G16" t="inlineStr">
        <is>
          <t>New York, NY,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in-8a85b783c505692f</t>
        </is>
      </c>
      <c r="B17" t="inlineStr">
        <is>
          <t>Sr. Applied Scientist, Amazon Ads</t>
        </is>
      </c>
      <c r="C17" t="inlineStr">
        <is>
          <t>Amazon.com</t>
        </is>
      </c>
      <c r="D17" t="inlineStr">
        <is>
          <t>indeed</t>
        </is>
      </c>
      <c r="E17" t="inlineStr"/>
      <c r="F17" t="inlineStr"/>
      <c r="G17" t="inlineStr">
        <is>
          <t>Brooklyn, NY,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in-76937ef23cafb7c6</t>
        </is>
      </c>
      <c r="B18" t="inlineStr">
        <is>
          <t>Sr. Applied Scientist, Amazon Ads</t>
        </is>
      </c>
      <c r="C18" t="inlineStr">
        <is>
          <t>Amazon.com</t>
        </is>
      </c>
      <c r="D18" t="inlineStr">
        <is>
          <t>indeed</t>
        </is>
      </c>
      <c r="E18" t="inlineStr"/>
      <c r="F18" t="inlineStr"/>
      <c r="G18" t="inlineStr">
        <is>
          <t>Boston, MA,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in-9e99f68329b18aab</t>
        </is>
      </c>
      <c r="B19" t="inlineStr">
        <is>
          <t>Sr. Applied Scientist, Amazon Ads</t>
        </is>
      </c>
      <c r="C19" t="inlineStr">
        <is>
          <t>Amazon.com</t>
        </is>
      </c>
      <c r="D19" t="inlineStr">
        <is>
          <t>indeed</t>
        </is>
      </c>
      <c r="E19" t="inlineStr"/>
      <c r="F19" t="inlineStr"/>
      <c r="G19" t="inlineStr">
        <is>
          <t>Corvallis, OR,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in-7b924a88947182b9</t>
        </is>
      </c>
      <c r="B20" t="inlineStr">
        <is>
          <t>Sr. Applied Scientist, SPB Advertiser Guidance</t>
        </is>
      </c>
      <c r="C20" t="inlineStr">
        <is>
          <t>Amazon.com</t>
        </is>
      </c>
      <c r="D20" t="inlineStr">
        <is>
          <t>indeed</t>
        </is>
      </c>
      <c r="E20" t="inlineStr"/>
      <c r="F20" t="inlineStr"/>
      <c r="G20" t="inlineStr">
        <is>
          <t>Seattle, WA, US</t>
        </is>
      </c>
      <c r="H20" s="2" t="n">
        <v>45939</v>
      </c>
      <c r="I2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in-88af63c17d753625</t>
        </is>
      </c>
      <c r="B21" t="inlineStr">
        <is>
          <t>Applied Scientist</t>
        </is>
      </c>
      <c r="C21" t="inlineStr">
        <is>
          <t>Amazon.com</t>
        </is>
      </c>
      <c r="D21" t="inlineStr">
        <is>
          <t>indeed</t>
        </is>
      </c>
      <c r="E21" t="inlineStr"/>
      <c r="F21" t="inlineStr"/>
      <c r="G21" t="inlineStr">
        <is>
          <t>Palo Alto, CA, US</t>
        </is>
      </c>
      <c r="H21" s="2" t="n">
        <v>45939</v>
      </c>
      <c r="I2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in-5531aa62975a3bde</t>
        </is>
      </c>
      <c r="B22" t="inlineStr">
        <is>
          <t>Applied Scientist</t>
        </is>
      </c>
      <c r="C22" t="inlineStr">
        <is>
          <t>Amazon.com</t>
        </is>
      </c>
      <c r="D22" t="inlineStr">
        <is>
          <t>indeed</t>
        </is>
      </c>
      <c r="E22" t="inlineStr"/>
      <c r="F22" t="inlineStr"/>
      <c r="G22" t="inlineStr">
        <is>
          <t>Seattle, WA, US</t>
        </is>
      </c>
      <c r="H22" s="2" t="n">
        <v>45939</v>
      </c>
      <c r="I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in-769f17d365da9a87</t>
        </is>
      </c>
      <c r="B23" t="inlineStr">
        <is>
          <t>Sr. Applied Scientist, SPB Advertiser Guidance</t>
        </is>
      </c>
      <c r="C23" t="inlineStr">
        <is>
          <t>Amazon.com</t>
        </is>
      </c>
      <c r="D23" t="inlineStr">
        <is>
          <t>indeed</t>
        </is>
      </c>
      <c r="E23" t="inlineStr"/>
      <c r="F23" t="inlineStr"/>
      <c r="G23" t="inlineStr">
        <is>
          <t>New York, NY, US</t>
        </is>
      </c>
      <c r="H23" s="2" t="n">
        <v>45939</v>
      </c>
      <c r="I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in-d2e62538dfb2c7b7</t>
        </is>
      </c>
      <c r="B24" t="inlineStr">
        <is>
          <t>Applied Scientist</t>
        </is>
      </c>
      <c r="C24" t="inlineStr">
        <is>
          <t>Amazon.com</t>
        </is>
      </c>
      <c r="D24" t="inlineStr">
        <is>
          <t>indeed</t>
        </is>
      </c>
      <c r="E24" t="inlineStr"/>
      <c r="F24" t="inlineStr"/>
      <c r="G24" t="inlineStr">
        <is>
          <t>New York, NY, US</t>
        </is>
      </c>
      <c r="H24" s="2" t="n">
        <v>45939</v>
      </c>
      <c r="I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in-a2abee62c2e2a903</t>
        </is>
      </c>
      <c r="B25" t="inlineStr">
        <is>
          <t>Sr. Applied Scientist, SPB Advertiser Guidance</t>
        </is>
      </c>
      <c r="C25" t="inlineStr">
        <is>
          <t>Amazon.com</t>
        </is>
      </c>
      <c r="D25" t="inlineStr">
        <is>
          <t>indeed</t>
        </is>
      </c>
      <c r="E25" t="inlineStr"/>
      <c r="F25" t="inlineStr"/>
      <c r="G25" t="inlineStr">
        <is>
          <t>Palo Alto, CA, US</t>
        </is>
      </c>
      <c r="H25" s="2" t="n">
        <v>45939</v>
      </c>
      <c r="I2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in-39fa67a712a2700e</t>
        </is>
      </c>
      <c r="B26" t="inlineStr">
        <is>
          <t>Applied Scientist II, Prime Video - Personalization and Discovery Science, Personalization and Discovery Science</t>
        </is>
      </c>
      <c r="C26" t="inlineStr">
        <is>
          <t>Amazon.com</t>
        </is>
      </c>
      <c r="D26" t="inlineStr">
        <is>
          <t>indeed</t>
        </is>
      </c>
      <c r="E26" t="inlineStr"/>
      <c r="F26" t="inlineStr"/>
      <c r="G26" t="inlineStr">
        <is>
          <t>New York, NY, US</t>
        </is>
      </c>
      <c r="H26" s="2"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in-607257dc8c570710</t>
        </is>
      </c>
      <c r="B27" t="inlineStr">
        <is>
          <t>Applied Scientist II, Prime Video - Personalization and Discovery Science, Personalization and Discovery Science</t>
        </is>
      </c>
      <c r="C27" t="inlineStr">
        <is>
          <t>Amazon.com</t>
        </is>
      </c>
      <c r="D27" t="inlineStr">
        <is>
          <t>indeed</t>
        </is>
      </c>
      <c r="E27" t="inlineStr"/>
      <c r="F27" t="inlineStr"/>
      <c r="G27" t="inlineStr">
        <is>
          <t>Seattle, WA,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in-a894cd562406ea1e</t>
        </is>
      </c>
      <c r="B28" t="inlineStr">
        <is>
          <t>Applied Scientist II, Prime Video - Personalization and Discovery Science, Personalization and Discovery Science</t>
        </is>
      </c>
      <c r="C28" t="inlineStr">
        <is>
          <t>Amazon.com</t>
        </is>
      </c>
      <c r="D28" t="inlineStr">
        <is>
          <t>indeed</t>
        </is>
      </c>
      <c r="E28" t="inlineStr"/>
      <c r="F28" t="inlineStr"/>
      <c r="G28" t="inlineStr">
        <is>
          <t>Sunnyvale, CA, US</t>
        </is>
      </c>
      <c r="H28" s="2"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in-39d2060d982f85f0</t>
        </is>
      </c>
      <c r="B29" t="inlineStr">
        <is>
          <t>Applied Scientist II, Prime Video - Personalization and Discovery Science</t>
        </is>
      </c>
      <c r="C29" t="inlineStr">
        <is>
          <t>Amazon.com</t>
        </is>
      </c>
      <c r="D29" t="inlineStr">
        <is>
          <t>indeed</t>
        </is>
      </c>
      <c r="E29" t="inlineStr"/>
      <c r="F29" t="inlineStr"/>
      <c r="G29" t="inlineStr">
        <is>
          <t>New York, NY,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in-6e3706a874290413</t>
        </is>
      </c>
      <c r="B30" t="inlineStr">
        <is>
          <t>Applied Scientist II, Prime Video - Personalization and Discovery Science</t>
        </is>
      </c>
      <c r="C30" t="inlineStr">
        <is>
          <t>Amazon.com</t>
        </is>
      </c>
      <c r="D30" t="inlineStr">
        <is>
          <t>indeed</t>
        </is>
      </c>
      <c r="E30" t="inlineStr"/>
      <c r="F30" t="inlineStr"/>
      <c r="G30" t="inlineStr">
        <is>
          <t>Sunnyvale, CA, US</t>
        </is>
      </c>
      <c r="H30" s="2"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in-71128c5d3660a57c</t>
        </is>
      </c>
      <c r="B31" t="inlineStr">
        <is>
          <t>Sr. Applied Scientist, Prime Video - Personalization and Discovery Science</t>
        </is>
      </c>
      <c r="C31" t="inlineStr">
        <is>
          <t>Amazon.com</t>
        </is>
      </c>
      <c r="D31" t="inlineStr">
        <is>
          <t>indeed</t>
        </is>
      </c>
      <c r="E31" t="inlineStr"/>
      <c r="F31" t="inlineStr"/>
      <c r="G31" t="inlineStr">
        <is>
          <t>Seattle, WA,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in-cc01c8c6bc1ec4d6</t>
        </is>
      </c>
      <c r="B32" t="inlineStr">
        <is>
          <t>Sr. Applied Scientist, Prime Video - Personalization and Discovery Science</t>
        </is>
      </c>
      <c r="C32" t="inlineStr">
        <is>
          <t>Amazon.com</t>
        </is>
      </c>
      <c r="D32" t="inlineStr">
        <is>
          <t>indeed</t>
        </is>
      </c>
      <c r="E32" t="inlineStr"/>
      <c r="F32" t="inlineStr"/>
      <c r="G32" t="inlineStr">
        <is>
          <t>New York, NY,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in-382a7ae521f0969f</t>
        </is>
      </c>
      <c r="B33" t="inlineStr">
        <is>
          <t>Sr. Applied Scientist, Prime Video - Personalization and Discovery Science</t>
        </is>
      </c>
      <c r="C33" t="inlineStr">
        <is>
          <t>Amazon.com</t>
        </is>
      </c>
      <c r="D33" t="inlineStr">
        <is>
          <t>indeed</t>
        </is>
      </c>
      <c r="E33" t="inlineStr"/>
      <c r="F33" t="inlineStr"/>
      <c r="G33" t="inlineStr">
        <is>
          <t>Sunnyvale, CA,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in-79b2f2ce238cffa9</t>
        </is>
      </c>
      <c r="B34" t="inlineStr">
        <is>
          <t>Applied Scientist II, Prime Video - Personalization and Discovery Science</t>
        </is>
      </c>
      <c r="C34" t="inlineStr">
        <is>
          <t>Amazon.com</t>
        </is>
      </c>
      <c r="D34" t="inlineStr">
        <is>
          <t>indeed</t>
        </is>
      </c>
      <c r="E34" t="inlineStr"/>
      <c r="F34" t="inlineStr"/>
      <c r="G34" t="inlineStr">
        <is>
          <t>Seattle, WA,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in-5260898085da0554</t>
        </is>
      </c>
      <c r="B35" t="inlineStr">
        <is>
          <t>Applied Scientist, Prime Video - Personalization and Discovery Science</t>
        </is>
      </c>
      <c r="C35" t="inlineStr">
        <is>
          <t>Amazon.com</t>
        </is>
      </c>
      <c r="D35" t="inlineStr">
        <is>
          <t>indeed</t>
        </is>
      </c>
      <c r="E35" t="inlineStr"/>
      <c r="F35" t="inlineStr"/>
      <c r="G35" t="inlineStr">
        <is>
          <t>Seattle, WA, US</t>
        </is>
      </c>
      <c r="H35" s="2" t="n">
        <v>45845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in-9356a1f9f2034b4c</t>
        </is>
      </c>
      <c r="B36" t="inlineStr">
        <is>
          <t>Applied Scientist, Prime Video - Personalization and Discovery Science</t>
        </is>
      </c>
      <c r="C36" t="inlineStr">
        <is>
          <t>Amazon.com</t>
        </is>
      </c>
      <c r="D36" t="inlineStr">
        <is>
          <t>indeed</t>
        </is>
      </c>
      <c r="E36" t="inlineStr"/>
      <c r="F36" t="inlineStr"/>
      <c r="G36" t="inlineStr">
        <is>
          <t>New York, NY, US</t>
        </is>
      </c>
      <c r="H36" s="2" t="n">
        <v>45845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in-ca8a8bc7b81f701b</t>
        </is>
      </c>
      <c r="B37" t="inlineStr">
        <is>
          <t>Applied Scientist, Prime Video - Personalization and Discovery Science</t>
        </is>
      </c>
      <c r="C37" t="inlineStr">
        <is>
          <t>Amazon.com</t>
        </is>
      </c>
      <c r="D37" t="inlineStr">
        <is>
          <t>indeed</t>
        </is>
      </c>
      <c r="E37" t="inlineStr"/>
      <c r="F37" t="inlineStr"/>
      <c r="G37" t="inlineStr">
        <is>
          <t>Sunnyvale, CA, US</t>
        </is>
      </c>
      <c r="H37" s="2" t="n">
        <v>45845</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in-e75de473e558eaa9</t>
        </is>
      </c>
      <c r="B38" t="inlineStr">
        <is>
          <t>Senior Data Scientist (NYC)</t>
        </is>
      </c>
      <c r="C38" t="inlineStr">
        <is>
          <t>TWG Global AI</t>
        </is>
      </c>
      <c r="D38" t="inlineStr">
        <is>
          <t>indeed</t>
        </is>
      </c>
      <c r="E38" t="inlineStr"/>
      <c r="F38" t="inlineStr"/>
      <c r="G38" t="inlineStr">
        <is>
          <t>New York, NY, US</t>
        </is>
      </c>
      <c r="H38" s="2" t="n">
        <v>46060</v>
      </c>
      <c r="I38"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Data Scientist, you'll work alongside experienced data scientists and ML engineers to design, develop, and apply data\-driven models and analyses that deliver measurable business value. Reporting to the Executive Director of AI Science, you'll gain hands\-on experience working on impactful projects across the enterprise, applying advanced analytics and machine learning to areas such as financial services, insurance, and operations optimization. This is a high\-growth opportunity for someone with early industry experience (or strong academic grounding) in data science and applied statistics, eager to deepen their expertise and grow within a dynamic AI team working at the frontier of applied analytics and machine learning.
**Key Responsibilities:**
* Contribute to the development of predictive and statistical models addressing business\-critical challenges across diverse domains.
* Conduct exploratory data analysis, feature engineering, and hypothesis testing to uncover patterns and support model development.
* Collaborate with senior data scientists and ML engineers to refine models, improve accuracy, and enhance interpretability.
* Support the design and evaluation of experiments and A/B tests, ensuring rigorous measurement of impact.
* Clean, transform, and prepare data from diverse sources, ensuring high\-quality datasets for analysis.
* Build dashboards, reports, and visualizations that communicate insights clearly to technical and non\-technical stakeholders.
* Stay current with emerging data science methods and tools (e.g., generative AI, LLMs, causal inference) and apply them through prototyping.
* Contribute to the team's knowledge base by documenting workflows and sharing best practices.
**Requirements**
**Qualifications:**
* 5\+ years of experience applying data science or advanced analytics in a professional setting.
* Solid understanding of statistical modeling, machine learning fundamentals, and experimental design.
* Experience with predictive modeling techniques such as regression, classification, clustering, or time\-series forecasting.
* Proficiency in Python and experience with data science libraries (e.g., Pandas, NumPy, scikit\-learn, XGBoost, PyTorch, TensorFlow).
* Strong experience with SQL and data manipulation across large datasets.
* Familiarity with data visualization tools (e.g., Matplotlib, Seaborn, Plotly, Tableau, or Power BI). Exposure to modern collaborative data platforms (e.g., Databricks, Snowflake, Palantir Foundry) is a plus.
* Excellent problem\-solving skills, eagerness to learn, and ability to work in fast\-paced, evolving environments.
* Strong written and verbal communication skills, with the ability to translate technical findings into business recommendations.
* Bachelor's or Master's degree in Data Science, Statistics, Computer Science, Economics, or another quantitative discipline.
**Preferred experience:**
* Hands\-on experience with Palantir platforms (Foundry, AIP, Ontology), including developing analytical workflows and deploying insights within enterprise environments.
* PhD in Data Science, Statistics, Computer Science, or a related quantitative field. Publications in top data science / ML conferences or journals (e.g., NeurIPS, ICML, KDD, ACL, or similar).
* Open\-source contributions to the data science or ML community (libraries, notebooks, packages, or tutorials). Experience presenting research or applied work at meetups, workshops, or industry conferences.
* Familiarity with vector databases (FAISS, Pinecone, Milvus, Weaviate) and LLM application frameworks.
* Cloud or AI/ML certifications (e.g., AWS Machine Learning Specialty, Google Professional Data Engineer, Azure AI Engineer) are a plus.
**Benefits**
* Work at the forefront of AI/ML innovation in life insurance, annuities, and financial services.
* Drive AI transformation for some of the most sophisticated financial entities.
Competitive compensation, benefits, future equity options, and leadership opportunities.  
* 
**Position Location**
This is an onsite position based in Manhattan in New York City.
**Compensation**
The base salary for this position is $190,000\-$200,000 USD.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39">
      <c r="A39" t="inlineStr">
        <is>
          <t>in-d4ba992bbf067573</t>
        </is>
      </c>
      <c r="B39" t="inlineStr">
        <is>
          <t>Applied Scientist, Safety ML</t>
        </is>
      </c>
      <c r="C39" t="inlineStr">
        <is>
          <t>Amazon.com</t>
        </is>
      </c>
      <c r="D39" t="inlineStr">
        <is>
          <t>indeed</t>
        </is>
      </c>
      <c r="E39" t="inlineStr"/>
      <c r="F39" t="inlineStr"/>
      <c r="G39" t="inlineStr">
        <is>
          <t>Seattle, WA, US</t>
        </is>
      </c>
      <c r="H39" s="2" t="n">
        <v>46037</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0">
      <c r="A40" t="inlineStr">
        <is>
          <t>in-e384d5a6ef117164</t>
        </is>
      </c>
      <c r="B40" t="inlineStr">
        <is>
          <t>Applied Scientist, Safety ML</t>
        </is>
      </c>
      <c r="C40" t="inlineStr">
        <is>
          <t>Amazon.com</t>
        </is>
      </c>
      <c r="D40" t="inlineStr">
        <is>
          <t>indeed</t>
        </is>
      </c>
      <c r="E40" t="inlineStr"/>
      <c r="F40" t="inlineStr"/>
      <c r="G40" t="inlineStr">
        <is>
          <t>San Francisco, CA, US</t>
        </is>
      </c>
      <c r="H40" s="2" t="n">
        <v>46037</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1">
      <c r="A41" t="inlineStr">
        <is>
          <t>in-53b9186191aaf4b3</t>
        </is>
      </c>
      <c r="B41" t="inlineStr">
        <is>
          <t>Applied Scientist, LLM Code Agents, Kiro Science</t>
        </is>
      </c>
      <c r="C41" t="inlineStr">
        <is>
          <t>Amazon.com</t>
        </is>
      </c>
      <c r="D41" t="inlineStr">
        <is>
          <t>indeed</t>
        </is>
      </c>
      <c r="E41" t="inlineStr"/>
      <c r="F41" t="inlineStr"/>
      <c r="G41" t="inlineStr">
        <is>
          <t>Santa Clara, CA, US</t>
        </is>
      </c>
      <c r="H41" s="2" t="n">
        <v>46035</v>
      </c>
      <c r="I4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2">
      <c r="A42" t="inlineStr">
        <is>
          <t>in-a1966547f6336a5d</t>
        </is>
      </c>
      <c r="B42" t="inlineStr">
        <is>
          <t>Applied Scientist, LLM Code Agents, Kiro Science</t>
        </is>
      </c>
      <c r="C42" t="inlineStr">
        <is>
          <t>Amazon.com</t>
        </is>
      </c>
      <c r="D42" t="inlineStr">
        <is>
          <t>indeed</t>
        </is>
      </c>
      <c r="E42" t="inlineStr"/>
      <c r="F42" t="inlineStr"/>
      <c r="G42" t="inlineStr">
        <is>
          <t>Seattle, WA, US</t>
        </is>
      </c>
      <c r="H42" s="2" t="n">
        <v>46035</v>
      </c>
      <c r="I4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3">
      <c r="A43" t="inlineStr">
        <is>
          <t>in-48e6df0835f5863f</t>
        </is>
      </c>
      <c r="B43" t="inlineStr">
        <is>
          <t>Senior Data Scientist, Amazon Stores Finance Science, Amazon Stores Finance Science</t>
        </is>
      </c>
      <c r="C43" t="inlineStr">
        <is>
          <t>Amazon.com</t>
        </is>
      </c>
      <c r="D43" t="inlineStr">
        <is>
          <t>indeed</t>
        </is>
      </c>
      <c r="E43" t="inlineStr"/>
      <c r="F43" t="inlineStr"/>
      <c r="G43" t="inlineStr">
        <is>
          <t>Sunnyvale, CA, US</t>
        </is>
      </c>
      <c r="H43" s="2" t="n">
        <v>46034</v>
      </c>
      <c r="I43"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44">
      <c r="A44" t="inlineStr">
        <is>
          <t>in-3097951207cde637</t>
        </is>
      </c>
      <c r="B44" t="inlineStr">
        <is>
          <t>Senior Data Scientist, Amazon Stores Finance Science, Amazon Stores Finance Science</t>
        </is>
      </c>
      <c r="C44" t="inlineStr">
        <is>
          <t>Amazon.com</t>
        </is>
      </c>
      <c r="D44" t="inlineStr">
        <is>
          <t>indeed</t>
        </is>
      </c>
      <c r="E44" t="inlineStr"/>
      <c r="F44" t="inlineStr"/>
      <c r="G44" t="inlineStr">
        <is>
          <t>Bellevue, WA, US</t>
        </is>
      </c>
      <c r="H44" s="2" t="n">
        <v>46034</v>
      </c>
      <c r="I44"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45">
      <c r="A45" t="inlineStr">
        <is>
          <t>in-6d21b37357c8f632</t>
        </is>
      </c>
      <c r="B45" t="inlineStr">
        <is>
          <t>Senior Data Scientist, Amazon Stores Finance Science, Amazon Stores Finance Science</t>
        </is>
      </c>
      <c r="C45" t="inlineStr">
        <is>
          <t>Amazon.com</t>
        </is>
      </c>
      <c r="D45" t="inlineStr">
        <is>
          <t>indeed</t>
        </is>
      </c>
      <c r="E45" t="inlineStr"/>
      <c r="F45" t="inlineStr"/>
      <c r="G45" t="inlineStr">
        <is>
          <t>Seattle, WA, US</t>
        </is>
      </c>
      <c r="H45" s="2" t="n">
        <v>46034</v>
      </c>
      <c r="I45"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46">
      <c r="A46" t="inlineStr">
        <is>
          <t>in-f898fce87ed203ab</t>
        </is>
      </c>
      <c r="B46" t="inlineStr">
        <is>
          <t>Sr Applied Scientist, AWS Proactive Security</t>
        </is>
      </c>
      <c r="C46" t="inlineStr">
        <is>
          <t>Amazon.com</t>
        </is>
      </c>
      <c r="D46" t="inlineStr">
        <is>
          <t>indeed</t>
        </is>
      </c>
      <c r="E46" t="inlineStr"/>
      <c r="F46" t="inlineStr"/>
      <c r="G46" t="inlineStr">
        <is>
          <t>Herndon, VA, US</t>
        </is>
      </c>
      <c r="H46" s="2" t="n">
        <v>46030</v>
      </c>
      <c r="I4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7">
      <c r="A47" t="inlineStr">
        <is>
          <t>in-31480ffe54d5bcae</t>
        </is>
      </c>
      <c r="B47" t="inlineStr">
        <is>
          <t>Sr Applied Scientist, AWS Proactive Security</t>
        </is>
      </c>
      <c r="C47" t="inlineStr">
        <is>
          <t>Amazon.com</t>
        </is>
      </c>
      <c r="D47" t="inlineStr">
        <is>
          <t>indeed</t>
        </is>
      </c>
      <c r="E47" t="inlineStr"/>
      <c r="F47" t="inlineStr"/>
      <c r="G47" t="inlineStr">
        <is>
          <t>Sunnyvale, CA, US</t>
        </is>
      </c>
      <c r="H47" s="2" t="n">
        <v>46030</v>
      </c>
      <c r="I4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8">
      <c r="A48" t="inlineStr">
        <is>
          <t>in-70ab4f0a3df7ee63</t>
        </is>
      </c>
      <c r="B48" t="inlineStr">
        <is>
          <t>Sr Applied Scientist, AWS Proactive Security</t>
        </is>
      </c>
      <c r="C48" t="inlineStr">
        <is>
          <t>Amazon.com</t>
        </is>
      </c>
      <c r="D48" t="inlineStr">
        <is>
          <t>indeed</t>
        </is>
      </c>
      <c r="E48" t="inlineStr"/>
      <c r="F48" t="inlineStr"/>
      <c r="G48" t="inlineStr">
        <is>
          <t>Arlington, VA, US</t>
        </is>
      </c>
      <c r="H48" s="2" t="n">
        <v>46030</v>
      </c>
      <c r="I4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49">
      <c r="A49" t="inlineStr">
        <is>
          <t>in-101d3ab66f882e09</t>
        </is>
      </c>
      <c r="B49" t="inlineStr">
        <is>
          <t>Applied Scientist, Last Mile Delivery Automation</t>
        </is>
      </c>
      <c r="C49" t="inlineStr">
        <is>
          <t>Amazon.com</t>
        </is>
      </c>
      <c r="D49" t="inlineStr">
        <is>
          <t>indeed</t>
        </is>
      </c>
      <c r="E49" t="inlineStr"/>
      <c r="F49" t="inlineStr"/>
      <c r="G49" t="inlineStr">
        <is>
          <t>Bellevue, WA, US</t>
        </is>
      </c>
      <c r="H49" s="2" t="n">
        <v>46026</v>
      </c>
      <c r="I4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in-3ba91806a799f5c2</t>
        </is>
      </c>
      <c r="B50" t="inlineStr">
        <is>
          <t>Applied Scientist, Last Mile Delivery Automation</t>
        </is>
      </c>
      <c r="C50" t="inlineStr">
        <is>
          <t>Amazon.com</t>
        </is>
      </c>
      <c r="D50" t="inlineStr">
        <is>
          <t>indeed</t>
        </is>
      </c>
      <c r="E50" t="inlineStr"/>
      <c r="F50" t="inlineStr"/>
      <c r="G50" t="inlineStr">
        <is>
          <t>Santa Clara, CA, US</t>
        </is>
      </c>
      <c r="H50" s="2" t="n">
        <v>46026</v>
      </c>
      <c r="I5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in-576f9650addcfa10</t>
        </is>
      </c>
      <c r="B51" t="inlineStr">
        <is>
          <t>Senior Applied Scientist, Distributed SQL</t>
        </is>
      </c>
      <c r="C51" t="inlineStr">
        <is>
          <t>Amazon Web Services</t>
        </is>
      </c>
      <c r="D51" t="inlineStr">
        <is>
          <t>indeed</t>
        </is>
      </c>
      <c r="E51" t="inlineStr"/>
      <c r="F51" t="inlineStr"/>
      <c r="G51" t="inlineStr">
        <is>
          <t>East Palo Alto, CA, US</t>
        </is>
      </c>
      <c r="H51" s="2" t="n">
        <v>46012</v>
      </c>
      <c r="I5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2">
      <c r="A52" t="inlineStr">
        <is>
          <t>in-0b4284ca1ca20e7e</t>
        </is>
      </c>
      <c r="B52" t="inlineStr">
        <is>
          <t>Senior Applied Scientist, Distributed SQL</t>
        </is>
      </c>
      <c r="C52" t="inlineStr">
        <is>
          <t>Amazon Web Services</t>
        </is>
      </c>
      <c r="D52" t="inlineStr">
        <is>
          <t>indeed</t>
        </is>
      </c>
      <c r="E52" t="inlineStr"/>
      <c r="F52" t="inlineStr"/>
      <c r="G52" t="inlineStr">
        <is>
          <t>Seattle, WA, US</t>
        </is>
      </c>
      <c r="H52" s="2" t="n">
        <v>46012</v>
      </c>
      <c r="I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3">
      <c r="A53" t="inlineStr">
        <is>
          <t>in-d7e9b1ae5fee13c3</t>
        </is>
      </c>
      <c r="B53" t="inlineStr">
        <is>
          <t>Applied Scientist, GenAI Evaluation Media</t>
        </is>
      </c>
      <c r="C53" t="inlineStr">
        <is>
          <t>Amazon.com</t>
        </is>
      </c>
      <c r="D53" t="inlineStr">
        <is>
          <t>indeed</t>
        </is>
      </c>
      <c r="E53" t="inlineStr"/>
      <c r="F53" t="inlineStr"/>
      <c r="G53" t="inlineStr">
        <is>
          <t>Sunnyvale, CA, US</t>
        </is>
      </c>
      <c r="H53" s="2" t="n">
        <v>46006</v>
      </c>
      <c r="I53"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4">
      <c r="A54" t="inlineStr">
        <is>
          <t>in-3e5316620e671a61</t>
        </is>
      </c>
      <c r="B54" t="inlineStr">
        <is>
          <t>Applied Scientist, GenAI Evaluation Media</t>
        </is>
      </c>
      <c r="C54" t="inlineStr">
        <is>
          <t>Amazon.com</t>
        </is>
      </c>
      <c r="D54" t="inlineStr">
        <is>
          <t>indeed</t>
        </is>
      </c>
      <c r="E54" t="inlineStr"/>
      <c r="F54" t="inlineStr"/>
      <c r="G54" t="inlineStr">
        <is>
          <t>New York, NY, US</t>
        </is>
      </c>
      <c r="H54" s="2" t="n">
        <v>46006</v>
      </c>
      <c r="I54"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5">
      <c r="A55" t="inlineStr">
        <is>
          <t>in-98b3eb6eef0a8352</t>
        </is>
      </c>
      <c r="B55" t="inlineStr">
        <is>
          <t>Applied Scientist, GenAI Evaluation Media</t>
        </is>
      </c>
      <c r="C55" t="inlineStr">
        <is>
          <t>Amazon.com</t>
        </is>
      </c>
      <c r="D55" t="inlineStr">
        <is>
          <t>indeed</t>
        </is>
      </c>
      <c r="E55" t="inlineStr"/>
      <c r="F55" t="inlineStr"/>
      <c r="G55" t="inlineStr">
        <is>
          <t>Seattle, WA, US</t>
        </is>
      </c>
      <c r="H55" s="2" t="n">
        <v>46006</v>
      </c>
      <c r="I5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6">
      <c r="A56" t="inlineStr">
        <is>
          <t>in-c7a2bf33f54526a8</t>
        </is>
      </c>
      <c r="B56" t="inlineStr">
        <is>
          <t>Principal Applied Scientist, Kiro Science</t>
        </is>
      </c>
      <c r="C56" t="inlineStr">
        <is>
          <t>Amazon Web Services</t>
        </is>
      </c>
      <c r="D56" t="inlineStr">
        <is>
          <t>indeed</t>
        </is>
      </c>
      <c r="E56" t="inlineStr"/>
      <c r="F56" t="inlineStr"/>
      <c r="G56" t="inlineStr">
        <is>
          <t>New York, NY, US</t>
        </is>
      </c>
      <c r="H56" s="2" t="n">
        <v>45999</v>
      </c>
      <c r="I5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7">
      <c r="A57" t="inlineStr">
        <is>
          <t>in-cae7b62edde3ed2c</t>
        </is>
      </c>
      <c r="B57" t="inlineStr">
        <is>
          <t>Principal Applied Scientist, Kiro Science</t>
        </is>
      </c>
      <c r="C57" t="inlineStr">
        <is>
          <t>Amazon Web Services</t>
        </is>
      </c>
      <c r="D57" t="inlineStr">
        <is>
          <t>indeed</t>
        </is>
      </c>
      <c r="E57" t="inlineStr"/>
      <c r="F57" t="inlineStr"/>
      <c r="G57" t="inlineStr">
        <is>
          <t>Santa Clara, CA, US</t>
        </is>
      </c>
      <c r="H57" s="2" t="n">
        <v>45999</v>
      </c>
      <c r="I5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58">
      <c r="A58" t="inlineStr">
        <is>
          <t>in-60662ff16c89a711</t>
        </is>
      </c>
      <c r="B58" t="inlineStr">
        <is>
          <t>Principal Applied Scientist, Sponsored Products and Brands</t>
        </is>
      </c>
      <c r="C58" t="inlineStr">
        <is>
          <t>Amazon.com</t>
        </is>
      </c>
      <c r="D58" t="inlineStr">
        <is>
          <t>indeed</t>
        </is>
      </c>
      <c r="E58" t="inlineStr"/>
      <c r="F58" t="inlineStr"/>
      <c r="G58" t="inlineStr">
        <is>
          <t>Seattle, WA, US</t>
        </is>
      </c>
      <c r="H58" s="2"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in-09494da86d447cfe</t>
        </is>
      </c>
      <c r="B59" t="inlineStr">
        <is>
          <t>Principal Applied Scientist, Sponsored Products and Brands</t>
        </is>
      </c>
      <c r="C59" t="inlineStr">
        <is>
          <t>Amazon.com</t>
        </is>
      </c>
      <c r="D59" t="inlineStr">
        <is>
          <t>indeed</t>
        </is>
      </c>
      <c r="E59" t="inlineStr"/>
      <c r="F59" t="inlineStr"/>
      <c r="G59" t="inlineStr">
        <is>
          <t>New York, NY, US</t>
        </is>
      </c>
      <c r="H59" s="2" t="n">
        <v>45979</v>
      </c>
      <c r="I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in-b895cbcc2e9c7ebc</t>
        </is>
      </c>
      <c r="B60" t="inlineStr">
        <is>
          <t>Applied Scientist, Personalization, DTx Science</t>
        </is>
      </c>
      <c r="C60" t="inlineStr">
        <is>
          <t>Amazon.com</t>
        </is>
      </c>
      <c r="D60" t="inlineStr">
        <is>
          <t>indeed</t>
        </is>
      </c>
      <c r="E60" t="inlineStr"/>
      <c r="F60" t="inlineStr"/>
      <c r="G60" t="inlineStr">
        <is>
          <t>New York, NY, US</t>
        </is>
      </c>
      <c r="H60" s="2" t="n">
        <v>45979</v>
      </c>
      <c r="I6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in-d9b2ec659ecd9b81</t>
        </is>
      </c>
      <c r="B61" t="inlineStr">
        <is>
          <t>Applied Scientist, Personalization, DTx Science</t>
        </is>
      </c>
      <c r="C61" t="inlineStr">
        <is>
          <t>Amazon.com</t>
        </is>
      </c>
      <c r="D61" t="inlineStr">
        <is>
          <t>indeed</t>
        </is>
      </c>
      <c r="E61" t="inlineStr"/>
      <c r="F61" t="inlineStr"/>
      <c r="G61" t="inlineStr">
        <is>
          <t>Seattle, WA, US</t>
        </is>
      </c>
      <c r="H61" s="2" t="n">
        <v>45979</v>
      </c>
      <c r="I6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2">
      <c r="A62" t="inlineStr">
        <is>
          <t>in-c95bcef751435f34</t>
        </is>
      </c>
      <c r="B62" t="inlineStr">
        <is>
          <t>Senior Applied Scientist, Sponsored Products and Brands</t>
        </is>
      </c>
      <c r="C62" t="inlineStr">
        <is>
          <t>Amazon.com</t>
        </is>
      </c>
      <c r="D62" t="inlineStr">
        <is>
          <t>indeed</t>
        </is>
      </c>
      <c r="E62" t="inlineStr"/>
      <c r="F62" t="inlineStr"/>
      <c r="G62" t="inlineStr">
        <is>
          <t>New York, NY, US</t>
        </is>
      </c>
      <c r="H62" s="2" t="n">
        <v>45979</v>
      </c>
      <c r="I6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3">
      <c r="A63" t="inlineStr">
        <is>
          <t>in-04dc6bdeae12c692</t>
        </is>
      </c>
      <c r="B63" t="inlineStr">
        <is>
          <t>Senior Applied Scientist, Sponsored Products and Brands</t>
        </is>
      </c>
      <c r="C63" t="inlineStr">
        <is>
          <t>Amazon.com</t>
        </is>
      </c>
      <c r="D63" t="inlineStr">
        <is>
          <t>indeed</t>
        </is>
      </c>
      <c r="E63" t="inlineStr"/>
      <c r="F63" t="inlineStr"/>
      <c r="G63" t="inlineStr">
        <is>
          <t>Seattle, WA, US</t>
        </is>
      </c>
      <c r="H63" s="2" t="n">
        <v>45979</v>
      </c>
      <c r="I6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4">
      <c r="A64" t="inlineStr">
        <is>
          <t>in-76f1e0b5a750a3e1</t>
        </is>
      </c>
      <c r="B64" t="inlineStr">
        <is>
          <t>Applied Scientist II, Prime Video Personalization and Discovery Science</t>
        </is>
      </c>
      <c r="C64" t="inlineStr">
        <is>
          <t>Amazon.com</t>
        </is>
      </c>
      <c r="D64" t="inlineStr">
        <is>
          <t>indeed</t>
        </is>
      </c>
      <c r="E64" t="inlineStr"/>
      <c r="F64" t="inlineStr"/>
      <c r="G64" t="inlineStr">
        <is>
          <t>Sunnyvale, CA, US</t>
        </is>
      </c>
      <c r="H64" s="2" t="n">
        <v>45978</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5">
      <c r="A65" t="inlineStr">
        <is>
          <t>in-061349606980c011</t>
        </is>
      </c>
      <c r="B65" t="inlineStr">
        <is>
          <t>Applied Scientist II, Prime Video Personalization and Discovery Science</t>
        </is>
      </c>
      <c r="C65" t="inlineStr">
        <is>
          <t>Amazon.com</t>
        </is>
      </c>
      <c r="D65" t="inlineStr">
        <is>
          <t>indeed</t>
        </is>
      </c>
      <c r="E65" t="inlineStr"/>
      <c r="F65" t="inlineStr"/>
      <c r="G65" t="inlineStr">
        <is>
          <t>Seattle, WA, US</t>
        </is>
      </c>
      <c r="H65" s="2" t="n">
        <v>45978</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6">
      <c r="A66" t="inlineStr">
        <is>
          <t>in-58de0f1ada046384</t>
        </is>
      </c>
      <c r="B66" t="inlineStr">
        <is>
          <t>Principal Applied Scientist, Amazon AGI</t>
        </is>
      </c>
      <c r="C66" t="inlineStr">
        <is>
          <t>Amazon.com</t>
        </is>
      </c>
      <c r="D66" t="inlineStr">
        <is>
          <t>indeed</t>
        </is>
      </c>
      <c r="E66" t="inlineStr"/>
      <c r="F66" t="inlineStr"/>
      <c r="G66" t="inlineStr">
        <is>
          <t>San Francisco, CA, US</t>
        </is>
      </c>
      <c r="H66" s="2" t="n">
        <v>45964</v>
      </c>
      <c r="I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in-f30bd55b4e536f1a</t>
        </is>
      </c>
      <c r="B67" t="inlineStr">
        <is>
          <t>Principal Applied Scientist, Amazon AGI</t>
        </is>
      </c>
      <c r="C67" t="inlineStr">
        <is>
          <t>Amazon.com</t>
        </is>
      </c>
      <c r="D67" t="inlineStr">
        <is>
          <t>indeed</t>
        </is>
      </c>
      <c r="E67" t="inlineStr"/>
      <c r="F67" t="inlineStr"/>
      <c r="G67" t="inlineStr">
        <is>
          <t>Boston, MA, US</t>
        </is>
      </c>
      <c r="H67" s="2" t="n">
        <v>45964</v>
      </c>
      <c r="I6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in-f2b6f2e07d9b6c05</t>
        </is>
      </c>
      <c r="B68" t="inlineStr">
        <is>
          <t>Applied Scientist, AWS Agentic AI</t>
        </is>
      </c>
      <c r="C68" t="inlineStr">
        <is>
          <t>Amazon Web Services</t>
        </is>
      </c>
      <c r="D68" t="inlineStr">
        <is>
          <t>indeed</t>
        </is>
      </c>
      <c r="E68" t="inlineStr"/>
      <c r="F68" t="inlineStr"/>
      <c r="G68" t="inlineStr">
        <is>
          <t>Santa Clara, CA, US</t>
        </is>
      </c>
      <c r="H68" s="2" t="n">
        <v>45962</v>
      </c>
      <c r="I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in-10932c7b6dfbd834</t>
        </is>
      </c>
      <c r="B69" t="inlineStr">
        <is>
          <t>Applied Scientist, AWS Agentic AI</t>
        </is>
      </c>
      <c r="C69" t="inlineStr">
        <is>
          <t>Amazon Web Services</t>
        </is>
      </c>
      <c r="D69" t="inlineStr">
        <is>
          <t>indeed</t>
        </is>
      </c>
      <c r="E69" t="inlineStr"/>
      <c r="F69" t="inlineStr"/>
      <c r="G69" t="inlineStr">
        <is>
          <t>New York, NY, US</t>
        </is>
      </c>
      <c r="H69" s="2" t="n">
        <v>45962</v>
      </c>
      <c r="I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in-a95c00c10d6ba866</t>
        </is>
      </c>
      <c r="B70" t="inlineStr">
        <is>
          <t>Applied Scientist, AWS Agentic AI</t>
        </is>
      </c>
      <c r="C70" t="inlineStr">
        <is>
          <t>Amazon Web Services</t>
        </is>
      </c>
      <c r="D70" t="inlineStr">
        <is>
          <t>indeed</t>
        </is>
      </c>
      <c r="E70" t="inlineStr"/>
      <c r="F70" t="inlineStr"/>
      <c r="G70" t="inlineStr">
        <is>
          <t>Seattle, WA, US</t>
        </is>
      </c>
      <c r="H70" s="2"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in-34cdae9c4448d48c</t>
        </is>
      </c>
      <c r="B71" t="inlineStr">
        <is>
          <t>Sr. Applied Scientist, Prime Video - Personalization and Discovery Science</t>
        </is>
      </c>
      <c r="C71" t="inlineStr">
        <is>
          <t>Amazon.com</t>
        </is>
      </c>
      <c r="D71" t="inlineStr">
        <is>
          <t>indeed</t>
        </is>
      </c>
      <c r="E71" t="inlineStr"/>
      <c r="F71" t="inlineStr"/>
      <c r="G71" t="inlineStr">
        <is>
          <t>New York, NY, US</t>
        </is>
      </c>
      <c r="H71" s="2" t="n">
        <v>45959</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2">
      <c r="A72" t="inlineStr">
        <is>
          <t>in-cf7559e188a2e3fb</t>
        </is>
      </c>
      <c r="B72" t="inlineStr">
        <is>
          <t>Applied Scientist, Prime Video - Content Understanding, Localization &amp; Enrichment Team</t>
        </is>
      </c>
      <c r="C72" t="inlineStr">
        <is>
          <t>Amazon.com</t>
        </is>
      </c>
      <c r="D72" t="inlineStr">
        <is>
          <t>indeed</t>
        </is>
      </c>
      <c r="E72" t="inlineStr"/>
      <c r="F72" t="inlineStr"/>
      <c r="G72" t="inlineStr">
        <is>
          <t>San Francisco, CA, US</t>
        </is>
      </c>
      <c r="H72" s="2" t="n">
        <v>45943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3">
      <c r="A73" t="inlineStr">
        <is>
          <t>in-92e76cdb399a27c2</t>
        </is>
      </c>
      <c r="B73" t="inlineStr">
        <is>
          <t>Applied Scientist, Prime Video - Content Understanding, Localization &amp; Enrichment Team</t>
        </is>
      </c>
      <c r="C73" t="inlineStr">
        <is>
          <t>Amazon.com</t>
        </is>
      </c>
      <c r="D73" t="inlineStr">
        <is>
          <t>indeed</t>
        </is>
      </c>
      <c r="E73" t="inlineStr"/>
      <c r="F73" t="inlineStr"/>
      <c r="G73" t="inlineStr">
        <is>
          <t>Seattle, WA, US</t>
        </is>
      </c>
      <c r="H73" s="2" t="n">
        <v>45943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4">
      <c r="A74" t="inlineStr">
        <is>
          <t>in-1049f102482a1638</t>
        </is>
      </c>
      <c r="B74" t="inlineStr">
        <is>
          <t>Principal Applied Scientist, Advertiser Growth, Amazon Sponsored Products &amp; Brands</t>
        </is>
      </c>
      <c r="C74" t="inlineStr">
        <is>
          <t>Amazon.com</t>
        </is>
      </c>
      <c r="D74" t="inlineStr">
        <is>
          <t>indeed</t>
        </is>
      </c>
      <c r="E74" t="inlineStr"/>
      <c r="F74" t="inlineStr"/>
      <c r="G74" t="inlineStr">
        <is>
          <t>Seattle, WA,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in-c7ef4997f6fa7cc7</t>
        </is>
      </c>
      <c r="B75" t="inlineStr">
        <is>
          <t>Principal Applied Scientist, Advertiser Growth, Amazon Sponsored Products &amp; Brands</t>
        </is>
      </c>
      <c r="C75" t="inlineStr">
        <is>
          <t>Amazon.com</t>
        </is>
      </c>
      <c r="D75" t="inlineStr">
        <is>
          <t>indeed</t>
        </is>
      </c>
      <c r="E75" t="inlineStr"/>
      <c r="F75" t="inlineStr"/>
      <c r="G75" t="inlineStr">
        <is>
          <t>Palo Alto, CA,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in-6303feb2d0349035</t>
        </is>
      </c>
      <c r="B76" t="inlineStr">
        <is>
          <t>Principal Applied Scientist, Advertiser Growth, Amazon Sponsored Products &amp; Brands</t>
        </is>
      </c>
      <c r="C76" t="inlineStr">
        <is>
          <t>Amazon.com</t>
        </is>
      </c>
      <c r="D76" t="inlineStr">
        <is>
          <t>indeed</t>
        </is>
      </c>
      <c r="E76" t="inlineStr"/>
      <c r="F76" t="inlineStr"/>
      <c r="G76" t="inlineStr">
        <is>
          <t>New York, NY,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in-c985d757f2765e00</t>
        </is>
      </c>
      <c r="B77" t="inlineStr">
        <is>
          <t>Applied Scientist, Workplace Health &amp; Safety</t>
        </is>
      </c>
      <c r="C77" t="inlineStr">
        <is>
          <t>Amazon.com</t>
        </is>
      </c>
      <c r="D77" t="inlineStr">
        <is>
          <t>indeed</t>
        </is>
      </c>
      <c r="E77" t="inlineStr"/>
      <c r="F77" t="inlineStr"/>
      <c r="G77" t="inlineStr">
        <is>
          <t>Bellevue, WA, US</t>
        </is>
      </c>
      <c r="H77" s="2" t="n">
        <v>45917</v>
      </c>
      <c r="I7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in-b718f0f278955d64</t>
        </is>
      </c>
      <c r="B78" t="inlineStr">
        <is>
          <t>Applied Scientist, Workplace Health &amp; Safety</t>
        </is>
      </c>
      <c r="C78" t="inlineStr">
        <is>
          <t>Amazon.com</t>
        </is>
      </c>
      <c r="D78" t="inlineStr">
        <is>
          <t>indeed</t>
        </is>
      </c>
      <c r="E78" t="inlineStr"/>
      <c r="F78" t="inlineStr"/>
      <c r="G78" t="inlineStr">
        <is>
          <t>Nashville, TN, US</t>
        </is>
      </c>
      <c r="H78" s="2" t="n">
        <v>45917</v>
      </c>
      <c r="I7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in-4b6b076e1b33d592</t>
        </is>
      </c>
      <c r="B79" t="inlineStr">
        <is>
          <t>Applied Scientist II, Creative X - RAPID</t>
        </is>
      </c>
      <c r="C79" t="inlineStr">
        <is>
          <t>Amazon.com</t>
        </is>
      </c>
      <c r="D79" t="inlineStr">
        <is>
          <t>indeed</t>
        </is>
      </c>
      <c r="E79" t="inlineStr"/>
      <c r="F79" t="inlineStr"/>
      <c r="G79" t="inlineStr">
        <is>
          <t>Seattle, WA, US</t>
        </is>
      </c>
      <c r="H79" s="2" t="n">
        <v>45908</v>
      </c>
      <c r="I7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0">
      <c r="A80" t="inlineStr">
        <is>
          <t>in-cc7f5a1a20b1367f</t>
        </is>
      </c>
      <c r="B80" t="inlineStr">
        <is>
          <t>Applied Scientist II, Creative X - RAPID</t>
        </is>
      </c>
      <c r="C80" t="inlineStr">
        <is>
          <t>Amazon.com</t>
        </is>
      </c>
      <c r="D80" t="inlineStr">
        <is>
          <t>indeed</t>
        </is>
      </c>
      <c r="E80" t="inlineStr"/>
      <c r="F80" t="inlineStr"/>
      <c r="G80" t="inlineStr">
        <is>
          <t>New York, NY, US</t>
        </is>
      </c>
      <c r="H80" s="2" t="n">
        <v>45908</v>
      </c>
      <c r="I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1">
      <c r="A81" t="inlineStr">
        <is>
          <t>in-35897b088c0969f0</t>
        </is>
      </c>
      <c r="B81" t="inlineStr">
        <is>
          <t>Sr. Applied Scientist, Prime Video - Personalization and Discovery Science</t>
        </is>
      </c>
      <c r="C81" t="inlineStr">
        <is>
          <t>Amazon.com</t>
        </is>
      </c>
      <c r="D81" t="inlineStr">
        <is>
          <t>indeed</t>
        </is>
      </c>
      <c r="E81" t="inlineStr"/>
      <c r="F81" t="inlineStr"/>
      <c r="G81" t="inlineStr">
        <is>
          <t>New York, NY, US</t>
        </is>
      </c>
      <c r="H81" s="2" t="n">
        <v>45896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2">
      <c r="A82" t="inlineStr">
        <is>
          <t>in-9855169679b9112b</t>
        </is>
      </c>
      <c r="B82" t="inlineStr">
        <is>
          <t>Applied Scientist II, Prime Video , Personalization and Discovery Science</t>
        </is>
      </c>
      <c r="C82" t="inlineStr">
        <is>
          <t>Amazon.com</t>
        </is>
      </c>
      <c r="D82" t="inlineStr">
        <is>
          <t>indeed</t>
        </is>
      </c>
      <c r="E82" t="inlineStr"/>
      <c r="F82" t="inlineStr"/>
      <c r="G82" t="inlineStr">
        <is>
          <t>New York, NY, US</t>
        </is>
      </c>
      <c r="H82" s="2" t="n">
        <v>45886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3">
      <c r="A83" t="inlineStr">
        <is>
          <t>in-16b37ebc757498a0</t>
        </is>
      </c>
      <c r="B83" t="inlineStr">
        <is>
          <t>Applied Scientist II, Prime Video , Personalization and Discovery Science</t>
        </is>
      </c>
      <c r="C83" t="inlineStr">
        <is>
          <t>Amazon.com</t>
        </is>
      </c>
      <c r="D83" t="inlineStr">
        <is>
          <t>indeed</t>
        </is>
      </c>
      <c r="E83" t="inlineStr"/>
      <c r="F83" t="inlineStr"/>
      <c r="G83" t="inlineStr">
        <is>
          <t>Seattle, WA, US</t>
        </is>
      </c>
      <c r="H83" s="2" t="n">
        <v>45886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4">
      <c r="A84" t="inlineStr">
        <is>
          <t>in-de23cd14248a85e8</t>
        </is>
      </c>
      <c r="B84" t="inlineStr">
        <is>
          <t>Applied Scientist II, Prime Video , Personalization and Discovery Science</t>
        </is>
      </c>
      <c r="C84" t="inlineStr">
        <is>
          <t>Amazon.com</t>
        </is>
      </c>
      <c r="D84" t="inlineStr">
        <is>
          <t>indeed</t>
        </is>
      </c>
      <c r="E84" t="inlineStr"/>
      <c r="F84" t="inlineStr"/>
      <c r="G84" t="inlineStr">
        <is>
          <t>Sunnyvale, CA, US</t>
        </is>
      </c>
      <c r="H84" s="2" t="n">
        <v>45886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5">
      <c r="A85" t="inlineStr">
        <is>
          <t>in-2507b01418716401</t>
        </is>
      </c>
      <c r="B85" t="inlineStr">
        <is>
          <t>Applied Scientist III, StoreGen</t>
        </is>
      </c>
      <c r="C85" t="inlineStr">
        <is>
          <t>Amazon.com</t>
        </is>
      </c>
      <c r="D85" t="inlineStr">
        <is>
          <t>indeed</t>
        </is>
      </c>
      <c r="E85" t="inlineStr"/>
      <c r="F85" t="inlineStr"/>
      <c r="G85" t="inlineStr">
        <is>
          <t>Seattle, WA, US</t>
        </is>
      </c>
      <c r="H85" s="2" t="n">
        <v>45868</v>
      </c>
      <c r="I8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in-46df7932dc275a0d</t>
        </is>
      </c>
      <c r="B86" t="inlineStr">
        <is>
          <t>Applied Scientist III, StoreGen</t>
        </is>
      </c>
      <c r="C86" t="inlineStr">
        <is>
          <t>Amazon.com</t>
        </is>
      </c>
      <c r="D86" t="inlineStr">
        <is>
          <t>indeed</t>
        </is>
      </c>
      <c r="E86" t="inlineStr"/>
      <c r="F86" t="inlineStr"/>
      <c r="G86" t="inlineStr">
        <is>
          <t>Sunnyvale, CA, US</t>
        </is>
      </c>
      <c r="H86" s="2" t="n">
        <v>45868</v>
      </c>
      <c r="I8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in-4835ca7527760cf8</t>
        </is>
      </c>
      <c r="B87" t="inlineStr">
        <is>
          <t>Sr. Applied Scientist, Amazon Advertising</t>
        </is>
      </c>
      <c r="C87" t="inlineStr">
        <is>
          <t>Amazon.com</t>
        </is>
      </c>
      <c r="D87" t="inlineStr">
        <is>
          <t>indeed</t>
        </is>
      </c>
      <c r="E87" t="inlineStr"/>
      <c r="F87" t="inlineStr"/>
      <c r="G87" t="inlineStr">
        <is>
          <t>West Hollywood, CA,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in-619b2e9b25c733e4</t>
        </is>
      </c>
      <c r="B88" t="inlineStr">
        <is>
          <t>Sr. Applied Scientist, Amazon Advertising</t>
        </is>
      </c>
      <c r="C88" t="inlineStr">
        <is>
          <t>Amazon.com</t>
        </is>
      </c>
      <c r="D88" t="inlineStr">
        <is>
          <t>indeed</t>
        </is>
      </c>
      <c r="E88" t="inlineStr"/>
      <c r="F88" t="inlineStr"/>
      <c r="G88" t="inlineStr">
        <is>
          <t>Arlington, VA,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in-b23592958288e775</t>
        </is>
      </c>
      <c r="B89" t="inlineStr">
        <is>
          <t>Sr. Applied Scientist, Amazon Advertising</t>
        </is>
      </c>
      <c r="C89" t="inlineStr">
        <is>
          <t>Amazon.com</t>
        </is>
      </c>
      <c r="D89" t="inlineStr">
        <is>
          <t>indeed</t>
        </is>
      </c>
      <c r="E89" t="inlineStr"/>
      <c r="F89" t="inlineStr"/>
      <c r="G89" t="inlineStr">
        <is>
          <t>Simi Valley,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in-346b051a509e2a0e</t>
        </is>
      </c>
      <c r="B90" t="inlineStr">
        <is>
          <t>Sr. Applied Scientist, Amazon Advertising</t>
        </is>
      </c>
      <c r="C90" t="inlineStr">
        <is>
          <t>Amazon.com</t>
        </is>
      </c>
      <c r="D90" t="inlineStr">
        <is>
          <t>indeed</t>
        </is>
      </c>
      <c r="E90" t="inlineStr"/>
      <c r="F90" t="inlineStr"/>
      <c r="G90" t="inlineStr">
        <is>
          <t>Los Angeles, CA,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in-9efcd1d12625eb9a</t>
        </is>
      </c>
      <c r="B91" t="inlineStr">
        <is>
          <t>Sr. Applied Scientist, Amazon Advertising</t>
        </is>
      </c>
      <c r="C91" t="inlineStr">
        <is>
          <t>Amazon.com</t>
        </is>
      </c>
      <c r="D91" t="inlineStr">
        <is>
          <t>indeed</t>
        </is>
      </c>
      <c r="E91" t="inlineStr"/>
      <c r="F91" t="inlineStr"/>
      <c r="G91" t="inlineStr">
        <is>
          <t>New York, NY,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in-2ae301a68fd05aa8</t>
        </is>
      </c>
      <c r="B92" t="inlineStr">
        <is>
          <t>Sr. Applied Scientist, Amazon Advertising</t>
        </is>
      </c>
      <c r="C92" t="inlineStr">
        <is>
          <t>Amazon.com</t>
        </is>
      </c>
      <c r="D92" t="inlineStr">
        <is>
          <t>indeed</t>
        </is>
      </c>
      <c r="E92" t="inlineStr"/>
      <c r="F92" t="inlineStr"/>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in-f9bcb636b0ff9958</t>
        </is>
      </c>
      <c r="B93" t="inlineStr">
        <is>
          <t>Sr. Applied Scientist, Amazon Advertising</t>
        </is>
      </c>
      <c r="C93" t="inlineStr">
        <is>
          <t>Amazon.com</t>
        </is>
      </c>
      <c r="D93" t="inlineStr">
        <is>
          <t>indeed</t>
        </is>
      </c>
      <c r="E93" t="inlineStr"/>
      <c r="F93" t="inlineStr"/>
      <c r="G93" t="inlineStr">
        <is>
          <t>Palo Alto,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in-7632c40a43f5fdd4</t>
        </is>
      </c>
      <c r="B94" t="inlineStr">
        <is>
          <t>Sr. Applied Scientist, Amazon Advertising</t>
        </is>
      </c>
      <c r="C94" t="inlineStr">
        <is>
          <t>Amazon.com</t>
        </is>
      </c>
      <c r="D94" t="inlineStr">
        <is>
          <t>indeed</t>
        </is>
      </c>
      <c r="E94" t="inlineStr"/>
      <c r="F94" t="inlineStr"/>
      <c r="G94" t="inlineStr">
        <is>
          <t>Austin, TX,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in-1881980509b14a5c</t>
        </is>
      </c>
      <c r="B95" t="inlineStr">
        <is>
          <t>Sr. Applied Scientist, Sales AI</t>
        </is>
      </c>
      <c r="C95" t="inlineStr">
        <is>
          <t>Amazon.com</t>
        </is>
      </c>
      <c r="D95" t="inlineStr">
        <is>
          <t>indeed</t>
        </is>
      </c>
      <c r="E95" t="inlineStr"/>
      <c r="F95" t="inlineStr"/>
      <c r="G95" t="inlineStr">
        <is>
          <t>Sunnyvale, CA, US</t>
        </is>
      </c>
      <c r="H95" s="2" t="n">
        <v>45830</v>
      </c>
      <c r="I9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in-e2495c431a3b7e4c</t>
        </is>
      </c>
      <c r="B96" t="inlineStr">
        <is>
          <t>Sr. Applied Scientist, Sales AI</t>
        </is>
      </c>
      <c r="C96" t="inlineStr">
        <is>
          <t>Amazon.com</t>
        </is>
      </c>
      <c r="D96" t="inlineStr">
        <is>
          <t>indeed</t>
        </is>
      </c>
      <c r="E96" t="inlineStr"/>
      <c r="F96" t="inlineStr"/>
      <c r="G96" t="inlineStr">
        <is>
          <t>Seattle, WA, US</t>
        </is>
      </c>
      <c r="H96" s="2" t="n">
        <v>45830</v>
      </c>
      <c r="I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in-89511aa2ea994829</t>
        </is>
      </c>
      <c r="B97" t="inlineStr">
        <is>
          <t>Sr. Applied Scientist, Sales AI</t>
        </is>
      </c>
      <c r="C97" t="inlineStr">
        <is>
          <t>Amazon.com</t>
        </is>
      </c>
      <c r="D97" t="inlineStr">
        <is>
          <t>indeed</t>
        </is>
      </c>
      <c r="E97" t="inlineStr"/>
      <c r="F97" t="inlineStr"/>
      <c r="G97" t="inlineStr">
        <is>
          <t>New York, NY, US</t>
        </is>
      </c>
      <c r="H97" s="2" t="n">
        <v>45830</v>
      </c>
      <c r="I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in-54659786a18dc80d</t>
        </is>
      </c>
      <c r="B98" t="inlineStr">
        <is>
          <t>Principal Applied Scientist, Delivery Foundation Model</t>
        </is>
      </c>
      <c r="C98" t="inlineStr">
        <is>
          <t>Amazon.com</t>
        </is>
      </c>
      <c r="D98" t="inlineStr">
        <is>
          <t>indeed</t>
        </is>
      </c>
      <c r="E98" t="inlineStr"/>
      <c r="F98" t="inlineStr"/>
      <c r="G98" t="inlineStr">
        <is>
          <t>New York, NY, US</t>
        </is>
      </c>
      <c r="H98" s="2" t="n">
        <v>45810</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in-91c2de225c5f2bf7</t>
        </is>
      </c>
      <c r="B99" t="inlineStr">
        <is>
          <t>Principal Applied Scientist, Delivery Foundation Model</t>
        </is>
      </c>
      <c r="C99" t="inlineStr">
        <is>
          <t>Amazon.com</t>
        </is>
      </c>
      <c r="D99" t="inlineStr">
        <is>
          <t>indeed</t>
        </is>
      </c>
      <c r="E99" t="inlineStr"/>
      <c r="F99" t="inlineStr"/>
      <c r="G99" t="inlineStr">
        <is>
          <t>Santa Clara, CA, US</t>
        </is>
      </c>
      <c r="H99" s="2"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in-f39bfbc40ed5d779</t>
        </is>
      </c>
      <c r="B100" t="inlineStr">
        <is>
          <t>Principal Applied Scientist, Delivery Foundation Model</t>
        </is>
      </c>
      <c r="C100" t="inlineStr">
        <is>
          <t>Amazon.com</t>
        </is>
      </c>
      <c r="D100" t="inlineStr">
        <is>
          <t>indeed</t>
        </is>
      </c>
      <c r="E100" t="inlineStr"/>
      <c r="F100" t="inlineStr"/>
      <c r="G100" t="inlineStr">
        <is>
          <t>Austin, TX, US</t>
        </is>
      </c>
      <c r="H100" s="2" t="n">
        <v>45810</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in-5232a6e0703069de</t>
        </is>
      </c>
      <c r="B101" t="inlineStr">
        <is>
          <t>Principal Applied Scientist, Delivery Foundation Model</t>
        </is>
      </c>
      <c r="C101" t="inlineStr">
        <is>
          <t>Amazon.com</t>
        </is>
      </c>
      <c r="D101" t="inlineStr">
        <is>
          <t>indeed</t>
        </is>
      </c>
      <c r="E101" t="inlineStr"/>
      <c r="F101" t="inlineStr"/>
      <c r="G101" t="inlineStr">
        <is>
          <t>Bellevue, WA, US</t>
        </is>
      </c>
      <c r="H101" s="2"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in-0f7c19d7fa6d2716</t>
        </is>
      </c>
      <c r="B102" t="inlineStr">
        <is>
          <t>Senior Applied Scientist, Delivery Foundation Model</t>
        </is>
      </c>
      <c r="C102" t="inlineStr">
        <is>
          <t>Amazon.com</t>
        </is>
      </c>
      <c r="D102" t="inlineStr">
        <is>
          <t>indeed</t>
        </is>
      </c>
      <c r="E102" t="inlineStr"/>
      <c r="F102" t="inlineStr"/>
      <c r="G102" t="inlineStr">
        <is>
          <t>Santa Clara, CA, US</t>
        </is>
      </c>
      <c r="H102" s="2" t="n">
        <v>45806</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in-feb556a2dc3b56e1</t>
        </is>
      </c>
      <c r="B103" t="inlineStr">
        <is>
          <t>Senior Applied Scientist, Delivery Foundation Model</t>
        </is>
      </c>
      <c r="C103" t="inlineStr">
        <is>
          <t>Amazon.com</t>
        </is>
      </c>
      <c r="D103" t="inlineStr">
        <is>
          <t>indeed</t>
        </is>
      </c>
      <c r="E103" t="inlineStr"/>
      <c r="F103" t="inlineStr"/>
      <c r="G103" t="inlineStr">
        <is>
          <t>Bellevue, WA, US</t>
        </is>
      </c>
      <c r="H103" s="2"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in-a4ebba9fa94985e0</t>
        </is>
      </c>
      <c r="B104" t="inlineStr">
        <is>
          <t>Senior Applied Scientist, Delivery Foundation Model</t>
        </is>
      </c>
      <c r="C104" t="inlineStr">
        <is>
          <t>Amazon.com</t>
        </is>
      </c>
      <c r="D104" t="inlineStr">
        <is>
          <t>indeed</t>
        </is>
      </c>
      <c r="E104" t="inlineStr"/>
      <c r="F104" t="inlineStr"/>
      <c r="G104" t="inlineStr">
        <is>
          <t>New York, NY, US</t>
        </is>
      </c>
      <c r="H104" s="2"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in-b36061804fd0f566</t>
        </is>
      </c>
      <c r="B105" t="inlineStr">
        <is>
          <t>Principal Applied Scientist, Delivery Foundation Model</t>
        </is>
      </c>
      <c r="C105" t="inlineStr">
        <is>
          <t>Amazon.com</t>
        </is>
      </c>
      <c r="D105" t="inlineStr">
        <is>
          <t>indeed</t>
        </is>
      </c>
      <c r="E105" t="inlineStr"/>
      <c r="F105" t="inlineStr"/>
      <c r="G105" t="inlineStr">
        <is>
          <t>New York, NY, US</t>
        </is>
      </c>
      <c r="H105" s="2" t="n">
        <v>45757</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in-17258e76e97da888</t>
        </is>
      </c>
      <c r="B106" t="inlineStr">
        <is>
          <t>Principal Applied Scientist, Delivery Foundation Model</t>
        </is>
      </c>
      <c r="C106" t="inlineStr">
        <is>
          <t>Amazon.com</t>
        </is>
      </c>
      <c r="D106" t="inlineStr">
        <is>
          <t>indeed</t>
        </is>
      </c>
      <c r="E106" t="inlineStr"/>
      <c r="F106" t="inlineStr"/>
      <c r="G106" t="inlineStr">
        <is>
          <t>Santa Clara, CA, US</t>
        </is>
      </c>
      <c r="H106" s="2" t="n">
        <v>45757</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in-082acf4aee16b624</t>
        </is>
      </c>
      <c r="B107" t="inlineStr">
        <is>
          <t>Principal Applied Scientist, Delivery Foundation Model</t>
        </is>
      </c>
      <c r="C107" t="inlineStr">
        <is>
          <t>Amazon.com</t>
        </is>
      </c>
      <c r="D107" t="inlineStr">
        <is>
          <t>indeed</t>
        </is>
      </c>
      <c r="E107" t="inlineStr"/>
      <c r="F107" t="inlineStr"/>
      <c r="G107" t="inlineStr">
        <is>
          <t>Bellevue, WA, US</t>
        </is>
      </c>
      <c r="H107" s="2" t="n">
        <v>45757</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in-60ba064af95c57fc</t>
        </is>
      </c>
      <c r="B108" t="inlineStr">
        <is>
          <t>Principal Applied Scientist, FAR (Frontier AI &amp; Robotics)</t>
        </is>
      </c>
      <c r="C108" t="inlineStr">
        <is>
          <t>Amazon.com</t>
        </is>
      </c>
      <c r="D108" t="inlineStr">
        <is>
          <t>indeed</t>
        </is>
      </c>
      <c r="E108" t="inlineStr"/>
      <c r="F108" t="inlineStr"/>
      <c r="G108" t="inlineStr">
        <is>
          <t>San Francisco, CA, US</t>
        </is>
      </c>
      <c r="H108" s="2" t="n">
        <v>45740</v>
      </c>
      <c r="I1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in-c3278ef15a100363</t>
        </is>
      </c>
      <c r="B109" t="inlineStr">
        <is>
          <t>Principal Applied Scientist, FAR (Frontier AI &amp; Robotics)</t>
        </is>
      </c>
      <c r="C109" t="inlineStr">
        <is>
          <t>Amazon.com</t>
        </is>
      </c>
      <c r="D109" t="inlineStr">
        <is>
          <t>indeed</t>
        </is>
      </c>
      <c r="E109" t="inlineStr"/>
      <c r="F109" t="inlineStr"/>
      <c r="G109" t="inlineStr">
        <is>
          <t>Seattle, WA,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in-d11f91907c27b658</t>
        </is>
      </c>
      <c r="B110" t="inlineStr">
        <is>
          <t>Data Scientist - Computer Vision, Data &amp; Machine Learning (DML)</t>
        </is>
      </c>
      <c r="C110" t="inlineStr">
        <is>
          <t>Amazon Web Services</t>
        </is>
      </c>
      <c r="D110" t="inlineStr">
        <is>
          <t>indeed</t>
        </is>
      </c>
      <c r="E110" t="inlineStr"/>
      <c r="F110" t="inlineStr"/>
      <c r="G110" t="inlineStr">
        <is>
          <t>Herndon, VA, US</t>
        </is>
      </c>
      <c r="H110" s="2" t="n">
        <v>46051</v>
      </c>
      <c r="I11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1">
      <c r="A111" t="inlineStr">
        <is>
          <t>in-3caa6948b6c0a8fd</t>
        </is>
      </c>
      <c r="B111" t="inlineStr">
        <is>
          <t>Data Scientist - Computer Vision, Data &amp; Machine Learning (DML)</t>
        </is>
      </c>
      <c r="C111" t="inlineStr">
        <is>
          <t>Amazon Web Services</t>
        </is>
      </c>
      <c r="D111" t="inlineStr">
        <is>
          <t>indeed</t>
        </is>
      </c>
      <c r="E111" t="inlineStr"/>
      <c r="F111" t="inlineStr"/>
      <c r="G111" t="inlineStr">
        <is>
          <t>Arlington, VA, US</t>
        </is>
      </c>
      <c r="H111" s="2" t="n">
        <v>46051</v>
      </c>
      <c r="I11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2">
      <c r="A112" t="inlineStr">
        <is>
          <t>in-d75f89011a925ccd</t>
        </is>
      </c>
      <c r="B112" t="inlineStr">
        <is>
          <t>Data Scientist- Vision Language Model Researcher, Data &amp; Machine Learning (DML)</t>
        </is>
      </c>
      <c r="C112" t="inlineStr">
        <is>
          <t>Amazon Web Services</t>
        </is>
      </c>
      <c r="D112" t="inlineStr">
        <is>
          <t>indeed</t>
        </is>
      </c>
      <c r="E112" t="inlineStr"/>
      <c r="F112" t="inlineStr"/>
      <c r="G112" t="inlineStr">
        <is>
          <t>Arlington, VA, US</t>
        </is>
      </c>
      <c r="H112" s="2" t="n">
        <v>46051</v>
      </c>
      <c r="I11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3">
      <c r="A113" t="inlineStr">
        <is>
          <t>in-d44b5e0b7ff0ab0e</t>
        </is>
      </c>
      <c r="B113" t="inlineStr">
        <is>
          <t>Data Scientist- Vision Language Model Researcher, Data &amp; Machine Learning (DML)</t>
        </is>
      </c>
      <c r="C113" t="inlineStr">
        <is>
          <t>Amazon Web Services</t>
        </is>
      </c>
      <c r="D113" t="inlineStr">
        <is>
          <t>indeed</t>
        </is>
      </c>
      <c r="E113" t="inlineStr"/>
      <c r="F113" t="inlineStr"/>
      <c r="G113" t="inlineStr">
        <is>
          <t>Herndon, VA, US</t>
        </is>
      </c>
      <c r="H113" s="2" t="n">
        <v>46051</v>
      </c>
      <c r="I11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4">
      <c r="A114" t="inlineStr">
        <is>
          <t>in-7dfb650b7de7cc7b</t>
        </is>
      </c>
      <c r="B114" t="inlineStr">
        <is>
          <t>Applied Scientist, Alexa Smart Home</t>
        </is>
      </c>
      <c r="C114" t="inlineStr">
        <is>
          <t>Amazon.com</t>
        </is>
      </c>
      <c r="D114" t="inlineStr">
        <is>
          <t>indeed</t>
        </is>
      </c>
      <c r="E114" t="inlineStr"/>
      <c r="F114" t="inlineStr"/>
      <c r="G114" t="inlineStr">
        <is>
          <t>Seattle, WA, US</t>
        </is>
      </c>
      <c r="H114" s="2" t="n">
        <v>46033</v>
      </c>
      <c r="I11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5">
      <c r="A115" t="inlineStr">
        <is>
          <t>in-f216a1727f447ec1</t>
        </is>
      </c>
      <c r="B115" t="inlineStr">
        <is>
          <t>Applied Scientist, Alexa Smart Home</t>
        </is>
      </c>
      <c r="C115" t="inlineStr">
        <is>
          <t>Amazon.com</t>
        </is>
      </c>
      <c r="D115" t="inlineStr">
        <is>
          <t>indeed</t>
        </is>
      </c>
      <c r="E115" t="inlineStr"/>
      <c r="F115" t="inlineStr"/>
      <c r="G115" t="inlineStr">
        <is>
          <t>Sunnyvale, CA, US</t>
        </is>
      </c>
      <c r="H115" s="2" t="n">
        <v>46033</v>
      </c>
      <c r="I11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6">
      <c r="A116" t="inlineStr">
        <is>
          <t>in-ed0f4179da65a27a</t>
        </is>
      </c>
      <c r="B116" t="inlineStr">
        <is>
          <t>Sr. Applied Scientist, Amazon Ads</t>
        </is>
      </c>
      <c r="C116" t="inlineStr">
        <is>
          <t>Amazon.com</t>
        </is>
      </c>
      <c r="D116" t="inlineStr">
        <is>
          <t>indeed</t>
        </is>
      </c>
      <c r="E116">
        <f>HYPERLINK("https://www.indeed.com/viewjob?jk=ed0f4179da65a27a", "https://www.indeed.com/viewjob?jk=ed0f4179da65a27a")</f>
        <v/>
      </c>
      <c r="F116">
        <f>HYPERLINK("https://www.amazon.jobs/jobs/3139328/sr-applied-scientist-amazon-ads?cmpid=DA_INAD200785B", "https://www.amazon.jobs/jobs/3139328/sr-applied-scientist-amazon-ads?cmpid=DA_INAD200785B")</f>
        <v/>
      </c>
      <c r="G116" t="inlineStr">
        <is>
          <t>Tukwila, WA, US</t>
        </is>
      </c>
      <c r="H116" s="3" t="n">
        <v>45998</v>
      </c>
      <c r="I1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7">
      <c r="A117" t="inlineStr">
        <is>
          <t>in-ee26e85a7ed8eba1</t>
        </is>
      </c>
      <c r="B117" t="inlineStr">
        <is>
          <t>Sr. Applied Scientist, Amazon Ads</t>
        </is>
      </c>
      <c r="C117" t="inlineStr">
        <is>
          <t>Amazon.com</t>
        </is>
      </c>
      <c r="D117" t="inlineStr">
        <is>
          <t>indeed</t>
        </is>
      </c>
      <c r="E117">
        <f>HYPERLINK("https://www.indeed.com/viewjob?jk=ee26e85a7ed8eba1", "https://www.indeed.com/viewjob?jk=ee26e85a7ed8eba1")</f>
        <v/>
      </c>
      <c r="F117">
        <f>HYPERLINK("https://www.amazon.jobs/jobs/3139328/sr-applied-scientist-amazon-ads?cmpid=DA_INAD200785B", "https://www.amazon.jobs/jobs/3139328/sr-applied-scientist-amazon-ads?cmpid=DA_INAD200785B")</f>
        <v/>
      </c>
      <c r="G117" t="inlineStr">
        <is>
          <t>Boulder, CO, US</t>
        </is>
      </c>
      <c r="H117" s="3" t="n">
        <v>45998</v>
      </c>
      <c r="I1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8">
      <c r="A118" t="inlineStr">
        <is>
          <t>in-bb37ebe1c9f91f79</t>
        </is>
      </c>
      <c r="B118" t="inlineStr">
        <is>
          <t>Sr. Applied Scientist, Amazon Ads</t>
        </is>
      </c>
      <c r="C118" t="inlineStr">
        <is>
          <t>Amazon.com</t>
        </is>
      </c>
      <c r="D118" t="inlineStr">
        <is>
          <t>indeed</t>
        </is>
      </c>
      <c r="E118">
        <f>HYPERLINK("https://www.indeed.com/viewjob?jk=bb37ebe1c9f91f79", "https://www.indeed.com/viewjob?jk=bb37ebe1c9f91f79")</f>
        <v/>
      </c>
      <c r="F118">
        <f>HYPERLINK("https://www.amazon.jobs/jobs/3139328/sr-applied-scientist-amazon-ads?cmpid=DA_INAD200785B", "https://www.amazon.jobs/jobs/3139328/sr-applied-scientist-amazon-ads?cmpid=DA_INAD200785B")</f>
        <v/>
      </c>
      <c r="G118" t="inlineStr">
        <is>
          <t>Seattle, WA, US</t>
        </is>
      </c>
      <c r="H118" s="3" t="n">
        <v>45998</v>
      </c>
      <c r="I1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9">
      <c r="A119" t="inlineStr">
        <is>
          <t>in-967b59fd8aa63173</t>
        </is>
      </c>
      <c r="B119" t="inlineStr">
        <is>
          <t>Sr. Applied Scientist, Amazon Ads</t>
        </is>
      </c>
      <c r="C119" t="inlineStr">
        <is>
          <t>Amazon.com</t>
        </is>
      </c>
      <c r="D119" t="inlineStr">
        <is>
          <t>indeed</t>
        </is>
      </c>
      <c r="E119">
        <f>HYPERLINK("https://www.indeed.com/viewjob?jk=967b59fd8aa63173", "https://www.indeed.com/viewjob?jk=967b59fd8aa63173")</f>
        <v/>
      </c>
      <c r="F119">
        <f>HYPERLINK("https://www.amazon.jobs/jobs/3139328/sr-applied-scientist-amazon-ads?cmpid=DA_INAD200785B", "https://www.amazon.jobs/jobs/3139328/sr-applied-scientist-amazon-ads?cmpid=DA_INAD200785B")</f>
        <v/>
      </c>
      <c r="G119" t="inlineStr">
        <is>
          <t>Palo Alto, CA, US</t>
        </is>
      </c>
      <c r="H119" s="3" t="n">
        <v>45998</v>
      </c>
      <c r="I1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0">
      <c r="A120" t="inlineStr">
        <is>
          <t>in-ce63870ee31bfaa4</t>
        </is>
      </c>
      <c r="B120" t="inlineStr">
        <is>
          <t>Sr. Applied Scientist, Amazon Ads</t>
        </is>
      </c>
      <c r="C120" t="inlineStr">
        <is>
          <t>Amazon.com</t>
        </is>
      </c>
      <c r="D120" t="inlineStr">
        <is>
          <t>indeed</t>
        </is>
      </c>
      <c r="E120">
        <f>HYPERLINK("https://www.indeed.com/viewjob?jk=ce63870ee31bfaa4", "https://www.indeed.com/viewjob?jk=ce63870ee31bfaa4")</f>
        <v/>
      </c>
      <c r="F120">
        <f>HYPERLINK("https://www.amazon.jobs/jobs/3139328/sr-applied-scientist-amazon-ads?cmpid=DA_INAD200785B", "https://www.amazon.jobs/jobs/3139328/sr-applied-scientist-amazon-ads?cmpid=DA_INAD200785B")</f>
        <v/>
      </c>
      <c r="G120" t="inlineStr">
        <is>
          <t>Sunnyvale, CA, US</t>
        </is>
      </c>
      <c r="H120" s="3" t="n">
        <v>45998</v>
      </c>
      <c r="I1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1">
      <c r="A121" t="inlineStr">
        <is>
          <t>in-b603e4ad201efd97</t>
        </is>
      </c>
      <c r="B121" t="inlineStr">
        <is>
          <t>Sr. Applied Scientist, Amazon Ads</t>
        </is>
      </c>
      <c r="C121" t="inlineStr">
        <is>
          <t>Amazon.com</t>
        </is>
      </c>
      <c r="D121" t="inlineStr">
        <is>
          <t>indeed</t>
        </is>
      </c>
      <c r="E121">
        <f>HYPERLINK("https://www.indeed.com/viewjob?jk=b603e4ad201efd97", "https://www.indeed.com/viewjob?jk=b603e4ad201efd97")</f>
        <v/>
      </c>
      <c r="F121">
        <f>HYPERLINK("https://www.amazon.jobs/jobs/3139328/sr-applied-scientist-amazon-ads?cmpid=DA_INAD200785B", "https://www.amazon.jobs/jobs/3139328/sr-applied-scientist-amazon-ads?cmpid=DA_INAD200785B")</f>
        <v/>
      </c>
      <c r="G121" t="inlineStr">
        <is>
          <t>Santa Monica, CA, US</t>
        </is>
      </c>
      <c r="H121" s="3" t="n">
        <v>45998</v>
      </c>
      <c r="I1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2">
      <c r="A122" t="inlineStr">
        <is>
          <t>in-0feefb7327b78de3</t>
        </is>
      </c>
      <c r="B122" t="inlineStr">
        <is>
          <t>Sr. Applied Scientist, Amazon Ads</t>
        </is>
      </c>
      <c r="C122" t="inlineStr">
        <is>
          <t>Amazon.com</t>
        </is>
      </c>
      <c r="D122" t="inlineStr">
        <is>
          <t>indeed</t>
        </is>
      </c>
      <c r="E122">
        <f>HYPERLINK("https://www.indeed.com/viewjob?jk=0feefb7327b78de3", "https://www.indeed.com/viewjob?jk=0feefb7327b78de3")</f>
        <v/>
      </c>
      <c r="F122">
        <f>HYPERLINK("https://www.amazon.jobs/jobs/3139328/sr-applied-scientist-amazon-ads?cmpid=DA_INAD200785B", "https://www.amazon.jobs/jobs/3139328/sr-applied-scientist-amazon-ads?cmpid=DA_INAD200785B")</f>
        <v/>
      </c>
      <c r="G122" t="inlineStr">
        <is>
          <t>New York, NY, US</t>
        </is>
      </c>
      <c r="H122" s="3" t="n">
        <v>45998</v>
      </c>
      <c r="I1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3">
      <c r="A123" t="inlineStr">
        <is>
          <t>in-8a85b783c505692f</t>
        </is>
      </c>
      <c r="B123" t="inlineStr">
        <is>
          <t>Sr. Applied Scientist, Amazon Ads</t>
        </is>
      </c>
      <c r="C123" t="inlineStr">
        <is>
          <t>Amazon.com</t>
        </is>
      </c>
      <c r="D123" t="inlineStr">
        <is>
          <t>indeed</t>
        </is>
      </c>
      <c r="E123">
        <f>HYPERLINK("https://www.indeed.com/viewjob?jk=8a85b783c505692f", "https://www.indeed.com/viewjob?jk=8a85b783c505692f")</f>
        <v/>
      </c>
      <c r="F123">
        <f>HYPERLINK("https://www.amazon.jobs/jobs/3139328/sr-applied-scientist-amazon-ads?cmpid=DA_INAD200785B", "https://www.amazon.jobs/jobs/3139328/sr-applied-scientist-amazon-ads?cmpid=DA_INAD200785B")</f>
        <v/>
      </c>
      <c r="G123" t="inlineStr">
        <is>
          <t>Brooklyn, NY, US</t>
        </is>
      </c>
      <c r="H123" s="3" t="n">
        <v>45998</v>
      </c>
      <c r="I1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4">
      <c r="A124" t="inlineStr">
        <is>
          <t>in-76937ef23cafb7c6</t>
        </is>
      </c>
      <c r="B124" t="inlineStr">
        <is>
          <t>Sr. Applied Scientist, Amazon Ads</t>
        </is>
      </c>
      <c r="C124" t="inlineStr">
        <is>
          <t>Amazon.com</t>
        </is>
      </c>
      <c r="D124" t="inlineStr">
        <is>
          <t>indeed</t>
        </is>
      </c>
      <c r="E124">
        <f>HYPERLINK("https://www.indeed.com/viewjob?jk=76937ef23cafb7c6", "https://www.indeed.com/viewjob?jk=76937ef23cafb7c6")</f>
        <v/>
      </c>
      <c r="F124">
        <f>HYPERLINK("https://www.amazon.jobs/jobs/3139328/sr-applied-scientist-amazon-ads?cmpid=DA_INAD200785B", "https://www.amazon.jobs/jobs/3139328/sr-applied-scientist-amazon-ads?cmpid=DA_INAD200785B")</f>
        <v/>
      </c>
      <c r="G124" t="inlineStr">
        <is>
          <t>Boston, MA, US</t>
        </is>
      </c>
      <c r="H124" s="3" t="n">
        <v>45998</v>
      </c>
      <c r="I1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5">
      <c r="A125" t="inlineStr">
        <is>
          <t>in-9e99f68329b18aab</t>
        </is>
      </c>
      <c r="B125" t="inlineStr">
        <is>
          <t>Sr. Applied Scientist, Amazon Ads</t>
        </is>
      </c>
      <c r="C125" t="inlineStr">
        <is>
          <t>Amazon.com</t>
        </is>
      </c>
      <c r="D125" t="inlineStr">
        <is>
          <t>indeed</t>
        </is>
      </c>
      <c r="E125">
        <f>HYPERLINK("https://www.indeed.com/viewjob?jk=9e99f68329b18aab", "https://www.indeed.com/viewjob?jk=9e99f68329b18aab")</f>
        <v/>
      </c>
      <c r="F125">
        <f>HYPERLINK("https://www.amazon.jobs/jobs/3139328/sr-applied-scientist-amazon-ads?cmpid=DA_INAD200785B", "https://www.amazon.jobs/jobs/3139328/sr-applied-scientist-amazon-ads?cmpid=DA_INAD200785B")</f>
        <v/>
      </c>
      <c r="G125" t="inlineStr">
        <is>
          <t>Corvallis, OR, US</t>
        </is>
      </c>
      <c r="H125" s="3" t="n">
        <v>45998</v>
      </c>
      <c r="I1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6">
      <c r="A126" t="inlineStr">
        <is>
          <t>in-7b924a88947182b9</t>
        </is>
      </c>
      <c r="B126" t="inlineStr">
        <is>
          <t>Sr. Applied Scientist, SPB Advertiser Guidance</t>
        </is>
      </c>
      <c r="C126" t="inlineStr">
        <is>
          <t>Amazon.com</t>
        </is>
      </c>
      <c r="D126" t="inlineStr">
        <is>
          <t>indeed</t>
        </is>
      </c>
      <c r="E126">
        <f>HYPERLINK("https://www.indeed.com/viewjob?jk=7b924a88947182b9", "https://www.indeed.com/viewjob?jk=7b924a88947182b9")</f>
        <v/>
      </c>
      <c r="F126">
        <f>HYPERLINK("https://www.amazon.jobs/jobs/3106497/sr-applied-scientist-spb-advertiser-guidance?cmpid=DA_INAD200785B", "https://www.amazon.jobs/jobs/3106497/sr-applied-scientist-spb-advertiser-guidance?cmpid=DA_INAD200785B")</f>
        <v/>
      </c>
      <c r="G126" t="inlineStr">
        <is>
          <t>Seattle, WA, US</t>
        </is>
      </c>
      <c r="H126" s="3" t="n">
        <v>45939</v>
      </c>
      <c r="I12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in-88af63c17d753625</t>
        </is>
      </c>
      <c r="B127" t="inlineStr">
        <is>
          <t>Applied Scientist</t>
        </is>
      </c>
      <c r="C127" t="inlineStr">
        <is>
          <t>Amazon.com</t>
        </is>
      </c>
      <c r="D127" t="inlineStr">
        <is>
          <t>indeed</t>
        </is>
      </c>
      <c r="E127">
        <f>HYPERLINK("https://www.indeed.com/viewjob?jk=88af63c17d753625", "https://www.indeed.com/viewjob?jk=88af63c17d753625")</f>
        <v/>
      </c>
      <c r="F127">
        <f>HYPERLINK("https://www.amazon.jobs/jobs/3106501/applied-scientist?cmpid=DA_INAD200785B", "https://www.amazon.jobs/jobs/3106501/applied-scientist?cmpid=DA_INAD200785B")</f>
        <v/>
      </c>
      <c r="G127" t="inlineStr">
        <is>
          <t>Palo Alto, CA, US</t>
        </is>
      </c>
      <c r="H127" s="3" t="n">
        <v>45939</v>
      </c>
      <c r="I12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in-5531aa62975a3bde</t>
        </is>
      </c>
      <c r="B128" t="inlineStr">
        <is>
          <t>Applied Scientist</t>
        </is>
      </c>
      <c r="C128" t="inlineStr">
        <is>
          <t>Amazon.com</t>
        </is>
      </c>
      <c r="D128" t="inlineStr">
        <is>
          <t>indeed</t>
        </is>
      </c>
      <c r="E128">
        <f>HYPERLINK("https://www.indeed.com/viewjob?jk=5531aa62975a3bde", "https://www.indeed.com/viewjob?jk=5531aa62975a3bde")</f>
        <v/>
      </c>
      <c r="F128">
        <f>HYPERLINK("https://www.amazon.jobs/jobs/3106501/applied-scientist?cmpid=DA_INAD200785B", "https://www.amazon.jobs/jobs/3106501/applied-scientist?cmpid=DA_INAD200785B")</f>
        <v/>
      </c>
      <c r="G128" t="inlineStr">
        <is>
          <t>Seattle, WA, US</t>
        </is>
      </c>
      <c r="H128" s="3" t="n">
        <v>45939</v>
      </c>
      <c r="I12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in-769f17d365da9a87</t>
        </is>
      </c>
      <c r="B129" t="inlineStr">
        <is>
          <t>Sr. Applied Scientist, SPB Advertiser Guidance</t>
        </is>
      </c>
      <c r="C129" t="inlineStr">
        <is>
          <t>Amazon.com</t>
        </is>
      </c>
      <c r="D129" t="inlineStr">
        <is>
          <t>indeed</t>
        </is>
      </c>
      <c r="E129">
        <f>HYPERLINK("https://www.indeed.com/viewjob?jk=769f17d365da9a87", "https://www.indeed.com/viewjob?jk=769f17d365da9a87")</f>
        <v/>
      </c>
      <c r="F129">
        <f>HYPERLINK("https://www.amazon.jobs/jobs/3106497/sr-applied-scientist-spb-advertiser-guidance?cmpid=DA_INAD200785B", "https://www.amazon.jobs/jobs/3106497/sr-applied-scientist-spb-advertiser-guidance?cmpid=DA_INAD200785B")</f>
        <v/>
      </c>
      <c r="G129" t="inlineStr">
        <is>
          <t>New York, NY, US</t>
        </is>
      </c>
      <c r="H129" s="3" t="n">
        <v>45939</v>
      </c>
      <c r="I12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in-d2e62538dfb2c7b7</t>
        </is>
      </c>
      <c r="B130" t="inlineStr">
        <is>
          <t>Applied Scientist</t>
        </is>
      </c>
      <c r="C130" t="inlineStr">
        <is>
          <t>Amazon.com</t>
        </is>
      </c>
      <c r="D130" t="inlineStr">
        <is>
          <t>indeed</t>
        </is>
      </c>
      <c r="E130">
        <f>HYPERLINK("https://www.indeed.com/viewjob?jk=d2e62538dfb2c7b7", "https://www.indeed.com/viewjob?jk=d2e62538dfb2c7b7")</f>
        <v/>
      </c>
      <c r="F130">
        <f>HYPERLINK("https://www.amazon.jobs/jobs/3106501/applied-scientist?cmpid=DA_INAD200785B", "https://www.amazon.jobs/jobs/3106501/applied-scientist?cmpid=DA_INAD200785B")</f>
        <v/>
      </c>
      <c r="G130" t="inlineStr">
        <is>
          <t>New York, NY, US</t>
        </is>
      </c>
      <c r="H130" s="3" t="n">
        <v>45939</v>
      </c>
      <c r="I13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in-a2abee62c2e2a903</t>
        </is>
      </c>
      <c r="B131" t="inlineStr">
        <is>
          <t>Sr. Applied Scientist, SPB Advertiser Guidance</t>
        </is>
      </c>
      <c r="C131" t="inlineStr">
        <is>
          <t>Amazon.com</t>
        </is>
      </c>
      <c r="D131" t="inlineStr">
        <is>
          <t>indeed</t>
        </is>
      </c>
      <c r="E131">
        <f>HYPERLINK("https://www.indeed.com/viewjob?jk=a2abee62c2e2a903", "https://www.indeed.com/viewjob?jk=a2abee62c2e2a903")</f>
        <v/>
      </c>
      <c r="F131">
        <f>HYPERLINK("https://www.amazon.jobs/jobs/3106497/sr-applied-scientist-spb-advertiser-guidance?cmpid=DA_INAD200785B", "https://www.amazon.jobs/jobs/3106497/sr-applied-scientist-spb-advertiser-guidance?cmpid=DA_INAD200785B")</f>
        <v/>
      </c>
      <c r="G131" t="inlineStr">
        <is>
          <t>Palo Alto, CA, US</t>
        </is>
      </c>
      <c r="H131" s="3" t="n">
        <v>45939</v>
      </c>
      <c r="I13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in-39fa67a712a2700e</t>
        </is>
      </c>
      <c r="B132" t="inlineStr">
        <is>
          <t>Applied Scientist II, Prime Video - Personalization and Discovery Science, Personalization and Discovery Science</t>
        </is>
      </c>
      <c r="C132" t="inlineStr">
        <is>
          <t>Amazon.com</t>
        </is>
      </c>
      <c r="D132" t="inlineStr">
        <is>
          <t>indeed</t>
        </is>
      </c>
      <c r="E132">
        <f>HYPERLINK("https://www.indeed.com/viewjob?jk=39fa67a712a2700e", "https://www.indeed.com/viewjob?jk=39fa67a712a2700e")</f>
        <v/>
      </c>
      <c r="F13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2" t="inlineStr">
        <is>
          <t>New York, NY, US</t>
        </is>
      </c>
      <c r="H132" s="3" t="n">
        <v>45930</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in-607257dc8c570710</t>
        </is>
      </c>
      <c r="B133" t="inlineStr">
        <is>
          <t>Applied Scientist II, Prime Video - Personalization and Discovery Science, Personalization and Discovery Science</t>
        </is>
      </c>
      <c r="C133" t="inlineStr">
        <is>
          <t>Amazon.com</t>
        </is>
      </c>
      <c r="D133" t="inlineStr">
        <is>
          <t>indeed</t>
        </is>
      </c>
      <c r="E133">
        <f>HYPERLINK("https://www.indeed.com/viewjob?jk=607257dc8c570710", "https://www.indeed.com/viewjob?jk=607257dc8c570710")</f>
        <v/>
      </c>
      <c r="F13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3" t="inlineStr">
        <is>
          <t>Seattle, WA, US</t>
        </is>
      </c>
      <c r="H133" s="3" t="n">
        <v>45930</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in-a894cd562406ea1e</t>
        </is>
      </c>
      <c r="B134" t="inlineStr">
        <is>
          <t>Applied Scientist II, Prime Video - Personalization and Discovery Science, Personalization and Discovery Science</t>
        </is>
      </c>
      <c r="C134" t="inlineStr">
        <is>
          <t>Amazon.com</t>
        </is>
      </c>
      <c r="D134" t="inlineStr">
        <is>
          <t>indeed</t>
        </is>
      </c>
      <c r="E134">
        <f>HYPERLINK("https://www.indeed.com/viewjob?jk=a894cd562406ea1e", "https://www.indeed.com/viewjob?jk=a894cd562406ea1e")</f>
        <v/>
      </c>
      <c r="F13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4" t="inlineStr">
        <is>
          <t>Sunnyvale, CA, US</t>
        </is>
      </c>
      <c r="H134" s="3" t="n">
        <v>45930</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in-39d2060d982f85f0</t>
        </is>
      </c>
      <c r="B135" t="inlineStr">
        <is>
          <t>Applied Scientist II, Prime Video - Personalization and Discovery Science</t>
        </is>
      </c>
      <c r="C135" t="inlineStr">
        <is>
          <t>Amazon.com</t>
        </is>
      </c>
      <c r="D135" t="inlineStr">
        <is>
          <t>indeed</t>
        </is>
      </c>
      <c r="E135">
        <f>HYPERLINK("https://www.indeed.com/viewjob?jk=39d2060d982f85f0", "https://www.indeed.com/viewjob?jk=39d2060d982f85f0")</f>
        <v/>
      </c>
      <c r="F135">
        <f>HYPERLINK("https://www.amazon.jobs/jobs/3059253/applied-scientist-ii-prime-video--personalization-and-discovery-science?cmpid=DA_INAD200785B", "https://www.amazon.jobs/jobs/3059253/applied-scientist-ii-prime-video--personalization-and-discovery-science?cmpid=DA_INAD200785B")</f>
        <v/>
      </c>
      <c r="G135" t="inlineStr">
        <is>
          <t>New York, NY, US</t>
        </is>
      </c>
      <c r="H135" s="3" t="n">
        <v>45881</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in-6e3706a874290413</t>
        </is>
      </c>
      <c r="B136" t="inlineStr">
        <is>
          <t>Applied Scientist II, Prime Video - Personalization and Discovery Science</t>
        </is>
      </c>
      <c r="C136" t="inlineStr">
        <is>
          <t>Amazon.com</t>
        </is>
      </c>
      <c r="D136" t="inlineStr">
        <is>
          <t>indeed</t>
        </is>
      </c>
      <c r="E136">
        <f>HYPERLINK("https://www.indeed.com/viewjob?jk=6e3706a874290413", "https://www.indeed.com/viewjob?jk=6e3706a874290413")</f>
        <v/>
      </c>
      <c r="F136">
        <f>HYPERLINK("https://www.amazon.jobs/jobs/3059253/applied-scientist-ii-prime-video--personalization-and-discovery-science?cmpid=DA_INAD200785B", "https://www.amazon.jobs/jobs/3059253/applied-scientist-ii-prime-video--personalization-and-discovery-science?cmpid=DA_INAD200785B")</f>
        <v/>
      </c>
      <c r="G136" t="inlineStr">
        <is>
          <t>Sunnyvale, CA, US</t>
        </is>
      </c>
      <c r="H136" s="3" t="n">
        <v>45881</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in-71128c5d3660a57c</t>
        </is>
      </c>
      <c r="B137" t="inlineStr">
        <is>
          <t>Sr. Applied Scientist, Prime Video - Personalization and Discovery Science</t>
        </is>
      </c>
      <c r="C137" t="inlineStr">
        <is>
          <t>Amazon.com</t>
        </is>
      </c>
      <c r="D137" t="inlineStr">
        <is>
          <t>indeed</t>
        </is>
      </c>
      <c r="E137">
        <f>HYPERLINK("https://www.indeed.com/viewjob?jk=71128c5d3660a57c", "https://www.indeed.com/viewjob?jk=71128c5d3660a57c")</f>
        <v/>
      </c>
      <c r="F137">
        <f>HYPERLINK("https://www.amazon.jobs/jobs/3059256/sr-applied-scientist-prime-video--personalization-and-discovery-science?cmpid=DA_INAD200785B", "https://www.amazon.jobs/jobs/3059256/sr-applied-scientist-prime-video--personalization-and-discovery-science?cmpid=DA_INAD200785B")</f>
        <v/>
      </c>
      <c r="G137" t="inlineStr">
        <is>
          <t>Seattle, WA, US</t>
        </is>
      </c>
      <c r="H137" s="3" t="n">
        <v>45881</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in-cc01c8c6bc1ec4d6</t>
        </is>
      </c>
      <c r="B138" t="inlineStr">
        <is>
          <t>Sr. Applied Scientist, Prime Video - Personalization and Discovery Science</t>
        </is>
      </c>
      <c r="C138" t="inlineStr">
        <is>
          <t>Amazon.com</t>
        </is>
      </c>
      <c r="D138" t="inlineStr">
        <is>
          <t>indeed</t>
        </is>
      </c>
      <c r="E138">
        <f>HYPERLINK("https://www.indeed.com/viewjob?jk=cc01c8c6bc1ec4d6", "https://www.indeed.com/viewjob?jk=cc01c8c6bc1ec4d6")</f>
        <v/>
      </c>
      <c r="F138">
        <f>HYPERLINK("https://www.amazon.jobs/jobs/3059256/sr-applied-scientist-prime-video--personalization-and-discovery-science?cmpid=DA_INAD200785B", "https://www.amazon.jobs/jobs/3059256/sr-applied-scientist-prime-video--personalization-and-discovery-science?cmpid=DA_INAD200785B")</f>
        <v/>
      </c>
      <c r="G138" t="inlineStr">
        <is>
          <t>New York, NY, US</t>
        </is>
      </c>
      <c r="H138" s="3" t="n">
        <v>45881</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in-382a7ae521f0969f</t>
        </is>
      </c>
      <c r="B139" t="inlineStr">
        <is>
          <t>Sr. Applied Scientist, Prime Video - Personalization and Discovery Science</t>
        </is>
      </c>
      <c r="C139" t="inlineStr">
        <is>
          <t>Amazon.com</t>
        </is>
      </c>
      <c r="D139" t="inlineStr">
        <is>
          <t>indeed</t>
        </is>
      </c>
      <c r="E139">
        <f>HYPERLINK("https://www.indeed.com/viewjob?jk=382a7ae521f0969f", "https://www.indeed.com/viewjob?jk=382a7ae521f0969f")</f>
        <v/>
      </c>
      <c r="F139">
        <f>HYPERLINK("https://www.amazon.jobs/jobs/3059256/sr-applied-scientist-prime-video--personalization-and-discovery-science?cmpid=DA_INAD200785B", "https://www.amazon.jobs/jobs/3059256/sr-applied-scientist-prime-video--personalization-and-discovery-science?cmpid=DA_INAD200785B")</f>
        <v/>
      </c>
      <c r="G139" t="inlineStr">
        <is>
          <t>Sunnyvale, CA, US</t>
        </is>
      </c>
      <c r="H139" s="3" t="n">
        <v>45881</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in-79b2f2ce238cffa9</t>
        </is>
      </c>
      <c r="B140" t="inlineStr">
        <is>
          <t>Applied Scientist II, Prime Video - Personalization and Discovery Science</t>
        </is>
      </c>
      <c r="C140" t="inlineStr">
        <is>
          <t>Amazon.com</t>
        </is>
      </c>
      <c r="D140" t="inlineStr">
        <is>
          <t>indeed</t>
        </is>
      </c>
      <c r="E140">
        <f>HYPERLINK("https://www.indeed.com/viewjob?jk=79b2f2ce238cffa9", "https://www.indeed.com/viewjob?jk=79b2f2ce238cffa9")</f>
        <v/>
      </c>
      <c r="F140">
        <f>HYPERLINK("https://www.amazon.jobs/jobs/3059253/applied-scientist-ii-prime-video--personalization-and-discovery-science?cmpid=DA_INAD200785B", "https://www.amazon.jobs/jobs/3059253/applied-scientist-ii-prime-video--personalization-and-discovery-science?cmpid=DA_INAD200785B")</f>
        <v/>
      </c>
      <c r="G140" t="inlineStr">
        <is>
          <t>Seattle, WA, US</t>
        </is>
      </c>
      <c r="H140" s="3" t="n">
        <v>45881</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in-5260898085da0554</t>
        </is>
      </c>
      <c r="B141" t="inlineStr">
        <is>
          <t>Applied Scientist, Prime Video - Personalization and Discovery Science</t>
        </is>
      </c>
      <c r="C141" t="inlineStr">
        <is>
          <t>Amazon.com</t>
        </is>
      </c>
      <c r="D141" t="inlineStr">
        <is>
          <t>indeed</t>
        </is>
      </c>
      <c r="E141">
        <f>HYPERLINK("https://www.indeed.com/viewjob?jk=5260898085da0554", "https://www.indeed.com/viewjob?jk=5260898085da0554")</f>
        <v/>
      </c>
      <c r="F141">
        <f>HYPERLINK("https://www.amazon.jobs/jobs/3033050/applied-scientist-prime-video--personalization-and-discovery-science?cmpid=DA_INAD200785B", "https://www.amazon.jobs/jobs/3033050/applied-scientist-prime-video--personalization-and-discovery-science?cmpid=DA_INAD200785B")</f>
        <v/>
      </c>
      <c r="G141" t="inlineStr">
        <is>
          <t>Seattle, WA, US</t>
        </is>
      </c>
      <c r="H141" s="3" t="n">
        <v>45845</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in-9356a1f9f2034b4c</t>
        </is>
      </c>
      <c r="B142" t="inlineStr">
        <is>
          <t>Applied Scientist, Prime Video - Personalization and Discovery Science</t>
        </is>
      </c>
      <c r="C142" t="inlineStr">
        <is>
          <t>Amazon.com</t>
        </is>
      </c>
      <c r="D142" t="inlineStr">
        <is>
          <t>indeed</t>
        </is>
      </c>
      <c r="E142">
        <f>HYPERLINK("https://www.indeed.com/viewjob?jk=9356a1f9f2034b4c", "https://www.indeed.com/viewjob?jk=9356a1f9f2034b4c")</f>
        <v/>
      </c>
      <c r="F142">
        <f>HYPERLINK("https://www.amazon.jobs/jobs/3033050/applied-scientist-prime-video--personalization-and-discovery-science?cmpid=DA_INAD200785B", "https://www.amazon.jobs/jobs/3033050/applied-scientist-prime-video--personalization-and-discovery-science?cmpid=DA_INAD200785B")</f>
        <v/>
      </c>
      <c r="G142" t="inlineStr">
        <is>
          <t>New York, NY, US</t>
        </is>
      </c>
      <c r="H142" s="3" t="n">
        <v>45845</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in-ca8a8bc7b81f701b</t>
        </is>
      </c>
      <c r="B143" t="inlineStr">
        <is>
          <t>Applied Scientist, Prime Video - Personalization and Discovery Science</t>
        </is>
      </c>
      <c r="C143" t="inlineStr">
        <is>
          <t>Amazon.com</t>
        </is>
      </c>
      <c r="D143" t="inlineStr">
        <is>
          <t>indeed</t>
        </is>
      </c>
      <c r="E143">
        <f>HYPERLINK("https://www.indeed.com/viewjob?jk=ca8a8bc7b81f701b", "https://www.indeed.com/viewjob?jk=ca8a8bc7b81f701b")</f>
        <v/>
      </c>
      <c r="F143">
        <f>HYPERLINK("https://www.amazon.jobs/jobs/3033050/applied-scientist-prime-video--personalization-and-discovery-science?cmpid=DA_INAD200785B", "https://www.amazon.jobs/jobs/3033050/applied-scientist-prime-video--personalization-and-discovery-science?cmpid=DA_INAD200785B")</f>
        <v/>
      </c>
      <c r="G143" t="inlineStr">
        <is>
          <t>Sunnyvale, CA, US</t>
        </is>
      </c>
      <c r="H143" s="3" t="n">
        <v>45845</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in-e75de473e558eaa9</t>
        </is>
      </c>
      <c r="B144" t="inlineStr">
        <is>
          <t>Senior Data Scientist (NYC)</t>
        </is>
      </c>
      <c r="C144" t="inlineStr">
        <is>
          <t>TWG Global AI</t>
        </is>
      </c>
      <c r="D144" t="inlineStr">
        <is>
          <t>indeed</t>
        </is>
      </c>
      <c r="E144">
        <f>HYPERLINK("https://www.indeed.com/viewjob?jk=e75de473e558eaa9", "https://www.indeed.com/viewjob?jk=e75de473e558eaa9")</f>
        <v/>
      </c>
      <c r="F144">
        <f>HYPERLINK("https://apply.workable.com/j/778715C072", "https://apply.workable.com/j/778715C072")</f>
        <v/>
      </c>
      <c r="G144" t="inlineStr">
        <is>
          <t>New York, NY, US</t>
        </is>
      </c>
      <c r="H144" s="3" t="n">
        <v>46060</v>
      </c>
      <c r="I144"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Data Scientist, you'll work alongside experienced data scientists and ML engineers to design, develop, and apply data\-driven models and analyses that deliver measurable business value. Reporting to the Executive Director of AI Science, you'll gain hands\-on experience working on impactful projects across the enterprise, applying advanced analytics and machine learning to areas such as financial services, insurance, and operations optimization. This is a high\-growth opportunity for someone with early industry experience (or strong academic grounding) in data science and applied statistics, eager to deepen their expertise and grow within a dynamic AI team working at the frontier of applied analytics and machine learning.
**Key Responsibilities:**
* Contribute to the development of predictive and statistical models addressing business\-critical challenges across diverse domains.
* Conduct exploratory data analysis, feature engineering, and hypothesis testing to uncover patterns and support model development.
* Collaborate with senior data scientists and ML engineers to refine models, improve accuracy, and enhance interpretability.
* Support the design and evaluation of experiments and A/B tests, ensuring rigorous measurement of impact.
* Clean, transform, and prepare data from diverse sources, ensuring high\-quality datasets for analysis.
* Build dashboards, reports, and visualizations that communicate insights clearly to technical and non\-technical stakeholders.
* Stay current with emerging data science methods and tools (e.g., generative AI, LLMs, causal inference) and apply them through prototyping.
* Contribute to the team's knowledge base by documenting workflows and sharing best practices.
**Requirements**
**Qualifications:**
* 5\+ years of experience applying data science or advanced analytics in a professional setting.
* Solid understanding of statistical modeling, machine learning fundamentals, and experimental design.
* Experience with predictive modeling techniques such as regression, classification, clustering, or time\-series forecasting.
* Proficiency in Python and experience with data science libraries (e.g., Pandas, NumPy, scikit\-learn, XGBoost, PyTorch, TensorFlow).
* Strong experience with SQL and data manipulation across large datasets.
* Familiarity with data visualization tools (e.g., Matplotlib, Seaborn, Plotly, Tableau, or Power BI). Exposure to modern collaborative data platforms (e.g., Databricks, Snowflake, Palantir Foundry) is a plus.
* Excellent problem\-solving skills, eagerness to learn, and ability to work in fast\-paced, evolving environments.
* Strong written and verbal communication skills, with the ability to translate technical findings into business recommendations.
* Bachelor's or Master's degree in Data Science, Statistics, Computer Science, Economics, or another quantitative discipline.
**Preferred experience:**
* Hands\-on experience with Palantir platforms (Foundry, AIP, Ontology), including developing analytical workflows and deploying insights within enterprise environments.
* PhD in Data Science, Statistics, Computer Science, or a related quantitative field. Publications in top data science / ML conferences or journals (e.g., NeurIPS, ICML, KDD, ACL, or similar).
* Open\-source contributions to the data science or ML community (libraries, notebooks, packages, or tutorials). Experience presenting research or applied work at meetups, workshops, or industry conferences.
* Familiarity with vector databases (FAISS, Pinecone, Milvus, Weaviate) and LLM application frameworks.
* Cloud or AI/ML certifications (e.g., AWS Machine Learning Specialty, Google Professional Data Engineer, Azure AI Engineer) are a plus.
**Benefits**
* Work at the forefront of AI/ML innovation in life insurance, annuities, and financial services.
* Drive AI transformation for some of the most sophisticated financial entities.
Competitive compensation, benefits, future equity options, and leadership opportunities.  
* 
**Position Location**
This is an onsite position based in Manhattan in New York City.
**Compensation**
The base salary for this position is $190,000\-$200,000 USD.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45">
      <c r="A145" t="inlineStr">
        <is>
          <t>in-d4ba992bbf067573</t>
        </is>
      </c>
      <c r="B145" t="inlineStr">
        <is>
          <t>Applied Scientist, Safety ML</t>
        </is>
      </c>
      <c r="C145" t="inlineStr">
        <is>
          <t>Amazon.com</t>
        </is>
      </c>
      <c r="D145" t="inlineStr">
        <is>
          <t>indeed</t>
        </is>
      </c>
      <c r="E145">
        <f>HYPERLINK("https://www.indeed.com/viewjob?jk=d4ba992bbf067573", "https://www.indeed.com/viewjob?jk=d4ba992bbf067573")</f>
        <v/>
      </c>
      <c r="F145">
        <f>HYPERLINK("https://www.amazon.jobs/jobs/3161224/applied-scientist-safety-ml?cmpid=DA_INAD200785B", "https://www.amazon.jobs/jobs/3161224/applied-scientist-safety-ml?cmpid=DA_INAD200785B")</f>
        <v/>
      </c>
      <c r="G145" t="inlineStr">
        <is>
          <t>Seattle, WA, US</t>
        </is>
      </c>
      <c r="H145" s="3" t="n">
        <v>46037</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6">
      <c r="A146" t="inlineStr">
        <is>
          <t>in-e384d5a6ef117164</t>
        </is>
      </c>
      <c r="B146" t="inlineStr">
        <is>
          <t>Applied Scientist, Safety ML</t>
        </is>
      </c>
      <c r="C146" t="inlineStr">
        <is>
          <t>Amazon.com</t>
        </is>
      </c>
      <c r="D146" t="inlineStr">
        <is>
          <t>indeed</t>
        </is>
      </c>
      <c r="E146">
        <f>HYPERLINK("https://www.indeed.com/viewjob?jk=e384d5a6ef117164", "https://www.indeed.com/viewjob?jk=e384d5a6ef117164")</f>
        <v/>
      </c>
      <c r="F146">
        <f>HYPERLINK("https://www.amazon.jobs/jobs/3161224/applied-scientist-safety-ml?cmpid=DA_INAD200785B", "https://www.amazon.jobs/jobs/3161224/applied-scientist-safety-ml?cmpid=DA_INAD200785B")</f>
        <v/>
      </c>
      <c r="G146" t="inlineStr">
        <is>
          <t>San Francisco, CA, US</t>
        </is>
      </c>
      <c r="H146" s="3" t="n">
        <v>46037</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7">
      <c r="A147" t="inlineStr">
        <is>
          <t>in-53b9186191aaf4b3</t>
        </is>
      </c>
      <c r="B147" t="inlineStr">
        <is>
          <t>Applied Scientist, LLM Code Agents, Kiro Science</t>
        </is>
      </c>
      <c r="C147" t="inlineStr">
        <is>
          <t>Amazon.com</t>
        </is>
      </c>
      <c r="D147" t="inlineStr">
        <is>
          <t>indeed</t>
        </is>
      </c>
      <c r="E147">
        <f>HYPERLINK("https://www.indeed.com/viewjob?jk=53b9186191aaf4b3", "https://www.indeed.com/viewjob?jk=53b9186191aaf4b3")</f>
        <v/>
      </c>
      <c r="F147">
        <f>HYPERLINK("https://www.amazon.jobs/jobs/3161363/applied-scientist-llm-code-agents-kiro-science?cmpid=DA_INAD200785B", "https://www.amazon.jobs/jobs/3161363/applied-scientist-llm-code-agents-kiro-science?cmpid=DA_INAD200785B")</f>
        <v/>
      </c>
      <c r="G147" t="inlineStr">
        <is>
          <t>Santa Clara, CA, US</t>
        </is>
      </c>
      <c r="H147" s="3" t="n">
        <v>46035</v>
      </c>
      <c r="I14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8">
      <c r="A148" t="inlineStr">
        <is>
          <t>in-a1966547f6336a5d</t>
        </is>
      </c>
      <c r="B148" t="inlineStr">
        <is>
          <t>Applied Scientist, LLM Code Agents, Kiro Science</t>
        </is>
      </c>
      <c r="C148" t="inlineStr">
        <is>
          <t>Amazon.com</t>
        </is>
      </c>
      <c r="D148" t="inlineStr">
        <is>
          <t>indeed</t>
        </is>
      </c>
      <c r="E148">
        <f>HYPERLINK("https://www.indeed.com/viewjob?jk=a1966547f6336a5d", "https://www.indeed.com/viewjob?jk=a1966547f6336a5d")</f>
        <v/>
      </c>
      <c r="F148">
        <f>HYPERLINK("https://www.amazon.jobs/jobs/3161363/applied-scientist-llm-code-agents-kiro-science?cmpid=DA_INAD200785B", "https://www.amazon.jobs/jobs/3161363/applied-scientist-llm-code-agents-kiro-science?cmpid=DA_INAD200785B")</f>
        <v/>
      </c>
      <c r="G148" t="inlineStr">
        <is>
          <t>Seattle, WA, US</t>
        </is>
      </c>
      <c r="H148" s="3" t="n">
        <v>46035</v>
      </c>
      <c r="I14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9">
      <c r="A149" t="inlineStr">
        <is>
          <t>in-48e6df0835f5863f</t>
        </is>
      </c>
      <c r="B149" t="inlineStr">
        <is>
          <t>Senior Data Scientist, Amazon Stores Finance Science, Amazon Stores Finance Science</t>
        </is>
      </c>
      <c r="C149" t="inlineStr">
        <is>
          <t>Amazon.com</t>
        </is>
      </c>
      <c r="D149" t="inlineStr">
        <is>
          <t>indeed</t>
        </is>
      </c>
      <c r="E149">
        <f>HYPERLINK("https://www.indeed.com/viewjob?jk=48e6df0835f5863f", "https://www.indeed.com/viewjob?jk=48e6df0835f5863f")</f>
        <v/>
      </c>
      <c r="F149">
        <f>HYPERLINK("https://www.amazon.jobs/jobs/3161846/senior-data-scientist-amazon-stores-finance-science-amazon-stores-finance-science?cmpid=DA_INAD200785B", "https://www.amazon.jobs/jobs/3161846/senior-data-scientist-amazon-stores-finance-science-amazon-stores-finance-science?cmpid=DA_INAD200785B")</f>
        <v/>
      </c>
      <c r="G149" t="inlineStr">
        <is>
          <t>Sunnyvale, CA, US</t>
        </is>
      </c>
      <c r="H149" s="3" t="n">
        <v>46034</v>
      </c>
      <c r="I14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0">
      <c r="A150" t="inlineStr">
        <is>
          <t>in-3097951207cde637</t>
        </is>
      </c>
      <c r="B150" t="inlineStr">
        <is>
          <t>Senior Data Scientist, Amazon Stores Finance Science, Amazon Stores Finance Science</t>
        </is>
      </c>
      <c r="C150" t="inlineStr">
        <is>
          <t>Amazon.com</t>
        </is>
      </c>
      <c r="D150" t="inlineStr">
        <is>
          <t>indeed</t>
        </is>
      </c>
      <c r="E150">
        <f>HYPERLINK("https://www.indeed.com/viewjob?jk=3097951207cde637", "https://www.indeed.com/viewjob?jk=3097951207cde637")</f>
        <v/>
      </c>
      <c r="F150">
        <f>HYPERLINK("https://www.amazon.jobs/jobs/3161846/senior-data-scientist-amazon-stores-finance-science-amazon-stores-finance-science?cmpid=DA_INAD200785B", "https://www.amazon.jobs/jobs/3161846/senior-data-scientist-amazon-stores-finance-science-amazon-stores-finance-science?cmpid=DA_INAD200785B")</f>
        <v/>
      </c>
      <c r="G150" t="inlineStr">
        <is>
          <t>Bellevue, WA, US</t>
        </is>
      </c>
      <c r="H150" s="3" t="n">
        <v>46034</v>
      </c>
      <c r="I150"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1">
      <c r="A151" t="inlineStr">
        <is>
          <t>in-6d21b37357c8f632</t>
        </is>
      </c>
      <c r="B151" t="inlineStr">
        <is>
          <t>Senior Data Scientist, Amazon Stores Finance Science, Amazon Stores Finance Science</t>
        </is>
      </c>
      <c r="C151" t="inlineStr">
        <is>
          <t>Amazon.com</t>
        </is>
      </c>
      <c r="D151" t="inlineStr">
        <is>
          <t>indeed</t>
        </is>
      </c>
      <c r="E151">
        <f>HYPERLINK("https://www.indeed.com/viewjob?jk=6d21b37357c8f632", "https://www.indeed.com/viewjob?jk=6d21b37357c8f632")</f>
        <v/>
      </c>
      <c r="F151">
        <f>HYPERLINK("https://www.amazon.jobs/jobs/3161846/senior-data-scientist-amazon-stores-finance-science-amazon-stores-finance-science?cmpid=DA_INAD200785B", "https://www.amazon.jobs/jobs/3161846/senior-data-scientist-amazon-stores-finance-science-amazon-stores-finance-science?cmpid=DA_INAD200785B")</f>
        <v/>
      </c>
      <c r="G151" t="inlineStr">
        <is>
          <t>Seattle, WA, US</t>
        </is>
      </c>
      <c r="H151" s="3" t="n">
        <v>46034</v>
      </c>
      <c r="I151"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2">
      <c r="A152" t="inlineStr">
        <is>
          <t>in-f898fce87ed203ab</t>
        </is>
      </c>
      <c r="B152" t="inlineStr">
        <is>
          <t>Sr Applied Scientist, AWS Proactive Security</t>
        </is>
      </c>
      <c r="C152" t="inlineStr">
        <is>
          <t>Amazon.com</t>
        </is>
      </c>
      <c r="D152" t="inlineStr">
        <is>
          <t>indeed</t>
        </is>
      </c>
      <c r="E152">
        <f>HYPERLINK("https://www.indeed.com/viewjob?jk=f898fce87ed203ab", "https://www.indeed.com/viewjob?jk=f898fce87ed203ab")</f>
        <v/>
      </c>
      <c r="F152">
        <f>HYPERLINK("https://www.amazon.jobs/jobs/3164664/sr-applied-scientist-aws-proactive-security?cmpid=DA_INAD200785B", "https://www.amazon.jobs/jobs/3164664/sr-applied-scientist-aws-proactive-security?cmpid=DA_INAD200785B")</f>
        <v/>
      </c>
      <c r="G152" t="inlineStr">
        <is>
          <t>Herndon, VA, US</t>
        </is>
      </c>
      <c r="H152" s="3" t="n">
        <v>46030</v>
      </c>
      <c r="I15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3">
      <c r="A153" t="inlineStr">
        <is>
          <t>in-31480ffe54d5bcae</t>
        </is>
      </c>
      <c r="B153" t="inlineStr">
        <is>
          <t>Sr Applied Scientist, AWS Proactive Security</t>
        </is>
      </c>
      <c r="C153" t="inlineStr">
        <is>
          <t>Amazon.com</t>
        </is>
      </c>
      <c r="D153" t="inlineStr">
        <is>
          <t>indeed</t>
        </is>
      </c>
      <c r="E153">
        <f>HYPERLINK("https://www.indeed.com/viewjob?jk=31480ffe54d5bcae", "https://www.indeed.com/viewjob?jk=31480ffe54d5bcae")</f>
        <v/>
      </c>
      <c r="F153">
        <f>HYPERLINK("https://www.amazon.jobs/jobs/3164664/sr-applied-scientist-aws-proactive-security?cmpid=DA_INAD200785B", "https://www.amazon.jobs/jobs/3164664/sr-applied-scientist-aws-proactive-security?cmpid=DA_INAD200785B")</f>
        <v/>
      </c>
      <c r="G153" t="inlineStr">
        <is>
          <t>Sunnyvale, CA, US</t>
        </is>
      </c>
      <c r="H153" s="3" t="n">
        <v>46030</v>
      </c>
      <c r="I15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4">
      <c r="A154" t="inlineStr">
        <is>
          <t>in-70ab4f0a3df7ee63</t>
        </is>
      </c>
      <c r="B154" t="inlineStr">
        <is>
          <t>Sr Applied Scientist, AWS Proactive Security</t>
        </is>
      </c>
      <c r="C154" t="inlineStr">
        <is>
          <t>Amazon.com</t>
        </is>
      </c>
      <c r="D154" t="inlineStr">
        <is>
          <t>indeed</t>
        </is>
      </c>
      <c r="E154">
        <f>HYPERLINK("https://www.indeed.com/viewjob?jk=70ab4f0a3df7ee63", "https://www.indeed.com/viewjob?jk=70ab4f0a3df7ee63")</f>
        <v/>
      </c>
      <c r="F154">
        <f>HYPERLINK("https://www.amazon.jobs/jobs/3164664/sr-applied-scientist-aws-proactive-security?cmpid=DA_INAD200785B", "https://www.amazon.jobs/jobs/3164664/sr-applied-scientist-aws-proactive-security?cmpid=DA_INAD200785B")</f>
        <v/>
      </c>
      <c r="G154" t="inlineStr">
        <is>
          <t>Arlington, VA, US</t>
        </is>
      </c>
      <c r="H154" s="3" t="n">
        <v>46030</v>
      </c>
      <c r="I15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5">
      <c r="A155" t="inlineStr">
        <is>
          <t>in-101d3ab66f882e09</t>
        </is>
      </c>
      <c r="B155" t="inlineStr">
        <is>
          <t>Applied Scientist, Last Mile Delivery Automation</t>
        </is>
      </c>
      <c r="C155" t="inlineStr">
        <is>
          <t>Amazon.com</t>
        </is>
      </c>
      <c r="D155" t="inlineStr">
        <is>
          <t>indeed</t>
        </is>
      </c>
      <c r="E155">
        <f>HYPERLINK("https://www.indeed.com/viewjob?jk=101d3ab66f882e09", "https://www.indeed.com/viewjob?jk=101d3ab66f882e09")</f>
        <v/>
      </c>
      <c r="F155">
        <f>HYPERLINK("https://www.amazon.jobs/jobs/3155354/applied-scientist-last-mile-delivery-automation?cmpid=DA_INAD200785B", "https://www.amazon.jobs/jobs/3155354/applied-scientist-last-mile-delivery-automation?cmpid=DA_INAD200785B")</f>
        <v/>
      </c>
      <c r="G155" t="inlineStr">
        <is>
          <t>Bellevue, WA, US</t>
        </is>
      </c>
      <c r="H155" s="3" t="n">
        <v>46026</v>
      </c>
      <c r="I15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in-3ba91806a799f5c2</t>
        </is>
      </c>
      <c r="B156" t="inlineStr">
        <is>
          <t>Applied Scientist, Last Mile Delivery Automation</t>
        </is>
      </c>
      <c r="C156" t="inlineStr">
        <is>
          <t>Amazon.com</t>
        </is>
      </c>
      <c r="D156" t="inlineStr">
        <is>
          <t>indeed</t>
        </is>
      </c>
      <c r="E156">
        <f>HYPERLINK("https://www.indeed.com/viewjob?jk=3ba91806a799f5c2", "https://www.indeed.com/viewjob?jk=3ba91806a799f5c2")</f>
        <v/>
      </c>
      <c r="F156">
        <f>HYPERLINK("https://www.amazon.jobs/jobs/3155354/applied-scientist-last-mile-delivery-automation?cmpid=DA_INAD200785B", "https://www.amazon.jobs/jobs/3155354/applied-scientist-last-mile-delivery-automation?cmpid=DA_INAD200785B")</f>
        <v/>
      </c>
      <c r="G156" t="inlineStr">
        <is>
          <t>Santa Clara, CA, US</t>
        </is>
      </c>
      <c r="H156" s="3" t="n">
        <v>46026</v>
      </c>
      <c r="I15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in-576f9650addcfa10</t>
        </is>
      </c>
      <c r="B157" t="inlineStr">
        <is>
          <t>Senior Applied Scientist, Distributed SQL</t>
        </is>
      </c>
      <c r="C157" t="inlineStr">
        <is>
          <t>Amazon Web Services</t>
        </is>
      </c>
      <c r="D157" t="inlineStr">
        <is>
          <t>indeed</t>
        </is>
      </c>
      <c r="E157">
        <f>HYPERLINK("https://www.indeed.com/viewjob?jk=576f9650addcfa10", "https://www.indeed.com/viewjob?jk=576f9650addcfa10")</f>
        <v/>
      </c>
      <c r="F157">
        <f>HYPERLINK("https://www.amazon.jobs/jobs/3148444/senior-applied-scientist-distributed-sql?cmpid=DA_INAD200785B", "https://www.amazon.jobs/jobs/3148444/senior-applied-scientist-distributed-sql?cmpid=DA_INAD200785B")</f>
        <v/>
      </c>
      <c r="G157" t="inlineStr">
        <is>
          <t>East Palo Alto, CA, US</t>
        </is>
      </c>
      <c r="H157" s="3" t="n">
        <v>46012</v>
      </c>
      <c r="I15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8">
      <c r="A158" t="inlineStr">
        <is>
          <t>in-0b4284ca1ca20e7e</t>
        </is>
      </c>
      <c r="B158" t="inlineStr">
        <is>
          <t>Senior Applied Scientist, Distributed SQL</t>
        </is>
      </c>
      <c r="C158" t="inlineStr">
        <is>
          <t>Amazon Web Services</t>
        </is>
      </c>
      <c r="D158" t="inlineStr">
        <is>
          <t>indeed</t>
        </is>
      </c>
      <c r="E158">
        <f>HYPERLINK("https://www.indeed.com/viewjob?jk=0b4284ca1ca20e7e", "https://www.indeed.com/viewjob?jk=0b4284ca1ca20e7e")</f>
        <v/>
      </c>
      <c r="F158">
        <f>HYPERLINK("https://www.amazon.jobs/jobs/3148444/senior-applied-scientist-distributed-sql?cmpid=DA_INAD200785B", "https://www.amazon.jobs/jobs/3148444/senior-applied-scientist-distributed-sql?cmpid=DA_INAD200785B")</f>
        <v/>
      </c>
      <c r="G158" t="inlineStr">
        <is>
          <t>Seattle, WA, US</t>
        </is>
      </c>
      <c r="H158" s="3" t="n">
        <v>46012</v>
      </c>
      <c r="I15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9">
      <c r="A159" t="inlineStr">
        <is>
          <t>in-d7e9b1ae5fee13c3</t>
        </is>
      </c>
      <c r="B159" t="inlineStr">
        <is>
          <t>Applied Scientist, GenAI Evaluation Media</t>
        </is>
      </c>
      <c r="C159" t="inlineStr">
        <is>
          <t>Amazon.com</t>
        </is>
      </c>
      <c r="D159" t="inlineStr">
        <is>
          <t>indeed</t>
        </is>
      </c>
      <c r="E159">
        <f>HYPERLINK("https://www.indeed.com/viewjob?jk=d7e9b1ae5fee13c3", "https://www.indeed.com/viewjob?jk=d7e9b1ae5fee13c3")</f>
        <v/>
      </c>
      <c r="F159">
        <f>HYPERLINK("https://www.amazon.jobs/jobs/3159215/applied-scientist-genai-evaluation-media?cmpid=DA_INAD200785B", "https://www.amazon.jobs/jobs/3159215/applied-scientist-genai-evaluation-media?cmpid=DA_INAD200785B")</f>
        <v/>
      </c>
      <c r="G159" t="inlineStr">
        <is>
          <t>Sunnyvale, CA, US</t>
        </is>
      </c>
      <c r="H159" s="3" t="n">
        <v>46006</v>
      </c>
      <c r="I159"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0">
      <c r="A160" t="inlineStr">
        <is>
          <t>in-3e5316620e671a61</t>
        </is>
      </c>
      <c r="B160" t="inlineStr">
        <is>
          <t>Applied Scientist, GenAI Evaluation Media</t>
        </is>
      </c>
      <c r="C160" t="inlineStr">
        <is>
          <t>Amazon.com</t>
        </is>
      </c>
      <c r="D160" t="inlineStr">
        <is>
          <t>indeed</t>
        </is>
      </c>
      <c r="E160">
        <f>HYPERLINK("https://www.indeed.com/viewjob?jk=3e5316620e671a61", "https://www.indeed.com/viewjob?jk=3e5316620e671a61")</f>
        <v/>
      </c>
      <c r="F160">
        <f>HYPERLINK("https://www.amazon.jobs/jobs/3159215/applied-scientist-genai-evaluation-media?cmpid=DA_INAD200785B", "https://www.amazon.jobs/jobs/3159215/applied-scientist-genai-evaluation-media?cmpid=DA_INAD200785B")</f>
        <v/>
      </c>
      <c r="G160" t="inlineStr">
        <is>
          <t>New York, NY, US</t>
        </is>
      </c>
      <c r="H160" s="3" t="n">
        <v>46006</v>
      </c>
      <c r="I160"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1">
      <c r="A161" t="inlineStr">
        <is>
          <t>in-98b3eb6eef0a8352</t>
        </is>
      </c>
      <c r="B161" t="inlineStr">
        <is>
          <t>Applied Scientist, GenAI Evaluation Media</t>
        </is>
      </c>
      <c r="C161" t="inlineStr">
        <is>
          <t>Amazon.com</t>
        </is>
      </c>
      <c r="D161" t="inlineStr">
        <is>
          <t>indeed</t>
        </is>
      </c>
      <c r="E161">
        <f>HYPERLINK("https://www.indeed.com/viewjob?jk=98b3eb6eef0a8352", "https://www.indeed.com/viewjob?jk=98b3eb6eef0a8352")</f>
        <v/>
      </c>
      <c r="F161">
        <f>HYPERLINK("https://www.amazon.jobs/jobs/3159215/applied-scientist-genai-evaluation-media?cmpid=DA_INAD200785B", "https://www.amazon.jobs/jobs/3159215/applied-scientist-genai-evaluation-media?cmpid=DA_INAD200785B")</f>
        <v/>
      </c>
      <c r="G161" t="inlineStr">
        <is>
          <t>Seattle, WA, US</t>
        </is>
      </c>
      <c r="H161" s="3" t="n">
        <v>46006</v>
      </c>
      <c r="I161"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2">
      <c r="A162" t="inlineStr">
        <is>
          <t>in-c7a2bf33f54526a8</t>
        </is>
      </c>
      <c r="B162" t="inlineStr">
        <is>
          <t>Principal Applied Scientist, Kiro Science</t>
        </is>
      </c>
      <c r="C162" t="inlineStr">
        <is>
          <t>Amazon Web Services</t>
        </is>
      </c>
      <c r="D162" t="inlineStr">
        <is>
          <t>indeed</t>
        </is>
      </c>
      <c r="E162">
        <f>HYPERLINK("https://www.indeed.com/viewjob?jk=c7a2bf33f54526a8", "https://www.indeed.com/viewjob?jk=c7a2bf33f54526a8")</f>
        <v/>
      </c>
      <c r="F162">
        <f>HYPERLINK("https://www.amazon.jobs/jobs/3161064/principal-applied-scientist-kiro-science?cmpid=DA_INAD200785B", "https://www.amazon.jobs/jobs/3161064/principal-applied-scientist-kiro-science?cmpid=DA_INAD200785B")</f>
        <v/>
      </c>
      <c r="G162" t="inlineStr">
        <is>
          <t>New York, NY, US</t>
        </is>
      </c>
      <c r="H162" s="3" t="n">
        <v>45999</v>
      </c>
      <c r="I16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3">
      <c r="A163" t="inlineStr">
        <is>
          <t>in-cae7b62edde3ed2c</t>
        </is>
      </c>
      <c r="B163" t="inlineStr">
        <is>
          <t>Principal Applied Scientist, Kiro Science</t>
        </is>
      </c>
      <c r="C163" t="inlineStr">
        <is>
          <t>Amazon Web Services</t>
        </is>
      </c>
      <c r="D163" t="inlineStr">
        <is>
          <t>indeed</t>
        </is>
      </c>
      <c r="E163">
        <f>HYPERLINK("https://www.indeed.com/viewjob?jk=cae7b62edde3ed2c", "https://www.indeed.com/viewjob?jk=cae7b62edde3ed2c")</f>
        <v/>
      </c>
      <c r="F163">
        <f>HYPERLINK("https://www.amazon.jobs/jobs/3161064/principal-applied-scientist-kiro-science?cmpid=DA_INAD200785B", "https://www.amazon.jobs/jobs/3161064/principal-applied-scientist-kiro-science?cmpid=DA_INAD200785B")</f>
        <v/>
      </c>
      <c r="G163" t="inlineStr">
        <is>
          <t>Santa Clara, CA, US</t>
        </is>
      </c>
      <c r="H163" s="3" t="n">
        <v>45999</v>
      </c>
      <c r="I16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4">
      <c r="A164" t="inlineStr">
        <is>
          <t>in-60662ff16c89a711</t>
        </is>
      </c>
      <c r="B164" t="inlineStr">
        <is>
          <t>Principal Applied Scientist, Sponsored Products and Brands</t>
        </is>
      </c>
      <c r="C164" t="inlineStr">
        <is>
          <t>Amazon.com</t>
        </is>
      </c>
      <c r="D164" t="inlineStr">
        <is>
          <t>indeed</t>
        </is>
      </c>
      <c r="E164">
        <f>HYPERLINK("https://www.indeed.com/viewjob?jk=60662ff16c89a711", "https://www.indeed.com/viewjob?jk=60662ff16c89a711")</f>
        <v/>
      </c>
      <c r="F164">
        <f>HYPERLINK("https://www.amazon.jobs/jobs/3130855/principal-applied-scientist-sponsored-products-and-brands?cmpid=DA_INAD200785B", "https://www.amazon.jobs/jobs/3130855/principal-applied-scientist-sponsored-products-and-brands?cmpid=DA_INAD200785B")</f>
        <v/>
      </c>
      <c r="G164" t="inlineStr">
        <is>
          <t>Seattle, WA, US</t>
        </is>
      </c>
      <c r="H164" s="3" t="n">
        <v>45979</v>
      </c>
      <c r="I1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in-09494da86d447cfe</t>
        </is>
      </c>
      <c r="B165" t="inlineStr">
        <is>
          <t>Principal Applied Scientist, Sponsored Products and Brands</t>
        </is>
      </c>
      <c r="C165" t="inlineStr">
        <is>
          <t>Amazon.com</t>
        </is>
      </c>
      <c r="D165" t="inlineStr">
        <is>
          <t>indeed</t>
        </is>
      </c>
      <c r="E165">
        <f>HYPERLINK("https://www.indeed.com/viewjob?jk=09494da86d447cfe", "https://www.indeed.com/viewjob?jk=09494da86d447cfe")</f>
        <v/>
      </c>
      <c r="F165">
        <f>HYPERLINK("https://www.amazon.jobs/jobs/3130855/principal-applied-scientist-sponsored-products-and-brands?cmpid=DA_INAD200785B", "https://www.amazon.jobs/jobs/3130855/principal-applied-scientist-sponsored-products-and-brands?cmpid=DA_INAD200785B")</f>
        <v/>
      </c>
      <c r="G165" t="inlineStr">
        <is>
          <t>New York, NY, US</t>
        </is>
      </c>
      <c r="H165" s="3" t="n">
        <v>45979</v>
      </c>
      <c r="I16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in-b895cbcc2e9c7ebc</t>
        </is>
      </c>
      <c r="B166" t="inlineStr">
        <is>
          <t>Applied Scientist, Personalization, DTx Science</t>
        </is>
      </c>
      <c r="C166" t="inlineStr">
        <is>
          <t>Amazon.com</t>
        </is>
      </c>
      <c r="D166" t="inlineStr">
        <is>
          <t>indeed</t>
        </is>
      </c>
      <c r="E166">
        <f>HYPERLINK("https://www.indeed.com/viewjob?jk=b895cbcc2e9c7ebc", "https://www.indeed.com/viewjob?jk=b895cbcc2e9c7ebc")</f>
        <v/>
      </c>
      <c r="F166">
        <f>HYPERLINK("https://www.amazon.jobs/jobs/3136853/applied-scientist-personalization-dtx-science?cmpid=DA_INAD200785B", "https://www.amazon.jobs/jobs/3136853/applied-scientist-personalization-dtx-science?cmpid=DA_INAD200785B")</f>
        <v/>
      </c>
      <c r="G166" t="inlineStr">
        <is>
          <t>New York, NY, US</t>
        </is>
      </c>
      <c r="H166" s="3" t="n">
        <v>45979</v>
      </c>
      <c r="I16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7">
      <c r="A167" t="inlineStr">
        <is>
          <t>in-d9b2ec659ecd9b81</t>
        </is>
      </c>
      <c r="B167" t="inlineStr">
        <is>
          <t>Applied Scientist, Personalization, DTx Science</t>
        </is>
      </c>
      <c r="C167" t="inlineStr">
        <is>
          <t>Amazon.com</t>
        </is>
      </c>
      <c r="D167" t="inlineStr">
        <is>
          <t>indeed</t>
        </is>
      </c>
      <c r="E167">
        <f>HYPERLINK("https://www.indeed.com/viewjob?jk=d9b2ec659ecd9b81", "https://www.indeed.com/viewjob?jk=d9b2ec659ecd9b81")</f>
        <v/>
      </c>
      <c r="F167">
        <f>HYPERLINK("https://www.amazon.jobs/jobs/3136853/applied-scientist-personalization-dtx-science?cmpid=DA_INAD200785B", "https://www.amazon.jobs/jobs/3136853/applied-scientist-personalization-dtx-science?cmpid=DA_INAD200785B")</f>
        <v/>
      </c>
      <c r="G167" t="inlineStr">
        <is>
          <t>Seattle, WA, US</t>
        </is>
      </c>
      <c r="H167" s="3" t="n">
        <v>45979</v>
      </c>
      <c r="I16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8">
      <c r="A168" t="inlineStr">
        <is>
          <t>in-c95bcef751435f34</t>
        </is>
      </c>
      <c r="B168" t="inlineStr">
        <is>
          <t>Senior Applied Scientist, Sponsored Products and Brands</t>
        </is>
      </c>
      <c r="C168" t="inlineStr">
        <is>
          <t>Amazon.com</t>
        </is>
      </c>
      <c r="D168" t="inlineStr">
        <is>
          <t>indeed</t>
        </is>
      </c>
      <c r="E168">
        <f>HYPERLINK("https://www.indeed.com/viewjob?jk=c95bcef751435f34", "https://www.indeed.com/viewjob?jk=c95bcef751435f34")</f>
        <v/>
      </c>
      <c r="F168">
        <f>HYPERLINK("https://www.amazon.jobs/jobs/3130062/senior-applied-scientist-sponsored-products-and-brands?cmpid=DA_INAD200785B", "https://www.amazon.jobs/jobs/3130062/senior-applied-scientist-sponsored-products-and-brands?cmpid=DA_INAD200785B")</f>
        <v/>
      </c>
      <c r="G168" t="inlineStr">
        <is>
          <t>New York, NY, US</t>
        </is>
      </c>
      <c r="H168" s="3" t="n">
        <v>45979</v>
      </c>
      <c r="I1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9">
      <c r="A169" t="inlineStr">
        <is>
          <t>in-04dc6bdeae12c692</t>
        </is>
      </c>
      <c r="B169" t="inlineStr">
        <is>
          <t>Senior Applied Scientist, Sponsored Products and Brands</t>
        </is>
      </c>
      <c r="C169" t="inlineStr">
        <is>
          <t>Amazon.com</t>
        </is>
      </c>
      <c r="D169" t="inlineStr">
        <is>
          <t>indeed</t>
        </is>
      </c>
      <c r="E169">
        <f>HYPERLINK("https://www.indeed.com/viewjob?jk=04dc6bdeae12c692", "https://www.indeed.com/viewjob?jk=04dc6bdeae12c692")</f>
        <v/>
      </c>
      <c r="F169">
        <f>HYPERLINK("https://www.amazon.jobs/jobs/3130062/senior-applied-scientist-sponsored-products-and-brands?cmpid=DA_INAD200785B", "https://www.amazon.jobs/jobs/3130062/senior-applied-scientist-sponsored-products-and-brands?cmpid=DA_INAD200785B")</f>
        <v/>
      </c>
      <c r="G169" t="inlineStr">
        <is>
          <t>Seattle, WA, US</t>
        </is>
      </c>
      <c r="H169" s="3" t="n">
        <v>45979</v>
      </c>
      <c r="I16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0">
      <c r="A170" t="inlineStr">
        <is>
          <t>in-76f1e0b5a750a3e1</t>
        </is>
      </c>
      <c r="B170" t="inlineStr">
        <is>
          <t>Applied Scientist II, Prime Video Personalization and Discovery Science</t>
        </is>
      </c>
      <c r="C170" t="inlineStr">
        <is>
          <t>Amazon.com</t>
        </is>
      </c>
      <c r="D170" t="inlineStr">
        <is>
          <t>indeed</t>
        </is>
      </c>
      <c r="E170">
        <f>HYPERLINK("https://www.indeed.com/viewjob?jk=76f1e0b5a750a3e1", "https://www.indeed.com/viewjob?jk=76f1e0b5a750a3e1")</f>
        <v/>
      </c>
      <c r="F170">
        <f>HYPERLINK("https://www.amazon.jobs/jobs/3129475/applied-scientist-ii-prime-video-personalization-and-discovery-science?cmpid=DA_INAD200785B", "https://www.amazon.jobs/jobs/3129475/applied-scientist-ii-prime-video-personalization-and-discovery-science?cmpid=DA_INAD200785B")</f>
        <v/>
      </c>
      <c r="G170" t="inlineStr">
        <is>
          <t>Sunnyvale, CA, US</t>
        </is>
      </c>
      <c r="H170" s="3" t="n">
        <v>45978</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1">
      <c r="A171" t="inlineStr">
        <is>
          <t>in-061349606980c011</t>
        </is>
      </c>
      <c r="B171" t="inlineStr">
        <is>
          <t>Applied Scientist II, Prime Video Personalization and Discovery Science</t>
        </is>
      </c>
      <c r="C171" t="inlineStr">
        <is>
          <t>Amazon.com</t>
        </is>
      </c>
      <c r="D171" t="inlineStr">
        <is>
          <t>indeed</t>
        </is>
      </c>
      <c r="E171">
        <f>HYPERLINK("https://www.indeed.com/viewjob?jk=061349606980c011", "https://www.indeed.com/viewjob?jk=061349606980c011")</f>
        <v/>
      </c>
      <c r="F171">
        <f>HYPERLINK("https://www.amazon.jobs/jobs/3129475/applied-scientist-ii-prime-video-personalization-and-discovery-science?cmpid=DA_INAD200785B", "https://www.amazon.jobs/jobs/3129475/applied-scientist-ii-prime-video-personalization-and-discovery-science?cmpid=DA_INAD200785B")</f>
        <v/>
      </c>
      <c r="G171" t="inlineStr">
        <is>
          <t>Seattle, WA, US</t>
        </is>
      </c>
      <c r="H171" s="3" t="n">
        <v>45978</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2">
      <c r="A172" t="inlineStr">
        <is>
          <t>in-58de0f1ada046384</t>
        </is>
      </c>
      <c r="B172" t="inlineStr">
        <is>
          <t>Principal Applied Scientist, Amazon AGI</t>
        </is>
      </c>
      <c r="C172" t="inlineStr">
        <is>
          <t>Amazon.com</t>
        </is>
      </c>
      <c r="D172" t="inlineStr">
        <is>
          <t>indeed</t>
        </is>
      </c>
      <c r="E172">
        <f>HYPERLINK("https://www.indeed.com/viewjob?jk=58de0f1ada046384", "https://www.indeed.com/viewjob?jk=58de0f1ada046384")</f>
        <v/>
      </c>
      <c r="F172">
        <f>HYPERLINK("https://www.amazon.jobs/jobs/3128808/principal-applied-scientist-amazon-agi?cmpid=DA_INAD200785B", "https://www.amazon.jobs/jobs/3128808/principal-applied-scientist-amazon-agi?cmpid=DA_INAD200785B")</f>
        <v/>
      </c>
      <c r="G172" t="inlineStr">
        <is>
          <t>San Francisco, CA, US</t>
        </is>
      </c>
      <c r="H172" s="3" t="n">
        <v>45964</v>
      </c>
      <c r="I1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in-f30bd55b4e536f1a</t>
        </is>
      </c>
      <c r="B173" t="inlineStr">
        <is>
          <t>Principal Applied Scientist, Amazon AGI</t>
        </is>
      </c>
      <c r="C173" t="inlineStr">
        <is>
          <t>Amazon.com</t>
        </is>
      </c>
      <c r="D173" t="inlineStr">
        <is>
          <t>indeed</t>
        </is>
      </c>
      <c r="E173">
        <f>HYPERLINK("https://www.indeed.com/viewjob?jk=f30bd55b4e536f1a", "https://www.indeed.com/viewjob?jk=f30bd55b4e536f1a")</f>
        <v/>
      </c>
      <c r="F173">
        <f>HYPERLINK("https://www.amazon.jobs/jobs/3128808/principal-applied-scientist-amazon-agi?cmpid=DA_INAD200785B", "https://www.amazon.jobs/jobs/3128808/principal-applied-scientist-amazon-agi?cmpid=DA_INAD200785B")</f>
        <v/>
      </c>
      <c r="G173" t="inlineStr">
        <is>
          <t>Boston, MA, US</t>
        </is>
      </c>
      <c r="H173" s="3" t="n">
        <v>45964</v>
      </c>
      <c r="I17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in-f2b6f2e07d9b6c05</t>
        </is>
      </c>
      <c r="B174" t="inlineStr">
        <is>
          <t>Applied Scientist, AWS Agentic AI</t>
        </is>
      </c>
      <c r="C174" t="inlineStr">
        <is>
          <t>Amazon Web Services</t>
        </is>
      </c>
      <c r="D174" t="inlineStr">
        <is>
          <t>indeed</t>
        </is>
      </c>
      <c r="E174">
        <f>HYPERLINK("https://www.indeed.com/viewjob?jk=f2b6f2e07d9b6c05", "https://www.indeed.com/viewjob?jk=f2b6f2e07d9b6c05")</f>
        <v/>
      </c>
      <c r="F174">
        <f>HYPERLINK("https://www.amazon.jobs/jobs/3141517/applied-scientist-aws-agentic-ai-?cmpid=DA_INAD200785B", "https://www.amazon.jobs/jobs/3141517/applied-scientist-aws-agentic-ai-?cmpid=DA_INAD200785B")</f>
        <v/>
      </c>
      <c r="G174" t="inlineStr">
        <is>
          <t>Santa Clara, CA, US</t>
        </is>
      </c>
      <c r="H174" s="3" t="n">
        <v>45962</v>
      </c>
      <c r="I1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in-10932c7b6dfbd834</t>
        </is>
      </c>
      <c r="B175" t="inlineStr">
        <is>
          <t>Applied Scientist, AWS Agentic AI</t>
        </is>
      </c>
      <c r="C175" t="inlineStr">
        <is>
          <t>Amazon Web Services</t>
        </is>
      </c>
      <c r="D175" t="inlineStr">
        <is>
          <t>indeed</t>
        </is>
      </c>
      <c r="E175">
        <f>HYPERLINK("https://www.indeed.com/viewjob?jk=10932c7b6dfbd834", "https://www.indeed.com/viewjob?jk=10932c7b6dfbd834")</f>
        <v/>
      </c>
      <c r="F175">
        <f>HYPERLINK("https://www.amazon.jobs/jobs/3141517/applied-scientist-aws-agentic-ai-?cmpid=DA_INAD200785B", "https://www.amazon.jobs/jobs/3141517/applied-scientist-aws-agentic-ai-?cmpid=DA_INAD200785B")</f>
        <v/>
      </c>
      <c r="G175" t="inlineStr">
        <is>
          <t>New York, NY, US</t>
        </is>
      </c>
      <c r="H175" s="3" t="n">
        <v>45962</v>
      </c>
      <c r="I1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in-a95c00c10d6ba866</t>
        </is>
      </c>
      <c r="B176" t="inlineStr">
        <is>
          <t>Applied Scientist, AWS Agentic AI</t>
        </is>
      </c>
      <c r="C176" t="inlineStr">
        <is>
          <t>Amazon Web Services</t>
        </is>
      </c>
      <c r="D176" t="inlineStr">
        <is>
          <t>indeed</t>
        </is>
      </c>
      <c r="E176">
        <f>HYPERLINK("https://www.indeed.com/viewjob?jk=a95c00c10d6ba866", "https://www.indeed.com/viewjob?jk=a95c00c10d6ba866")</f>
        <v/>
      </c>
      <c r="F176">
        <f>HYPERLINK("https://www.amazon.jobs/jobs/3141517/applied-scientist-aws-agentic-ai-?cmpid=DA_INAD200785B", "https://www.amazon.jobs/jobs/3141517/applied-scientist-aws-agentic-ai-?cmpid=DA_INAD200785B")</f>
        <v/>
      </c>
      <c r="G176" t="inlineStr">
        <is>
          <t>Seattle, WA, US</t>
        </is>
      </c>
      <c r="H176" s="3" t="n">
        <v>45962</v>
      </c>
      <c r="I1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in-34cdae9c4448d48c</t>
        </is>
      </c>
      <c r="B177" t="inlineStr">
        <is>
          <t>Sr. Applied Scientist, Prime Video - Personalization and Discovery Science</t>
        </is>
      </c>
      <c r="C177" t="inlineStr">
        <is>
          <t>Amazon.com</t>
        </is>
      </c>
      <c r="D177" t="inlineStr">
        <is>
          <t>indeed</t>
        </is>
      </c>
      <c r="E177">
        <f>HYPERLINK("https://www.indeed.com/viewjob?jk=34cdae9c4448d48c", "https://www.indeed.com/viewjob?jk=34cdae9c4448d48c")</f>
        <v/>
      </c>
      <c r="F177">
        <f>HYPERLINK("https://www.amazon.jobs/jobs/3118785/sr-applied-scientist-prime-video--personalization-and-discovery-science?cmpid=DA_INAD200785B", "https://www.amazon.jobs/jobs/3118785/sr-applied-scientist-prime-video--personalization-and-discovery-science?cmpid=DA_INAD200785B")</f>
        <v/>
      </c>
      <c r="G177" t="inlineStr">
        <is>
          <t>New York, NY, US</t>
        </is>
      </c>
      <c r="H177" s="3" t="n">
        <v>45959</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8">
      <c r="A178" t="inlineStr">
        <is>
          <t>in-cf7559e188a2e3fb</t>
        </is>
      </c>
      <c r="B178" t="inlineStr">
        <is>
          <t>Applied Scientist, Prime Video - Content Understanding, Localization &amp; Enrichment Team</t>
        </is>
      </c>
      <c r="C178" t="inlineStr">
        <is>
          <t>Amazon.com</t>
        </is>
      </c>
      <c r="D178" t="inlineStr">
        <is>
          <t>indeed</t>
        </is>
      </c>
      <c r="E178">
        <f>HYPERLINK("https://www.indeed.com/viewjob?jk=cf7559e188a2e3fb", "https://www.indeed.com/viewjob?jk=cf7559e188a2e3fb")</f>
        <v/>
      </c>
      <c r="F178">
        <f>HYPERLINK("https://www.amazon.jobs/jobs/3111928/applied-scientist-prime-video--content-understanding-localization--enrichment-team?cmpid=DA_INAD200785B", "https://www.amazon.jobs/jobs/3111928/applied-scientist-prime-video--content-understanding-localization--enrichment-team?cmpid=DA_INAD200785B")</f>
        <v/>
      </c>
      <c r="G178" t="inlineStr">
        <is>
          <t>San Francisco, CA, US</t>
        </is>
      </c>
      <c r="H178" s="3" t="n">
        <v>45943</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9">
      <c r="A179" t="inlineStr">
        <is>
          <t>in-92e76cdb399a27c2</t>
        </is>
      </c>
      <c r="B179" t="inlineStr">
        <is>
          <t>Applied Scientist, Prime Video - Content Understanding, Localization &amp; Enrichment Team</t>
        </is>
      </c>
      <c r="C179" t="inlineStr">
        <is>
          <t>Amazon.com</t>
        </is>
      </c>
      <c r="D179" t="inlineStr">
        <is>
          <t>indeed</t>
        </is>
      </c>
      <c r="E179">
        <f>HYPERLINK("https://www.indeed.com/viewjob?jk=92e76cdb399a27c2", "https://www.indeed.com/viewjob?jk=92e76cdb399a27c2")</f>
        <v/>
      </c>
      <c r="F179">
        <f>HYPERLINK("https://www.amazon.jobs/jobs/3111928/applied-scientist-prime-video--content-understanding-localization--enrichment-team?cmpid=DA_INAD200785B", "https://www.amazon.jobs/jobs/3111928/applied-scientist-prime-video--content-understanding-localization--enrichment-team?cmpid=DA_INAD200785B")</f>
        <v/>
      </c>
      <c r="G179" t="inlineStr">
        <is>
          <t>Seattle, WA, US</t>
        </is>
      </c>
      <c r="H179" s="3" t="n">
        <v>45943</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80">
      <c r="A180" t="inlineStr">
        <is>
          <t>in-1049f102482a1638</t>
        </is>
      </c>
      <c r="B180" t="inlineStr">
        <is>
          <t>Principal Applied Scientist, Advertiser Growth, Amazon Sponsored Products &amp; Brands</t>
        </is>
      </c>
      <c r="C180" t="inlineStr">
        <is>
          <t>Amazon.com</t>
        </is>
      </c>
      <c r="D180" t="inlineStr">
        <is>
          <t>indeed</t>
        </is>
      </c>
      <c r="E180">
        <f>HYPERLINK("https://www.indeed.com/viewjob?jk=1049f102482a1638", "https://www.indeed.com/viewjob?jk=1049f102482a1638")</f>
        <v/>
      </c>
      <c r="F180">
        <f>HYPERLINK("https://www.amazon.jobs/jobs/3115279/principal-applied-scientist-advertiser-growth-amazon-sponsored-products--brands?cmpid=DA_INAD200785B", "https://www.amazon.jobs/jobs/3115279/principal-applied-scientist-advertiser-growth-amazon-sponsored-products--brands?cmpid=DA_INAD200785B")</f>
        <v/>
      </c>
      <c r="G180" t="inlineStr">
        <is>
          <t>Seattle, WA, US</t>
        </is>
      </c>
      <c r="H180" s="3" t="n">
        <v>45942</v>
      </c>
      <c r="I1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in-c7ef4997f6fa7cc7</t>
        </is>
      </c>
      <c r="B181" t="inlineStr">
        <is>
          <t>Principal Applied Scientist, Advertiser Growth, Amazon Sponsored Products &amp; Brands</t>
        </is>
      </c>
      <c r="C181" t="inlineStr">
        <is>
          <t>Amazon.com</t>
        </is>
      </c>
      <c r="D181" t="inlineStr">
        <is>
          <t>indeed</t>
        </is>
      </c>
      <c r="E181">
        <f>HYPERLINK("https://www.indeed.com/viewjob?jk=c7ef4997f6fa7cc7", "https://www.indeed.com/viewjob?jk=c7ef4997f6fa7cc7")</f>
        <v/>
      </c>
      <c r="F181">
        <f>HYPERLINK("https://www.amazon.jobs/jobs/3115279/principal-applied-scientist-advertiser-growth-amazon-sponsored-products--brands?cmpid=DA_INAD200785B", "https://www.amazon.jobs/jobs/3115279/principal-applied-scientist-advertiser-growth-amazon-sponsored-products--brands?cmpid=DA_INAD200785B")</f>
        <v/>
      </c>
      <c r="G181" t="inlineStr">
        <is>
          <t>Palo Alto, CA, US</t>
        </is>
      </c>
      <c r="H181" s="3" t="n">
        <v>45942</v>
      </c>
      <c r="I1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in-6303feb2d0349035</t>
        </is>
      </c>
      <c r="B182" t="inlineStr">
        <is>
          <t>Principal Applied Scientist, Advertiser Growth, Amazon Sponsored Products &amp; Brands</t>
        </is>
      </c>
      <c r="C182" t="inlineStr">
        <is>
          <t>Amazon.com</t>
        </is>
      </c>
      <c r="D182" t="inlineStr">
        <is>
          <t>indeed</t>
        </is>
      </c>
      <c r="E182">
        <f>HYPERLINK("https://www.indeed.com/viewjob?jk=6303feb2d0349035", "https://www.indeed.com/viewjob?jk=6303feb2d0349035")</f>
        <v/>
      </c>
      <c r="F182">
        <f>HYPERLINK("https://www.amazon.jobs/jobs/3115279/principal-applied-scientist-advertiser-growth-amazon-sponsored-products--brands?cmpid=DA_INAD200785B", "https://www.amazon.jobs/jobs/3115279/principal-applied-scientist-advertiser-growth-amazon-sponsored-products--brands?cmpid=DA_INAD200785B")</f>
        <v/>
      </c>
      <c r="G182" t="inlineStr">
        <is>
          <t>New York, NY, US</t>
        </is>
      </c>
      <c r="H182" s="3" t="n">
        <v>45942</v>
      </c>
      <c r="I1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in-c985d757f2765e00</t>
        </is>
      </c>
      <c r="B183" t="inlineStr">
        <is>
          <t>Applied Scientist, Workplace Health &amp; Safety</t>
        </is>
      </c>
      <c r="C183" t="inlineStr">
        <is>
          <t>Amazon.com</t>
        </is>
      </c>
      <c r="D183" t="inlineStr">
        <is>
          <t>indeed</t>
        </is>
      </c>
      <c r="E183">
        <f>HYPERLINK("https://www.indeed.com/viewjob?jk=c985d757f2765e00", "https://www.indeed.com/viewjob?jk=c985d757f2765e00")</f>
        <v/>
      </c>
      <c r="F183">
        <f>HYPERLINK("https://www.amazon.jobs/jobs/3144886/applied-scientist-workplace-health--safety-?cmpid=DA_INAD200785B", "https://www.amazon.jobs/jobs/3144886/applied-scientist-workplace-health--safety-?cmpid=DA_INAD200785B")</f>
        <v/>
      </c>
      <c r="G183" t="inlineStr">
        <is>
          <t>Bellevue, WA, US</t>
        </is>
      </c>
      <c r="H183" s="3" t="n">
        <v>45917</v>
      </c>
      <c r="I18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in-b718f0f278955d64</t>
        </is>
      </c>
      <c r="B184" t="inlineStr">
        <is>
          <t>Applied Scientist, Workplace Health &amp; Safety</t>
        </is>
      </c>
      <c r="C184" t="inlineStr">
        <is>
          <t>Amazon.com</t>
        </is>
      </c>
      <c r="D184" t="inlineStr">
        <is>
          <t>indeed</t>
        </is>
      </c>
      <c r="E184">
        <f>HYPERLINK("https://www.indeed.com/viewjob?jk=b718f0f278955d64", "https://www.indeed.com/viewjob?jk=b718f0f278955d64")</f>
        <v/>
      </c>
      <c r="F184">
        <f>HYPERLINK("https://www.amazon.jobs/jobs/3144886/applied-scientist-workplace-health--safety-?cmpid=DA_INAD200785B", "https://www.amazon.jobs/jobs/3144886/applied-scientist-workplace-health--safety-?cmpid=DA_INAD200785B")</f>
        <v/>
      </c>
      <c r="G184" t="inlineStr">
        <is>
          <t>Nashville, TN, US</t>
        </is>
      </c>
      <c r="H184" s="3" t="n">
        <v>45917</v>
      </c>
      <c r="I18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in-4b6b076e1b33d592</t>
        </is>
      </c>
      <c r="B185" t="inlineStr">
        <is>
          <t>Applied Scientist II, Creative X - RAPID</t>
        </is>
      </c>
      <c r="C185" t="inlineStr">
        <is>
          <t>Amazon.com</t>
        </is>
      </c>
      <c r="D185" t="inlineStr">
        <is>
          <t>indeed</t>
        </is>
      </c>
      <c r="E185">
        <f>HYPERLINK("https://www.indeed.com/viewjob?jk=4b6b076e1b33d592", "https://www.indeed.com/viewjob?jk=4b6b076e1b33d592")</f>
        <v/>
      </c>
      <c r="F185">
        <f>HYPERLINK("https://www.amazon.jobs/jobs/3083576/applied-scientist-ii-creative-x--rapid?cmpid=DA_INAD200785B", "https://www.amazon.jobs/jobs/3083576/applied-scientist-ii-creative-x--rapid?cmpid=DA_INAD200785B")</f>
        <v/>
      </c>
      <c r="G185" t="inlineStr">
        <is>
          <t>Seattle, WA, US</t>
        </is>
      </c>
      <c r="H185" s="3" t="n">
        <v>45908</v>
      </c>
      <c r="I18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6">
      <c r="A186" t="inlineStr">
        <is>
          <t>in-cc7f5a1a20b1367f</t>
        </is>
      </c>
      <c r="B186" t="inlineStr">
        <is>
          <t>Applied Scientist II, Creative X - RAPID</t>
        </is>
      </c>
      <c r="C186" t="inlineStr">
        <is>
          <t>Amazon.com</t>
        </is>
      </c>
      <c r="D186" t="inlineStr">
        <is>
          <t>indeed</t>
        </is>
      </c>
      <c r="E186">
        <f>HYPERLINK("https://www.indeed.com/viewjob?jk=cc7f5a1a20b1367f", "https://www.indeed.com/viewjob?jk=cc7f5a1a20b1367f")</f>
        <v/>
      </c>
      <c r="F186">
        <f>HYPERLINK("https://www.amazon.jobs/jobs/3083576/applied-scientist-ii-creative-x--rapid?cmpid=DA_INAD200785B", "https://www.amazon.jobs/jobs/3083576/applied-scientist-ii-creative-x--rapid?cmpid=DA_INAD200785B")</f>
        <v/>
      </c>
      <c r="G186" t="inlineStr">
        <is>
          <t>New York, NY, US</t>
        </is>
      </c>
      <c r="H186" s="3" t="n">
        <v>45908</v>
      </c>
      <c r="I18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7">
      <c r="A187" t="inlineStr">
        <is>
          <t>in-35897b088c0969f0</t>
        </is>
      </c>
      <c r="B187" t="inlineStr">
        <is>
          <t>Sr. Applied Scientist, Prime Video - Personalization and Discovery Science</t>
        </is>
      </c>
      <c r="C187" t="inlineStr">
        <is>
          <t>Amazon.com</t>
        </is>
      </c>
      <c r="D187" t="inlineStr">
        <is>
          <t>indeed</t>
        </is>
      </c>
      <c r="E187">
        <f>HYPERLINK("https://www.indeed.com/viewjob?jk=35897b088c0969f0", "https://www.indeed.com/viewjob?jk=35897b088c0969f0")</f>
        <v/>
      </c>
      <c r="F187">
        <f>HYPERLINK("https://www.amazon.jobs/jobs/3084479/sr-applied-scientist-prime-video--personalization-and-discovery-science?cmpid=DA_INAD200785B", "https://www.amazon.jobs/jobs/3084479/sr-applied-scientist-prime-video--personalization-and-discovery-science?cmpid=DA_INAD200785B")</f>
        <v/>
      </c>
      <c r="G187" t="inlineStr">
        <is>
          <t>New York, NY, US</t>
        </is>
      </c>
      <c r="H187" s="3" t="n">
        <v>45896</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88">
      <c r="A188" t="inlineStr">
        <is>
          <t>in-9855169679b9112b</t>
        </is>
      </c>
      <c r="B188" t="inlineStr">
        <is>
          <t>Applied Scientist II, Prime Video , Personalization and Discovery Science</t>
        </is>
      </c>
      <c r="C188" t="inlineStr">
        <is>
          <t>Amazon.com</t>
        </is>
      </c>
      <c r="D188" t="inlineStr">
        <is>
          <t>indeed</t>
        </is>
      </c>
      <c r="E188">
        <f>HYPERLINK("https://www.indeed.com/viewjob?jk=9855169679b9112b", "https://www.indeed.com/viewjob?jk=9855169679b9112b")</f>
        <v/>
      </c>
      <c r="F188">
        <f>HYPERLINK("https://www.amazon.jobs/jobs/3061303/applied-scientist-ii-prime-video--personalization-and-discovery-science?cmpid=DA_INAD200785B", "https://www.amazon.jobs/jobs/3061303/applied-scientist-ii-prime-video--personalization-and-discovery-science?cmpid=DA_INAD200785B")</f>
        <v/>
      </c>
      <c r="G188" t="inlineStr">
        <is>
          <t>New York, NY, US</t>
        </is>
      </c>
      <c r="H188" s="3" t="n">
        <v>45886</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89">
      <c r="A189" t="inlineStr">
        <is>
          <t>in-16b37ebc757498a0</t>
        </is>
      </c>
      <c r="B189" t="inlineStr">
        <is>
          <t>Applied Scientist II, Prime Video , Personalization and Discovery Science</t>
        </is>
      </c>
      <c r="C189" t="inlineStr">
        <is>
          <t>Amazon.com</t>
        </is>
      </c>
      <c r="D189" t="inlineStr">
        <is>
          <t>indeed</t>
        </is>
      </c>
      <c r="E189">
        <f>HYPERLINK("https://www.indeed.com/viewjob?jk=16b37ebc757498a0", "https://www.indeed.com/viewjob?jk=16b37ebc757498a0")</f>
        <v/>
      </c>
      <c r="F189">
        <f>HYPERLINK("https://www.amazon.jobs/jobs/3061303/applied-scientist-ii-prime-video--personalization-and-discovery-science?cmpid=DA_INAD200785B", "https://www.amazon.jobs/jobs/3061303/applied-scientist-ii-prime-video--personalization-and-discovery-science?cmpid=DA_INAD200785B")</f>
        <v/>
      </c>
      <c r="G189" t="inlineStr">
        <is>
          <t>Seattle, WA, US</t>
        </is>
      </c>
      <c r="H189" s="3" t="n">
        <v>45886</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0">
      <c r="A190" t="inlineStr">
        <is>
          <t>in-de23cd14248a85e8</t>
        </is>
      </c>
      <c r="B190" t="inlineStr">
        <is>
          <t>Applied Scientist II, Prime Video , Personalization and Discovery Science</t>
        </is>
      </c>
      <c r="C190" t="inlineStr">
        <is>
          <t>Amazon.com</t>
        </is>
      </c>
      <c r="D190" t="inlineStr">
        <is>
          <t>indeed</t>
        </is>
      </c>
      <c r="E190">
        <f>HYPERLINK("https://www.indeed.com/viewjob?jk=de23cd14248a85e8", "https://www.indeed.com/viewjob?jk=de23cd14248a85e8")</f>
        <v/>
      </c>
      <c r="F190">
        <f>HYPERLINK("https://www.amazon.jobs/jobs/3061303/applied-scientist-ii-prime-video--personalization-and-discovery-science?cmpid=DA_INAD200785B", "https://www.amazon.jobs/jobs/3061303/applied-scientist-ii-prime-video--personalization-and-discovery-science?cmpid=DA_INAD200785B")</f>
        <v/>
      </c>
      <c r="G190" t="inlineStr">
        <is>
          <t>Sunnyvale, CA, US</t>
        </is>
      </c>
      <c r="H190" s="3" t="n">
        <v>45886</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1">
      <c r="A191" t="inlineStr">
        <is>
          <t>in-2507b01418716401</t>
        </is>
      </c>
      <c r="B191" t="inlineStr">
        <is>
          <t>Applied Scientist III, StoreGen</t>
        </is>
      </c>
      <c r="C191" t="inlineStr">
        <is>
          <t>Amazon.com</t>
        </is>
      </c>
      <c r="D191" t="inlineStr">
        <is>
          <t>indeed</t>
        </is>
      </c>
      <c r="E191">
        <f>HYPERLINK("https://www.indeed.com/viewjob?jk=2507b01418716401", "https://www.indeed.com/viewjob?jk=2507b01418716401")</f>
        <v/>
      </c>
      <c r="F191">
        <f>HYPERLINK("https://www.amazon.jobs/jobs/3065534/applied-scientist-iii-storegen?cmpid=DA_INAD200785B", "https://www.amazon.jobs/jobs/3065534/applied-scientist-iii-storegen?cmpid=DA_INAD200785B")</f>
        <v/>
      </c>
      <c r="G191" t="inlineStr">
        <is>
          <t>Seattle, WA, US</t>
        </is>
      </c>
      <c r="H191" s="3" t="n">
        <v>45868</v>
      </c>
      <c r="I19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in-46df7932dc275a0d</t>
        </is>
      </c>
      <c r="B192" t="inlineStr">
        <is>
          <t>Applied Scientist III, StoreGen</t>
        </is>
      </c>
      <c r="C192" t="inlineStr">
        <is>
          <t>Amazon.com</t>
        </is>
      </c>
      <c r="D192" t="inlineStr">
        <is>
          <t>indeed</t>
        </is>
      </c>
      <c r="E192">
        <f>HYPERLINK("https://www.indeed.com/viewjob?jk=46df7932dc275a0d", "https://www.indeed.com/viewjob?jk=46df7932dc275a0d")</f>
        <v/>
      </c>
      <c r="F192">
        <f>HYPERLINK("https://www.amazon.jobs/jobs/3065534/applied-scientist-iii-storegen?cmpid=DA_INAD200785B", "https://www.amazon.jobs/jobs/3065534/applied-scientist-iii-storegen?cmpid=DA_INAD200785B")</f>
        <v/>
      </c>
      <c r="G192" t="inlineStr">
        <is>
          <t>Sunnyvale, CA, US</t>
        </is>
      </c>
      <c r="H192" s="3" t="n">
        <v>45868</v>
      </c>
      <c r="I19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in-4835ca7527760cf8</t>
        </is>
      </c>
      <c r="B193" t="inlineStr">
        <is>
          <t>Sr. Applied Scientist, Amazon Advertising</t>
        </is>
      </c>
      <c r="C193" t="inlineStr">
        <is>
          <t>Amazon.com</t>
        </is>
      </c>
      <c r="D193" t="inlineStr">
        <is>
          <t>indeed</t>
        </is>
      </c>
      <c r="E193">
        <f>HYPERLINK("https://www.indeed.com/viewjob?jk=4835ca7527760cf8", "https://www.indeed.com/viewjob?jk=4835ca7527760cf8")</f>
        <v/>
      </c>
      <c r="F193">
        <f>HYPERLINK("https://www.amazon.jobs/jobs/3035686/sr-applied-scientist-amazon-advertising?cmpid=DA_INAD200785B", "https://www.amazon.jobs/jobs/3035686/sr-applied-scientist-amazon-advertising?cmpid=DA_INAD200785B")</f>
        <v/>
      </c>
      <c r="G193" t="inlineStr">
        <is>
          <t>West Hollywood, CA, US</t>
        </is>
      </c>
      <c r="H193" s="3" t="n">
        <v>45851</v>
      </c>
      <c r="I1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in-619b2e9b25c733e4</t>
        </is>
      </c>
      <c r="B194" t="inlineStr">
        <is>
          <t>Sr. Applied Scientist, Amazon Advertising</t>
        </is>
      </c>
      <c r="C194" t="inlineStr">
        <is>
          <t>Amazon.com</t>
        </is>
      </c>
      <c r="D194" t="inlineStr">
        <is>
          <t>indeed</t>
        </is>
      </c>
      <c r="E194">
        <f>HYPERLINK("https://www.indeed.com/viewjob?jk=619b2e9b25c733e4", "https://www.indeed.com/viewjob?jk=619b2e9b25c733e4")</f>
        <v/>
      </c>
      <c r="F194">
        <f>HYPERLINK("https://www.amazon.jobs/jobs/3035686/sr-applied-scientist-amazon-advertising?cmpid=DA_INAD200785B", "https://www.amazon.jobs/jobs/3035686/sr-applied-scientist-amazon-advertising?cmpid=DA_INAD200785B")</f>
        <v/>
      </c>
      <c r="G194" t="inlineStr">
        <is>
          <t>Arlington, VA, US</t>
        </is>
      </c>
      <c r="H194" s="3" t="n">
        <v>45851</v>
      </c>
      <c r="I1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in-b23592958288e775</t>
        </is>
      </c>
      <c r="B195" t="inlineStr">
        <is>
          <t>Sr. Applied Scientist, Amazon Advertising</t>
        </is>
      </c>
      <c r="C195" t="inlineStr">
        <is>
          <t>Amazon.com</t>
        </is>
      </c>
      <c r="D195" t="inlineStr">
        <is>
          <t>indeed</t>
        </is>
      </c>
      <c r="E195">
        <f>HYPERLINK("https://www.indeed.com/viewjob?jk=b23592958288e775", "https://www.indeed.com/viewjob?jk=b23592958288e775")</f>
        <v/>
      </c>
      <c r="F195">
        <f>HYPERLINK("https://www.amazon.jobs/jobs/3035686/sr-applied-scientist-amazon-advertising?cmpid=DA_INAD200785B", "https://www.amazon.jobs/jobs/3035686/sr-applied-scientist-amazon-advertising?cmpid=DA_INAD200785B")</f>
        <v/>
      </c>
      <c r="G195" t="inlineStr">
        <is>
          <t>Simi Valley, CA, US</t>
        </is>
      </c>
      <c r="H195" s="3" t="n">
        <v>45851</v>
      </c>
      <c r="I1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in-346b051a509e2a0e</t>
        </is>
      </c>
      <c r="B196" t="inlineStr">
        <is>
          <t>Sr. Applied Scientist, Amazon Advertising</t>
        </is>
      </c>
      <c r="C196" t="inlineStr">
        <is>
          <t>Amazon.com</t>
        </is>
      </c>
      <c r="D196" t="inlineStr">
        <is>
          <t>indeed</t>
        </is>
      </c>
      <c r="E196">
        <f>HYPERLINK("https://www.indeed.com/viewjob?jk=346b051a509e2a0e", "https://www.indeed.com/viewjob?jk=346b051a509e2a0e")</f>
        <v/>
      </c>
      <c r="F196">
        <f>HYPERLINK("https://www.amazon.jobs/jobs/3035686/sr-applied-scientist-amazon-advertising?cmpid=DA_INAD200785B", "https://www.amazon.jobs/jobs/3035686/sr-applied-scientist-amazon-advertising?cmpid=DA_INAD200785B")</f>
        <v/>
      </c>
      <c r="G196" t="inlineStr">
        <is>
          <t>Los Angeles, CA, US</t>
        </is>
      </c>
      <c r="H196" s="3" t="n">
        <v>45851</v>
      </c>
      <c r="I1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in-9efcd1d12625eb9a</t>
        </is>
      </c>
      <c r="B197" t="inlineStr">
        <is>
          <t>Sr. Applied Scientist, Amazon Advertising</t>
        </is>
      </c>
      <c r="C197" t="inlineStr">
        <is>
          <t>Amazon.com</t>
        </is>
      </c>
      <c r="D197" t="inlineStr">
        <is>
          <t>indeed</t>
        </is>
      </c>
      <c r="E197">
        <f>HYPERLINK("https://www.indeed.com/viewjob?jk=9efcd1d12625eb9a", "https://www.indeed.com/viewjob?jk=9efcd1d12625eb9a")</f>
        <v/>
      </c>
      <c r="F197">
        <f>HYPERLINK("https://www.amazon.jobs/jobs/3035686/sr-applied-scientist-amazon-advertising?cmpid=DA_INAD200785B", "https://www.amazon.jobs/jobs/3035686/sr-applied-scientist-amazon-advertising?cmpid=DA_INAD200785B")</f>
        <v/>
      </c>
      <c r="G197" t="inlineStr">
        <is>
          <t>New York, NY, US</t>
        </is>
      </c>
      <c r="H197" s="3" t="n">
        <v>45851</v>
      </c>
      <c r="I1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in-2ae301a68fd05aa8</t>
        </is>
      </c>
      <c r="B198" t="inlineStr">
        <is>
          <t>Sr. Applied Scientist, Amazon Advertising</t>
        </is>
      </c>
      <c r="C198" t="inlineStr">
        <is>
          <t>Amazon.com</t>
        </is>
      </c>
      <c r="D198" t="inlineStr">
        <is>
          <t>indeed</t>
        </is>
      </c>
      <c r="E198">
        <f>HYPERLINK("https://www.indeed.com/viewjob?jk=2ae301a68fd05aa8", "https://www.indeed.com/viewjob?jk=2ae301a68fd05aa8")</f>
        <v/>
      </c>
      <c r="F198">
        <f>HYPERLINK("https://www.amazon.jobs/jobs/3035686/sr-applied-scientist-amazon-advertising?cmpid=DA_INAD200785B", "https://www.amazon.jobs/jobs/3035686/sr-applied-scientist-amazon-advertising?cmpid=DA_INAD200785B")</f>
        <v/>
      </c>
      <c r="G198" t="inlineStr">
        <is>
          <t>Seattle, WA, US</t>
        </is>
      </c>
      <c r="H198" s="3" t="n">
        <v>45851</v>
      </c>
      <c r="I1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in-f9bcb636b0ff9958</t>
        </is>
      </c>
      <c r="B199" t="inlineStr">
        <is>
          <t>Sr. Applied Scientist, Amazon Advertising</t>
        </is>
      </c>
      <c r="C199" t="inlineStr">
        <is>
          <t>Amazon.com</t>
        </is>
      </c>
      <c r="D199" t="inlineStr">
        <is>
          <t>indeed</t>
        </is>
      </c>
      <c r="E199">
        <f>HYPERLINK("https://www.indeed.com/viewjob?jk=f9bcb636b0ff9958", "https://www.indeed.com/viewjob?jk=f9bcb636b0ff9958")</f>
        <v/>
      </c>
      <c r="F199">
        <f>HYPERLINK("https://www.amazon.jobs/jobs/3035686/sr-applied-scientist-amazon-advertising?cmpid=DA_INAD200785B", "https://www.amazon.jobs/jobs/3035686/sr-applied-scientist-amazon-advertising?cmpid=DA_INAD200785B")</f>
        <v/>
      </c>
      <c r="G199" t="inlineStr">
        <is>
          <t>Palo Alto, CA, US</t>
        </is>
      </c>
      <c r="H199" s="3" t="n">
        <v>45851</v>
      </c>
      <c r="I1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in-7632c40a43f5fdd4</t>
        </is>
      </c>
      <c r="B200" t="inlineStr">
        <is>
          <t>Sr. Applied Scientist, Amazon Advertising</t>
        </is>
      </c>
      <c r="C200" t="inlineStr">
        <is>
          <t>Amazon.com</t>
        </is>
      </c>
      <c r="D200" t="inlineStr">
        <is>
          <t>indeed</t>
        </is>
      </c>
      <c r="E200">
        <f>HYPERLINK("https://www.indeed.com/viewjob?jk=7632c40a43f5fdd4", "https://www.indeed.com/viewjob?jk=7632c40a43f5fdd4")</f>
        <v/>
      </c>
      <c r="F200">
        <f>HYPERLINK("https://www.amazon.jobs/jobs/3035686/sr-applied-scientist-amazon-advertising?cmpid=DA_INAD200785B", "https://www.amazon.jobs/jobs/3035686/sr-applied-scientist-amazon-advertising?cmpid=DA_INAD200785B")</f>
        <v/>
      </c>
      <c r="G200" t="inlineStr">
        <is>
          <t>Austin, TX, US</t>
        </is>
      </c>
      <c r="H200" s="3"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in-1881980509b14a5c</t>
        </is>
      </c>
      <c r="B201" t="inlineStr">
        <is>
          <t>Sr. Applied Scientist, Sales AI</t>
        </is>
      </c>
      <c r="C201" t="inlineStr">
        <is>
          <t>Amazon.com</t>
        </is>
      </c>
      <c r="D201" t="inlineStr">
        <is>
          <t>indeed</t>
        </is>
      </c>
      <c r="E201">
        <f>HYPERLINK("https://www.indeed.com/viewjob?jk=1881980509b14a5c", "https://www.indeed.com/viewjob?jk=1881980509b14a5c")</f>
        <v/>
      </c>
      <c r="F201">
        <f>HYPERLINK("https://www.amazon.jobs/jobs/3020528/sr-applied-scientist-sales-ai?cmpid=DA_INAD200785B", "https://www.amazon.jobs/jobs/3020528/sr-applied-scientist-sales-ai?cmpid=DA_INAD200785B")</f>
        <v/>
      </c>
      <c r="G201" t="inlineStr">
        <is>
          <t>Sunnyvale, CA, US</t>
        </is>
      </c>
      <c r="H201" s="3" t="n">
        <v>45830</v>
      </c>
      <c r="I2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in-e2495c431a3b7e4c</t>
        </is>
      </c>
      <c r="B202" t="inlineStr">
        <is>
          <t>Sr. Applied Scientist, Sales AI</t>
        </is>
      </c>
      <c r="C202" t="inlineStr">
        <is>
          <t>Amazon.com</t>
        </is>
      </c>
      <c r="D202" t="inlineStr">
        <is>
          <t>indeed</t>
        </is>
      </c>
      <c r="E202">
        <f>HYPERLINK("https://www.indeed.com/viewjob?jk=e2495c431a3b7e4c", "https://www.indeed.com/viewjob?jk=e2495c431a3b7e4c")</f>
        <v/>
      </c>
      <c r="F202">
        <f>HYPERLINK("https://www.amazon.jobs/jobs/3020528/sr-applied-scientist-sales-ai?cmpid=DA_INAD200785B", "https://www.amazon.jobs/jobs/3020528/sr-applied-scientist-sales-ai?cmpid=DA_INAD200785B")</f>
        <v/>
      </c>
      <c r="G202" t="inlineStr">
        <is>
          <t>Seattle, WA, US</t>
        </is>
      </c>
      <c r="H202" s="3" t="n">
        <v>45830</v>
      </c>
      <c r="I2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in-89511aa2ea994829</t>
        </is>
      </c>
      <c r="B203" t="inlineStr">
        <is>
          <t>Sr. Applied Scientist, Sales AI</t>
        </is>
      </c>
      <c r="C203" t="inlineStr">
        <is>
          <t>Amazon.com</t>
        </is>
      </c>
      <c r="D203" t="inlineStr">
        <is>
          <t>indeed</t>
        </is>
      </c>
      <c r="E203">
        <f>HYPERLINK("https://www.indeed.com/viewjob?jk=89511aa2ea994829", "https://www.indeed.com/viewjob?jk=89511aa2ea994829")</f>
        <v/>
      </c>
      <c r="F203">
        <f>HYPERLINK("https://www.amazon.jobs/jobs/3020528/sr-applied-scientist-sales-ai?cmpid=DA_INAD200785B", "https://www.amazon.jobs/jobs/3020528/sr-applied-scientist-sales-ai?cmpid=DA_INAD200785B")</f>
        <v/>
      </c>
      <c r="G203" t="inlineStr">
        <is>
          <t>New York, NY, US</t>
        </is>
      </c>
      <c r="H203" s="3" t="n">
        <v>45830</v>
      </c>
      <c r="I2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in-54659786a18dc80d</t>
        </is>
      </c>
      <c r="B204" t="inlineStr">
        <is>
          <t>Principal Applied Scientist, Delivery Foundation Model</t>
        </is>
      </c>
      <c r="C204" t="inlineStr">
        <is>
          <t>Amazon.com</t>
        </is>
      </c>
      <c r="D204" t="inlineStr">
        <is>
          <t>indeed</t>
        </is>
      </c>
      <c r="E204">
        <f>HYPERLINK("https://www.indeed.com/viewjob?jk=54659786a18dc80d", "https://www.indeed.com/viewjob?jk=54659786a18dc80d")</f>
        <v/>
      </c>
      <c r="F204">
        <f>HYPERLINK("https://www.amazon.jobs/jobs/3006938/principal-applied-scientist-delivery-foundation-model-?cmpid=DA_INAD200785B", "https://www.amazon.jobs/jobs/3006938/principal-applied-scientist-delivery-foundation-model-?cmpid=DA_INAD200785B")</f>
        <v/>
      </c>
      <c r="G204" t="inlineStr">
        <is>
          <t>New York, NY, US</t>
        </is>
      </c>
      <c r="H204" s="3" t="n">
        <v>45810</v>
      </c>
      <c r="I2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in-91c2de225c5f2bf7</t>
        </is>
      </c>
      <c r="B205" t="inlineStr">
        <is>
          <t>Principal Applied Scientist, Delivery Foundation Model</t>
        </is>
      </c>
      <c r="C205" t="inlineStr">
        <is>
          <t>Amazon.com</t>
        </is>
      </c>
      <c r="D205" t="inlineStr">
        <is>
          <t>indeed</t>
        </is>
      </c>
      <c r="E205">
        <f>HYPERLINK("https://www.indeed.com/viewjob?jk=91c2de225c5f2bf7", "https://www.indeed.com/viewjob?jk=91c2de225c5f2bf7")</f>
        <v/>
      </c>
      <c r="F205">
        <f>HYPERLINK("https://www.amazon.jobs/jobs/3006938/principal-applied-scientist-delivery-foundation-model-?cmpid=DA_INAD200785B", "https://www.amazon.jobs/jobs/3006938/principal-applied-scientist-delivery-foundation-model-?cmpid=DA_INAD200785B")</f>
        <v/>
      </c>
      <c r="G205" t="inlineStr">
        <is>
          <t>Santa Clara, CA, US</t>
        </is>
      </c>
      <c r="H205" s="3" t="n">
        <v>45810</v>
      </c>
      <c r="I2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in-f39bfbc40ed5d779</t>
        </is>
      </c>
      <c r="B206" t="inlineStr">
        <is>
          <t>Principal Applied Scientist, Delivery Foundation Model</t>
        </is>
      </c>
      <c r="C206" t="inlineStr">
        <is>
          <t>Amazon.com</t>
        </is>
      </c>
      <c r="D206" t="inlineStr">
        <is>
          <t>indeed</t>
        </is>
      </c>
      <c r="E206">
        <f>HYPERLINK("https://www.indeed.com/viewjob?jk=f39bfbc40ed5d779", "https://www.indeed.com/viewjob?jk=f39bfbc40ed5d779")</f>
        <v/>
      </c>
      <c r="F206">
        <f>HYPERLINK("https://www.amazon.jobs/jobs/3006938/principal-applied-scientist-delivery-foundation-model-?cmpid=DA_INAD200785B", "https://www.amazon.jobs/jobs/3006938/principal-applied-scientist-delivery-foundation-model-?cmpid=DA_INAD200785B")</f>
        <v/>
      </c>
      <c r="G206" t="inlineStr">
        <is>
          <t>Austin, TX, US</t>
        </is>
      </c>
      <c r="H206" s="3" t="n">
        <v>45810</v>
      </c>
      <c r="I2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in-5232a6e0703069de</t>
        </is>
      </c>
      <c r="B207" t="inlineStr">
        <is>
          <t>Principal Applied Scientist, Delivery Foundation Model</t>
        </is>
      </c>
      <c r="C207" t="inlineStr">
        <is>
          <t>Amazon.com</t>
        </is>
      </c>
      <c r="D207" t="inlineStr">
        <is>
          <t>indeed</t>
        </is>
      </c>
      <c r="E207">
        <f>HYPERLINK("https://www.indeed.com/viewjob?jk=5232a6e0703069de", "https://www.indeed.com/viewjob?jk=5232a6e0703069de")</f>
        <v/>
      </c>
      <c r="F207">
        <f>HYPERLINK("https://www.amazon.jobs/jobs/3006938/principal-applied-scientist-delivery-foundation-model-?cmpid=DA_INAD200785B", "https://www.amazon.jobs/jobs/3006938/principal-applied-scientist-delivery-foundation-model-?cmpid=DA_INAD200785B")</f>
        <v/>
      </c>
      <c r="G207" t="inlineStr">
        <is>
          <t>Bellevue, WA, US</t>
        </is>
      </c>
      <c r="H207" s="3" t="n">
        <v>45810</v>
      </c>
      <c r="I2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in-0f7c19d7fa6d2716</t>
        </is>
      </c>
      <c r="B208" t="inlineStr">
        <is>
          <t>Senior Applied Scientist, Delivery Foundation Model</t>
        </is>
      </c>
      <c r="C208" t="inlineStr">
        <is>
          <t>Amazon.com</t>
        </is>
      </c>
      <c r="D208" t="inlineStr">
        <is>
          <t>indeed</t>
        </is>
      </c>
      <c r="E208">
        <f>HYPERLINK("https://www.indeed.com/viewjob?jk=0f7c19d7fa6d2716", "https://www.indeed.com/viewjob?jk=0f7c19d7fa6d2716")</f>
        <v/>
      </c>
      <c r="F208">
        <f>HYPERLINK("https://www.amazon.jobs/jobs/2998435/senior-applied-scientist-delivery-foundation-model-?cmpid=DA_INAD200785B", "https://www.amazon.jobs/jobs/2998435/senior-applied-scientist-delivery-foundation-model-?cmpid=DA_INAD200785B")</f>
        <v/>
      </c>
      <c r="G208" t="inlineStr">
        <is>
          <t>Santa Clara, CA, US</t>
        </is>
      </c>
      <c r="H208" s="3" t="n">
        <v>45806</v>
      </c>
      <c r="I2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in-feb556a2dc3b56e1</t>
        </is>
      </c>
      <c r="B209" t="inlineStr">
        <is>
          <t>Senior Applied Scientist, Delivery Foundation Model</t>
        </is>
      </c>
      <c r="C209" t="inlineStr">
        <is>
          <t>Amazon.com</t>
        </is>
      </c>
      <c r="D209" t="inlineStr">
        <is>
          <t>indeed</t>
        </is>
      </c>
      <c r="E209">
        <f>HYPERLINK("https://www.indeed.com/viewjob?jk=feb556a2dc3b56e1", "https://www.indeed.com/viewjob?jk=feb556a2dc3b56e1")</f>
        <v/>
      </c>
      <c r="F209">
        <f>HYPERLINK("https://www.amazon.jobs/jobs/2998435/senior-applied-scientist-delivery-foundation-model-?cmpid=DA_INAD200785B", "https://www.amazon.jobs/jobs/2998435/senior-applied-scientist-delivery-foundation-model-?cmpid=DA_INAD200785B")</f>
        <v/>
      </c>
      <c r="G209" t="inlineStr">
        <is>
          <t>Bellevue, WA, US</t>
        </is>
      </c>
      <c r="H209" s="3" t="n">
        <v>45806</v>
      </c>
      <c r="I2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in-a4ebba9fa94985e0</t>
        </is>
      </c>
      <c r="B210" t="inlineStr">
        <is>
          <t>Senior Applied Scientist, Delivery Foundation Model</t>
        </is>
      </c>
      <c r="C210" t="inlineStr">
        <is>
          <t>Amazon.com</t>
        </is>
      </c>
      <c r="D210" t="inlineStr">
        <is>
          <t>indeed</t>
        </is>
      </c>
      <c r="E210">
        <f>HYPERLINK("https://www.indeed.com/viewjob?jk=a4ebba9fa94985e0", "https://www.indeed.com/viewjob?jk=a4ebba9fa94985e0")</f>
        <v/>
      </c>
      <c r="F210">
        <f>HYPERLINK("https://www.amazon.jobs/jobs/2998435/senior-applied-scientist-delivery-foundation-model-?cmpid=DA_INAD200785B", "https://www.amazon.jobs/jobs/2998435/senior-applied-scientist-delivery-foundation-model-?cmpid=DA_INAD200785B")</f>
        <v/>
      </c>
      <c r="G210" t="inlineStr">
        <is>
          <t>New York, NY, US</t>
        </is>
      </c>
      <c r="H210" s="3" t="n">
        <v>45806</v>
      </c>
      <c r="I2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in-b36061804fd0f566</t>
        </is>
      </c>
      <c r="B211" t="inlineStr">
        <is>
          <t>Principal Applied Scientist, Delivery Foundation Model</t>
        </is>
      </c>
      <c r="C211" t="inlineStr">
        <is>
          <t>Amazon.com</t>
        </is>
      </c>
      <c r="D211" t="inlineStr">
        <is>
          <t>indeed</t>
        </is>
      </c>
      <c r="E211">
        <f>HYPERLINK("https://www.indeed.com/viewjob?jk=b36061804fd0f566", "https://www.indeed.com/viewjob?jk=b36061804fd0f566")</f>
        <v/>
      </c>
      <c r="F211">
        <f>HYPERLINK("https://www.amazon.jobs/jobs/2998635/principal-applied-scientist-delivery-foundation-model-?cmpid=DA_INAD200785B", "https://www.amazon.jobs/jobs/2998635/principal-applied-scientist-delivery-foundation-model-?cmpid=DA_INAD200785B")</f>
        <v/>
      </c>
      <c r="G211" t="inlineStr">
        <is>
          <t>New York, NY, US</t>
        </is>
      </c>
      <c r="H211" s="3" t="n">
        <v>45757</v>
      </c>
      <c r="I2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in-17258e76e97da888</t>
        </is>
      </c>
      <c r="B212" t="inlineStr">
        <is>
          <t>Principal Applied Scientist, Delivery Foundation Model</t>
        </is>
      </c>
      <c r="C212" t="inlineStr">
        <is>
          <t>Amazon.com</t>
        </is>
      </c>
      <c r="D212" t="inlineStr">
        <is>
          <t>indeed</t>
        </is>
      </c>
      <c r="E212">
        <f>HYPERLINK("https://www.indeed.com/viewjob?jk=17258e76e97da888", "https://www.indeed.com/viewjob?jk=17258e76e97da888")</f>
        <v/>
      </c>
      <c r="F212">
        <f>HYPERLINK("https://www.amazon.jobs/jobs/2998635/principal-applied-scientist-delivery-foundation-model-?cmpid=DA_INAD200785B", "https://www.amazon.jobs/jobs/2998635/principal-applied-scientist-delivery-foundation-model-?cmpid=DA_INAD200785B")</f>
        <v/>
      </c>
      <c r="G212" t="inlineStr">
        <is>
          <t>Santa Clara, CA, US</t>
        </is>
      </c>
      <c r="H212" s="3" t="n">
        <v>45757</v>
      </c>
      <c r="I2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in-082acf4aee16b624</t>
        </is>
      </c>
      <c r="B213" t="inlineStr">
        <is>
          <t>Principal Applied Scientist, Delivery Foundation Model</t>
        </is>
      </c>
      <c r="C213" t="inlineStr">
        <is>
          <t>Amazon.com</t>
        </is>
      </c>
      <c r="D213" t="inlineStr">
        <is>
          <t>indeed</t>
        </is>
      </c>
      <c r="E213">
        <f>HYPERLINK("https://www.indeed.com/viewjob?jk=082acf4aee16b624", "https://www.indeed.com/viewjob?jk=082acf4aee16b624")</f>
        <v/>
      </c>
      <c r="F213">
        <f>HYPERLINK("https://www.amazon.jobs/jobs/2998635/principal-applied-scientist-delivery-foundation-model-?cmpid=DA_INAD200785B", "https://www.amazon.jobs/jobs/2998635/principal-applied-scientist-delivery-foundation-model-?cmpid=DA_INAD200785B")</f>
        <v/>
      </c>
      <c r="G213" t="inlineStr">
        <is>
          <t>Bellevue, WA, US</t>
        </is>
      </c>
      <c r="H213" s="3" t="n">
        <v>45757</v>
      </c>
      <c r="I2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in-60ba064af95c57fc</t>
        </is>
      </c>
      <c r="B214" t="inlineStr">
        <is>
          <t>Principal Applied Scientist, FAR (Frontier AI &amp; Robotics)</t>
        </is>
      </c>
      <c r="C214" t="inlineStr">
        <is>
          <t>Amazon.com</t>
        </is>
      </c>
      <c r="D214" t="inlineStr">
        <is>
          <t>indeed</t>
        </is>
      </c>
      <c r="E214">
        <f>HYPERLINK("https://www.indeed.com/viewjob?jk=60ba064af95c57fc", "https://www.indeed.com/viewjob?jk=60ba064af95c57fc")</f>
        <v/>
      </c>
      <c r="F214">
        <f>HYPERLINK("https://www.amazon.jobs/jobs/2938625/principal-applied-scientist-far-frontier-ai--robotics?cmpid=DA_INAD200785B", "https://www.amazon.jobs/jobs/2938625/principal-applied-scientist-far-frontier-ai--robotics?cmpid=DA_INAD200785B")</f>
        <v/>
      </c>
      <c r="G214" t="inlineStr">
        <is>
          <t>San Francisco, CA, US</t>
        </is>
      </c>
      <c r="H214" s="3" t="n">
        <v>45740</v>
      </c>
      <c r="I21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in-c3278ef15a100363</t>
        </is>
      </c>
      <c r="B215" t="inlineStr">
        <is>
          <t>Principal Applied Scientist, FAR (Frontier AI &amp; Robotics)</t>
        </is>
      </c>
      <c r="C215" t="inlineStr">
        <is>
          <t>Amazon.com</t>
        </is>
      </c>
      <c r="D215" t="inlineStr">
        <is>
          <t>indeed</t>
        </is>
      </c>
      <c r="E215">
        <f>HYPERLINK("https://www.indeed.com/viewjob?jk=c3278ef15a100363", "https://www.indeed.com/viewjob?jk=c3278ef15a100363")</f>
        <v/>
      </c>
      <c r="F215">
        <f>HYPERLINK("https://www.amazon.jobs/jobs/2938625/principal-applied-scientist-far-frontier-ai--robotics?cmpid=DA_INAD200785B", "https://www.amazon.jobs/jobs/2938625/principal-applied-scientist-far-frontier-ai--robotics?cmpid=DA_INAD200785B")</f>
        <v/>
      </c>
      <c r="G215" t="inlineStr">
        <is>
          <t>Seattle, WA, US</t>
        </is>
      </c>
      <c r="H215" s="3" t="n">
        <v>45740</v>
      </c>
      <c r="I21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in-d11f91907c27b658</t>
        </is>
      </c>
      <c r="B216" t="inlineStr">
        <is>
          <t>Data Scientist - Computer Vision, Data &amp; Machine Learning (DML)</t>
        </is>
      </c>
      <c r="C216" t="inlineStr">
        <is>
          <t>Amazon Web Services</t>
        </is>
      </c>
      <c r="D216" t="inlineStr">
        <is>
          <t>indeed</t>
        </is>
      </c>
      <c r="E216">
        <f>HYPERLINK("https://www.indeed.com/viewjob?jk=d11f91907c27b658", "https://www.indeed.com/viewjob?jk=d11f91907c27b658")</f>
        <v/>
      </c>
      <c r="F216">
        <f>HYPERLINK("https://www.amazon.jobs/jobs/3171977/data-scientist--computer-vision-data--machine-learning-dml?cmpid=DA_INAD200785B", "https://www.amazon.jobs/jobs/3171977/data-scientist--computer-vision-data--machine-learning-dml?cmpid=DA_INAD200785B")</f>
        <v/>
      </c>
      <c r="G216" t="inlineStr">
        <is>
          <t>Herndon, VA, US</t>
        </is>
      </c>
      <c r="H216" s="3" t="n">
        <v>46051</v>
      </c>
      <c r="I21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7">
      <c r="A217" t="inlineStr">
        <is>
          <t>in-3caa6948b6c0a8fd</t>
        </is>
      </c>
      <c r="B217" t="inlineStr">
        <is>
          <t>Data Scientist - Computer Vision, Data &amp; Machine Learning (DML)</t>
        </is>
      </c>
      <c r="C217" t="inlineStr">
        <is>
          <t>Amazon Web Services</t>
        </is>
      </c>
      <c r="D217" t="inlineStr">
        <is>
          <t>indeed</t>
        </is>
      </c>
      <c r="E217">
        <f>HYPERLINK("https://www.indeed.com/viewjob?jk=3caa6948b6c0a8fd", "https://www.indeed.com/viewjob?jk=3caa6948b6c0a8fd")</f>
        <v/>
      </c>
      <c r="F217">
        <f>HYPERLINK("https://www.amazon.jobs/jobs/3171977/data-scientist--computer-vision-data--machine-learning-dml?cmpid=DA_INAD200785B", "https://www.amazon.jobs/jobs/3171977/data-scientist--computer-vision-data--machine-learning-dml?cmpid=DA_INAD200785B")</f>
        <v/>
      </c>
      <c r="G217" t="inlineStr">
        <is>
          <t>Arlington, VA, US</t>
        </is>
      </c>
      <c r="H217" s="3" t="n">
        <v>46051</v>
      </c>
      <c r="I21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8">
      <c r="A218" t="inlineStr">
        <is>
          <t>in-d75f89011a925ccd</t>
        </is>
      </c>
      <c r="B218" t="inlineStr">
        <is>
          <t>Data Scientist- Vision Language Model Researcher, Data &amp; Machine Learning (DML)</t>
        </is>
      </c>
      <c r="C218" t="inlineStr">
        <is>
          <t>Amazon Web Services</t>
        </is>
      </c>
      <c r="D218" t="inlineStr">
        <is>
          <t>indeed</t>
        </is>
      </c>
      <c r="E218">
        <f>HYPERLINK("https://www.indeed.com/viewjob?jk=d75f89011a925ccd", "https://www.indeed.com/viewjob?jk=d75f89011a925ccd")</f>
        <v/>
      </c>
      <c r="F218">
        <f>HYPERLINK("https://www.amazon.jobs/jobs/3172308/data-scientist-vision-language-model-researcher-data--machine-learning-dml?cmpid=DA_INAD200785B", "https://www.amazon.jobs/jobs/3172308/data-scientist-vision-language-model-researcher-data--machine-learning-dml?cmpid=DA_INAD200785B")</f>
        <v/>
      </c>
      <c r="G218" t="inlineStr">
        <is>
          <t>Arlington, VA, US</t>
        </is>
      </c>
      <c r="H218" s="3" t="n">
        <v>46051</v>
      </c>
      <c r="I21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9">
      <c r="A219" t="inlineStr">
        <is>
          <t>in-d44b5e0b7ff0ab0e</t>
        </is>
      </c>
      <c r="B219" t="inlineStr">
        <is>
          <t>Data Scientist- Vision Language Model Researcher, Data &amp; Machine Learning (DML)</t>
        </is>
      </c>
      <c r="C219" t="inlineStr">
        <is>
          <t>Amazon Web Services</t>
        </is>
      </c>
      <c r="D219" t="inlineStr">
        <is>
          <t>indeed</t>
        </is>
      </c>
      <c r="E219">
        <f>HYPERLINK("https://www.indeed.com/viewjob?jk=d44b5e0b7ff0ab0e", "https://www.indeed.com/viewjob?jk=d44b5e0b7ff0ab0e")</f>
        <v/>
      </c>
      <c r="F219">
        <f>HYPERLINK("https://www.amazon.jobs/jobs/3172308/data-scientist-vision-language-model-researcher-data--machine-learning-dml?cmpid=DA_INAD200785B", "https://www.amazon.jobs/jobs/3172308/data-scientist-vision-language-model-researcher-data--machine-learning-dml?cmpid=DA_INAD200785B")</f>
        <v/>
      </c>
      <c r="G219" t="inlineStr">
        <is>
          <t>Herndon, VA, US</t>
        </is>
      </c>
      <c r="H219" s="3" t="n">
        <v>46051</v>
      </c>
      <c r="I21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0">
      <c r="A220" t="inlineStr">
        <is>
          <t>in-7dfb650b7de7cc7b</t>
        </is>
      </c>
      <c r="B220" t="inlineStr">
        <is>
          <t>Applied Scientist, Alexa Smart Home</t>
        </is>
      </c>
      <c r="C220" t="inlineStr">
        <is>
          <t>Amazon.com</t>
        </is>
      </c>
      <c r="D220" t="inlineStr">
        <is>
          <t>indeed</t>
        </is>
      </c>
      <c r="E220">
        <f>HYPERLINK("https://www.indeed.com/viewjob?jk=7dfb650b7de7cc7b", "https://www.indeed.com/viewjob?jk=7dfb650b7de7cc7b")</f>
        <v/>
      </c>
      <c r="F220">
        <f>HYPERLINK("https://www.amazon.jobs/jobs/3169205/applied-scientist-alexa-smart-home?cmpid=DA_INAD200785B", "https://www.amazon.jobs/jobs/3169205/applied-scientist-alexa-smart-home?cmpid=DA_INAD200785B")</f>
        <v/>
      </c>
      <c r="G220" t="inlineStr">
        <is>
          <t>Seattle, WA, US</t>
        </is>
      </c>
      <c r="H220" s="3" t="n">
        <v>46033</v>
      </c>
      <c r="I22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1">
      <c r="A221" t="inlineStr">
        <is>
          <t>in-f216a1727f447ec1</t>
        </is>
      </c>
      <c r="B221" t="inlineStr">
        <is>
          <t>Applied Scientist, Alexa Smart Home</t>
        </is>
      </c>
      <c r="C221" t="inlineStr">
        <is>
          <t>Amazon.com</t>
        </is>
      </c>
      <c r="D221" t="inlineStr">
        <is>
          <t>indeed</t>
        </is>
      </c>
      <c r="E221">
        <f>HYPERLINK("https://www.indeed.com/viewjob?jk=f216a1727f447ec1", "https://www.indeed.com/viewjob?jk=f216a1727f447ec1")</f>
        <v/>
      </c>
      <c r="F221">
        <f>HYPERLINK("https://www.amazon.jobs/jobs/3169205/applied-scientist-alexa-smart-home?cmpid=DA_INAD200785B", "https://www.amazon.jobs/jobs/3169205/applied-scientist-alexa-smart-home?cmpid=DA_INAD200785B")</f>
        <v/>
      </c>
      <c r="G221" t="inlineStr">
        <is>
          <t>Sunnyvale, CA, US</t>
        </is>
      </c>
      <c r="H221" s="3" t="n">
        <v>46033</v>
      </c>
      <c r="I22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li-4120824565</t>
        </is>
      </c>
      <c r="B2" t="inlineStr">
        <is>
          <t>Data Scientist, Product Analytics</t>
        </is>
      </c>
      <c r="C2" t="inlineStr">
        <is>
          <t>Meta</t>
        </is>
      </c>
      <c r="D2" t="inlineStr">
        <is>
          <t>linkedin</t>
        </is>
      </c>
      <c r="E2" t="inlineStr"/>
      <c r="F2" t="inlineStr"/>
      <c r="G2" t="inlineStr">
        <is>
          <t>New York, NY</t>
        </is>
      </c>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li-4134650573</t>
        </is>
      </c>
      <c r="B3" t="inlineStr">
        <is>
          <t>Data Scientist, Product Analytics</t>
        </is>
      </c>
      <c r="C3" t="inlineStr">
        <is>
          <t>Meta</t>
        </is>
      </c>
      <c r="D3" t="inlineStr">
        <is>
          <t>linkedin</t>
        </is>
      </c>
      <c r="E3" t="inlineStr"/>
      <c r="F3" t="inlineStr"/>
      <c r="G3" t="inlineStr">
        <is>
          <t>Mountain View, CA</t>
        </is>
      </c>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li-4120391416</t>
        </is>
      </c>
      <c r="B4" t="inlineStr">
        <is>
          <t>Data Scientist, Product Analytics</t>
        </is>
      </c>
      <c r="C4" t="inlineStr">
        <is>
          <t>Meta</t>
        </is>
      </c>
      <c r="D4" t="inlineStr">
        <is>
          <t>linkedin</t>
        </is>
      </c>
      <c r="E4" t="inlineStr"/>
      <c r="F4" t="inlineStr"/>
      <c r="G4" t="inlineStr">
        <is>
          <t>San Francisco,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li-4120824568</t>
        </is>
      </c>
      <c r="B5" t="inlineStr">
        <is>
          <t>Data Scientist, Product Analytics</t>
        </is>
      </c>
      <c r="C5" t="inlineStr">
        <is>
          <t>Meta</t>
        </is>
      </c>
      <c r="D5" t="inlineStr">
        <is>
          <t>linkedin</t>
        </is>
      </c>
      <c r="E5" t="inlineStr"/>
      <c r="F5" t="inlineStr"/>
      <c r="G5" t="inlineStr">
        <is>
          <t>Sunnyvale, CA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li-4120822668</t>
        </is>
      </c>
      <c r="B6" t="inlineStr">
        <is>
          <t>Data Scientist, Product Analytics</t>
        </is>
      </c>
      <c r="C6" t="inlineStr">
        <is>
          <t>Meta</t>
        </is>
      </c>
      <c r="D6" t="inlineStr">
        <is>
          <t>linkedin</t>
        </is>
      </c>
      <c r="E6" t="inlineStr"/>
      <c r="F6" t="inlineStr"/>
      <c r="G6" t="inlineStr">
        <is>
          <t>San Francisco,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li-4120824560</t>
        </is>
      </c>
      <c r="B7" t="inlineStr">
        <is>
          <t>Data Scientist, Product Analytics</t>
        </is>
      </c>
      <c r="C7" t="inlineStr">
        <is>
          <t>Meta</t>
        </is>
      </c>
      <c r="D7" t="inlineStr">
        <is>
          <t>linkedin</t>
        </is>
      </c>
      <c r="E7" t="inlineStr"/>
      <c r="F7" t="inlineStr"/>
      <c r="G7" t="inlineStr">
        <is>
          <t>Burlingame, CA</t>
        </is>
      </c>
      <c r="H7" t="inlineStr"/>
      <c r="I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li-4120825428</t>
        </is>
      </c>
      <c r="B8" t="inlineStr">
        <is>
          <t>Data Scientist, Product Analytics</t>
        </is>
      </c>
      <c r="C8" t="inlineStr">
        <is>
          <t>Meta</t>
        </is>
      </c>
      <c r="D8" t="inlineStr">
        <is>
          <t>linkedin</t>
        </is>
      </c>
      <c r="E8" t="inlineStr"/>
      <c r="F8" t="inlineStr"/>
      <c r="G8" t="inlineStr">
        <is>
          <t>Seattle, WA</t>
        </is>
      </c>
      <c r="H8" t="inlineStr"/>
      <c r="I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li-4120822583</t>
        </is>
      </c>
      <c r="B9" t="inlineStr">
        <is>
          <t>Data Scientist, Product Analytics</t>
        </is>
      </c>
      <c r="C9" t="inlineStr">
        <is>
          <t>Meta</t>
        </is>
      </c>
      <c r="D9" t="inlineStr">
        <is>
          <t>linkedin</t>
        </is>
      </c>
      <c r="E9" t="inlineStr"/>
      <c r="F9" t="inlineStr"/>
      <c r="G9" t="inlineStr">
        <is>
          <t>Seattle, WA</t>
        </is>
      </c>
      <c r="H9" t="inlineStr"/>
      <c r="I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li-4370322740</t>
        </is>
      </c>
      <c r="B10" t="inlineStr">
        <is>
          <t>Data Scientist</t>
        </is>
      </c>
      <c r="C10" t="inlineStr">
        <is>
          <t>Volkswagen Financial Services</t>
        </is>
      </c>
      <c r="D10" t="inlineStr">
        <is>
          <t>linkedin</t>
        </is>
      </c>
      <c r="E10" t="inlineStr"/>
      <c r="F10" t="inlineStr"/>
      <c r="G10" t="inlineStr"/>
      <c r="H10" t="inlineStr"/>
      <c r="I10" t="inlineStr">
        <is>
          <t>**About The Company**
 Volkswagen Financial Services, a wholly\-owned subsidiary of Volkswagen Group, is a leading provider of mobility solutions dedicated to supporting its brand partners including Audi, Ducati, and Volkswagen. The company specializes in offering accessible mobility options through a comprehensive range of financial services such as Retail Leasing, Retail Financing, Commercial Financing for both new and used vehicles, and End\-of\-Term vehicle disposition. With a focus on innovation and customer\-centric solutions, Volkswagen Financial Services aims to facilitate seamless mobility experiences for its clients worldwide. The organization is committed to leveraging cutting\-edge technology and data\-driven strategies to enhance its offerings and maintain its position as a leader in the automotive finance industry.
**About The Role**
 This position is a Career Level 30P role based in Reston, VA, with a hybrid work model. The role resides within VWFS’s Data Science \&amp; AI Center of Excellence and is pivotal in delivering analytical insights, developing models, and providing strategic direction to support VWFS’s mobility transformation. The Principal Data Scientist will lead high\-impact initiatives that align with VWFS’s goal to evolve into a data and AI\-driven organization. Projects encompass a broad spectrum of automotive finance, including automated decision\-making, fraud detection, and process optimization. The role offers an exciting opportunity to influence the future of mobility through innovative data science solutions, working closely with cross\-functional teams to implement scalable AI models that drive business growth and operational efficiency.
**Qualifications**
* Bachelor’s degree in Computer Science, Statistics, Economics, Engineering, Operations Research, or a related quantitative field
* Master’s degree in Computer Science, Statistics, Economics, Engineering, Operations Research, or a related quantitative field
* 12\+ years of experience in data and analytics, with at least 8 years in data science
* 7\+ years of experience in extracting, curating, exploring, and analyzing large datasets
* 7\+ years of developing, integrating, and deploying machine learning solutions into business processes
* 7\+ years of experience in algorithm tuning, model validation, and back\-testing
* 5\+ years of leading machine learning project development
* Proficiency in machine learning models, including traditional ML and Generative AI
* Strong collaborative skills to work with product owners and managers to translate business needs into impactful AI solutions
* Excellent communication skills to convey technical concepts to non\-technical stakeholders
* Research\-oriented mindset with a passion for exploring new data sources and analytical tools
**Responsibilities**
* Lead the development of data science products, establish standards, best practices, and foster innovation within the Data Science \&amp; AI CoE (25%)
* Experiment, build, and integrate data science solutions into core business processes and explore new opportunities (75%)
* Define and continuously improve the machine learning environment to ensure efficiency and scalability
* Develop and deploy AI models that influence key business decisions and strategies
* Implement governance routines to ensure adherence to model management policies, privacy, ethics, and bias mitigation standards
* Apply advanced data science techniques, algorithms, and tools to solve complex business problems
* Provide technical oversight, mentorship, and guidance to junior data scientists
* Utilize model testing, tuning, and validation techniques to ensure model accuracy, robustness, and reliability
* Innovate new machine learning methods and drive technological advancements across the organization
* Maintain comprehensive documentation, contribute to playbooks, and communicate progress effectively
* Generate hypotheses to identify new business opportunities and support strategic decision\-making
**Benefits**
* Competitive salary and performance\-based incentives
* Comprehensive health, dental, and vision insurance plans
* Retirement savings plans with company matching contributions
* Paid time off and holiday leave
* Professional development opportunities and continuous learning programs
* Flexible work arrangements in accordance with company policies
* Access to cutting\-edge technology and innovative projects
* Collaborative and inclusive work environment
 Equal Opportunity
 Volkswagen Financial Services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We are committed to fostering a diverse and inclusive workplace where all employees can thrive and contribute to our collective success.</t>
        </is>
      </c>
    </row>
    <row r="11">
      <c r="A11" t="inlineStr">
        <is>
          <t>li-4308510108</t>
        </is>
      </c>
      <c r="B11" t="inlineStr">
        <is>
          <t>Applied Scientist</t>
        </is>
      </c>
      <c r="C11" t="inlineStr">
        <is>
          <t>Adobe</t>
        </is>
      </c>
      <c r="D11" t="inlineStr">
        <is>
          <t>linkedin</t>
        </is>
      </c>
      <c r="E11" t="inlineStr"/>
      <c r="F11" t="inlineStr"/>
      <c r="G11" t="inlineStr">
        <is>
          <t>San Jose, CA</t>
        </is>
      </c>
      <c r="H11" t="inlineStr"/>
      <c r="I1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 Applied Science \&amp; Machine Learning (ASML) group is looking for applied research scientists and engineers to help us build the next generation of creative tools. Video Gen org within ASML is looking for a Machine Learning Engineer with experience in video understanding and generation. We seek candidates with strong expertise in the field, as evidenced by peer\-reviewed academic publications, combined with hands\-on industrial research experience.
 As a Machine Learning Engineer at ASML, you will be joining an outstanding team of applied researchers and engineers building the future of digital experiences. You will have the opportunity to develop novel ideas to advance the Creativity world through features in Adobe's products and reach millions of people worldwide!
**What you will be responsible for:**
* Develop and implement scalable and efficient modeling algorithms that can work with large\-scale data in production systems
* Develop and fine\-tune (e.g., ViTs, VLMs, multimodal encoders) large\-scale foundation models for video understanding and generation
* Collaborate with extraordinary researchers and engineers to bring research ideas to production
* Convert a research idea/paper to code in Python and typical machine learning development toolkits
* Stay on top of the latest ML research (e.g., diffusion models, alignment methods, multimodal understanding) and translate advances into practical solutions
**What you'll need to succeed:**
* Masters or Ph.D. in Computer Science, AI/ML or related fields
* Excellent communication skills
* Strong proficiency in Python and PyTorch
* Solid foundation in computer science fundamentals
* Experience with distributed training and its common strategies
* Experience in state\-of\-the\-art Generative AI technologies, such as VLMs and diffusion models
* Strong hands\-on experience working on image/video understanding, generation and editing
* Working with large\-scale datasets
* Good publication record in Computer Vision, AI/ML or related fields
 Our compensation reflects the cost of labor across several  U.S. geographic markets, and we pay differently based on those defined markets. The U.S. pay range for this position is $120,700 \-\- $238,600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$164,800 \- $238,600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2">
      <c r="A12" t="inlineStr">
        <is>
          <t>li-4307901770</t>
        </is>
      </c>
      <c r="B12" t="inlineStr">
        <is>
          <t>Senior Data Scientist, Consumer</t>
        </is>
      </c>
      <c r="C12" t="inlineStr">
        <is>
          <t>Reddit, Inc.</t>
        </is>
      </c>
      <c r="D12" t="inlineStr">
        <is>
          <t>linkedin</t>
        </is>
      </c>
      <c r="E12" t="inlineStr"/>
      <c r="F12" t="inlineStr"/>
      <c r="G12" t="inlineStr"/>
      <c r="H12" t="inlineStr"/>
      <c r="I1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 Develop action\-oriented insights to drive the product strategy through observational causal analysis and experiment meta\-analysis, and clearly communicate results to stakeholders up to the C\-suite to take action based on the recommendations
* Uplevel experimentation practices on the team through guiding design, execution, and deep dive analyses to maximize learnings from A/B tests
* Create new ETLs, tables, dashboards, and other self\-serve tools to enable other data scientists and cross\-functional partners to find and interact with data seamlessly
* Design, evaluate, and/or measure team\-level KPIs to enable quarterly goal setting and demonstrate team impact
* Regularly engage with stakeholders to gather feedback and share progress on work at all stages to ensure alignment between DS and other teams on business goals and outcomes
* Mentor more junior data scientists and business partners in data science best practices and methods to increase data literacy and improve decision making
**Required Qualifications**
* Advanced degree (Masters or Ph.D.) in a quantitative field such as: Statistics, Mathematics, Physics, Economics, or Operations Research
* For M.S. holders: 5\+ years of industry experience in applied science or data science roles
* For Ph.D. holders: 4\+ years of industry experience in applied science or data science roles
* Expertise in querying relational databases (SQL) and programming languages (e.g., R / Python)
* Deep understanding of online experimentation (A/B testing), causal inference, and statistical techniques
* Comfortable in innovative and fast\-paced environments, and a bias toward action
* Strong technical communication / data storytelling skills and demonstrated ability to discuss complex topics with technical and non\-technical audiences alike
* Able to tackle ambiguous and undefined problems by creating an action plan, getting feedback, and iterating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3">
      <c r="A13" t="inlineStr">
        <is>
          <t>li-4280505182</t>
        </is>
      </c>
      <c r="B13" t="inlineStr">
        <is>
          <t>Data Scientist Graduate (TikTok Shop Business Product DS) - 2026 Start (BS/MS)</t>
        </is>
      </c>
      <c r="C13" t="inlineStr">
        <is>
          <t>TikTok</t>
        </is>
      </c>
      <c r="D13" t="inlineStr">
        <is>
          <t>linkedin</t>
        </is>
      </c>
      <c r="E13" t="inlineStr"/>
      <c r="F13" t="inlineStr"/>
      <c r="G13" t="inlineStr">
        <is>
          <t>Seattle, WA</t>
        </is>
      </c>
      <c r="H13" t="inlineStr"/>
      <c r="I13" t="inlineStr">
        <is>
          <t>**Responsibilities**
 TikTok Global E\-commerce Data Science team leverages rigorous data analysis and scientific methodologies to drive business growth, enhance operational efficiency, and improve the experience for users, merchants, and creators worldwide. The team conducts exploratory analyses and forward\-looking insights to identify market trends and user/merchant/creator behavioral patterns, uncovering opportunities for optimization. We design and interpret A/B tests, apply causal inference methodology to support product iterations for both to C and to B products. We also build foundational data infrastructure and develop dashboards to empower product, operations, engineering, and cross\-functional teams to monitor performance and identify areas for improvement. At TikTok, we champion a data science philosophy rooted in statistical rigor, data\-driven decision\-making, and scalable methodologies to support global e\-commerce expansion.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screening will be invited to participate in TikTok's technical online assessment.
**Responsibilities:**
* Conduct data analysis for TikTok’s global e\-commerce products, covering areas such as creators \&amp; merchants, content e\-commerce, promotion tools, ShopTab, and transaction flow;
* Design and analyze A/B tests, evaluate product optimizations, analyze campaign performance, monitor key metric fluctuations, and assess client\-side version updates;
* Analyze country\-specific factors influencing product optimization and business growth, and propose actionable product improvement solutions aligned with business direction;
* Collaborate closely with product managers, operations, engineering, and algorithm teams to implement data\-driven strategies and deliver measurable business impact;
* Build and maintain e\-commerce product metric systems, work with data engineering teams to construct foundational data pipelines and visual dashboards, and enable business stakeholders to gain actionable insights.
**Qualifications**
 Minimum Qualifications:
* Currently pursuing an Undergraduate/Master in Computer Science, Statistics, Econometrics, Mathematics or other quantitative disciplines;
* Proficient in data analysis tools and languages such as SQL, Python, or R;
* Solid foundation in statistics, with hands\-on experience in A/B testing, regression analysis, and causal inference; \- Strong data visualization skills and ability to clearly communicate analytical insights through dashboards and reports;
* Results\-driven, highly self\-motivated, and accountable; excellent team player with strong organizational and communication skills.
**Preferred Qualifications:**
* Currently pursuing an Advanced Degree (MS) in Computer Science, Statistics, Econometrics, Mathematics or other quantitative disciplines;
* Experience in cross\-border or international e\-commerce data analysis or modeling;
* Familiarity with machine learning frameworks or predictive modeling; hands\-on experience with tools such as Scikit\-learn, TensorFlow, or PyTorch;
* Experience working with big data technologies such as Hive, Spark, or Hadoop;
* Strong cross\-functional communication skills.
 By submitting an application for this role, you accept and agree to our global applicant privacy policy, which may be accessed here: https://careers.tiktok.com/legal/privacy
 If you have any questions, please reach out to us at apac\-earlycareers@tiktok.com
 Job Information
**【For Pay Transparency】Compensation Description (Annually)**
 The base salary range for this position in the selected city is $108300 \- $168889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4">
      <c r="A14" t="inlineStr">
        <is>
          <t>li-4081292176</t>
        </is>
      </c>
      <c r="B14" t="inlineStr">
        <is>
          <t>Senior Data Scientist, Cost Prediction</t>
        </is>
      </c>
      <c r="C14" t="inlineStr">
        <is>
          <t>Xometry</t>
        </is>
      </c>
      <c r="D14" t="inlineStr">
        <is>
          <t>linkedin</t>
        </is>
      </c>
      <c r="E14" t="inlineStr"/>
      <c r="F14" t="inlineStr"/>
      <c r="G14" t="inlineStr">
        <is>
          <t>North Bethesda, MD</t>
        </is>
      </c>
      <c r="H14" t="inlineStr"/>
      <c r="I1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adding a Senior Data Scientist to our cost prediction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using 3D data
* Write software to prepare, clean, and sample data for use in developing predictive models
* Use cloud resources (e.g., Amazon Web Services) to prepare and process data
* Query and extract data from databases (Snowflake and MongoDB)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**Requirements:**
* Bachelor’s degree required; degree in applied math, computer science, natural sciences or engineering preferred
* M.S. or PhD in a related field highly desired
* 5\+ years of experience with machine learning, statistical modeling, and optimization techniques
* 2\+ years of experience in 3D deep learning; Mesh, Volumetric, and/or Point Clouds
* Fluent in Python (pandas, numpy, SciPy, and scikit\-learn preferred)
* Proficient in linear algebra and statistics
* Familiar with scientific software principals, e.g. versioning systems, reproducibility, code deployment
* Experience in the manufacturing industry is desired
* Must be a US Citizen or Green Card holder (ITAR)
 The estimated base salary range for new hires into this role is $140,000\- $182,000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5">
      <c r="A15" t="inlineStr">
        <is>
          <t>li-4370070509</t>
        </is>
      </c>
      <c r="B15" t="inlineStr">
        <is>
          <t>Data Scientist | Clinical AI</t>
        </is>
      </c>
      <c r="C15" t="inlineStr">
        <is>
          <t>RemoteHunter</t>
        </is>
      </c>
      <c r="D15" t="inlineStr">
        <is>
          <t>linkedin</t>
        </is>
      </c>
      <c r="E15" t="inlineStr"/>
      <c r="F15" t="inlineStr"/>
      <c r="G15" t="inlineStr"/>
      <c r="H15" t="inlineStr"/>
      <c r="I15"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li-4299308352</t>
        </is>
      </c>
      <c r="B16" t="inlineStr">
        <is>
          <t>Senior Data Scientist, Ads</t>
        </is>
      </c>
      <c r="C16" t="inlineStr">
        <is>
          <t>Reddit, Inc.</t>
        </is>
      </c>
      <c r="D16" t="inlineStr">
        <is>
          <t>linkedin</t>
        </is>
      </c>
      <c r="E16" t="inlineStr"/>
      <c r="F16" t="inlineStr"/>
      <c r="G16" t="inlineStr"/>
      <c r="H16" t="inlineStr"/>
      <c r="I1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 Design, develop, and apply DS solutions to inform improvements in advertiser experience and Reddit's ad platform
* Analyze large\-scale datasets to identify trends, patterns, and insights that can be used to improve the effectiveness of our advertising platform
* Collaborate with product managers and engineers to define product requirements and translate them into data science solutions
* Develop ML models \&amp; DS methods to improve anomaly detection, prediction, \&amp; pattern recognition
* Communicate findings and recommendations to stakeholders across the organization
* Stay up\-to\-date on the latest advancements in machine learning and data science
* Mentor and guide junior data scientists on the team
**Qualifications**
* Advanced degree (Masters or Ph.D.) in a quantitative field such as: Statistics, Mathematics, Physics, Economics, or Operations Research
* For M.S. holders: 5\+ years of industry experience in applied science or data science roles
* For Ph.D. holders: 4\+ years of industry experience in applied science or data science roles
* Platform experience and a deep understanding of the ads ecosystem
* Strong understanding of statistical modeling, machine learning algorithms, causal inference and experimental design
* Experience with large\-scale data processing and analysis using tools such as Spark, Hadoop, or Hive; knowledge of BigQuery a plus
* Proficiency in Python or R and experience with machine learning libraries such as scikit\-learn, TensorFlow, or PyTorch
* Experience with SQL and relational databases
* Excellent communication and presentation skills
* Passion for Reddit and the online advertising industry
**Bonus Points**
* Experience with online advertising and ad tech
* Experience with causal inference and A/B testing
* Contributions to open\-source projects or publications in relevant conferences or journals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7">
      <c r="A17" t="inlineStr">
        <is>
          <t>li-4370329600</t>
        </is>
      </c>
      <c r="B17" t="inlineStr">
        <is>
          <t>Data Scientists - Remote</t>
        </is>
      </c>
      <c r="C17" t="inlineStr">
        <is>
          <t>ExecutivePlacements.com</t>
        </is>
      </c>
      <c r="D17" t="inlineStr">
        <is>
          <t>linkedin</t>
        </is>
      </c>
      <c r="E17" t="inlineStr"/>
      <c r="F17" t="inlineStr"/>
      <c r="G17" t="inlineStr">
        <is>
          <t>Minnetonka, MN</t>
        </is>
      </c>
      <c r="H17" t="inlineStr"/>
      <c r="I17"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This Data Scientist is the first of its kind and critical role for accelerating the AI agenda across UHC Consumer Operations. This position will report to the Sr Director Data AI Program Management, Governance and Data Integrity. This position combines data science with healthcare innovation, AI ethics, and regulatory compliance, providing a unique opportunity to help shape the future of AI applications in healthcare.
 In this role, you will collaborate with cross\-functional teams to refine AI methodologies, develop and validate robust testing protocols to identify potential model failures. A successful candidate will interact with diverse teams using a wide variety of AI methods and validate test plans and results. They will design and oversee testing and monitoring plans for novel use cases across a wide spectrum of types of AI and healthcare applications.
 The role will participate in UHG's external industry groups involve with AI policy. The role requires ability to write clear documentation on use\-case specific testing requirements. You will also engage with stakeholders to advocate for and drive the adoption of responsible AI practices, providing a unique opportunity to shape the future of ethical AI applications in healthcare.
 You'll enjoy the flexibility to work remotely \* from anywhere within the U.S. as you take on some tough challenges. For all hires in the Minneapolis or Washington, D.C. area, you will be required to work in the office a minimum of four days per week.
**Primary Responsibilities**
* Design and write new guidelines for AI testing and ongoing monitoring
* Design and document improved testing methodologies, especially for novel use cases
* Clearly communicate with diverse teams including legal, compliance, and AI development over a wide variety of AI methods including Generative AI and traditional ML
* Document findings, create reports related to KPOs, and present results to stakeholders
* Develop job aids and guidance documentation for best practices of responsible AI
* Help identify vulnerabilities related to PII/PHI exposure in AI interactions
* Stay abreast of the latest developments in AI/ML research and incorporate relevant findings into work
* Be in lock step with AI strategy counterpart in delivering against AI strategy and product vision and roadmap that is focused on company goals and consumer needs
* Support AI program office, setting clear priorities, success metrics and cross functional alignment
* Build and enforce consistent AI lifecycle management process (ideation, model development, testing, deployment, monitoring, retirement) including rinse and repeat playbook for AI Review Board (AIRB)
* Enforce policies for data quality, lineage, accuracy and security across AI pipelines
* Build in partnership with data engineering and platform teams best\-in\-class data models and maintenance programs to set the foundation for scalable AI growth
* Establish data validating protocols to reduce the risk of integrity related incidents
* Build, converge and deliver data API's that prevent data drift, model decay and data hygiene related risks
* Design and oversee AI performance reporting dashboards covering accuracy, bias, fairness, operational health, real time anomaly detection and more
* Establish and lead the AI incident management framework, including severity levels, response times and escalation protocols
* Drive adoption of AI risk management practices
* Support key priorities of increasing employee and management engagement by promoting Our United Culture and DEI concepts and activities with leaders and within the organization
 You'll be rewarded and recognized for your performance in an environment that will challenge you and give you clear direction on what it takes to succeed in your role as well as provide development for other roles you may be interested in.
**Required Qualifications**
* 8\+ years of experience in computer science, applied mathematics, applied statistics, linguistics or related quantitative fields
* Experience in establishing data integrity and governance frameworks at scale
* Extensive experience with advanced natural language processing models and clinical natural language processing, clinical de\-identification, and clinical annotation
* Deep understanding of AI ethics and fairness considerations
* Proficiency in the full machine learning lifecycle including development, deployment, and monitoring
* Proven solid analytical and problem\-solving skills
* Legally authorized to work in the US without any restrictions. Proof will be required.
**Preferred Qualifications**
* Experience collaborating with cross\-functional teams including product managers and business stakeholders
* Experience partnering with AI forward companies like Amazon, Google, Microsoft and the likes
* Knowledge of large language models, conversational AI, prompt engineering, and adversarial testing
* Familiarity with regulatory frameworks relevant to AI healthcare systems including claims payment and call centers
* History of delivering production systems that include clinical natural language processing, sentiment analysis, text classification, medical/health informatics, clinical de\-identification, and clinical annotation
* Proven ability to translate business needs into technical solutions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k contribution (all benefits are subject to eligibility requirements). No matter where or when you begin a career with us, you'll find a far\-reaching choice of benefits and incentives. The salary for this role will range from $91, to $,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8">
      <c r="A18" t="inlineStr">
        <is>
          <t>li-4308556113</t>
        </is>
      </c>
      <c r="B18" t="inlineStr">
        <is>
          <t>Applied Scientist, Generative AI/ML</t>
        </is>
      </c>
      <c r="C18" t="inlineStr">
        <is>
          <t>Adobe</t>
        </is>
      </c>
      <c r="D18" t="inlineStr">
        <is>
          <t>linkedin</t>
        </is>
      </c>
      <c r="E18" t="inlineStr"/>
      <c r="F18" t="inlineStr"/>
      <c r="G18" t="inlineStr">
        <is>
          <t>San Jose, CA</t>
        </is>
      </c>
      <c r="H18" t="inlineStr"/>
      <c r="I1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to add Applied Scientists in Generative AI to our world\-class AI Platform team. We are specifically looking for scientists with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**Required Qualifications**
* Ph.D. in Computer Science, CV/AI/ML/CG or related fields and 1\+ years professional experience.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**What You'll Bring**
* Experience on large\-scale generative model training
* Experience on synthetic data generation
* Experience of working with large\-scale datasets
* Experience of working with product teams on technology transfers
 \#FireflyGenAI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In Washington,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9">
      <c r="A19" t="inlineStr">
        <is>
          <t>li-4369941961</t>
        </is>
      </c>
      <c r="B19" t="inlineStr">
        <is>
          <t>Data Scientist</t>
        </is>
      </c>
      <c r="C19" t="inlineStr">
        <is>
          <t>Haystack</t>
        </is>
      </c>
      <c r="D19" t="inlineStr">
        <is>
          <t>linkedin</t>
        </is>
      </c>
      <c r="E19" t="inlineStr"/>
      <c r="F19" t="inlineStr"/>
      <c r="G19" t="inlineStr"/>
      <c r="H19" t="inlineStr"/>
      <c r="I19" t="inlineStr">
        <is>
          <t>**Data Scientist, Senior \| Alexandria, VA \| Remote\-Friendly \| $99,000 \- $225,000**
 We're working with Booz Allen Hamilton on this exciting opportunity.
 Unleash the power of data to solve critical challenges for the DoD! As a Senior Data Scientist, you'll leverage your expertise in machine learning, statistical analysis, Python, and R to provide strategic insights and drive informed decision\-making.
**The Role**
* Lead the design and execution of complex statistical analyses on diverse datasets.
* Develop production\-quality data visualizations and dashboards for senior leadership.
* Spearhead data science projects from inception to delivery, ensuring rigor and mission alignment.
* Mentor junior data scientists and champion best practices for reproducible research.
* Translate strategic questions into actionable analytical approaches, driving impact for national security.
**What You'll Need**
* 7\+ years in data science, statistical analysis, or quantitative research.
* Expertise in Python (pandas, NumPy, scikit\-learn) or R (tidyverse) for data analysis.
* Proven experience with SQL for large\-scale data management and analysis.
* Familiarity with distributed computing frameworks like Spark or DASK.
* TS/SCI clearance is a must.
**What's On Offer**
* Competitive salary ranging from $99,000 to $225,000\.
* Comprehensive health, life, disability, and retirement benefits.
* Opportunities for professional development and tuition assistance.
* A flexible, people\-first culture with remote\-friendly work options.
**Apply via Haystack today!**</t>
        </is>
      </c>
    </row>
    <row r="20">
      <c r="A20" t="inlineStr">
        <is>
          <t>li-4323989546</t>
        </is>
      </c>
      <c r="B20" t="inlineStr">
        <is>
          <t>Data Scientist</t>
        </is>
      </c>
      <c r="C20" t="inlineStr">
        <is>
          <t>GovCIO</t>
        </is>
      </c>
      <c r="D20" t="inlineStr">
        <is>
          <t>linkedin</t>
        </is>
      </c>
      <c r="E20" t="inlineStr"/>
      <c r="F20" t="inlineStr"/>
      <c r="G20" t="inlineStr">
        <is>
          <t>Albany, NY</t>
        </is>
      </c>
      <c r="H20" t="inlineStr"/>
      <c r="I20" t="inlineStr">
        <is>
          <t>**Overview**
 GovCIO is currently hiring for a Data Scientist to provides technical leadership in the data science domain. This position will be located in Rome, NY and will be an onsite position.
**Responsibilities**
 Develops deployable AI/ML analytics for C5ISRT data and provides technical leadership in the data science domain. Transforms raw sensor and operational data into analyst\-ready insights. Develops and deploys algorithms, use cases, and models. Supports data analytics research, development, prototyping, maturation, testing, and integration, including generating large\-scale labeled datasets and developing Labeled Data Campaign Plans. Applies MLOps ecosystem tools, including NVIDIA Triton Inference servers, TensorFlow, PyTorch, ONNX, and Python. Integrates models across domains with bi\-weekly evaluations and dataset challenges. Operationalizes data curation, tagging, and ‘Labeling on the Line’ workflows and integrates into Government\-owned labeling apps and repositories. Contributes to CDRL\-backed artifacts such as Detailed Analyses (A021/B021, C021\).
* Skills: data engineering, feature development, MLOps packaging, experiment tracking, evaluation design, metric selection, and bias/error analysis with defensible reporting.
* Knowledge: MLOps at IL5/SIPR/JWICS, dataset curation at scale, evaluation pipelines for bi\-weekly model submissions, MLOps ecosystem (e.g., Triton Inference Server, TensorFlow, PyTorch, ONNX, Python) for model execution, data security classifications, data lake management and data replication to/from edge systems, and algorithm rights/licensing limits in operations.
**Qualifications**
 Bachelor's with 15\+ years (or commensurate experience)
**Required Skills And Experience**
* Clearance Required:TS/SCI
* Masters Degree
* Working knowledge of Python Programming for ML, Cloud Computing Fundamentals, Data Curation Best Practices, Deep Learning Frameworks (TensorFlow/PyTorch), GPU Acceleration, Secure Coding Practices, C5ISRT Domain Expertise, Ethical AI/Bias Analysis
* DoDD 8140 IAT Level II: (CompTIA Security\+, or GSEC or ISC2 SSCP)
 \*\*\*PENDING CONTRACT AWARD\*\*\*
 \#afrl
**Preferred Skills And Experience**
 AWS/Azure Certified Data Engineer or ML Specialty, Certified Analytics Professional (CAP)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$200,000\.00 \- USD $230,000\.00 /Yr.</t>
        </is>
      </c>
    </row>
    <row r="21">
      <c r="A21" t="inlineStr">
        <is>
          <t>li-4331388353</t>
        </is>
      </c>
      <c r="B21" t="inlineStr">
        <is>
          <t>Principal Data Scientist – Product</t>
        </is>
      </c>
      <c r="C21" t="inlineStr">
        <is>
          <t>Gusto</t>
        </is>
      </c>
      <c r="D21" t="inlineStr">
        <is>
          <t>linkedin</t>
        </is>
      </c>
      <c r="E21" t="inlineStr"/>
      <c r="F21" t="inlineStr"/>
      <c r="G21" t="inlineStr"/>
      <c r="H21" t="inlineStr"/>
      <c r="I2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Principal Data Scientists with extensive experience (10\+ years) applying their expertise in a business environment. As a Product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Data Scientist roles open at this senior\-most level, each focused on a different area critical area of our businesses.
**Here’s What You’ll Do Day\-to\-day**
* Strategic Leadership: Shape the analytical strategy for a major product or business area. Identify high\-leverage opportunities, set long\-term measurement and experimentation direction, and align executive stakeholders around data\-driven priorities.
* Execution Excellence: Drive and execute on org\-level analytical roadmaps that shape company strategy. Achieve alignment and ensure consistent analytical rigor and metric integrity across product domains.
* Scaled Impact: In addition to being an expert in statistical methods and driving impact through execution, you will drive frameworks for experimentation, causal analysis, and metric design that scale across multiple teams and influence org\-wide decision quality.
* Thought Partnership: Serve as a trusted advisor to senior product, engineering, and business leaders. Anticipate emerging questions, proactively define success measures, and advocate for data\-informed strategy across the org.
* Analytical Innovation: Push the boundaries of statistical modeling, experimentation, and AI\-assisted analytics. Design methods and tools that expand how Gusto leverages data to drive customer and business impact.
* Mentorship: Mentor and coach more junior data scientists, raising the bar for analytical thinking and storytelling.
**Here’s What We're Looking For**
* 10\+ years of experience in Data Science at a product\-focused software company.
* Strong SQL and Python skills.
* Proven ability to apply statistical methods, causal inference, and experimental design to real business problems.
* Experience developing Machine Learning models is a plus.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$184,000/yr \- $210,000/yr in Denver, $200,000/yr \- $236,000/yr in Los Angeles, $217,000/yr \- $250,000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2">
      <c r="A22" t="inlineStr">
        <is>
          <t>li-4342463400</t>
        </is>
      </c>
      <c r="B22" t="inlineStr">
        <is>
          <t>Data Scientist, Mid</t>
        </is>
      </c>
      <c r="C22" t="inlineStr">
        <is>
          <t>Booz Allen Hamilton</t>
        </is>
      </c>
      <c r="D22" t="inlineStr">
        <is>
          <t>linkedin</t>
        </is>
      </c>
      <c r="E22" t="inlineStr"/>
      <c r="F22" t="inlineStr"/>
      <c r="G22" t="inlineStr">
        <is>
          <t>Arlington, VA</t>
        </is>
      </c>
      <c r="H22" t="inlineStr"/>
      <c r="I22" t="inlineStr">
        <is>
          <t>**Job Number: R0230370**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2\+ years of experience analyzing structured and unstructured data sources
* Experience developing predictive data models, quantitative analyses and visualization of targeted data sources
* Experience leading the development of solutions to complex programs
* Experience with natural language processing, text mining, or machine learning techniques
* Experience working with Palantir Foundry
* Secret clearance
* Bachelor’s degree
**Nice If You Have:** 
* Experience in the development of algorithms leveraging R, Python, or SQL and NoSQL
* Experience with distributed data and computing tools, including MapReduce, Hadoop, Hive, EMR, Kafka, Spark, Gurobi, or MySQL
* Experience with visualization packages, including Plotly, Seaborn, or ggplot2
* Experience with Air Force Envision Platform
* Experience working with Air Force clients
* Experience with effectively managing teams and trusted client relationships
* Experience with developing visually compelling PowerPoint decks and other products to support client delivery
* Experience working with Advana or Vault
* TS/SCI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3">
      <c r="A23" t="inlineStr">
        <is>
          <t>li-4370086187</t>
        </is>
      </c>
      <c r="B23" t="inlineStr">
        <is>
          <t>Senior Data Scientist, People</t>
        </is>
      </c>
      <c r="C23" t="inlineStr">
        <is>
          <t>RemoteHunter</t>
        </is>
      </c>
      <c r="D23" t="inlineStr">
        <is>
          <t>linkedin</t>
        </is>
      </c>
      <c r="E23" t="inlineStr"/>
      <c r="F23" t="inlineStr"/>
      <c r="G23" t="inlineStr"/>
      <c r="H23" t="inlineStr"/>
      <c r="I23" t="inlineStr">
        <is>
          <t>About the Opportunity:
 This organization provides a platform helping millions to manage and improve their homes through personalized guidance, AI tools, and a hiring experience connecting homeowners with local service businesses. The Senior Data Scientist, People role supports talent decisions by leveraging data, analytics, and AI to deliver insights and build scalable data products.
 Responsibilities:
 • Communicate clear, business\-relevant talent insights using data.
 • Apply AI to improve insight generation, decision support, and experimentation.
 • Design and maintain People data foundations, including pipelines and BigQuery models, collaborating with Data Engineering and HR Operations.
 • Develop scalable analytics products and tools such as Tableau dashboards and AI\-enabled solutions.
 • Collaborate with People Team and business leaders to identify and analyze high\-impact talent questions and provide actionable recommendations.
 • Manage end\-to\-end initiatives across People functions including Recruiting, Talent Management, and DEIB.
 • Promote a culture of data\-informed decision\-making across the People Team and organization.
 Requirements:
 • BA/BS degree in a quantitative field such as Economics, Statistics, or Psychology.
 • At least 4 years of experience, including 1 year in People Data Science or People Analytics.
 • Experience with managing data pipelines and data warehousing.
 • Strong written and verbal communication skills for diverse audiences including senior leadership.
 • Proficient in SQL for querying large datasets, Tableau, and familiar with statistical/programming languages such as R or Python.
 • Ability to work independently and collaborate effectively across teams.
 • Strong prioritization and project management skills.
 Compensation:
 • For candidates in San Francisco / Bay Area, San Jose, New York City, or Seattle metros, the expected salary range is $197,200 to $255,200\.
 • For candidates in Austin, TX; Washington DC metros; or in California, Massachusetts, New Jersey, or Washington states, the expected salary range is $140,400 to $177,700\.
 • For candidates in all other US locations, the expected salary range is $167,500 to $216,700\.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li-4360099546</t>
        </is>
      </c>
      <c r="B24" t="inlineStr">
        <is>
          <t>Sr. Data Scientist</t>
        </is>
      </c>
      <c r="C24" t="inlineStr">
        <is>
          <t>Gartner</t>
        </is>
      </c>
      <c r="D24" t="inlineStr">
        <is>
          <t>linkedin</t>
        </is>
      </c>
      <c r="E24" t="inlineStr"/>
      <c r="F24" t="inlineStr"/>
      <c r="G24" t="inlineStr">
        <is>
          <t>Irving, TX</t>
        </is>
      </c>
      <c r="H24" t="inlineStr"/>
      <c r="I24" t="inlineStr">
        <is>
          <t>**About the role:**
 Join our fast\-growing Global Product Management Data Science team and help transform Gartner’s Client Experience Digital Platform—the essential destination for IT and business leaders worldwide. As a data scientist, you’ll leverage advanced analytics and machine learning to create intelligent, scalable solutions that deliver real value and enhance every step of our clients’ journey.
 In this role, you will lead complex data science projects in partnership with cross\-functional teams, driving the development of advanced AI\-powered chatbot systems that deliver intelligent, personalized experiences at scale. You’ll architect and implement cutting\-edge conversational AI tools—including intelligent search, recommendation engines, and context\-aware content systems—while ensuring seamless integration with enterprise platforms.
**What You Will Do**
* Lead data science projects in close collaboration with Data Engineering, Application development, Product owners and business leaders to deliver high\-value business capabilities
* Architect and build sophisticated AI\-powered chatbot systems that provide intelligent, personalized client experiences at scale
* Design and implement advanced tools that power conversational AI capabilities, including intelligent search, recommendation engines, and context\-aware content retrieval systems
* Design and implement Model Context Protocol (MCP) servers to enable seamless integration between AI agents, enterprise systems, and external tools
* Build user profiling and personalization models to deliver tailored chatbot experiences
* Be accountable for high\-quality data science solutions with respect to accuracy, coverage, scalability, stability, and business adoption
* Take ownership of algorithms and drive enhancements/optimizations based on business requirements with proper documentation and code\-reusability
* Leverage internal and external data to understand client's company\-level priorities and deliver targeted support
* Collaborate with senior leadership on long\-term vision, strategy, and solution roadmaps aligned with business objectives
* Pitch ideas, present solutions, and influence senior leaders and executive stakeholders with strong business value propositions
* Stay on top of fast\-moving AI/ML models and technologies, particularly in LLMs, conversational AI, and agentic systems
* Collaborate with engineering and product teams to launch MVPs and iterate quickly
* Independently plan and drive complex data science projects that deliver measurable business value
* Mentor junior data scientists on chatbot development, LLM applications, and best practices
**What You Will Need**
* 6\-8 years hands\-on experience building conversational AI systems, chatbots, LLM applications, or other advanced machine learning/artificial intelligence solutions to drive business impact
* Master's Degree or PhD in a quantitative field (math, computer science, engineering, etc.) required
* Strong communication skills in technical and business domains with demonstrated ability to translate quantitative analysis into actionable business strategies and influence executive leadership
* Working experience in some of the following data science areas:
+ Large Language Models (LLMs) and Generative AI
+ Conversational AI, chatbot development, and dialogue systems
+ Natural Language Processing and text mining
+ Search and Recommendation systems
+ Prompt engineering, LLM fine\-tuning, and model optimization
+ AI agent architectures and orchestration
* Strong familiarity with Model Context Protocol (MCP) and building tools for AI agents
* Deep understanding of Lean product principles, software development lifecycle, and machine learning life cycle
* Practical, intuitive problem solver with proven ability to translate business objectives into actionable data science tasks and implement state\-of\-the\-art ML research into production systems
* Experience and proficiency with Python, machine learning tools (e.g., scikit\-learn, spacy, nltk), deep learning frameworks (e.g., pytorch, tensorflow, huggingface), LLM frameworks (e.g., LangChain, LlamaIndex), SQL/relational databases (e.g., Oracle), NoSQL databases (e.g., MongoDB, graph database), vector databases (e.g., Pinecone, Weaviate), distributed machine learning (spark), Linux and shell scripting
* Experience with cloud computing services such as AWS or Azure ML
* Strong ability to work collaboratively across product, data science and technical stakeholders with experience mentoring data scientists
* Ability to work in a culture that thrives on feedback and seeks opportunities to stretch outside comfort zone
* Bias for action and client outcome oriented
**What You Will Get**
* Competitive salary, generous paid time off policy, charity match program, Group Medical Insurance, Parental Leave, Employee Assistance Program (EAP) and more!
* Collaborative, team\-oriented culture that embraces diversity
* Professional development and unlimited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113,000 USD \- 147,000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ID:106861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25">
      <c r="A25" t="inlineStr">
        <is>
          <t>li-4304720552</t>
        </is>
      </c>
      <c r="B25" t="inlineStr">
        <is>
          <t>Ld Data Scientist</t>
        </is>
      </c>
      <c r="C25" t="inlineStr">
        <is>
          <t>Medline</t>
        </is>
      </c>
      <c r="D25" t="inlineStr">
        <is>
          <t>linkedin</t>
        </is>
      </c>
      <c r="E25" t="inlineStr"/>
      <c r="F25" t="inlineStr"/>
      <c r="G25" t="inlineStr">
        <is>
          <t>Northbrook, IL</t>
        </is>
      </c>
      <c r="H25" t="inlineStr"/>
      <c r="I25" t="inlineStr">
        <is>
          <t>**Job Summary**
 Medline is seeking a lead data scientist for its Mpower team, responsible for building an AI driven supply chain optimization and resiliency product. As a Lead Data Scientist on the Mpower team, you will drive innovation by building and deploying traditional machine learning and LLM\-based models to optimize supply chain and enhance customer experience. Your work will directly contribute to Mpower’s success and customer satisfaction.
**Job Description**
**MAJOR RESPONSIBILITIES**
* Build traditional machine learning models to optimize process, improve supply chain resiliency, and enhance customer experience
* Design and implement LLM agents
* Collaborate with cross\-functional teams to integrate machine learning solutions into business processes.
* Design and implement end\-to\-end machine learning pipelines that are fully integrated within cloud\-native architectures, ensuring scalability and robustness.
* Continuously monitor, evaluate, and enhance the performance and efficiency of ML systems deployed on cloud infrastructures.
**Minimum Job Requirements**
**Education**
* Bachelor’s degree in computer science, Data Science, AI, Statistics, or a related field.
**Work Experience**
* 5\+ years of experience in data science, delivering end\-to\-end AI/ML solutions in a business environment.
* Proven track record in developing and deploying ML models and GenAI applications.
* Strong experience collaborating cross functionally in a large organization.
* Hands\-on experience with ML frameworks (TensorFlow, PyTorch, Scikit\-learn) and cloud\-based AI services (AWS, Azure, GCP).
* Expertise in exploratory data analysis (EDA), feature engineering, experiment design, and model building.
**Technical Skills**
**Knowledge / Skills / Abilities**
* Proficiency in programming languages such as Python or R for data analysis and machine learning model development.
* Strong expertise in supervised and unsupervised learning techniques including classical machine learning, time series and NLP.
* Hands\-on experience with large language models (LLMs) such as GPT, Claude, or LLaMA, including fine\-tuning and prompt engineering.
* Proficiency in retrieval\-augmented generation (RAG) using vector databases like FAISS or Pinecone.
* Familiarity with GenAI frameworks such as LangChain or LlamaIndex for enterprise applications.
* Experience with cloud\-based AI platforms (Azure OpenAI, AWS Bedrock, Google Vertex AI) for scalable deployment.
* Understanding of model evaluation techniques and guardrails to ensure accuracy, reliability, and compliance.
* Working knowledge of MLOps practices, including model deployment, monitoring, and retraining to maintain long\-term performance.
**Soft Skills**
* Excellent communication and stakeholder management skills, with the ability to convey complex technical concepts in business\-friendly language.
* Strong problem\-solving abilities with a proactive, results\-driven mindset.
* Ability to work effectively in a fast\-paced, matrixed organization with cross\-functional collaboration
**Preferred Job Requirements**
**Education**
 Master’s degree in computer science, Data Science, AI, Statistics, or a related field
 Medline Industries, LP, and its subsidiaries, offer a competitive total rewards package, continuing education \&amp; training, and tremendous potential with a growing worldwide organization.
**The Anticipated Salary Range For This Position**
 $115,440\.00 \- $173,160\.00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6">
      <c r="A26" t="inlineStr">
        <is>
          <t>li-4360099547</t>
        </is>
      </c>
      <c r="B26" t="inlineStr">
        <is>
          <t>Sr. Data Scientist</t>
        </is>
      </c>
      <c r="C26" t="inlineStr">
        <is>
          <t>Gartner</t>
        </is>
      </c>
      <c r="D26" t="inlineStr">
        <is>
          <t>linkedin</t>
        </is>
      </c>
      <c r="E26" t="inlineStr"/>
      <c r="F26" t="inlineStr"/>
      <c r="G26" t="inlineStr">
        <is>
          <t>Stamford, CT</t>
        </is>
      </c>
      <c r="H26" t="inlineStr"/>
      <c r="I26" t="inlineStr">
        <is>
          <t>**About the role:**
 Join our fast\-growing Global Product Management Data Science team and help transform Gartner’s Client Experience Digital Platform—the essential destination for IT and business leaders worldwide. As a data scientist, you’ll leverage advanced analytics and machine learning to create intelligent, scalable solutions that deliver real value and enhance every step of our clients’ journey.
 In this role, you will lead complex data science projects in partnership with cross\-functional teams, driving the development of advanced AI\-powered chatbot systems that deliver intelligent, personalized experiences at scale. You’ll architect and implement cutting\-edge conversational AI tools—including intelligent search, recommendation engines, and context\-aware content systems—while ensuring seamless integration with enterprise platforms.
**What You Will Do**
* Lead data science projects in close collaboration with Data Engineering, Application development, Product owners and business leaders to deliver high\-value business capabilities
* Architect and build sophisticated AI\-powered chatbot systems that provide intelligent, personalized client experiences at scale
* Design and implement advanced tools that power conversational AI capabilities, including intelligent search, recommendation engines, and context\-aware content retrieval systems
* Design and implement Model Context Protocol (MCP) servers to enable seamless integration between AI agents, enterprise systems, and external tools
* Build user profiling and personalization models to deliver tailored chatbot experiences
* Be accountable for high\-quality data science solutions with respect to accuracy, coverage, scalability, stability, and business adoption
* Take ownership of algorithms and drive enhancements/optimizations based on business requirements with proper documentation and code\-reusability
* Leverage internal and external data to understand client's company\-level priorities and deliver targeted support
* Collaborate with senior leadership on long\-term vision, strategy, and solution roadmaps aligned with business objectives
* Pitch ideas, present solutions, and influence senior leaders and executive stakeholders with strong business value propositions
* Stay on top of fast\-moving AI/ML models and technologies, particularly in LLMs, conversational AI, and agentic systems
* Collaborate with engineering and product teams to launch MVPs and iterate quickly
* Independently plan and drive complex data science projects that deliver measurable business value
* Mentor junior data scientists on chatbot development, LLM applications, and best practices
**What You Will Need**
* 6\-8 years hands\-on experience building conversational AI systems, chatbots, LLM applications, or other advanced machine learning/artificial intelligence solutions to drive business impact
* Master's Degree or PhD in a quantitative field (math, computer science, engineering, etc.) required
* Strong communication skills in technical and business domains with demonstrated ability to translate quantitative analysis into actionable business strategies and influence executive leadership
* Working experience in some of the following data science areas:
+ Large Language Models (LLMs) and Generative AI
+ Conversational AI, chatbot development, and dialogue systems
+ Natural Language Processing and text mining
+ Search and Recommendation systems
+ Prompt engineering, LLM fine\-tuning, and model optimization
+ AI agent architectures and orchestration
* Strong familiarity with Model Context Protocol (MCP) and building tools for AI agents
* Deep understanding of Lean product principles, software development lifecycle, and machine learning life cycle
* Practical, intuitive problem solver with proven ability to translate business objectives into actionable data science tasks and implement state\-of\-the\-art ML research into production systems
* Experience and proficiency with Python, machine learning tools (e.g., scikit\-learn, spacy, nltk), deep learning frameworks (e.g., pytorch, tensorflow, huggingface), LLM frameworks (e.g., LangChain, LlamaIndex), SQL/relational databases (e.g., Oracle), NoSQL databases (e.g., MongoDB, graph database), vector databases (e.g., Pinecone, Weaviate), distributed machine learning (spark), Linux and shell scripting
* Experience with cloud computing services such as AWS or Azure ML
* Strong ability to work collaboratively across product, data science and technical stakeholders with experience mentoring data scientists
* Ability to work in a culture that thrives on feedback and seeks opportunities to stretch outside comfort zone
* Bias for action and client outcome oriented
**What You Will Get**
* Competitive salary, generous paid time off policy, charity match program, Group Medical Insurance, Parental Leave, Employee Assistance Program (EAP) and more!
* Collaborative, team\-oriented culture that embraces diversity
* Professional development and unlimited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113,000 USD \- 147,000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ID:106861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27">
      <c r="A27" t="inlineStr">
        <is>
          <t>li-4308550192</t>
        </is>
      </c>
      <c r="B27" t="inlineStr">
        <is>
          <t>Staff Applied Scientist, Generative AI/ML</t>
        </is>
      </c>
      <c r="C27" t="inlineStr">
        <is>
          <t>Adobe</t>
        </is>
      </c>
      <c r="D27" t="inlineStr">
        <is>
          <t>linkedin</t>
        </is>
      </c>
      <c r="E27" t="inlineStr"/>
      <c r="F27" t="inlineStr"/>
      <c r="G27" t="inlineStr">
        <is>
          <t>San Jose, CA</t>
        </is>
      </c>
      <c r="H27" t="inlineStr"/>
      <c r="I2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to add Applied Scientists in Generative AI to our world\-class AI Platform team. We are specifically looking for scientists with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**Required Qualifications**
* Ph.D. in Computer Science, CV/AI/ML/CG or related fields and 4\+ years professional experience.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**What You'll Bring**
* Experience on large\-scale generative model training
* Experience on synthetic data generation
* Experience of working with large\-scale datasets
* Experience of working with product teams on technology transfers
 \#FireflyGenAI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In Washington, the pay range for this position is $201,000 \- $291,150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8">
      <c r="A28" t="inlineStr">
        <is>
          <t>li-4370334539</t>
        </is>
      </c>
      <c r="B28" t="inlineStr">
        <is>
          <t>Senior Data Scientist</t>
        </is>
      </c>
      <c r="C28" t="inlineStr">
        <is>
          <t>Inside Higher Ed</t>
        </is>
      </c>
      <c r="D28" t="inlineStr">
        <is>
          <t>linkedin</t>
        </is>
      </c>
      <c r="E28" t="inlineStr"/>
      <c r="F28" t="inlineStr"/>
      <c r="G28" t="inlineStr">
        <is>
          <t>Los Angeles, CA</t>
        </is>
      </c>
      <c r="H28" t="inlineStr"/>
      <c r="I28" t="inlineStr">
        <is>
          <t>Special Instructions to Applicants
 Please include a cover letter with your application submission.
 This is a 1 year contract with the possibility of extension and/or conversion to a career appointment.
 Department Summary
 American prisons are deadly but opaque places. In 2019, the federal entity charged with collecting and reporting carceral mortality data stopped performing these critical functions. This abdication left the public without access to even the most basic facts about life and death behind bars, including how many people die each year in state and federal prisons; who is dying in prison, and why; and what disparities—racial, gender, and geographical—exist in mortality outcomes. This informational void makes it difficult if not impossible for policymakers and other stakeholders to identify what actions carceral agencies can take to reduce preventable deaths and improve conditions inside. It also makes it hard for members of the public to see the contours and impacts of the carceral penalties imposed on people convicted of crimes. The UCLA Law Behind Bars Data Project's carceral mortality database is the only comprehensive, public accounting of the most basic fact about mortality behind bars: how many people died across state and federal prisons in recent years. The Project obtains and cleans data from public records requests, death certificates, and other data sources; compiles and publishes the data, and employs established data protocols and research methodologies to understand its implications. In addition, the Project collaborates with advocates, reporters, researchers, litigators, policymakers, and other stakeholders to make sure that data is available, intelligible, and usable for their purposes.
 Position Summary
 While the Senior Data Scientist (Supervisor) will learn from the Project’s previous iterations, the new carceral mortality and morbidity agenda will be a significant expansion for the team. As such, in addition to being a core member of our Data Team performing a proportionate share of the Data Team’s work, the Senior Data Scientist (Supervisor) will be responsible for crafting new data project plans and methodological approaches, strategizing incorporation of outside datasets, and managing the data team along with internal collaborations to maximize impact on policy and practice. They will also articulate, in consultation with the Project’s Faculty Directors, a strategic vision for the expanded collection, processing and analysis of carceral morbidity data. The Senior Data Scientist (Supervisor) will supervise the team’s Data Analyst, Data Scientist, Senior Research Scientist, and several student research assistants.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Substantial research experience. (Required)
* Prior building or maintaining productionized ETL pipelines in R or Python. (Preferred)
* Experience planning and executing quantitative research including data collection, cleaning, analysis, and publication (Required)
* Experience working with datasets that include missing, unstructured, and/or incorrect data. (Required)
* Experience establishing relationships and working with diverse collaborators (e.g., local advocates, government officials, and journalists) with varying levels of technical literacy. (Required)
* Strong organizational skills for project planning, data collection procedures, and complex research activities. (Required)
* Experience with public record requests and creating impactful data visualizations for social media and news reports. (Preferred)
* Proficiency using R or another programming language to manipulate data and draw insights from large, complex datasets. (Required)
* Strong writing skills, including experience with peer\-reviewed manuscripts. (Required)
* Experience using git/GitHub to track tasks and data acquisition processes, and regularly update data on GitHub. (Required)
* Experience creating impactful data visualizations for social media and reports. (Preferred)
* Experience developing open\-source datasets and GIS platforms. (Preferred)
* Experience planning and executing quantitative data projects including collection, cleaning, analysis, and archiving. (Preferred)
* Experience supervising similarly sized data teams and working with diverse collaborators with varying levels of data literacy. (Required)
 Education, Licenses, Certifications \&amp; Personal Affiliations
* Master's Degree in Data science, quantitative social science, or related field OR 5\+ years working experience as a data or research scientist or equivalent combination of education and experience. (Required)
 Special Conditions for Employment
* Background Check: Continued employment is contingent upon the completion of a satisfactory background investigation.
* Live Scan Background Check: A Live Scan background check must be completed prior to the start of employment.
* Age Requirement: Candidate(s) must be 18 years or older to be eligible to be hired.
* Compassion, empathy, and a sense of humor. (Required)
* Lived experience with and/or knowledge of the criminal legal system. (Preferred)
* Experience working with remote teams. (Preferred)
* Ability to prioritize and effectively manage a workload with multiple deadlines. (Required)
* Familiarity or interest in working with public health and/or criminal justice data. (Required)
* Outstanding leadership, judgment, attention to detail, and the ability to foster a collaborative remote working environment. (Required)
 Schedule
 Monday \- Friday \| 8am\-5pm PST
 Union/Policy Covered
 99\-Policy Covered
 Complete Position Description
 https://universityofcalifornia.marketpayjobs.com/ShowJob.aspx?EntityID\=38\&amp;jobcode\=40082290</t>
        </is>
      </c>
    </row>
    <row r="29">
      <c r="A29" t="inlineStr">
        <is>
          <t>li-4336056388</t>
        </is>
      </c>
      <c r="B29" t="inlineStr">
        <is>
          <t>Data Scientist, Senior</t>
        </is>
      </c>
      <c r="C29" t="inlineStr">
        <is>
          <t>Booz Allen Hamilton</t>
        </is>
      </c>
      <c r="D29" t="inlineStr">
        <is>
          <t>linkedin</t>
        </is>
      </c>
      <c r="E29" t="inlineStr"/>
      <c r="F29" t="inlineStr"/>
      <c r="G29" t="inlineStr">
        <is>
          <t>Fort Belvoir, VA</t>
        </is>
      </c>
      <c r="H29" t="inlineStr"/>
      <c r="I29" t="inlineStr">
        <is>
          <t>**Job Number: R0229366**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in applied data science or ML roles, including using Python and NLP and LLM implementation
* 5\+ years of experience with data exploration, data cleaning, data analysis, data visualization, or data mining
* Experience with production\-level systems, data lake environments, and streaming data, including Kafka
* Experience implementing end\-to\-end ML workflows from data prep to deployment and evaluation
* Ability to quickly learn infrastructure or systems concepts, including how pipelines interface with data lakes
* Ability to design, implement, and iterate on ML models for document classification, extraction, summarization, and search
* Ability to take ownership of data science workflows that interact with a production system streaming millions of documents per week
* TS/SCI clearance
* Bachelor's degree
**Nice If You Have:**
* Experience in collaborating with MLOps and infrastructure engineers to ensure robust model deployment, monitoring, and retraining pipelines
* Experience supporting platform components such as documents indexing or search, GPU workloads, and distributed storage, including Cloudera
* Experience in the development of algorithms leveraging R, Python, SQL, or NoSQL
* Experience with Distributed data or computing tools, including MapReduce, Hadoop, Hive, EMR, Spark, Gurobi, or MySQL
* Experience with visualization packages, including Plotly, Seaborn, or ggplot2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
      <c r="A30" t="inlineStr">
        <is>
          <t>li-4370069791</t>
        </is>
      </c>
      <c r="B30" t="inlineStr">
        <is>
          <t>Senior Data Scientist - Applied AI</t>
        </is>
      </c>
      <c r="C30" t="inlineStr">
        <is>
          <t>Blackbaud</t>
        </is>
      </c>
      <c r="D30" t="inlineStr">
        <is>
          <t>linkedin</t>
        </is>
      </c>
      <c r="E30" t="inlineStr"/>
      <c r="F30" t="inlineStr"/>
      <c r="G30" t="inlineStr">
        <is>
          <t>Charleston, SC</t>
        </is>
      </c>
      <c r="H30" t="inlineStr"/>
      <c r="I30" t="inlineStr">
        <is>
          <t>**Senior Data Scientist – Applied AI**
 Blackbaud is seeking a high\-performing Senior Data Scientist to champion and accelerate AI innovation in product development. The senior data scientist will collaborate closely with the data science team, engineering teams, and product managers to design and evaluate next generation AI solutions that deliver measurable impact to customers while meeting high standards for trust, transparency, and responsibility.
 This role will solve complex problems, applying the right approach to each problem – ranging from machine learning to Retrieval\-Augmented\-Generation (RAG), selective fine\-tuning, or task\-specific small language models (SLMs), based on impact, risk, cost, and operational context.
**What You’ll Do**
* Frame business and customer problems into responsible data science and ML solutions.
* Design, train, and evaluate models across a range of techniques, selecting the appropriate fit (rules, classical ML, RAG, fine\-tuning, SLMs) based on problem fit.
* Design and curate high\-quality datasets for modeling and evaluation.
* Define success metrics and evaluation approaches, including human\-in\-the\-loop where appropriate.
* Clearly articulate tradeoffs between approaches (accuracy, explainability, cost, latency, risk).
* Perform error analysis to understand model behavior, bias, and failure modes.
* Partner with product management, AI platform engineering, engineering, and governance teams to operationalize solutions responsibly.
* Contribute to model documentation, transparency, artifacts, and ongoing risk management.
* Improve AI processes through iterative testing, monitoring, measurement, and automation.
* Present key findings and insights clearly to technical and non\-technical audiences at various levels of the organization.
* Mentor other team members in data science methodologies and participate in cross\-team trainings.
* Stay abreast of the latest advancements in data and AI technologies, suggesting new capabilities to incorporate into the AI platform.
* Actively contribute to thought leadership through research, articles, presentations, and collaboration with Blackbaud Institute partners.
**What You'll Bring**
* 5\+ years of experience in data science or applied machine learning, with experience in large\-language based systems (Microsoft and Databricks preferred).
* Strong grounding in statistics and ML foundations.
* Experience applying multiple modeling approaches to production problems.
* Ability to explain tradeoffs between accuracy, explainability, cost, risk.
* Clear communicator with technical and non\-technical partners.
* Experience with data analysis in Python, R or similar language.
* Proven experience influencing business decisions and driving business value.
* Ability to work independently and take initiative with little oversight.
* Demonstrated commitment to responsible AI.
* Strong bias to action demonstrated by proactively moving work forward, making timely decisions with incomplete information.
* Ability to deliver work that meets all minimum standards of quality, security, and operability.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31">
      <c r="A31" t="inlineStr">
        <is>
          <t>li-4325942814</t>
        </is>
      </c>
      <c r="B31" t="inlineStr">
        <is>
          <t>Lead Data Scientist GenAI, Strategic Analytics - Data Science</t>
        </is>
      </c>
      <c r="C31" t="inlineStr">
        <is>
          <t>Deloitte</t>
        </is>
      </c>
      <c r="D31" t="inlineStr">
        <is>
          <t>linkedin</t>
        </is>
      </c>
      <c r="E31" t="inlineStr"/>
      <c r="F31" t="inlineStr"/>
      <c r="G31" t="inlineStr">
        <is>
          <t>Colorado Springs, CO</t>
        </is>
      </c>
      <c r="H31" t="inlineStr"/>
      <c r="I31" t="inlineStr">
        <is>
          <t>Deloitte is at the leading edge of GenAI innovation, transforming Strategic Analytics and shaping the future of Finance. We invite applications from highly skilled and experienced Lead Data Scientists ready to drive the development of our next\-generation GenAI solutions.
**The Team**
 Strategic Analytics is a dynamic part of our Finance FP\&amp;A organization, dedicated to empowering executive leaders across the firm, as well as our partners in financial and operational functions. Our team harnesses the power of cloud computing, data science, AI, and strategic expertise\-combined with deep institutional knowledge\-to deliver insights that inform our most critical business decisions and fuel the firm's ongoing growth.
 GenAI is at the forefront of our innovation agenda and a key strategic priority for our future. We are rapidly developing groundbreaking products and solutions poised to transform both our organization and our clients. As part of our team, the selected candidate will play a pivotal role in driving the success of these high\-impact initiatives.
 Recruiting for this role ends on February 28, 2026
**Work You'll Do**
 Client Engagement \&amp; Solution Scoping
* Partner with stakeholders to analyze business requirements, pain points, and objectives relevant to GenAI use cases.
* Facilitate workshops to identify, prioritize, and scope impactful GenAI applications (e.g., text generation, code synthesis, conversational agents).
* Clearly articulate GenAI's value proposition, including efficiency gains, risk mitigation, and innovation.
* Solution Architecture \&amp; Design
* Architect holistic GenAI solutions, selecting and customizing appropriate models (GPT, Llama, Claude, Zora AI, etc.).
* Design scalable integration strategies for embedding GenAI into existing client systems (ERP, CRM, KM platforms).
* Define and govern reliable, ethical, and compliant data sourcing and management.
 Development \&amp; Customization
* Lead model fine\-tuning, prompt engineering, and customization for client\-specific needs.
* Oversee the development of GenAI\-powered applications and user\-friendly interfaces, ensuring robustness and exceptional user experience.
* Drive thorough validation, testing, and iteration to ensure quality and accuracy.
 Implementation, Deployment \&amp; Change Management
* Manage solution rollout, including cloud setup, configuration, and production deployment.
* Guide clients through adoption: deliver training, create documentation, and provide enablement resources for users.
 Risk, Ethics \&amp; Compliance
* Lead efforts in responsible AI, ensuring safeguards against bias, privacy breaches, and unethical outcomes.
* Monitor performance, implement KPIs, and manage model retraining and auditing processes.
 Stakeholder Communication
* Prepare executive\-level reports, dashboards, and demos to summarize progress and impact.
* Coordinate across internal teams, tech partners, and clients for effective project delivery.
 Continuous Improvement \&amp; Thought Leadership
* Stay current on GenAI trends, best practices, and emerging technologies; share insights across teams.
* Mentor junior colleagues, promote knowledge transfer, and contribute to reusable methodologies.
**Qualifications**
**Required:**
* Bachelor's or Master's degree in Computer Science, Engineering, Data Science, Mathematics, or related field.
* 5\+ years of hands\-on experience delivering machine learning or AI solutions, preferably including generative AI.
* Independent thinker who can create the vision and execute on transforming data into high end client products.
* Demonstrated accomplishments in the following areas:
+ Deep understanding of GenAI models and approaches (LLMs, transformers, prompt engineering).
+ Proficiency in Python (PyTorch, TensorFlow, HuggingFace), Databricks, ML pipelines, and cloud\-based deployment (Azure, AWS, GCP).
+ Experience integrating AI into enterprise applications, building APIs, and designing scalable workflows.
+ Knowledge of solution architecture, risk assessment, and mapping technology to business goals.
+ Familiarity with agile methodologies and iterative delivery.
+ Commitment to responsible AI, including data ethics, privacy, and regulatory compliance.
* Ability to travel 0\-10%, on average, based on the work you do and the clients and industries/sectors you serve
* Limited immigration sponsorship may be available.
**Preferred:**
* Relevant Certifications: May include Google Cloud Professional ML Engineer, Microsoft Azure AI Engineer, AWS Certified Machine Learning, or specialized GenAI/LLM credentials.
* Experience with data visualization tools such as Tableau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EA\_FA\_ExpHire</t>
        </is>
      </c>
    </row>
    <row r="32">
      <c r="A32" t="inlineStr">
        <is>
          <t>li-4370362144</t>
        </is>
      </c>
      <c r="B32" t="inlineStr">
        <is>
          <t>Data Scientist</t>
        </is>
      </c>
      <c r="C32" t="inlineStr">
        <is>
          <t>Protege</t>
        </is>
      </c>
      <c r="D32" t="inlineStr">
        <is>
          <t>linkedin</t>
        </is>
      </c>
      <c r="E32" t="inlineStr"/>
      <c r="F32" t="inlineStr"/>
      <c r="G32" t="inlineStr"/>
      <c r="H32" t="inlineStr"/>
      <c r="I32" t="inlineStr">
        <is>
          <t>**Company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**Role Overview:**
 The Data Scientist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 Conduct feasibility analyses by querying healthcare datasets to assess patient cohort availability based on complex inclusion/exclusion criteria (i.e. procedures, diagnoses, diversity, longitudinal completeness, regulatory constraints)
* Collaborate directly with customers to understand their use cases and support effective data integration
* Ensure customers have a clear understanding of the data’s structure, limitations, and strengths
* Identify gaps in our data offerings and provide insights to our partnerships team on the highest\-priority data acquisitions
* Evaluate potential data partnerships, ensuring the data is high\-quality, well\-documented, and commercially viable
**About You:**
* You are curious, tenacious, and proactive
* You are not bothered by ambiguity but embrace finding patterns in complex environments
* Undergraduate or MS/BS \+ industry experience in a quantitative field such as mathematics, economics, statistics, biostatistics, bioinformatics, computer science, or data science
* Proficiency with programming in R/Python/SQL
* Hands\-on experience working with large\-scale healthcare datasets, including one or more of the following: imaging, EHR, genomics, claims, or pathology data
* Team\-player, no job is too big or too small
* You are an eager researcher and you are not afraid to learn or face a knowledge pit.
* You treat those around you with kindness
**Bonus if you have these attributes:**
* Experience in a customer facing role
* Experience with data optimization techniques such as model\-based filtering, multimodal data integration, heuristic filtering, and/or target distribution matching
* Experience applying machine learning or logistic regression techniques to healthcare data
* Familiarity with third\-party data certification or audit processes related to privacy and data quality
* Ability to think creatively and insightfully about large scale data problems</t>
        </is>
      </c>
    </row>
    <row r="33">
      <c r="A33" t="inlineStr">
        <is>
          <t>li-4370348374</t>
        </is>
      </c>
      <c r="B33" t="inlineStr">
        <is>
          <t>Data Scientist</t>
        </is>
      </c>
      <c r="C33" t="inlineStr">
        <is>
          <t>Whatnot</t>
        </is>
      </c>
      <c r="D33" t="inlineStr">
        <is>
          <t>linkedin</t>
        </is>
      </c>
      <c r="E33" t="inlineStr"/>
      <c r="F33" t="inlineStr"/>
      <c r="G33" t="inlineStr"/>
      <c r="H33" t="inlineStr"/>
      <c r="I33" t="inlineStr">
        <is>
          <t>**About The Company** 
 Join the Future of Commerce with Whatnot! Whatnot is the leading live shopping platform serving North America and Europe, revolutionizing the way people buy, sell, and discover products they love. Our innovative approach combines community engagement, entertainment, and e\-commerce into a seamless experience, creating a vibrant marketplace where users can explore everything from fashion and beauty to electronics, collectibles, and live plants. As a rapidly growing company, we are committed to redefining online marketplaces by fostering a culture of innovation, collaboration, and inclusivity. With hubs across the US, UK, Germany, Ireland, and Poland, Whatnot is building the future of online commerce—together. Our platform features dynamic live auctions and a diverse range of categories, making shopping interactive and fun for everyone. We are passionate about empowering individuals to turn their passions into businesses and bringing people together through shared commerce experiences.
**About The Role** 
 As Whatnot continues to scale, data\-driven insights are fundamental to shaping our product strategy and delivering exceptional user experiences. We are seeking a talented Product Data Scientist to join our team and work closely with Product, Engineering, Design, and Operations teams. In this role, you will be responsible for analyzing user behavior, marketplace dynamics, and product usage to inform decision\-making, optimize features, and drive growth. Your expertise will help define key performance indicators (KPIs), develop scalable data frameworks, and create tools that empower teams across the organization. You will play a critical role in designing and evaluating experiments, building dashboards, and translating complex data into clear, actionable insights. Your work will directly influence the development and refinement of our platform, ensuring we deliver engaging, high\-performing experiences for both buyers and sellers. This position offers a unique opportunity to contribute to a fast\-paced, innovative environment where your insights will have a tangible impact on the future of live commerce.
**Qualifications** 
* 3\+ years of experience in Data Science, Decision Science, or Analytics within a product\-focused organization
* Bachelor’s degree in Computer Science, Economics, Statistics, or a related quantitative field, or equivalent experience
* Proven experience applying statistical and analytical methods to solve real\-world product problems
* Advanced SQL skills and experience with modern data warehouses (Snowflake, BigQuery, Redshift)
* Proficiency in Python or R for data analysis, modeling, and experimentation
* Experience designing, implementing, and analyzing A/B tests, with a strong understanding of causal inference techniques
* Strong data visualization skills and familiarity with BI tools for building interactive dashboards
* Excellent communication skills, capable of conveying complex ideas clearly to both technical and non\-technical audiences
* Experience leading cross\-functional projects and influencing product strategy through data insights
* Ability to thrive in fast\-paced, ambiguous environments with a high degree of ownership and initiative
**Responsibilities** 
* Define and own KPIs that measure product health, user engagement, and marketplace performance
* Analyze user behavior, product usage patterns, and marketplace trends to identify opportunities and inform product priorities
* Translate complex data sets into actionable insights and strategic recommendations for product teams and leadership
* Partner with product managers and engineers to design, implement, and evaluate A/B tests and feature rollouts
* Develop frameworks for causal inference, impact measurement, and long\-term product evaluation
* Build scalable data products, dashboards, and self\-serve tools that enhance data accessibility and usability across teams
* Collaborate with engineering teams to improve data quality, instrumentation, and data pipeline efficiency
* Advocate for a data\-driven culture, promoting measurement and analytics best practices within the organization
* Communicate insights effectively to diverse stakeholders, influencing product roadmaps and strategic decisions
* Serve as a thought partner to product leads, shaping the development, launch, and iteration of platform features
**Benefits** 
* Flexible work arrangements including remote work options and support for in\-person collaboration at US hubs in New York, Seattle, Los Angeles, and San Francisco
* Comprehensive health insurance options including Medical, Dental, and Vision coverage
* Home office setup allowance and monthly stipends for cellphone and internet expenses
* Care benefits including wellness allowances and annual childcare support
* Lifetime family planning benefits covering adoption and fertility expenses
* Retirement plans including 401(k) with employer matching (up to 4%) in the US and pension plans internationally
* Paid parental leave of 16 weeks plus a gradual return\-to\-work program
* Additional perks such as a monthly allowance for app testing and participation in company\-wide holidays and time\-off policies
* Opportunities for professional growth in a dynamic, innovative environment driven by a passionate team
 Equal Opportunity
 Whatnot is proud to be an Equal Opportunity Employer. We celebrate diversity and are committed to creating an inclusive environment for all employees. We do not discriminate based on race, religion, color, national origin, gender, sexual orientation, age, marital status, veteran status, parental status, disability, or any other protected class.</t>
        </is>
      </c>
    </row>
    <row r="34">
      <c r="A34" t="inlineStr">
        <is>
          <t>li-4370349343</t>
        </is>
      </c>
      <c r="B34" t="inlineStr">
        <is>
          <t>Data Scientist</t>
        </is>
      </c>
      <c r="C34" t="inlineStr">
        <is>
          <t>Humana</t>
        </is>
      </c>
      <c r="D34" t="inlineStr">
        <is>
          <t>linkedin</t>
        </is>
      </c>
      <c r="E34" t="inlineStr"/>
      <c r="F34" t="inlineStr"/>
      <c r="G34" t="inlineStr"/>
      <c r="H34" t="inlineStr"/>
      <c r="I34" t="inlineStr">
        <is>
          <t>**About The Company** 
 Humana Inc. is a leading healthcare company dedicated to putting health first for its members, employees, and communities. With a focus on innovative healthcare solutions, Humana offers a wide range of insurance and healthcare services through its subsidiaries, including insurance plans for Medicare, Medicaid, and commercial markets, as well as CenterWell healthcare services. The company is committed to improving the quality of life for millions of individuals by delivering accessible, compassionate, and personalized care. Humana values diversity, inclusion, and equal opportunity, fostering a work environment that encourages growth, collaboration, and innovation. As a forward\-thinking organization, Humana leverages cutting\-edge technology and data\-driven strategies to transform healthcare delivery and enhance member outcomes.
**About The Role** 
 We are seeking an experienced and innovative AI professional to join our Enterprise AI organization at Humana. This role focuses on developing advanced agentic systems capable of autonomously managing complex goals in dynamic environments. The successful candidate will be responsible for designing, implementing, and evaluating AI agents that can set, adapt, and execute goals with minimal human intervention. This position involves collaborating across multidisciplinary teams to build systems that are reliable, interpretable, and aligned with human intent. The ideal candidate will have a strong background in agent design, planning, control, and machine learning, with a passion for advancing autonomous AI solutions in healthcare. This role offers a unique opportunity to contribute to the scientific and engineering foundations of responsible AI, shaping the future of healthcare technology.
**Qualifications** 
* Master's Degree in Computer Science, Data Science, Machine Learning, or a related field
* 4\+ years of experience in research, ML engineering, or applied research roles focused on AI solutions
* At least 2 years of experience leading the development of AI/ML systems
* Proficiency in SQL, Python, and data analysis/data mining tools
* Experience with machine learning frameworks such as Pytorch, Jax, LangChain, LangGraph, or AutoGen
* Experience with high\-performance, large\-scale ML systems
* Knowledge of language modeling with transformers and large language models (LLMs)
* Experience with symbolic planning, causal reasoning, and model\-based reinforcement learning
* Experience with large\-scale ETL processes
* Demonstrated ability to ship autonomous or semi\-autonomous agents in production or simulation environments
* Understanding of autonomy risk mitigation strategies, including off\-switch protocols and bounded rationality
**Responsibilities** 
* Architect goal\-setting and goal decomposition mechanisms for autonomous agents operating in uncertain or open\-ended environments
* Design and implement dynamic planning systems such as hierarchical planning, curriculum learning, and self\-refinement loops
* Collaborate on memory management, tool\-use integration, and feedback\-loop designs to enable multi\-step, self\-directed agent behaviors
* Develop evaluation frameworks to ensure alignment with human intent, consistency, and progress on long\-horizon objectives
* Prototype agents that interface with APIs, servers, search engines, databases, and real\-world actuators to pursue goals safely and efficiently
* Explore mechanisms to detect and mitigate goal misalignment, looping behaviors, or undesirable emergent strategies
* Work across teams to integrate goal alignment with safety, operational reliability, and risk mitigation mechanisms
**Benefits** 
* Comprehensive health benefits effective from day one
* Generous paid time off and holiday leave
* Annual incentive and bonus plans based on performance
* 401(k) retirement plan with an excellent company match
* Well\-being programs and resources to support personal health and wellness
* Paid volunteer time off to encourage community engagement
* Flexible work arrangements, including remote work options
 Equal Opportunity
 Humana is an equal opportunity employer committed to creating a diverse and inclusive workplace. We do not discriminate against any employee or applicant based on race, color, religion, sex, sexual orientation, gender identity, national origin, age, marital status, genetic information, disability, or protected veteran status. We actively promote affirmative action in accordance with applicable laws and are dedicated to providing a work environment that respects and values individual differences.</t>
        </is>
      </c>
    </row>
    <row r="35">
      <c r="A35" t="inlineStr">
        <is>
          <t>li-4361439215</t>
        </is>
      </c>
      <c r="B35" t="inlineStr">
        <is>
          <t>AI-First Data Scientist</t>
        </is>
      </c>
      <c r="C35" t="inlineStr">
        <is>
          <t>ChatGPT Jobs</t>
        </is>
      </c>
      <c r="D35" t="inlineStr">
        <is>
          <t>linkedin</t>
        </is>
      </c>
      <c r="E35" t="inlineStr"/>
      <c r="F35" t="inlineStr"/>
      <c r="G35" t="inlineStr"/>
      <c r="H35" t="inlineStr"/>
      <c r="I35" t="inlineStr">
        <is>
          <t>**Job Description**
 AI\-First Data Scientist
 CSC Generation
 Remote Nationwide
 Full\-Time
**Job Description**
 CSC Generation is building an AI\-driven retail operating system. Our brands—including Sur La Table, One Kings Lane, and Backcountry—rely on intelligent decision\-making rooted in data. We're hiring an AI\-First Data Analyst who combines statistical know\-how with AI tooling and automation instincts.
 This is a technical, hands\-on role. You’ll build causal models, apply advanced machine learning techniques (e.g., Double ML), and develop internal data tools.
**What You Get To Do Every Day:**
* Conduct causal analysis and treatment effect estimation to guide high\-stakes decisions.
* Build AI\-powered internal tools that automate analytical tasks and surface insights.
* Develop and own dashboards and data pipelines.
* Partner directly with business leaders to translate questions into testable hypotheses.
* Identify opportunities to automate recurring analyses via custom GPTs, scripts, or workflow platforms like n8n.
* Work closely with engineering and data platform teams to improve data cleanliness, accessibility, and documentation.
**What You Bring To The Role:**
* 1–3 years of experience in data science, quantitative analysis, or machine learning.
* Bachelor’s or Master’s degree in Statistics, Economics, Computer Science, Data Science, or a related quantitative field.
* Expertise in causal inference frameworks—especially Double ML, A/B testing, and other counterfactual methods.
* Strong coding skills in Python or R; experience with SQL, Jupyter, and version control (Git).
* Comfortable building data pipelines and working with large datasets.
* Proficiency with AI tools such as ChatGPT, Claude, or custom GPTs.
* Curious, fast\-learning, and deeply motivated to solve business problems through analysis and automation.
* Experience with workflow automation (e.g., n8n, Make, Zapier) is a plus.
 What’s in it for you?
* Executive Access: Work directly with brand CEOs and senior leadership.
* AI\-First Skill Building:Get hands\-on with the most advanced AI tools in the market.
* Accelerated Career Path:High performers are quickly entrusted with greater responsibility.
* Competitive benefits:Paid time off policies, 401(k)/RRSP match, medical/dental/vision, and employee discounts.
 For US\-based candidates, this posting is intended for candidates that reside in the following states: AZ, DE, FL, GA, IN, LA, MI, MS, MO, NV, NC, OK, OR, PA, TN, TX, UT, VA, WV, WI, and WY.</t>
        </is>
      </c>
    </row>
    <row r="36">
      <c r="A36" t="inlineStr">
        <is>
          <t>li-4370347768</t>
        </is>
      </c>
      <c r="B36" t="inlineStr">
        <is>
          <t>Data Scientist 2</t>
        </is>
      </c>
      <c r="C36" t="inlineStr">
        <is>
          <t>Gormat</t>
        </is>
      </c>
      <c r="D36" t="inlineStr">
        <is>
          <t>linkedin</t>
        </is>
      </c>
      <c r="E36" t="inlineStr"/>
      <c r="F36" t="inlineStr"/>
      <c r="G36" t="inlineStr">
        <is>
          <t>Annapolis Junction, MD</t>
        </is>
      </c>
      <c r="H36" t="inlineStr"/>
      <c r="I36" t="inlineStr">
        <is>
          <t>Gormat is seeking a Data Scientist with experience with pattern/trend analysis while leveraging financial and geospatial datasets. Experience with LLM is desired as well as experience in AI/ML development leveraging SIGINT data. Python proficiency is required using skills such as data mining, algorithmic application and heuristics. Automated alert metrics tracking are a plus. You will need the ability to translate complex data into strategic insights, and target knowledge or experience in OCP is a plus.
**The Level 2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Ability to make and communicate principal conclusions from data using elements of mathematics, statistics, computer science, and applications\-specific knowledge.
*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Customer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 Pattern/trend analysis experience required while leveraging financial datasets. LLM and NER experience desired. Any AI/ML development leveraging SIGINT data. Python proficiency including data mining, algorithmic application, and heuristics. Automated alert metrics tracking a plus. Ability to translate complex data into strategic insights. Target knowledge or experience in OCP a plus.
**Qualifications**
* Bachelor's Degree with 3 years of relevant experience, associate's degree with 5 years of experience may be considered for individuals with in\-depth experience that is clearly related to the position.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 Broader range of degrees will be considered if accompanied by a Certificate in Data Science from an accredited college/university.
* Relevant experience must be in designing/implementing machine learning, data science, advanced analytical algorithms, programming (skill in at least on high 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**TS/SCI With Polygraph Is Required.**
***Job Posted by ApplicantPro***</t>
        </is>
      </c>
    </row>
    <row r="37">
      <c r="A37" t="inlineStr">
        <is>
          <t>li-4370086980</t>
        </is>
      </c>
      <c r="B37" t="inlineStr">
        <is>
          <t>Data Scientist</t>
        </is>
      </c>
      <c r="C37" t="inlineStr">
        <is>
          <t>Insight Global</t>
        </is>
      </c>
      <c r="D37" t="inlineStr">
        <is>
          <t>linkedin</t>
        </is>
      </c>
      <c r="E37" t="inlineStr"/>
      <c r="F37" t="inlineStr"/>
      <c r="G37" t="inlineStr"/>
      <c r="H37" t="inlineStr"/>
      <c r="I37" t="inlineStr">
        <is>
          <t>12 Month Contract w/ potential extensions or conversion
 Pay rate: $50\-$70/hr.
 Fully Remote
 Required Skills \&amp; Experience
 \- Bachelor’s or Master’s degree in a STEM field (Computer Science, Engineering, Statistics, Mathematics)
 \- 7\+ years of experience in Data Analytics, Business Intelligence, or Data Science within Finance/FP\&amp;A
 \- Strong experience with Monte Carlo simulations for financial items like forecasting
 \- Experience with forecasting models including ARIMA, Prophet, and LSTM (to help forecast items like profit)
 \- Proficient in Python or R, and SQL queries
 \- Highly experienced with BI tools such as Power BI and Tableau
 \- Familiarity with Generative AI and Machine Learning concepts and tools
 \- Strong analytical skills to translate data into business insights
 \- Strong communications skills and affinity for data storytelling and data storyboards to communicate the 'why'
 \- Experience working in cross\-functional teams and managing multiple priorities
 Job Description
 Insight Global is looking for a key Engineer to join their Growth Insights team. In this role you will apply advanced analytics, Business Intelligence, and Generative AI techniques to uncover insights and drive data\-informed growth strategies. You will work cross\-functionally with product, sales, marketing, and strategy teams to support enterprise\-wide growth initiatives, reporting to a senior leader within the Data \&amp; Analytics organization.
 Responsibilities:
 • Analyze Growth Opportunities: Collaborate with business stakeholders to explore complex growth challenges using data analytics, predictive modeling, and Gen AI tools to generate actionable insights.
 • Develop AI\-Enhanced Dashboards: Build and maintain dynamic, Gen AI\-powered dashboards and reporting tools that provide foresight and prescriptive recommendations to business teams.
 • Support ML Model Deployment: Assist in the implementation and monitoring of machine learning models for use cases such as sales recommendations, churn prediction, and financial forecasting.
 • Enable Agentic AI Solutions: Contribute to the development and testing of Agentic AI workflows that automate growth\-related tasks across platforms like Salesforce, Hubspot, Eloqua, and Oracle Cloud.
 • Collaborate on Data Infrastructure: Work with Data Engineering to ensure data pipelines and architecture support scalable, AI\-native analytics solutions.
 • Promote Data Literacy: Help maintain the enterprise data catalog and support internal data literacy initiatives by enabling self\-service analytics and sharing best practices.
 • Deliver Executive Insights: Prepare data visualizations and summaries that support strategic decision\-making by senior leadership, including the Chief Data \&amp; Analytics Officer.</t>
        </is>
      </c>
    </row>
    <row r="38">
      <c r="A38" t="inlineStr">
        <is>
          <t>li-4361708696</t>
        </is>
      </c>
      <c r="B38" t="inlineStr">
        <is>
          <t>Data Scientist - Powell, OH</t>
        </is>
      </c>
      <c r="C38" t="inlineStr">
        <is>
          <t>Ocean Blue Solutions Inc</t>
        </is>
      </c>
      <c r="D38" t="inlineStr">
        <is>
          <t>linkedin</t>
        </is>
      </c>
      <c r="E38" t="inlineStr"/>
      <c r="F38" t="inlineStr"/>
      <c r="G38" t="inlineStr">
        <is>
          <t>Columbus, OH</t>
        </is>
      </c>
      <c r="H38" t="inlineStr"/>
      <c r="I38" t="inlineStr">
        <is>
          <t>Data Scientist needed for Ocean Blue Solutions, Inc. located in Powell, OH. Organize and synthesize data into actionable business decisions, focused on insights. Provide insight into trends, financial and business operations through data analysis and the development of business intelligence visuals. Import and export the data using SQOOP from HDFS to Relational Database systems. Develop Data Frame and RDD (Resilient Distributed Datasets) to achieve unified transformations on the data load. Build distributed, scalable, and reliable data pipelines that ingest and process data at scale and in real\-time. Create metrics and apply business logic using Spark, Scala, R, Python, and/or Java. Will assist clients located throughout the U.S. Master’s degree in Computer Science, Engineering, or Business Analytics along with 3 years of experience performing the duties listed above. Must be willing to travel or relocate.
 Send resumes to: sgude@oceanbluecorp.com</t>
        </is>
      </c>
    </row>
    <row r="39">
      <c r="A39" t="inlineStr">
        <is>
          <t>li-4370355682</t>
        </is>
      </c>
      <c r="B39" t="inlineStr">
        <is>
          <t>Senior Data Scientist</t>
        </is>
      </c>
      <c r="C39" t="inlineStr">
        <is>
          <t>Protege</t>
        </is>
      </c>
      <c r="D39" t="inlineStr">
        <is>
          <t>linkedin</t>
        </is>
      </c>
      <c r="E39" t="inlineStr"/>
      <c r="F39" t="inlineStr"/>
      <c r="G39" t="inlineStr"/>
      <c r="H39" t="inlineStr"/>
      <c r="I39" t="inlineStr">
        <is>
          <t>**Company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**Role Overview:**
 Data is the foundation of AI performance, and we believe model quality starts with data quality. You’ll be at the heart of shaping how we curate, assess, and prepare the training data that powers real\-world AI systems.
 We’re seeking a
 **Senior Member of the Core Data Team** 
 to lead the evaluation and optimization of large\-scale datasets used to train state\-of\-the\-art AI models. In this role, you’ll help define what "high\-quality data" means in practice, using statistical, computational, and ML\-driven methods to ensure our data is diverse, representative, and high\-impact. You’ll work closely with research and engineering teams to improve model performance through better data. This is an ideal role for someone with a PhD in machine learning, CS, or a related applied field who is passionate about the role of data in AI training and excited to advance Protege’s mission to become the ubiquitous platform for AI training data.
**Key Responsibilities:**
* Design and apply statistical and machine learning methods to curate, filter, and enrich large\-scale unstructured datasets
* Develop frameworks to assess data diversity, duplication, and informativeness. Design statistical approaches to de\-risk training datasets
* Collaborate with model training teams to identify data bottlenecks and optimize dataset performance. Emphasis on ability to collaborate with large foundational models and smaller startups
* Provide leadership on data quality strategy and shape internal best practices
* Evaluate external datasets for integration, focusing on scalability, quality, and relevance to model performance. Help build data scorecards
* Contribute to research and development of tools that automate data preprocessing and validation
**About You:**
* PhD or equivalent Master's Degree \+ 4\+ years industry experience in machine learning, economics, mathematics, engineering, computer science, statistics, or a related quantitative field
* Strong understanding of AI model training pipelines, including pre\-processing and evaluation
* Experience working with large, unstructured datasets, especially text
* Background in statistical analysis, bias detection, and data validation
* Able to identify high\-impact problems and drive independent solutions
**Bonus if you have these attributes:**
* Experience with synthetic data generation or augmentation strategies
* Publications or open\-source contributions in data\-centric AI or related areas
* Experience developing evaluation frameworks or performance metrics for training data
* Cross\-functional collaboration with product, infrastructure, or partnership teams</t>
        </is>
      </c>
    </row>
    <row r="40">
      <c r="A40" t="inlineStr">
        <is>
          <t>li-4370356214</t>
        </is>
      </c>
      <c r="B40" t="inlineStr">
        <is>
          <t>Data Scientist</t>
        </is>
      </c>
      <c r="C40" t="inlineStr">
        <is>
          <t>Hirenza</t>
        </is>
      </c>
      <c r="D40" t="inlineStr">
        <is>
          <t>linkedin</t>
        </is>
      </c>
      <c r="E40" t="inlineStr"/>
      <c r="F40" t="inlineStr"/>
      <c r="G40" t="inlineStr"/>
      <c r="H40" t="inlineStr"/>
      <c r="I40" t="inlineStr">
        <is>
          <t>**About The Company**
 Bowhead / UIC Technical Services is a leading provider of specialized technical solutions and services dedicated to supporting government agencies and defense organizations. With a focus on innovation, reliability, and excellence, the company delivers mission\-critical support across various domains, including naval warfare, cybersecurity, data analysis, and engineering. Bowhead is committed to fostering a collaborative environment that encourages professional growth and technological advancement, ensuring its clients receive the highest quality services tailored to their unique needs.
**About The Role**
 We are seeking a highly skilled Data Scientist to join our team supporting the Naval Surface Warfare Center Dahlgren Division (NSWCDD), E Department. This position plays a vital role in applying advanced data analysis, predictive modeling, and machine learning techniques to uncover actionable insights from complex datasets. The successful candidate will work onsite at either the Bowhead office or Navy installation, collaborating closely with cross\-functional teams to develop innovative data solutions that enhance decision\-making processes. The role involves designing and implementing software components, building testing tools, and presenting data\-driven findings in compelling ways to both technical and non\-technical audiences. The ideal candidate will possess a strong analytical background, excellent communication skills, and the ability to handle high volumes of diverse data types, including numbers, symbols, text, sound, and images.
**Qualifications**
 Candidates must hold a Bachelor's Degree in physics, data science, or a related field, along with a minimum of 5\-8 years of relevant experience. Demonstrated expertise in database management, development, and data warehousing is essential. Proficiency in relational database management systems and SQL query analysis is required. Experience with virtual machines or artificial intelligence applications is highly preferred. The candidate should have a solid understanding of mathematical reasoning and the ability to develop and interpret predictive models. Strong coding and software development skills are necessary, along with familiarity with analytical tools and evaluation techniques. Excellent oral and written communication skills are critical for engaging with senior government stakeholders and gathering requirements. Intermediate to advanced proficiency in Microsoft Office applications (Word, Excel, Outlook, PowerPoint) is expected. Security clearance at the Secret level must be maintained, and US citizenship is a prerequisite for clearance eligibility. Physical ability to lift up to 25 pounds, stand, walk, and perform periodic physical movements is also required.
**Responsibilities**
 The Data Scientist will be responsible for applying mathematical, statistical, and machine learning techniques to analyze large and complex datasets. This includes designing, developing, and refining software components that support data analysis and predictive modeling efforts. The role involves planning and executing data testing procedures, building tools to facilitate data validation, and ensuring data integrity across various systems. The candidate will analyze data characterized by high volume, velocity, and variety, deriving real\-time, forward\-looking insights that add value and support automated decision\-making processes. Presenting findings in clear and innovative formats to diverse audiences is essential, ensuring technical and non\-technical stakeholders understand the insights and implications. The role also includes identifying, validating, and exploiting both internal and external data sources generated from different processes, managing data in all its forms, and structuring information logically through taxonomies, metadata, and data schemas. Additional duties may involve supporting other projects and tasks as assigned, contributing to continuous improvement initiatives, and maintaining compliance with security and operational standards.
**Benefits**
 Bowhead offers a comprehensive benefits package designed to support the health, well\-being, and professional development of its employees. Benefits include competitive health insurance plans, dental and vision coverage, retirement savings options, and paid time off. The company also provides opportunities for ongoing training, certification, and career advancement. Employees enjoy a collaborative work environment that encourages innovation and recognizes individual contributions. Additional perks may include flexible work arrangements, professional development stipends, and access to cutting\-edge tools and technologies to support your growth and success in the role.
 Equal Opportunity
 Bowhead / UIC Technical Services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 and regulations. We believe that diverse teams foster innovation and drive better outcomes, and we are dedicated to providing equal employment opportunities to all individuals.</t>
        </is>
      </c>
    </row>
    <row r="41">
      <c r="A41" t="inlineStr">
        <is>
          <t>li-4222889679</t>
        </is>
      </c>
      <c r="B41" t="inlineStr">
        <is>
          <t>Senior AI Data Scientist</t>
        </is>
      </c>
      <c r="C41" t="inlineStr">
        <is>
          <t>Electronic Arts (EA)</t>
        </is>
      </c>
      <c r="D41" t="inlineStr">
        <is>
          <t>linkedin</t>
        </is>
      </c>
      <c r="E41" t="inlineStr"/>
      <c r="F41" t="inlineStr"/>
      <c r="G41" t="inlineStr"/>
      <c r="H41" t="inlineStr"/>
      <c r="I41"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2">
      <c r="A42" t="inlineStr">
        <is>
          <t>li-4370096184</t>
        </is>
      </c>
      <c r="B42" t="inlineStr">
        <is>
          <t>Sr Data Scientist</t>
        </is>
      </c>
      <c r="C42" t="inlineStr">
        <is>
          <t>Jobs via Dice</t>
        </is>
      </c>
      <c r="D42" t="inlineStr">
        <is>
          <t>linkedin</t>
        </is>
      </c>
      <c r="E42" t="inlineStr"/>
      <c r="F42" t="inlineStr"/>
      <c r="G42" t="inlineStr">
        <is>
          <t>Woodlawn, MD</t>
        </is>
      </c>
      <c r="H42" t="inlineStr"/>
      <c r="I42" t="inlineStr">
        <is>
          <t>Dice is the leading career destination for tech experts at every stage of their careers. Our client, ePace Technologies, Inc, is seeking the following. Apply via Dice today!
**Job Title:** 
 Senior Data Scientist
**Location:** 
 Woodlawn, MD / Onsite
**Key Responsibilities**
* Build, validate, and maintain statistical and ML models using Python, SAS, and R
* Perform advanced analytics on large\-scale big data environments
* Develop and optimize data pipelines and workflows (Greenplum preferred)
* Translate complex analysis into insights for senior leadership
* Collaborate with SMEs and Product Owners in an Agile environment
* Mentor junior data scientists and support delivery excellence
**Required Experience \&amp; Skills**
* 10\+ years of data science experience in large\-scale/big data environments
* Strong expertise in statistical modeling, ML, NLP, and feature engineering
* Hands\-on experience with SAS, Python, R
* Experience integrating claims, payment, or administrative data
* Knowledge of productionizing models and MLOps best practices
* Excellent communication and documentation skills</t>
        </is>
      </c>
    </row>
    <row r="43">
      <c r="A43" t="inlineStr">
        <is>
          <t>li-4370094228</t>
        </is>
      </c>
      <c r="B43" t="inlineStr">
        <is>
          <t>Staff Data Scientist</t>
        </is>
      </c>
      <c r="C43" t="inlineStr">
        <is>
          <t>Garner Health, LLC</t>
        </is>
      </c>
      <c r="D43" t="inlineStr">
        <is>
          <t>linkedin</t>
        </is>
      </c>
      <c r="E43" t="inlineStr"/>
      <c r="F43" t="inlineStr"/>
      <c r="G43" t="inlineStr">
        <is>
          <t>New York, NY</t>
        </is>
      </c>
      <c r="H43" t="inlineStr"/>
      <c r="I43"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Staff Data Scientist to join our Garner Health Intelligence team to help build and evolve our provider data insights. You’ll work with our clinical researchers, data scientists, and data engineers to improve the rules and models we use to evaluate provider performance. Your work will directly impact our member recommendations and provider\-facing data products.
 You will also be a technical leader, raising the bar for how we conduct analysis, build models, and deploy data science code by improving standards and mentoring team members.
**Where You Will Work**
 This role will be based in our New York City office. You must be willing to work in the office 3 days per week on Tuesday, Wednesday and Thursday.
**What You Will Do**
* Partner with product managers and clinical experts to lead projects shaping how we define and measure provider cost and quality
* Drive the evolution and construction of tools we use to write, assess, and combine rules measuring provider behaviors
* Build and maintain data\-driven algorithms, including AI and machine learning models, to improve our provider recommendations estimates
* Serve as a subject matter expert for statistical modeling, improving methods for evaluating current models and future changes
* Partner with data engineers to design scalable data pipelines that ingest, clean, and enrich healthcare provider data
* Collaborate cross\-functionally with product, engineering, research, and operations teams to translate business needs into data\-driven solutions
* Define data science standards and best practices, and mentor team members to raise the technical capabilities of the data science team
**The Ideal Candidate Has**
* 8\+ years professional experience in data science, product analytics, and/or healthcare
* A demonstrated ability to independently solve difficult problems and deliver high quality results to senior stakeholders
* Strong Python and SQL skills
* Expertise in statistical modeling techniques and a track record of building impactful predictive models
* A willingness to “roll up your sleeves” and do whatever is necessary to ensure company success
* Experience working in a rapidly evolving startup environment.
* A desire to be a part of our mission to improve the U.S. healthcare system
* A desire to be a part of a high\-performing, mission\-driven team that operates with intense urgency, a strong sense of individual accountability, and a commitment to authentic feedback
**Technologies We Use**
* Python and Jupyter Notebooks, SQL (Snowflake), Argo, DBT, AWS, Terraform
 This is a unique opportunity to join a fast\-growing company in a transformative role, helping shape the future of healthcare.
**Please note: we are unable to sponsor or take over sponsorship of an employment visa at this time.**
**Compensation Transparency**
 The target salary range for this position is $263,000 \- $300,000\.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44">
      <c r="A44" t="inlineStr">
        <is>
          <t>li-4363837482</t>
        </is>
      </c>
      <c r="B44" t="inlineStr">
        <is>
          <t>Principal Associate, Data Scientist - Recommendation &amp; Personalization Systems</t>
        </is>
      </c>
      <c r="C44" t="inlineStr">
        <is>
          <t>Capital One</t>
        </is>
      </c>
      <c r="D44" t="inlineStr">
        <is>
          <t>linkedin</t>
        </is>
      </c>
      <c r="E44" t="inlineStr"/>
      <c r="F44" t="inlineStr"/>
      <c r="G44" t="inlineStr">
        <is>
          <t>McLean, VA</t>
        </is>
      </c>
      <c r="H44" t="inlineStr"/>
      <c r="I4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li-4370344764</t>
        </is>
      </c>
      <c r="B45" t="inlineStr">
        <is>
          <t>Senior Data Scientist (NYC)</t>
        </is>
      </c>
      <c r="C45" t="inlineStr">
        <is>
          <t>TWG Global</t>
        </is>
      </c>
      <c r="D45" t="inlineStr">
        <is>
          <t>linkedin</t>
        </is>
      </c>
      <c r="E45" t="inlineStr"/>
      <c r="F45" t="inlineStr"/>
      <c r="G45" t="inlineStr">
        <is>
          <t>New York, NY</t>
        </is>
      </c>
      <c r="H45" t="inlineStr"/>
      <c r="I45" t="inlineStr">
        <is>
          <t>At TWG Group Holdings, LLC ("TWG Global"), we drive innovation and business transformation across a range of industries, including financial services, insurance, technology, media, and sports, 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a Senior Associate, Data Scientist, you'll work alongside experienced data scientists and ML engineers to design, develop, and apply data\-driven models and analyses that deliver measurable business value. Reporting to the Executive Director of AI Science, you'll gain hands\-on experience working on impactful projects across the enterprise, applying advanced analytics and machine learning to areas such as financial services, insurance, and operations optimization. This is a high\-growth opportunity for someone with early industry experience (or strong academic grounding) in data science and applied statistics, eager to deepen their expertise and grow within a dynamic AI team working at the frontier of applied analytics and machine learning.
**Key Responsibilities:**
* Contribute to the development of predictive and statistical models addressing business\-critical challenges across diverse domains.
* Conduct exploratory data analysis, feature engineering, and hypothesis testing to uncover patterns and support model development.
* Collaborate with senior data scientists and ML engineers to refine models, improve accuracy, and enhance interpretability.
* Support the design and evaluation of experiments and A/B tests, ensuring rigorous measurement of impact.
* Clean, transform, and prepare data from diverse sources, ensuring high\-quality datasets for analysis.
* Build dashboards, reports, and visualizations that communicate insights clearly to technical and non\-technical stakeholders.
* Stay current with emerging data science methods and tools (e.g., generative AI, LLMs, causal inference) and apply them through prototyping.
* Contribute to the team's knowledge base by documenting workflows and sharing best practices
**Requirements**
**Qualifications:**
* 5\+ years of experience applying data science or advanced analytics in a professional setting.
* Solid understanding of statistical modeling, machine learning fundamentals, and experimental design.
* Experience with predictive modeling techniques such as regression, classification, clustering, or time\-series forecasting.
* Proficiency in Python and experience with data science libraries (e.g., Pandas, NumPy, scikit\-learn, XGBoost, PyTorch, TensorFlow).
* Strong experience with SQL and data manipulation across large datasets.
* Familiarity with data visualization tools (e.g., Matplotlib, Seaborn, Plotly, Tableau, or Power BI). Exposure to modern collaborative data platforms (e.g., Databricks, Snowflake, Palantir Foundry) is a plus.
* Excellent problem\-solving skills, eagerness to learn, and ability to work in fast\-paced, evolving environments
* Strong written and verbal communication skills, with the ability to translate technical findings into business recommendations.
* Bachelor's or Master's degree in Data Science, Statistics, Computer Science, Economics, or another quantitative discipline.
**Preferred experience:**
* Hands\-on experience with Palantir platforms (Foundry, AIP, Ontology), including developing analytical workflows and deploying insights within enterprise environments.
* PhD in Data Science, Statistics, Computer Science, or a related quantitative field. Publications in top data science / ML conferences or journals (e.g., NeurIPS, ICML, KDD, ACL, or similar).
* Open\-source contributions to the data science or ML community (libraries, notebooks, packages, or tutorials). Experience presenting research or applied work at meetups, workshops, or industry conferences.
* Familiarity with vector databases (FAISS, Pinecone, Milvus, Weaviate) and LLM application frameworks.
* Cloud or AI/ML certifications (e.g., AWS Machine Learning Specialty, Google Professional Data Engineer, Azure AI Engineer) are a plus
**Benefits**
* Work at the forefront of AI/ML innovation in life insurance, annuities, and financial services.
* Drive AI transformation for some of the most sophisticated financial entities.
* Competitive compensation, benefits, future equity options, and leadership opportunities.
**Position Location**
 This is an onsite position based in Manhattan in New York City.
**Compensation**
 The base salary for this position is $190,000\-$200,000 USD.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46">
      <c r="A46" t="inlineStr">
        <is>
          <t>li-4370363214</t>
        </is>
      </c>
      <c r="B46" t="inlineStr">
        <is>
          <t>Sr. Principal Data Scientist - Machine Learning Engineer - R10222135-2</t>
        </is>
      </c>
      <c r="C46" t="inlineStr">
        <is>
          <t>Northrop Grumman</t>
        </is>
      </c>
      <c r="D46" t="inlineStr">
        <is>
          <t>linkedin</t>
        </is>
      </c>
      <c r="E46" t="inlineStr"/>
      <c r="F46" t="inlineStr"/>
      <c r="G46" t="inlineStr">
        <is>
          <t>Falls Church, VA</t>
        </is>
      </c>
      <c r="H46" t="inlineStr"/>
      <c r="I46"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7">
      <c r="A47" t="inlineStr">
        <is>
          <t>li-4370365050</t>
        </is>
      </c>
      <c r="B47" t="inlineStr">
        <is>
          <t>Sr. Principal Data Scientist - Machine Learning Engineer - R10222135</t>
        </is>
      </c>
      <c r="C47" t="inlineStr">
        <is>
          <t>Northrop Grumman</t>
        </is>
      </c>
      <c r="D47" t="inlineStr">
        <is>
          <t>linkedin</t>
        </is>
      </c>
      <c r="E47" t="inlineStr"/>
      <c r="F47" t="inlineStr"/>
      <c r="G47" t="inlineStr">
        <is>
          <t>Falls Church, VA</t>
        </is>
      </c>
      <c r="H47" t="inlineStr"/>
      <c r="I47"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8">
      <c r="A48" t="inlineStr">
        <is>
          <t>li-4370362144</t>
        </is>
      </c>
      <c r="B48" t="inlineStr">
        <is>
          <t>Data Scientist</t>
        </is>
      </c>
      <c r="C48" t="inlineStr">
        <is>
          <t>Protege</t>
        </is>
      </c>
      <c r="D48" t="inlineStr">
        <is>
          <t>linkedin</t>
        </is>
      </c>
      <c r="E48">
        <f>HYPERLINK("https://www.linkedin.com/jobs/view/4370362144", "https://www.linkedin.com/jobs/view/4370362144")</f>
        <v/>
      </c>
      <c r="F48" t="inlineStr"/>
      <c r="G48" t="inlineStr"/>
      <c r="H48" t="inlineStr"/>
      <c r="I48" t="inlineStr">
        <is>
          <t>**Company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**Role Overview:**
 The Data Scientist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 Conduct feasibility analyses by querying healthcare datasets to assess patient cohort availability based on complex inclusion/exclusion criteria (i.e. procedures, diagnoses, diversity, longitudinal completeness, regulatory constraints)
* Collaborate directly with customers to understand their use cases and support effective data integration
* Ensure customers have a clear understanding of the data’s structure, limitations, and strengths
* Identify gaps in our data offerings and provide insights to our partnerships team on the highest\-priority data acquisitions
* Evaluate potential data partnerships, ensuring the data is high\-quality, well\-documented, and commercially viable
**About You:**
* You are curious, tenacious, and proactive
* You are not bothered by ambiguity but embrace finding patterns in complex environments
* Undergraduate or MS/BS \+ industry experience in a quantitative field such as mathematics, economics, statistics, biostatistics, bioinformatics, computer science, or data science
* Proficiency with programming in R/Python/SQL
* Hands\-on experience working with large\-scale healthcare datasets, including one or more of the following: imaging, EHR, genomics, claims, or pathology data
* Team\-player, no job is too big or too small
* You are an eager researcher and you are not afraid to learn or face a knowledge pit.
* You treat those around you with kindness
**Bonus if you have these attributes:**
* Experience in a customer facing role
* Experience with data optimization techniques such as model\-based filtering, multimodal data integration, heuristic filtering, and/or target distribution matching
* Experience applying machine learning or logistic regression techniques to healthcare data
* Familiarity with third\-party data certification or audit processes related to privacy and data quality
* Ability to think creatively and insightfully about large scale data problems</t>
        </is>
      </c>
    </row>
    <row r="49">
      <c r="A49" t="inlineStr">
        <is>
          <t>li-4370348374</t>
        </is>
      </c>
      <c r="B49" t="inlineStr">
        <is>
          <t>Data Scientist</t>
        </is>
      </c>
      <c r="C49" t="inlineStr">
        <is>
          <t>Whatnot</t>
        </is>
      </c>
      <c r="D49" t="inlineStr">
        <is>
          <t>linkedin</t>
        </is>
      </c>
      <c r="E49">
        <f>HYPERLINK("https://www.linkedin.com/jobs/view/4370348374", "https://www.linkedin.com/jobs/view/4370348374")</f>
        <v/>
      </c>
      <c r="F49" t="inlineStr"/>
      <c r="G49" t="inlineStr"/>
      <c r="H49" t="inlineStr"/>
      <c r="I49" t="inlineStr">
        <is>
          <t>**About The Company** 
 Join the Future of Commerce with Whatnot! Whatnot is the leading live shopping platform serving North America and Europe, revolutionizing the way people buy, sell, and discover products they love. Our innovative approach combines community engagement, entertainment, and e\-commerce into a seamless experience, creating a vibrant marketplace where users can explore everything from fashion and beauty to electronics, collectibles, and live plants. As a rapidly growing company, we are committed to redefining online marketplaces by fostering a culture of innovation, collaboration, and inclusivity. With hubs across the US, UK, Germany, Ireland, and Poland, Whatnot is building the future of online commerce—together. Our platform features dynamic live auctions and a diverse range of categories, making shopping interactive and fun for everyone. We are passionate about empowering individuals to turn their passions into businesses and bringing people together through shared commerce experiences.
**About The Role** 
 As Whatnot continues to scale, data\-driven insights are fundamental to shaping our product strategy and delivering exceptional user experiences. We are seeking a talented Product Data Scientist to join our team and work closely with Product, Engineering, Design, and Operations teams. In this role, you will be responsible for analyzing user behavior, marketplace dynamics, and product usage to inform decision\-making, optimize features, and drive growth. Your expertise will help define key performance indicators (KPIs), develop scalable data frameworks, and create tools that empower teams across the organization. You will play a critical role in designing and evaluating experiments, building dashboards, and translating complex data into clear, actionable insights. Your work will directly influence the development and refinement of our platform, ensuring we deliver engaging, high\-performing experiences for both buyers and sellers. This position offers a unique opportunity to contribute to a fast\-paced, innovative environment where your insights will have a tangible impact on the future of live commerce.
**Qualifications** 
* 3\+ years of experience in Data Science, Decision Science, or Analytics within a product\-focused organization
* Bachelor’s degree in Computer Science, Economics, Statistics, or a related quantitative field, or equivalent experience
* Proven experience applying statistical and analytical methods to solve real\-world product problems
* Advanced SQL skills and experience with modern data warehouses (Snowflake, BigQuery, Redshift)
* Proficiency in Python or R for data analysis, modeling, and experimentation
* Experience designing, implementing, and analyzing A/B tests, with a strong understanding of causal inference techniques
* Strong data visualization skills and familiarity with BI tools for building interactive dashboards
* Excellent communication skills, capable of conveying complex ideas clearly to both technical and non\-technical audiences
* Experience leading cross\-functional projects and influencing product strategy through data insights
* Ability to thrive in fast\-paced, ambiguous environments with a high degree of ownership and initiative
**Responsibilities** 
* Define and own KPIs that measure product health, user engagement, and marketplace performance
* Analyze user behavior, product usage patterns, and marketplace trends to identify opportunities and inform product priorities
* Translate complex data sets into actionable insights and strategic recommendations for product teams and leadership
* Partner with product managers and engineers to design, implement, and evaluate A/B tests and feature rollouts
* Develop frameworks for causal inference, impact measurement, and long\-term product evaluation
* Build scalable data products, dashboards, and self\-serve tools that enhance data accessibility and usability across teams
* Collaborate with engineering teams to improve data quality, instrumentation, and data pipeline efficiency
* Advocate for a data\-driven culture, promoting measurement and analytics best practices within the organization
* Communicate insights effectively to diverse stakeholders, influencing product roadmaps and strategic decisions
* Serve as a thought partner to product leads, shaping the development, launch, and iteration of platform features
**Benefits** 
* Flexible work arrangements including remote work options and support for in\-person collaboration at US hubs in New York, Seattle, Los Angeles, and San Francisco
* Comprehensive health insurance options including Medical, Dental, and Vision coverage
* Home office setup allowance and monthly stipends for cellphone and internet expenses
* Care benefits including wellness allowances and annual childcare support
* Lifetime family planning benefits covering adoption and fertility expenses
* Retirement plans including 401(k) with employer matching (up to 4%) in the US and pension plans internationally
* Paid parental leave of 16 weeks plus a gradual return\-to\-work program
* Additional perks such as a monthly allowance for app testing and participation in company\-wide holidays and time\-off policies
* Opportunities for professional growth in a dynamic, innovative environment driven by a passionate team
 Equal Opportunity
 Whatnot is proud to be an Equal Opportunity Employer. We celebrate diversity and are committed to creating an inclusive environment for all employees. We do not discriminate based on race, religion, color, national origin, gender, sexual orientation, age, marital status, veteran status, parental status, disability, or any other protected class.</t>
        </is>
      </c>
    </row>
    <row r="50">
      <c r="A50" t="inlineStr">
        <is>
          <t>li-4370349343</t>
        </is>
      </c>
      <c r="B50" t="inlineStr">
        <is>
          <t>Data Scientist</t>
        </is>
      </c>
      <c r="C50" t="inlineStr">
        <is>
          <t>Humana</t>
        </is>
      </c>
      <c r="D50" t="inlineStr">
        <is>
          <t>linkedin</t>
        </is>
      </c>
      <c r="E50">
        <f>HYPERLINK("https://www.linkedin.com/jobs/view/4370349343", "https://www.linkedin.com/jobs/view/4370349343")</f>
        <v/>
      </c>
      <c r="F50" t="inlineStr"/>
      <c r="G50" t="inlineStr"/>
      <c r="H50" t="inlineStr"/>
      <c r="I50" t="inlineStr">
        <is>
          <t>**About The Company** 
 Humana Inc. is a leading healthcare company dedicated to putting health first for its members, employees, and communities. With a focus on innovative healthcare solutions, Humana offers a wide range of insurance and healthcare services through its subsidiaries, including insurance plans for Medicare, Medicaid, and commercial markets, as well as CenterWell healthcare services. The company is committed to improving the quality of life for millions of individuals by delivering accessible, compassionate, and personalized care. Humana values diversity, inclusion, and equal opportunity, fostering a work environment that encourages growth, collaboration, and innovation. As a forward\-thinking organization, Humana leverages cutting\-edge technology and data\-driven strategies to transform healthcare delivery and enhance member outcomes.
**About The Role** 
 We are seeking an experienced and innovative AI professional to join our Enterprise AI organization at Humana. This role focuses on developing advanced agentic systems capable of autonomously managing complex goals in dynamic environments. The successful candidate will be responsible for designing, implementing, and evaluating AI agents that can set, adapt, and execute goals with minimal human intervention. This position involves collaborating across multidisciplinary teams to build systems that are reliable, interpretable, and aligned with human intent. The ideal candidate will have a strong background in agent design, planning, control, and machine learning, with a passion for advancing autonomous AI solutions in healthcare. This role offers a unique opportunity to contribute to the scientific and engineering foundations of responsible AI, shaping the future of healthcare technology.
**Qualifications** 
* Master's Degree in Computer Science, Data Science, Machine Learning, or a related field
* 4\+ years of experience in research, ML engineering, or applied research roles focused on AI solutions
* At least 2 years of experience leading the development of AI/ML systems
* Proficiency in SQL, Python, and data analysis/data mining tools
* Experience with machine learning frameworks such as Pytorch, Jax, LangChain, LangGraph, or AutoGen
* Experience with high\-performance, large\-scale ML systems
* Knowledge of language modeling with transformers and large language models (LLMs)
* Experience with symbolic planning, causal reasoning, and model\-based reinforcement learning
* Experience with large\-scale ETL processes
* Demonstrated ability to ship autonomous or semi\-autonomous agents in production or simulation environments
* Understanding of autonomy risk mitigation strategies, including off\-switch protocols and bounded rationality
**Responsibilities** 
* Architect goal\-setting and goal decomposition mechanisms for autonomous agents operating in uncertain or open\-ended environments
* Design and implement dynamic planning systems such as hierarchical planning, curriculum learning, and self\-refinement loops
* Collaborate on memory management, tool\-use integration, and feedback\-loop designs to enable multi\-step, self\-directed agent behaviors
* Develop evaluation frameworks to ensure alignment with human intent, consistency, and progress on long\-horizon objectives
* Prototype agents that interface with APIs, servers, search engines, databases, and real\-world actuators to pursue goals safely and efficiently
* Explore mechanisms to detect and mitigate goal misalignment, looping behaviors, or undesirable emergent strategies
* Work across teams to integrate goal alignment with safety, operational reliability, and risk mitigation mechanisms
**Benefits** 
* Comprehensive health benefits effective from day one
* Generous paid time off and holiday leave
* Annual incentive and bonus plans based on performance
* 401(k) retirement plan with an excellent company match
* Well\-being programs and resources to support personal health and wellness
* Paid volunteer time off to encourage community engagement
* Flexible work arrangements, including remote work options
 Equal Opportunity
 Humana is an equal opportunity employer committed to creating a diverse and inclusive workplace. We do not discriminate against any employee or applicant based on race, color, religion, sex, sexual orientation, gender identity, national origin, age, marital status, genetic information, disability, or protected veteran status. We actively promote affirmative action in accordance with applicable laws and are dedicated to providing a work environment that respects and values individual differences.</t>
        </is>
      </c>
    </row>
    <row r="51">
      <c r="A51" t="inlineStr">
        <is>
          <t>li-4361439215</t>
        </is>
      </c>
      <c r="B51" t="inlineStr">
        <is>
          <t>AI-First Data Scientist</t>
        </is>
      </c>
      <c r="C51" t="inlineStr">
        <is>
          <t>ChatGPT Jobs</t>
        </is>
      </c>
      <c r="D51" t="inlineStr">
        <is>
          <t>linkedin</t>
        </is>
      </c>
      <c r="E51">
        <f>HYPERLINK("https://www.linkedin.com/jobs/view/4361439215", "https://www.linkedin.com/jobs/view/4361439215")</f>
        <v/>
      </c>
      <c r="F51" t="inlineStr"/>
      <c r="G51" t="inlineStr"/>
      <c r="H51" t="inlineStr"/>
      <c r="I51" t="inlineStr">
        <is>
          <t>**Job Description**
 AI\-First Data Scientist
 CSC Generation
 Remote Nationwide
 Full\-Time
**Job Description**
 CSC Generation is building an AI\-driven retail operating system. Our brands—including Sur La Table, One Kings Lane, and Backcountry—rely on intelligent decision\-making rooted in data. We're hiring an AI\-First Data Analyst who combines statistical know\-how with AI tooling and automation instincts.
 This is a technical, hands\-on role. You’ll build causal models, apply advanced machine learning techniques (e.g., Double ML), and develop internal data tools.
**What You Get To Do Every Day:**
* Conduct causal analysis and treatment effect estimation to guide high\-stakes decisions.
* Build AI\-powered internal tools that automate analytical tasks and surface insights.
* Develop and own dashboards and data pipelines.
* Partner directly with business leaders to translate questions into testable hypotheses.
* Identify opportunities to automate recurring analyses via custom GPTs, scripts, or workflow platforms like n8n.
* Work closely with engineering and data platform teams to improve data cleanliness, accessibility, and documentation.
**What You Bring To The Role:**
* 1–3 years of experience in data science, quantitative analysis, or machine learning.
* Bachelor’s or Master’s degree in Statistics, Economics, Computer Science, Data Science, or a related quantitative field.
* Expertise in causal inference frameworks—especially Double ML, A/B testing, and other counterfactual methods.
* Strong coding skills in Python or R; experience with SQL, Jupyter, and version control (Git).
* Comfortable building data pipelines and working with large datasets.
* Proficiency with AI tools such as ChatGPT, Claude, or custom GPTs.
* Curious, fast\-learning, and deeply motivated to solve business problems through analysis and automation.
* Experience with workflow automation (e.g., n8n, Make, Zapier) is a plus.
 What’s in it for you?
* Executive Access: Work directly with brand CEOs and senior leadership.
* AI\-First Skill Building:Get hands\-on with the most advanced AI tools in the market.
* Accelerated Career Path:High performers are quickly entrusted with greater responsibility.
* Competitive benefits:Paid time off policies, 401(k)/RRSP match, medical/dental/vision, and employee discounts.
 For US\-based candidates, this posting is intended for candidates that reside in the following states: AZ, DE, FL, GA, IN, LA, MI, MS, MO, NV, NC, OK, OR, PA, TN, TX, UT, VA, WV, WI, and WY.</t>
        </is>
      </c>
    </row>
    <row r="52">
      <c r="A52" t="inlineStr">
        <is>
          <t>li-4370347768</t>
        </is>
      </c>
      <c r="B52" t="inlineStr">
        <is>
          <t>Data Scientist 2</t>
        </is>
      </c>
      <c r="C52" t="inlineStr">
        <is>
          <t>Gormat</t>
        </is>
      </c>
      <c r="D52" t="inlineStr">
        <is>
          <t>linkedin</t>
        </is>
      </c>
      <c r="E52">
        <f>HYPERLINK("https://www.linkedin.com/jobs/view/4370347768", "https://www.linkedin.com/jobs/view/4370347768")</f>
        <v/>
      </c>
      <c r="F52">
        <f>HYPERLINK("https://www.adzuna.com/details/5619375386?v=A66FFFDF02FAF6B25B32D0F2F1920D847523FBB7&amp;ccd=7fb7984aeb734f4a92f3f849230ad9fb&amp;frd=f8d4a9a2030aeccdc279786593436ae1&amp;r=21225287&amp;utm_source=linkedin7&amp;utm_medium=organic&amp;chnlid=1931&amp;title=Data%20Scientist%202&amp;a=e&amp;urlHash=1Ve_", "https://www.adzuna.com/details/5619375386?v=A66FFFDF02FAF6B25B32D0F2F1920D847523FBB7&amp;ccd=7fb7984aeb734f4a92f3f849230ad9fb&amp;frd=f8d4a9a2030aeccdc279786593436ae1&amp;r=21225287&amp;utm_source=linkedin7&amp;utm_medium=organic&amp;chnlid=1931&amp;title=Data%20Scientist%202&amp;a=e&amp;urlHash=1Ve_")</f>
        <v/>
      </c>
      <c r="G52" t="inlineStr">
        <is>
          <t>Annapolis Junction, MD</t>
        </is>
      </c>
      <c r="H52" t="inlineStr"/>
      <c r="I52" t="inlineStr">
        <is>
          <t>Gormat is seeking a Data Scientist with experience with pattern/trend analysis while leveraging financial and geospatial datasets. Experience with LLM is desired as well as experience in AI/ML development leveraging SIGINT data. Python proficiency is required using skills such as data mining, algorithmic application and heuristics. Automated alert metrics tracking are a plus. You will need the ability to translate complex data into strategic insights, and target knowledge or experience in OCP is a plus.
**The Level 2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Ability to make and communicate principal conclusions from data using elements of mathematics, statistics, computer science, and applications\-specific knowledge.
*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Customer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 Pattern/trend analysis experience required while leveraging financial datasets. LLM and NER experience desired. Any AI/ML development leveraging SIGINT data. Python proficiency including data mining, algorithmic application, and heuristics. Automated alert metrics tracking a plus. Ability to translate complex data into strategic insights. Target knowledge or experience in OCP a plus.
**Qualifications**
* Bachelor's Degree with 3 years of relevant experience, associate's degree with 5 years of experience may be considered for individuals with in\-depth experience that is clearly related to the position.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 Broader range of degrees will be considered if accompanied by a Certificate in Data Science from an accredited college/university.
* Relevant experience must be in designing/implementing machine learning, data science, advanced analytical algorithms, programming (skill in at least on high 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**TS/SCI With Polygraph Is Required.**
***Job Posted by ApplicantPro***</t>
        </is>
      </c>
    </row>
    <row r="53">
      <c r="A53" t="inlineStr">
        <is>
          <t>li-4370086980</t>
        </is>
      </c>
      <c r="B53" t="inlineStr">
        <is>
          <t>Data Scientist</t>
        </is>
      </c>
      <c r="C53" t="inlineStr">
        <is>
          <t>Insight Global</t>
        </is>
      </c>
      <c r="D53" t="inlineStr">
        <is>
          <t>linkedin</t>
        </is>
      </c>
      <c r="E53">
        <f>HYPERLINK("https://www.linkedin.com/jobs/view/4370086980", "https://www.linkedin.com/jobs/view/4370086980")</f>
        <v/>
      </c>
      <c r="F53" t="inlineStr"/>
      <c r="G53" t="inlineStr"/>
      <c r="H53" t="inlineStr"/>
      <c r="I53" t="inlineStr">
        <is>
          <t>12 Month Contract w/ potential extensions or conversion
 Pay rate: $50\-$70/hr.
 Fully Remote
 Required Skills \&amp; Experience
 \- Bachelor’s or Master’s degree in a STEM field (Computer Science, Engineering, Statistics, Mathematics)
 \- 7\+ years of experience in Data Analytics, Business Intelligence, or Data Science within Finance/FP\&amp;A
 \- Strong experience with Monte Carlo simulations for financial items like forecasting
 \- Experience with forecasting models including ARIMA, Prophet, and LSTM (to help forecast items like profit)
 \- Proficient in Python or R, and SQL queries
 \- Highly experienced with BI tools such as Power BI and Tableau
 \- Familiarity with Generative AI and Machine Learning concepts and tools
 \- Strong analytical skills to translate data into business insights
 \- Strong communications skills and affinity for data storytelling and data storyboards to communicate the 'why'
 \- Experience working in cross\-functional teams and managing multiple priorities
 Job Description
 Insight Global is looking for a key Engineer to join their Growth Insights team. In this role you will apply advanced analytics, Business Intelligence, and Generative AI techniques to uncover insights and drive data\-informed growth strategies. You will work cross\-functionally with product, sales, marketing, and strategy teams to support enterprise\-wide growth initiatives, reporting to a senior leader within the Data \&amp; Analytics organization.
 Responsibilities:
 • Analyze Growth Opportunities: Collaborate with business stakeholders to explore complex growth challenges using data analytics, predictive modeling, and Gen AI tools to generate actionable insights.
 • Develop AI\-Enhanced Dashboards: Build and maintain dynamic, Gen AI\-powered dashboards and reporting tools that provide foresight and prescriptive recommendations to business teams.
 • Support ML Model Deployment: Assist in the implementation and monitoring of machine learning models for use cases such as sales recommendations, churn prediction, and financial forecasting.
 • Enable Agentic AI Solutions: Contribute to the development and testing of Agentic AI workflows that automate growth\-related tasks across platforms like Salesforce, Hubspot, Eloqua, and Oracle Cloud.
 • Collaborate on Data Infrastructure: Work with Data Engineering to ensure data pipelines and architecture support scalable, AI\-native analytics solutions.
 • Promote Data Literacy: Help maintain the enterprise data catalog and support internal data literacy initiatives by enabling self\-service analytics and sharing best practices.
 • Deliver Executive Insights: Prepare data visualizations and summaries that support strategic decision\-making by senior leadership, including the Chief Data \&amp; Analytics Officer.</t>
        </is>
      </c>
    </row>
    <row r="54">
      <c r="A54" t="inlineStr">
        <is>
          <t>li-4361708696</t>
        </is>
      </c>
      <c r="B54" t="inlineStr">
        <is>
          <t>Data Scientist - Powell, OH</t>
        </is>
      </c>
      <c r="C54" t="inlineStr">
        <is>
          <t>Ocean Blue Solutions Inc</t>
        </is>
      </c>
      <c r="D54" t="inlineStr">
        <is>
          <t>linkedin</t>
        </is>
      </c>
      <c r="E54">
        <f>HYPERLINK("https://www.linkedin.com/jobs/view/4361708696", "https://www.linkedin.com/jobs/view/4361708696")</f>
        <v/>
      </c>
      <c r="F54">
        <f>HYPERLINK("https://www.oceanbluecorp.com/jobs/Data%20Scientist%20-%20OH/1089&amp;urlHash=odMV", "https://www.oceanbluecorp.com/jobs/Data%20Scientist%20-%20OH/1089&amp;urlHash=odMV")</f>
        <v/>
      </c>
      <c r="G54" t="inlineStr">
        <is>
          <t>Columbus, OH</t>
        </is>
      </c>
      <c r="H54" t="inlineStr"/>
      <c r="I54" t="inlineStr">
        <is>
          <t>Data Scientist needed for Ocean Blue Solutions, Inc. located in Powell, OH. Organize and synthesize data into actionable business decisions, focused on insights. Provide insight into trends, financial and business operations through data analysis and the development of business intelligence visuals. Import and export the data using SQOOP from HDFS to Relational Database systems. Develop Data Frame and RDD (Resilient Distributed Datasets) to achieve unified transformations on the data load. Build distributed, scalable, and reliable data pipelines that ingest and process data at scale and in real\-time. Create metrics and apply business logic using Spark, Scala, R, Python, and/or Java. Will assist clients located throughout the U.S. Master’s degree in Computer Science, Engineering, or Business Analytics along with 3 years of experience performing the duties listed above. Must be willing to travel or relocate.
 Send resumes to: sgude@oceanbluecorp.com</t>
        </is>
      </c>
    </row>
    <row r="55">
      <c r="A55" t="inlineStr">
        <is>
          <t>li-4370355682</t>
        </is>
      </c>
      <c r="B55" t="inlineStr">
        <is>
          <t>Senior Data Scientist</t>
        </is>
      </c>
      <c r="C55" t="inlineStr">
        <is>
          <t>Protege</t>
        </is>
      </c>
      <c r="D55" t="inlineStr">
        <is>
          <t>linkedin</t>
        </is>
      </c>
      <c r="E55">
        <f>HYPERLINK("https://www.linkedin.com/jobs/view/4370355682", "https://www.linkedin.com/jobs/view/4370355682")</f>
        <v/>
      </c>
      <c r="F55" t="inlineStr"/>
      <c r="G55" t="inlineStr"/>
      <c r="H55" t="inlineStr"/>
      <c r="I55" t="inlineStr">
        <is>
          <t>**Company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**Role Overview:**
 Data is the foundation of AI performance, and we believe model quality starts with data quality. You’ll be at the heart of shaping how we curate, assess, and prepare the training data that powers real\-world AI systems.
 We’re seeking a
 **Senior Member of the Core Data Team** 
 to lead the evaluation and optimization of large\-scale datasets used to train state\-of\-the\-art AI models. In this role, you’ll help define what "high\-quality data" means in practice, using statistical, computational, and ML\-driven methods to ensure our data is diverse, representative, and high\-impact. You’ll work closely with research and engineering teams to improve model performance through better data. This is an ideal role for someone with a PhD in machine learning, CS, or a related applied field who is passionate about the role of data in AI training and excited to advance Protege’s mission to become the ubiquitous platform for AI training data.
**Key Responsibilities:**
* Design and apply statistical and machine learning methods to curate, filter, and enrich large\-scale unstructured datasets
* Develop frameworks to assess data diversity, duplication, and informativeness. Design statistical approaches to de\-risk training datasets
* Collaborate with model training teams to identify data bottlenecks and optimize dataset performance. Emphasis on ability to collaborate with large foundational models and smaller startups
* Provide leadership on data quality strategy and shape internal best practices
* Evaluate external datasets for integration, focusing on scalability, quality, and relevance to model performance. Help build data scorecards
* Contribute to research and development of tools that automate data preprocessing and validation
**About You:**
* PhD or equivalent Master's Degree \+ 4\+ years industry experience in machine learning, economics, mathematics, engineering, computer science, statistics, or a related quantitative field
* Strong understanding of AI model training pipelines, including pre\-processing and evaluation
* Experience working with large, unstructured datasets, especially text
* Background in statistical analysis, bias detection, and data validation
* Able to identify high\-impact problems and drive independent solutions
**Bonus if you have these attributes:**
* Experience with synthetic data generation or augmentation strategies
* Publications or open\-source contributions in data\-centric AI or related areas
* Experience developing evaluation frameworks or performance metrics for training data
* Cross\-functional collaboration with product, infrastructure, or partnership teams</t>
        </is>
      </c>
    </row>
    <row r="56">
      <c r="A56" t="inlineStr">
        <is>
          <t>li-4370356214</t>
        </is>
      </c>
      <c r="B56" t="inlineStr">
        <is>
          <t>Data Scientist</t>
        </is>
      </c>
      <c r="C56" t="inlineStr">
        <is>
          <t>Hirenza</t>
        </is>
      </c>
      <c r="D56" t="inlineStr">
        <is>
          <t>linkedin</t>
        </is>
      </c>
      <c r="E56">
        <f>HYPERLINK("https://www.linkedin.com/jobs/view/4370356214", "https://www.linkedin.com/jobs/view/4370356214")</f>
        <v/>
      </c>
      <c r="F56">
        <f>HYPERLINK("https://www.bestjobtool.com/job-description/3066529095?source=LinkedIn&amp;urlHash=VytK", "https://www.bestjobtool.com/job-description/3066529095?source=LinkedIn&amp;urlHash=VytK")</f>
        <v/>
      </c>
      <c r="G56" t="inlineStr"/>
      <c r="H56" t="inlineStr"/>
      <c r="I56" t="inlineStr">
        <is>
          <t>**About The Company**
 Bowhead / UIC Technical Services is a leading provider of specialized technical solutions and services dedicated to supporting government agencies and defense organizations. With a focus on innovation, reliability, and excellence, the company delivers mission\-critical support across various domains, including naval warfare, cybersecurity, data analysis, and engineering. Bowhead is committed to fostering a collaborative environment that encourages professional growth and technological advancement, ensuring its clients receive the highest quality services tailored to their unique needs.
**About The Role**
 We are seeking a highly skilled Data Scientist to join our team supporting the Naval Surface Warfare Center Dahlgren Division (NSWCDD), E Department. This position plays a vital role in applying advanced data analysis, predictive modeling, and machine learning techniques to uncover actionable insights from complex datasets. The successful candidate will work onsite at either the Bowhead office or Navy installation, collaborating closely with cross\-functional teams to develop innovative data solutions that enhance decision\-making processes. The role involves designing and implementing software components, building testing tools, and presenting data\-driven findings in compelling ways to both technical and non\-technical audiences. The ideal candidate will possess a strong analytical background, excellent communication skills, and the ability to handle high volumes of diverse data types, including numbers, symbols, text, sound, and images.
**Qualifications**
 Candidates must hold a Bachelor's Degree in physics, data science, or a related field, along with a minimum of 5\-8 years of relevant experience. Demonstrated expertise in database management, development, and data warehousing is essential. Proficiency in relational database management systems and SQL query analysis is required. Experience with virtual machines or artificial intelligence applications is highly preferred. The candidate should have a solid understanding of mathematical reasoning and the ability to develop and interpret predictive models. Strong coding and software development skills are necessary, along with familiarity with analytical tools and evaluation techniques. Excellent oral and written communication skills are critical for engaging with senior government stakeholders and gathering requirements. Intermediate to advanced proficiency in Microsoft Office applications (Word, Excel, Outlook, PowerPoint) is expected. Security clearance at the Secret level must be maintained, and US citizenship is a prerequisite for clearance eligibility. Physical ability to lift up to 25 pounds, stand, walk, and perform periodic physical movements is also required.
**Responsibilities**
 The Data Scientist will be responsible for applying mathematical, statistical, and machine learning techniques to analyze large and complex datasets. This includes designing, developing, and refining software components that support data analysis and predictive modeling efforts. The role involves planning and executing data testing procedures, building tools to facilitate data validation, and ensuring data integrity across various systems. The candidate will analyze data characterized by high volume, velocity, and variety, deriving real\-time, forward\-looking insights that add value and support automated decision\-making processes. Presenting findings in clear and innovative formats to diverse audiences is essential, ensuring technical and non\-technical stakeholders understand the insights and implications. The role also includes identifying, validating, and exploiting both internal and external data sources generated from different processes, managing data in all its forms, and structuring information logically through taxonomies, metadata, and data schemas. Additional duties may involve supporting other projects and tasks as assigned, contributing to continuous improvement initiatives, and maintaining compliance with security and operational standards.
**Benefits**
 Bowhead offers a comprehensive benefits package designed to support the health, well\-being, and professional development of its employees. Benefits include competitive health insurance plans, dental and vision coverage, retirement savings options, and paid time off. The company also provides opportunities for ongoing training, certification, and career advancement. Employees enjoy a collaborative work environment that encourages innovation and recognizes individual contributions. Additional perks may include flexible work arrangements, professional development stipends, and access to cutting\-edge tools and technologies to support your growth and success in the role.
 Equal Opportunity
 Bowhead / UIC Technical Services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 and regulations. We believe that diverse teams foster innovation and drive better outcomes, and we are dedicated to providing equal employment opportunities to all individuals.</t>
        </is>
      </c>
    </row>
    <row r="57">
      <c r="A57" t="inlineStr">
        <is>
          <t>li-4222889679</t>
        </is>
      </c>
      <c r="B57" t="inlineStr">
        <is>
          <t>Senior AI Data Scientist</t>
        </is>
      </c>
      <c r="C57" t="inlineStr">
        <is>
          <t>Electronic Arts (EA)</t>
        </is>
      </c>
      <c r="D57" t="inlineStr">
        <is>
          <t>linkedin</t>
        </is>
      </c>
      <c r="E57">
        <f>HYPERLINK("https://www.linkedin.com/jobs/view/4222889679", "https://www.linkedin.com/jobs/view/4222889679")</f>
        <v/>
      </c>
      <c r="F57">
        <f>HYPERLINK("https://jobs.ea.com/en_US/careers/JobDetail/Senior-AI-Data-Scientist/209183?source=LinkedIn&amp;urlHash=I4Qq", "https://jobs.ea.com/en_US/careers/JobDetail/Senior-AI-Data-Scientist/209183?source=LinkedIn&amp;urlHash=I4Qq")</f>
        <v/>
      </c>
      <c r="G57" t="inlineStr"/>
      <c r="H57" t="inlineStr"/>
      <c r="I57"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8">
      <c r="A58" t="inlineStr">
        <is>
          <t>li-4222893253</t>
        </is>
      </c>
      <c r="B58" t="inlineStr">
        <is>
          <t>Senior AI Data Scientist</t>
        </is>
      </c>
      <c r="C58" t="inlineStr">
        <is>
          <t>Electronic Arts (EA)</t>
        </is>
      </c>
      <c r="D58" t="inlineStr">
        <is>
          <t>linkedin</t>
        </is>
      </c>
      <c r="E58">
        <f>HYPERLINK("https://www.linkedin.com/jobs/view/4222893253", "https://www.linkedin.com/jobs/view/4222893253")</f>
        <v/>
      </c>
      <c r="F58" t="inlineStr"/>
      <c r="G58" t="inlineStr">
        <is>
          <t>Austin, TX</t>
        </is>
      </c>
      <c r="H58" t="inlineStr"/>
      <c r="I58"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9">
      <c r="A59" t="inlineStr">
        <is>
          <t>li-4369941961</t>
        </is>
      </c>
      <c r="B59" t="inlineStr">
        <is>
          <t>Data Scientist</t>
        </is>
      </c>
      <c r="C59" t="inlineStr">
        <is>
          <t>Haystack</t>
        </is>
      </c>
      <c r="D59" t="inlineStr">
        <is>
          <t>linkedin</t>
        </is>
      </c>
      <c r="E59">
        <f>HYPERLINK("https://www.linkedin.com/jobs/view/4369941961", "https://www.linkedin.com/jobs/view/4369941961")</f>
        <v/>
      </c>
      <c r="F59" t="inlineStr"/>
      <c r="G59" t="inlineStr"/>
      <c r="H59" t="inlineStr"/>
      <c r="I59" t="inlineStr">
        <is>
          <t>**Data Scientist, Senior \| Alexandria, VA \| Remote\-Friendly \| $99,000 \- $225,000**
 We're working with Booz Allen Hamilton on this exciting opportunity.
 Unleash the power of data to solve critical challenges for the DoD! As a Senior Data Scientist, you'll leverage your expertise in machine learning, statistical analysis, Python, and R to provide strategic insights and drive informed decision\-making.
**The Role**
* Lead the design and execution of complex statistical analyses on diverse datasets.
* Develop production\-quality data visualizations and dashboards for senior leadership.
* Spearhead data science projects from inception to delivery, ensuring rigor and mission alignment.
* Mentor junior data scientists and champion best practices for reproducible research.
* Translate strategic questions into actionable analytical approaches, driving impact for national security.
**What You'll Need**
* 7\+ years in data science, statistical analysis, or quantitative research.
* Expertise in Python (pandas, NumPy, scikit\-learn) or R (tidyverse) for data analysis.
* Proven experience with SQL for large\-scale data management and analysis.
* Familiarity with distributed computing frameworks like Spark or DASK.
* TS/SCI clearance is a must.
**What's On Offer**
* Competitive salary ranging from $99,000 to $225,000\.
* Comprehensive health, life, disability, and retirement benefits.
* Opportunities for professional development and tuition assistance.
* A flexible, people\-first culture with remote\-friendly work options.
**Apply via Haystack today!**</t>
        </is>
      </c>
    </row>
    <row r="60">
      <c r="A60" t="inlineStr">
        <is>
          <t>li-4370094228</t>
        </is>
      </c>
      <c r="B60" t="inlineStr">
        <is>
          <t>Staff Data Scientist</t>
        </is>
      </c>
      <c r="C60" t="inlineStr">
        <is>
          <t>Garner Health, LLC</t>
        </is>
      </c>
      <c r="D60" t="inlineStr">
        <is>
          <t>linkedin</t>
        </is>
      </c>
      <c r="E60">
        <f>HYPERLINK("https://www.linkedin.com/jobs/view/4370094228", "https://www.linkedin.com/jobs/view/4370094228")</f>
        <v/>
      </c>
      <c r="F60" t="inlineStr"/>
      <c r="G60" t="inlineStr">
        <is>
          <t>New York, NY</t>
        </is>
      </c>
      <c r="H60" t="inlineStr"/>
      <c r="I60"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Staff Data Scientist to join our Garner Health Intelligence team to help build and evolve our provider data insights. You’ll work with our clinical researchers, data scientists, and data engineers to improve the rules and models we use to evaluate provider performance. Your work will directly impact our member recommendations and provider\-facing data products.
 You will also be a technical leader, raising the bar for how we conduct analysis, build models, and deploy data science code by improving standards and mentoring team members.
**Where You Will Work**
 This role will be based in our New York City office. You must be willing to work in the office 3 days per week on Tuesday, Wednesday and Thursday.
**What You Will Do**
* Partner with product managers and clinical experts to lead projects shaping how we define and measure provider cost and quality
* Drive the evolution and construction of tools we use to write, assess, and combine rules measuring provider behaviors
* Build and maintain data\-driven algorithms, including AI and machine learning models, to improve our provider recommendations estimates
* Serve as a subject matter expert for statistical modeling, improving methods for evaluating current models and future changes
* Partner with data engineers to design scalable data pipelines that ingest, clean, and enrich healthcare provider data
* Collaborate cross\-functionally with product, engineering, research, and operations teams to translate business needs into data\-driven solutions
* Define data science standards and best practices, and mentor team members to raise the technical capabilities of the data science team
**The Ideal Candidate Has**
* 8\+ years professional experience in data science, product analytics, and/or healthcare
* A demonstrated ability to independently solve difficult problems and deliver high quality results to senior stakeholders
* Strong Python and SQL skills
* Expertise in statistical modeling techniques and a track record of building impactful predictive models
* A willingness to “roll up your sleeves” and do whatever is necessary to ensure company success
* Experience working in a rapidly evolving startup environment.
* A desire to be a part of our mission to improve the U.S. healthcare system
* A desire to be a part of a high\-performing, mission\-driven team that operates with intense urgency, a strong sense of individual accountability, and a commitment to authentic feedback
**Technologies We Use**
* Python and Jupyter Notebooks, SQL (Snowflake), Argo, DBT, AWS, Terraform
 This is a unique opportunity to join a fast\-growing company in a transformative role, helping shape the future of healthcare.
**Please note: we are unable to sponsor or take over sponsorship of an employment visa at this time.**
**Compensation Transparency**
 The target salary range for this position is $263,000 \- $300,000\.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61">
      <c r="A61" t="inlineStr">
        <is>
          <t>li-4370364047</t>
        </is>
      </c>
      <c r="B61" t="inlineStr">
        <is>
          <t>Data Scientist/Data Architect</t>
        </is>
      </c>
      <c r="C61" t="inlineStr">
        <is>
          <t>KDA CONSULTING INC</t>
        </is>
      </c>
      <c r="D61" t="inlineStr">
        <is>
          <t>linkedin</t>
        </is>
      </c>
      <c r="E61">
        <f>HYPERLINK("https://www.linkedin.com/jobs/view/4370364047", "https://www.linkedin.com/jobs/view/4370364047")</f>
        <v/>
      </c>
      <c r="F61" t="inlineStr"/>
      <c r="G61" t="inlineStr">
        <is>
          <t>Bethesda, MD</t>
        </is>
      </c>
      <c r="H61" t="inlineStr"/>
      <c r="I61" t="inlineStr">
        <is>
          <t>We are seeking a Senior Data Scientist/Architect to support our customer onsite in Bethesda, MD.
 This position will work directly with a Chief Data \&amp; Artificial Intelligence Officer (CDAO) to support a fast\-paced, dynamic enviornment and work closely with a goverment customer and IT developers to validate customer's data and data analytics requirements.
**Primary Job Duties**
 Establish Data Environments, and serve as the data visualization subject matter expert.
 Create and translate trend, time\-series, and predictive analyses, and facilitate statkeholder decision\-making technical exchange meetings.
 Participate in hands on work on data science for data modeling, design, model training, and implementation to meet enterprise requirements.
 Establishing the system environment for large data sets, considering aspects such as data capture, storage, extraction, process and analysis.
 Using data visualization tools to create roadmaps, placemats and process flows; and creatively displaying data to facilitate customer decision\-making processes.
 Applying data wrangling and exploration techniques.
 Manipulating data to gather insights from large structured and unstructured data sets and developing trend analyses.
 Developing algorithms to facilitate data analysis, support identification of data errors, and developing pattern analysis from multiple disparate data sources.
 Providing input on software implementation for analytics.
 Validating customer requirements and determining feasibility of solutions and alternative options.
 Contributing to and collaborating on executive\-level briefings for the CDAO.
 Provide excellent organizational, analytical, data science abilities, and compile and organize statistical information retrieved and present findings to management.
 Strong math, coding and analytical skills are essential to complete job requirements successfully.
**Qualifications**
* Current TS/SCI with Poly is required.
* Bachelor’s degree in Computer Science, Computer Engineering, or relevant STEM field.
* 10\+ years of total professional experience in a technical setting; with at least 5 of those years as a Data Scientist, or related role.
* Ability to implement effective data solutions to ingest, curate, store and retrieve agency mission, business and IC data.
* Ability to establish a system environment for large data sets, considering aspects such as data capture, storage, extraction, process and analysis.
* Experience using data visualization tools to create roadmaps, placemats and process flows; and the ability to creatively display data to facilitate customer decision\-making processes.
* Ability to manipulate data from disparate structured and unstructured sources to develop models and other detailed analysis that provide meaningful data insights.
* Experience with Programming languages like Python, Java, SQL and Cloud technologies.
* Ability to work in a dynamic and fast\-paced mission environment which requires balancing competing priorities and schedules.
**Desired Skills**
* Have a depth of experience in data science, to include demonstrated experience with programming languages (e.g. Python, SQL), statistical programs (e.g. R and MS Excel), and data visualization tools (e.g. Tableau, Power BI, QlikView).
* Data scientist certification from AWS, Google, Microsoft, Oracle, or etc.
* Demonstrated experience with data modeling tools to include or similar to ER/Studio, Erwin or Lucid Chart.
* Deep understanding of machine learning and artificial intelligence for logical applications and techniques.
* Have experience working in Agile and DevOps environments.</t>
        </is>
      </c>
    </row>
    <row r="62">
      <c r="A62" t="inlineStr">
        <is>
          <t>li-4370203071</t>
        </is>
      </c>
      <c r="B62" t="inlineStr">
        <is>
          <t>Senior Data Scientist, People</t>
        </is>
      </c>
      <c r="C62" t="inlineStr">
        <is>
          <t>RemoteHunter</t>
        </is>
      </c>
      <c r="D62" t="inlineStr">
        <is>
          <t>linkedin</t>
        </is>
      </c>
      <c r="E62">
        <f>HYPERLINK("https://www.linkedin.com/jobs/view/4370203071", "https://www.linkedin.com/jobs/view/4370203071")</f>
        <v/>
      </c>
      <c r="F62">
        <f>HYPERLINK("https://www.remotehunter.com/apply-with-ai/894b3476-0fe4-4b62-9e6e-adae20949993?utm_medium=job_posting&amp;utm_source=linkedin&amp;utm_campaign=data_scientist&amp;utm_category=data_scientist&amp;utm_term=senior_data_scientist_people&amp;urlHash=GIud", "https://www.remotehunter.com/apply-with-ai/894b3476-0fe4-4b62-9e6e-adae20949993?utm_medium=job_posting&amp;utm_source=linkedin&amp;utm_campaign=data_scientist&amp;utm_category=data_scientist&amp;utm_term=senior_data_scientist_people&amp;urlHash=GIud")</f>
        <v/>
      </c>
      <c r="G62" t="inlineStr"/>
      <c r="H62" t="inlineStr"/>
      <c r="I62" t="inlineStr">
        <is>
          <t>About the Opportunity:
 This organization provides a platform helping millions to manage and improve their homes through personalized guidance, AI tools, and a hiring experience connecting homeowners with local service businesses. The Senior Data Scientist, People role supports talent decisions by leveraging data, analytics, and AI to deliver insights and build scalable data products.
 Responsibilities:
 • Communicate clear, business\-relevant talent insights using data.
 • Apply AI to improve insight generation, decision support, and experimentation.
 • Design and maintain People data foundations, including pipelines and BigQuery models, collaborating with Data Engineering and HR Operations.
 • Develop scalable analytics products and tools such as Tableau dashboards and AI\-enabled solutions.
 • Collaborate with People Team and business leaders to identify and analyze high\-impact talent questions and provide actionable recommendations.
 • Manage end\-to\-end initiatives across People functions including Recruiting, Talent Management, and DEIB.
 • Promote a culture of data\-informed decision\-making across the People Team and organization.
 Requirements:
 • BA/BS degree in a quantitative field such as Economics, Statistics, or Psychology.
 • At least 4 years of experience, including 1 year in People Data Science or People Analytics.
 • Experience with managing data pipelines and data warehousing.
 • Strong written and verbal communication skills for diverse audiences including senior leadership.
 • Proficient in SQL for querying large datasets, Tableau, and familiar with statistical/programming languages such as R or Python.
 • Ability to work independently and collaborate effectively across teams.
 • Strong prioritization and project management skills.
 Compensation:
 • For candidates in San Francisco / Bay Area, San Jose, New York City, or Seattle metros, the expected salary range is $197,200 to $255,200\.
 • For candidates in Austin, TX; Washington DC metros; or in California, Massachusetts, New Jersey, or Washington states, the expected salary range is $140,400 to $177,700\.
 • For candidates in all other US locations, the expected salary range is $167,500 to $216,700\.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li-4370098148</t>
        </is>
      </c>
      <c r="B63" t="inlineStr">
        <is>
          <t>Senior Data Scientist</t>
        </is>
      </c>
      <c r="C63" t="inlineStr">
        <is>
          <t>RemoteHunter</t>
        </is>
      </c>
      <c r="D63" t="inlineStr">
        <is>
          <t>linkedin</t>
        </is>
      </c>
      <c r="E63">
        <f>HYPERLINK("https://www.linkedin.com/jobs/view/4370098148", "https://www.linkedin.com/jobs/view/4370098148")</f>
        <v/>
      </c>
      <c r="F63" t="inlineStr"/>
      <c r="G63" t="inlineStr"/>
      <c r="H63" t="inlineStr"/>
      <c r="I63" t="inlineStr">
        <is>
          <t>About the Opportunity:
 The organization provides a platform that simplifies building and scaling in\-app subscriptions. It serves as a default monetization platform for mobile, present in over 40% of newly shipped subscription apps, processing more than $10 billion in annual purchase volume, and supporting a diverse range of developers globally. The Senior Data Scientist role focuses on driving product impact through proactive data analysis and collaboration with Product, Engineering, and Analytics teams, powering customer\-facing features and shaping product direction using data.
 Responsibilities:
 • Proactively explore the organization’s data to identify customer problems, opportunities, and product bets.
 • Translate ambiguous product and business questions into clear analyses, models, and recommendations.
 • Partner with Product Managers to shape roadmaps.
 • Design, build, and ship production\-grade predictive and descriptive models powering customer features.
 • Define and evaluate statistical approaches for experimentation, benchmarking, and forecasting.
 • Communicate insights clearly to technical and non\-technical audiences, emphasizing customer impact.
 • Continuously iterate on models and features based on usage and feedback.
 Requirements:
 • 5\+ years of experience as a Data Scientist.
 • Strong SQL skills and experience with data modeling.
 • Experience building and deploying predictive and descriptive models in production.
 • Experience writing or collaborating on production\-ready Python code.
 • Solid understanding of statistics and experimentation, ideally including Bayesian methods.
 • Ability to explain complex ideas and results clearly to broad audiences.
 • Highly proactive, comfortable pushing ideas forward.
 • Experience working with messy, real\-world data and imperfect information.
 • Focus on creating customer value over academic elegance.
 • Comfortable operating in ambiguity and building structure where none exists.
 • Enjoy working closely with Product teams and influencing decisions.
 • Interest in the consumer subscription ecosystem and developer monetization.
 Benefits \&amp; Perks:
 • Competitive equity in a fast\-growing, Series C startup backed by top\-tier investors including Y Combinator.
 • 10\-year window to exercise vested equity options.
 • Fully remote and flexible work environment.
 • 4\-5 weeks of suggested annual time off for mental, physical, and emotional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li-4370344485</t>
        </is>
      </c>
      <c r="B64" t="inlineStr">
        <is>
          <t>Senior Data Scientist</t>
        </is>
      </c>
      <c r="C64" t="inlineStr">
        <is>
          <t>BioSpace</t>
        </is>
      </c>
      <c r="D64" t="inlineStr">
        <is>
          <t>linkedin</t>
        </is>
      </c>
      <c r="E64">
        <f>HYPERLINK("https://www.linkedin.com/jobs/view/4370344485", "https://www.linkedin.com/jobs/view/4370344485")</f>
        <v/>
      </c>
      <c r="F64" t="inlineStr"/>
      <c r="G64" t="inlineStr">
        <is>
          <t>New York, NY</t>
        </is>
      </c>
      <c r="H64" t="inlineStr"/>
      <c r="I64"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As a Senior Data Scientist at Formation Bio, you will be at the forefront of revolutionizing drug development through AI and advanced analytics. In this role, you'll lead crucial initiatives that directly impact our drug development portfolio, from developing sophisticated models for patient selection to creating AI\-powered solutions for clinical trial optimization. You'll work at the intersection of computational biology, machine learning, and drug development, collaborating with cross\-functional teams to translate complex biological data into actionable insights. This position offers a unique opportunity to shape the future of pharmaceutical development by leveraging cutting\-edge AI technologies while making a meaningful impact on patient lives.
**Responsibilities**
* Lead and execute complex data science projects that directly advance our drug development portfolio
* Develop and implement sophisticated models for therapeutic hypothesis evaluation, including patient stratification and biomarker identification
* Design and create AI models for modernizing clinical trial evaluations, including surrogate endpoints
* Aid in the development and training of AI agents to automate and optimize biomedical workflows
* Collaborate cross\-functionally with clinical, technical, and research teams
* Present complex analytical findings to senior stakeholders, including executive leadership
**About You**
 Required Qualifications
* PhD in computational sciences or life sciences
* 3\+ years of post\-academic experience in life sciences (biotech, pharma, consulting)
* Strong programming skills, particularly in Python
* Extensive experience in multi\-modal bioinformatics analysis
**Preferred Qualifications**
* Proven expertise in cloud computing environments, including proficiency with tabular and/or graph databases
* Strong background in machine learning and deep learning, particularly in biological applications
* Experience with large language models (LLM)
* Demonstrated ability to collaborate effectively with engineering teams on production systems
* Strong communication skills with proven ability to present complex technical findings to senior stakeholders
 Formation Bio is prioritizing hiring in key hubs, primarily the New York City and Boston metro areas, with additional growth in the Research Triangle (NC) and San Francisco Bay Area.
 **Please only apply if you reside in these locations or are willing to relocate.**
**Compensation**
**The target salary range for this role is: $170,000 \- $215,000\.**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65">
      <c r="A65" t="inlineStr">
        <is>
          <t>li-4370092373</t>
        </is>
      </c>
      <c r="B65" t="inlineStr">
        <is>
          <t>Lead Data Scientist</t>
        </is>
      </c>
      <c r="C65" t="inlineStr">
        <is>
          <t>hackajob</t>
        </is>
      </c>
      <c r="D65" t="inlineStr">
        <is>
          <t>linkedin</t>
        </is>
      </c>
      <c r="E65">
        <f>HYPERLINK("https://www.linkedin.com/jobs/view/4370092373", "https://www.linkedin.com/jobs/view/4370092373")</f>
        <v/>
      </c>
      <c r="F65" t="inlineStr"/>
      <c r="G65" t="inlineStr">
        <is>
          <t>Chantilly, VA</t>
        </is>
      </c>
      <c r="H65" t="inlineStr"/>
      <c r="I65" t="inlineStr">
        <is>
          <t>***hackajob** 
 is collaborating with
 **MANTECH** 
 to connect them with exceptional tech professionals for this role.*
**MANTECH** 
 seeks a motivated, career and customer\-oriented
 **Lead Data Scientist** 
 to join our Data and AI Practice onsite in
 **Chantilly and/or Herndon, VA** 
 .
 You will be a key member of a dynamic, cross\-functional team focused on transforming how Government clients extract insights from data to achieve critical mission objectives. This leadership role involves guiding a team and collaborating with others to implement this transformative process. You will be responsible for providing expert guidance and support in the analysis, design, implementation, and optimization of complex, enterprise\-wide, cloud\-based data science and analytics solutions that align with mission goals and requirements.
**Responsibilities Include But Are Not Limited To**
* Lead the design, development, and deployment of cloud\-based analytics and data science solutions.
* Develop models and solutions applied to problem sets in a broad range of data science and data analytics areas, including but not limited to, graph analytics, anomaly detection, geo\-spatial analysis, and data visualization.
* Perform knowledge elicitation from client of business problem details and incorporate that knowledge into algorithms, models, analytics and approaches in client solutions.
* Contribute data science expertise to solution development through whiteboarding sessions with clients, partners, and coworkers.
* Address data science technical challenges in the development of solutions, including algorithms, models, data manipulation, or other technical challenges related to data science and data analytics.
* Collaborate with clients to understand their business needs and translate them into technical requirements.
* Ensure the quality and performance of analytics solutions through rigorous testing and validation. Adhere to security and compliance standards, ensuring the protection of sensitive government data.
**Minimum Qualifications**
* Bachelor’s degree in Computer Science, Engineering, or Mathematics, Applied Mathematics, Statistics, Applied Statistics, Machine Learning, Data Science, or related field and 10 years of experience OR a Master's degree and 8 years of experience.
* Proven experience in Oracle Analytics Cloud or similar analytics platforms.
* Demonstrated ability to lead and manage a team of engineers.
* Management experience, including project, people, customer, and financial management.
* Understanding of security and compliance standards related to handling sensitive Government data.
**Preferred Qualifications**
* Master’s degree in Computer Science, Engineering, or Mathematics, Applied Mathematics, Statistics, Applied Statistics, Machine Learning, Data Science, or a related field.
* Advanced certifications in Oracle Analytics Cloud or related technologies.
* Experience in developing and implementing machine learning models.
* Strong communication and interpersonal skills to effectively collaborate with clients and team members.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66">
      <c r="A66" t="inlineStr">
        <is>
          <t>li-4370363214</t>
        </is>
      </c>
      <c r="B66" t="inlineStr">
        <is>
          <t>Sr. Principal Data Scientist - Machine Learning Engineer - R10222135-2</t>
        </is>
      </c>
      <c r="C66" t="inlineStr">
        <is>
          <t>Northrop Grumman</t>
        </is>
      </c>
      <c r="D66" t="inlineStr">
        <is>
          <t>linkedin</t>
        </is>
      </c>
      <c r="E66">
        <f>HYPERLINK("https://www.linkedin.com/jobs/view/4370363214", "https://www.linkedin.com/jobs/view/4370363214")</f>
        <v/>
      </c>
      <c r="F66" t="inlineStr"/>
      <c r="G66" t="inlineStr">
        <is>
          <t>Falls Church, VA</t>
        </is>
      </c>
      <c r="H66" t="inlineStr"/>
      <c r="I66"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67">
      <c r="A67" t="inlineStr">
        <is>
          <t>li-4370365050</t>
        </is>
      </c>
      <c r="B67" t="inlineStr">
        <is>
          <t>Sr. Principal Data Scientist - Machine Learning Engineer - R10222135</t>
        </is>
      </c>
      <c r="C67" t="inlineStr">
        <is>
          <t>Northrop Grumman</t>
        </is>
      </c>
      <c r="D67" t="inlineStr">
        <is>
          <t>linkedin</t>
        </is>
      </c>
      <c r="E67">
        <f>HYPERLINK("https://www.linkedin.com/jobs/view/4370365050", "https://www.linkedin.com/jobs/view/4370365050")</f>
        <v/>
      </c>
      <c r="F67" t="inlineStr"/>
      <c r="G67" t="inlineStr">
        <is>
          <t>Falls Church, VA</t>
        </is>
      </c>
      <c r="H67" t="inlineStr"/>
      <c r="I67"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the Insights \&amp; Intelligence (i2\) organization seeks to embed trusted AI and data insights into every business decision at the company. Our Applied Data Science \&amp; AI team builds lightweight, production‑grade analytics solutions that solve problems traditional enterprise tools struggle to meet.
 Our team operates with high autonomy, working closely with engineers and business leaders to identify high‑value problems, build apps and other products from the ground up, and deploy them into production. We value speed, intellectual curiosity, and the ability to toggle between “prototype rapidly” and “engineer for production” based on what the situation demands.
 As a data scientist / machine learning engineer, you will be a technical force multiplier—working with program teams to understand their challenges, building the infrastructure and applications to address them, and deploying production solutions that drive high\-impact decisions.
**Job Duties Include, But Are Not Limited To**
* Work directly with stakeholders (engineers, program managers, subject matter experts) to scope problems, identify constraints, and iterate on technical solutions
* Bridge analytics and infrastructure by understanding both the business problem and the approach, then building systems that deliver insights
* Build user‑friendly, production‑grade ML/AI applications (e.g., Streamlit, Gradio) that provide data insights to teams across the enterprise and enable better decision making
* Develop and maintain cloud‑based infrastructure (AWS, Databricks) and tooling to support scalable and reliable data analytics workflows
* Design and implement CI/CD pipelines, infrastructure‑as‑code (Terraform, AWS CloudFormation), and MLOps practices that enhance team productivity
* Optimize existing workflows and advocate for software engineering best practices (version control, modular design, testing) to drive team efficiency and code quality
* Stay current on cloud technologies, MLOps trends, and application frameworks to identify opportunities for improvement
**What Makes You Successful In This Role**
**You balance speed with quality:** 
 You can assess when “good enough now” beats “perfect later” and prioritize impact and working solutions over perfection.
**You have high agency:** 
 You proactively gather information, identify blockers, can operate in ambiguity, and make thoughtful decisions with incomplete information.
**You’re technically versatile:** 
 You’re comfortable diving into infrastructure one day and analyzing a dataset the next, stepping into different roles depending on project needs.
**You’re a bridge** 
**‑** 
**builder:** 
 You can talk to data scientists about model deployment, engineers about infrastructure, and business stakeholders about their problem. You translate and collaborate across domains.
**Work Arrangement**
 This is a hybrid/remote position. Most of our team is based in the Northern Virginia area, and we welcome candidates who can sometimes collaborate in person, but we operate primarily remotely and value flexibility. This position’s standard work schedule is a 9/80\. The 9/80 schedule allows employees who work a nine\-hour day Monday through Thursday to take every other Friday off.
**Basic Qualifications**
* Must have a PhD with 4 years of relevant professional experience OR a Master’s degree with 6 years of relevant professional experience OR Bachelor’s degree with 8 years of relevant professional experience
* Must have strong proficiency with Python, SQL, and Git
* Must have experience with frameworks for rapid application development (e.g., Streamlit, Gradio, Starlette, Next.js)
* Must have knowledge of DevOps or MLOps concepts and their application in data science workflows
* Must have strong understanding of containerization (e.g., Docker, Podman)
* Must have the ability to work collaboratively with data teams (data scientists, analysts) to support analytics workflows and insights
* Must have demonstrated problem‑solving and critical‑thinking skills with an ability to handle complex technical challenges
* Must have excellent communication skills and comfort engaging with non‑technical stakeholders
**Preferred Qualifications**
* Proven track record of deploying and monitoring production‑grade software systems on AWS
* Experience with Databricks and PySpark for data transformation and analytics
* Proven experience building and deploying web‑based visualization or decision‑support tools for business use cases
* Exposure to workflow orchestration tools (e.g., AWS Step Functions, Apache Airflow) and infrastructure‑as‑code tools (e.g., Terraform, AWS CloudFormation)
* Familiarity with scalable data architectures and machine learning deployment frameworks
* Domain experience in manufacturing analytics, operations research, supply chain optimization, or financial forecasting
* Background in consulting, forward‑deployed engineering, or other client‑facing technical roles where you translated ambiguous business problems into technical solutions
 Primary Level Salary Range: $142,200\.00 \- $213,200\.00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2026-02-09T00:34:44Z</dcterms:created>
  <dcterms:modified xsi:type="dcterms:W3CDTF">2026-02-09T00:34:44Z</dcterms:modified>
</cp:coreProperties>
</file>