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in-12933e9da5586308</t>
        </is>
      </c>
      <c r="B2" t="inlineStr">
        <is>
          <t>Program Manager</t>
        </is>
      </c>
      <c r="C2" t="inlineStr">
        <is>
          <t>Alexton</t>
        </is>
      </c>
      <c r="D2" t="inlineStr">
        <is>
          <t>indeed</t>
        </is>
      </c>
      <c r="E2" t="inlineStr"/>
      <c r="F2" t="inlineStr"/>
      <c r="G2" t="inlineStr">
        <is>
          <t>Washington, DC, US</t>
        </is>
      </c>
      <c r="H2" s="2" t="n">
        <v>46061</v>
      </c>
      <c r="I2" t="inlineStr">
        <is>
          <t>**PROGRAM MANAGER**
**Education:** B.A. or B.S. degree in business or information technology related field. Master's Degree  
optional.
**Basic Experience:** Twelve years of accounting or financial experience, including 8 years of increasing  
responsibilities in assignment supervision and management.
**Specialized Experience:** Experience in Financial Management, Cost Estimating, Procurement Strategic Planning and Execution, or Business Management. Must be capable of leading projects that involve the successful management of multifunctional teams. Specialized experience includes project development, expertise in management and control of funds and resources, demonstrated capability in managing multiple tasks.
**Duties:**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
Job Types: Full\-time, Contract
Pay: $125,000\.00 per year
Benefits:
* 401(k)
* Dental insurance
* Health insurance
* Paid time off
* Vision insurance
Work Location: In person</t>
        </is>
      </c>
    </row>
    <row r="3">
      <c r="A3" t="inlineStr">
        <is>
          <t>in-dd00b99ffc0e8a4d</t>
        </is>
      </c>
      <c r="B3" t="inlineStr">
        <is>
          <t>SoC Security Engineering Program Manager</t>
        </is>
      </c>
      <c r="C3" t="inlineStr">
        <is>
          <t>Apple</t>
        </is>
      </c>
      <c r="D3" t="inlineStr">
        <is>
          <t>indeed</t>
        </is>
      </c>
      <c r="E3" t="inlineStr"/>
      <c r="F3" t="inlineStr"/>
      <c r="G3" t="inlineStr">
        <is>
          <t>Beaverton, OR, US</t>
        </is>
      </c>
      <c r="H3" s="2" t="n">
        <v>46060</v>
      </c>
      <c r="I3" t="inlineStr">
        <is>
          <t>Imagine what you could do here. At Apple, new ideas have a way of becoming extraordinary products, services, and customer experiences very quickly. The people who work here have reinvented entire industries with Apple Hardware products.  
Are you a technical leader who can drive decisions, not just track them? Can you influence across silicon and software organizations to turn security requirements into committed, shipped features?  
Security and privacy are foundational to everything we build at Apple. They are not afterthoughts\-they are core design principles embedded from the earliest stages of product development. From the silicon up, we engineer our products to protect user data, ensure device integrity, and earn the trust our customers place in us every day. This commitment requires deep technical investment and relentless focus across hardware, software, and services.  
**Description**  
Apple is seeking a Security\-focused Engineering Program Manager to own the end\-to\-end lifecycle of SoC security features\-from early architecture discussions through silicon delivery and software enablement. You will be the connective tissue between Platform Architecture, SoC design, and Software teams, ensuring security features are well\-defined, prioritized, roadmapped, and fully supported when silicon becomes available.","responsibilities":"Facilitate technical discussions across Platform Architecture, SoC design, and software teams to drive security feature definition.  
Own the decision\-making process: drive discussions, capture technical opens, drive closure, and ensure alignment across hardware and software stakeholders.  
Develop and maintain a multi\-generation security feature roadmap aligned with Apple's product priorities and silicon schedules.  
Proactively identify dependencies, conflicts, and gaps across the roadmap; drive resolution before they become critical path issues.  
Partner with Software teams early in the security feature cycle to secure commitment for feature enablement.  
Track silicon and SW readiness milestones and drive accountability to ensure features are fully supported and validated.  
Drive the security specification review and sign\-off process across all required stakeholders\-Platform Architecture, SoC design, DV , Software, and Security teams.  
Drive day\-to\-day program activities across a multi\-functional team spanning silicon, firmware, software, and systems.  
Recognize, evaluate, and communicate cross\-functional risks; drive mitigation plans.  
Build and maintain both strategic program plans and detailed execution schedules. Ability to drive issue triage and serve as a gatekeeper for incoming issues and feature asks.  
Provide clear program status across all levels\-from individual contributors to executive leadership.  
**Preferred Qualifications**  
Familiarity with SoC security architectures: secure boot, hardware key protection, cryptographic engines, attestation, trusted execution environments.  
Demonstrated success driving multi\-functional alignment and influencing without authority\-especially across silicon/software organizational boundaries.  
Track record of driving security\-focused features across hardware and software teams.  
Experience building and maintaining multi\-generation technology roadmaps.  
Awareness of SoC development lifecycle, from concept through mass production.  
Ability to quickly absorb complex technical topics and translate them for diverse audiences.  
Strong documentation and organizational skills; relentless follow\-through on action items.  
Experience presenting to and influencing senior management and executives  
**Minimum Qualifications**  
BS in Electrical Engineering, Computer Science, or related field \+ 10 years of relevant experience.  
5\+ years in SoC/Si design, architecture, or silicon development.  
Proven technical program management or cross\-functional leadership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
      <c r="A4" t="inlineStr">
        <is>
          <t>in-88dd196140bb9893</t>
        </is>
      </c>
      <c r="B4" t="inlineStr">
        <is>
          <t>Senior Product Manager - Databases</t>
        </is>
      </c>
      <c r="C4" t="inlineStr">
        <is>
          <t>Apple</t>
        </is>
      </c>
      <c r="D4" t="inlineStr">
        <is>
          <t>indeed</t>
        </is>
      </c>
      <c r="E4" t="inlineStr"/>
      <c r="F4" t="inlineStr"/>
      <c r="G4" t="inlineStr">
        <is>
          <t>Cupertino, CA, US</t>
        </is>
      </c>
      <c r="H4" s="2" t="n">
        <v>46060</v>
      </c>
      <c r="I4" t="inlineStr">
        <is>
          <t>Imagine what you could do here. At Apple, great ideas have a way of becoming great products, services, and customer experiences very quickly. We are building the next generation of applied data and AI platforms that power Apple’s most critical services, ranging from Music, TV\+, Sports, and Search to emerging AI and GenAI\-driven experiences.  
We are seeking a Senior Product Manager to lead database services for Apple Cloud. This role focuses on managing strategy, product features and roadmap for NoSQL database and streaming data services, and GenAI\-enabled workflows that teams within Apple can use to build faster, safer, and more scalable applications.  
This is a highly technical, cross\-functional role working at the intersection of streaming, databases, AI/GenAI systems, and product abstraction.  
**Description**  
As a Senior Product Manager for Databases, you will own product capabilities that sit above Apple’s core data platform and turn into platform capability.  
You will partner closely with database, AI/ML infrastructure, privacy, security, and application teams to design and deliver:  
* Product vision and roadmap for streaming data systems and NoSQL databases, aligned to business goals
* Platform intelligence built with AI and GenAI tools that helps developers troubleshoot and optimize databases
* Technical feasibility, scalability, cost efficiency, and high\-performance for managed cloud services
* Product collateral to enable product position and adoption by LOBS within Apple
You will be responsible for defining product vision, shaping multi\-quarter roadmaps, and driving execution from concept through launch, while balancing platform constraints, customer needs, and long\-term architectural integrity.","responsibilities":"Define and own the product vision and roadmap NoSQL databases and streaming data systems built within the Apple Cloud.  
Translate foundational data and AI infrastructure into clear product abstractions (APIs, workflows, templates, services).  
Lead the development of applied AI and GenAI features, including intelligent assistants, reasoning workflows, automation, and decision support for database use cases.  
Partner with engineering teams to align product requirements with platform architecture, scalability, reliability, privacy, and security constraints.  
Work closely with internal customer teams to understand real\-world application needs and co\-develop solutions.  
Communicate complex technical tradeoffs clearly to both technical and non\-technical stakeholders.  
Drive prioritization across competing demands from multiple products and organizations while maintaining platform consistency.  
Measure success through adoption, developer productivity, reliability, and customer impact.  
**Preferred Qualifications**  
Deep understanding of database and streaming concepts such as ingestion pipelines, transformations, storage, replication and SQL processing.  
Experience building or productizing AI/ML or GenAI\-powered features.  
Familiarity with public cloud platforms (AWS, GCP, or similar) and enterprise\-scale deployments.  
Strong systems thinking and the ability to reason about tradeoffs across performance, cost, reliability, and usability.  
Proven ability to influence without authority and build alignment across diverse stakeholder groups.  
Comfort operating in ambiguous problem spaces and shaping direction where requirements are not fully defined.  
**Minimum Qualifications**  
Bachelor’s degree in Computer Science, Electrical Engineering, Mathematics, or a related technical field (Master’s degree preferred).  
10\+ years of product management experience building enterprise or platform products.  
Strong experience working with streaming data systems like Apache Kafka and Apache Flink, Search platforms like Solr and OpenSearch, NoSQL databases such as Apache Cassandra, and distributed caches like Valkey.  
Demonstrated ability to take products from concept to launch, including vision setting, roadmap ownership, and execution.  
Working knowledge of modern data and AI stacks, and cloud\-based data platforms.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$203,300 and $365,400,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
      <c r="A5" t="inlineStr">
        <is>
          <t>in-9407173c71cb51e0</t>
        </is>
      </c>
      <c r="B5" t="inlineStr">
        <is>
          <t>SoC Security Engineering Program Manager</t>
        </is>
      </c>
      <c r="C5" t="inlineStr">
        <is>
          <t>Apple</t>
        </is>
      </c>
      <c r="D5" t="inlineStr">
        <is>
          <t>indeed</t>
        </is>
      </c>
      <c r="E5" t="inlineStr"/>
      <c r="F5" t="inlineStr"/>
      <c r="G5" t="inlineStr">
        <is>
          <t>Beaverton, OR, US</t>
        </is>
      </c>
      <c r="H5" s="2" t="n">
        <v>46060</v>
      </c>
      <c r="I5" t="inlineStr">
        <is>
          <t>Imagine what you could do here. At Apple, new ideas have a way of becoming extraordinary products, services, and customer experiences very quickly. The people who work here have reinvented entire industries with Apple Hardware products.  
Are you a technical leader who can drive decisions, not just track them? Can you influence across silicon and software organizations to turn security requirements into committed, shipped features?  
Security and privacy are foundational to everything we build at Apple. They are not afterthoughts\-they are core design principles embedded from the earliest stages of product development. From the silicon up, we engineer our products to protect user data, ensure device integrity, and earn the trust our customers place in us every day. This commitment requires deep technical investment and relentless focus across hardware, software, and services.  
**Description**  
Apple is seeking a Security\-focused Engineering Program Manager to own the end\-to\-end lifecycle of SoC security features\-from early architecture discussions through silicon delivery and software enablement. You will be the connective tissue between Platform Architecture, SoC design, and Software teams, ensuring security features are well\-defined, prioritized, roadmapped, and fully supported when silicon becomes available.","responsibilities":"Facilitate technical discussions across Platform Architecture, SoC design, and software teams to drive security feature definition.  
Own the decision\-making process: drive discussions, capture technical opens, drive closure, and ensure alignment across hardware and software stakeholders.  
Develop and maintain a multi\-generation security feature roadmap aligned with Apple's product priorities and silicon schedules.  
Proactively identify dependencies, conflicts, and gaps across the roadmap; drive resolution before they become critical path issues.  
Partner with Software teams early in the security feature cycle to secure commitment for feature enablement.  
Track silicon and SW readiness milestones and drive accountability to ensure features are fully supported and validated.  
Drive the security specification review and sign\-off process across all required stakeholders\-Platform Architecture, SoC design, DV , Software, and Security teams.  
Drive day\-to\-day program activities across a multi\-functional team spanning silicon, firmware, software, and systems.  
Recognize, evaluate, and communicate cross\-functional risks; drive mitigation plans.  
Build and maintain both strategic program plans and detailed execution schedules. Ability to drive issue triage and serve as a gatekeeper for incoming issues and feature asks.  
Provide clear program status across all levels\-from individual contributors to executive leadership.  
**Preferred Qualifications**  
Familiarity with SoC security architectures: secure boot, hardware key protection, cryptographic engines, attestation, trusted execution environments.  
Demonstrated success driving multi\-functional alignment and influencing without authority\-especially across silicon/software organizational boundaries.  
Track record of driving security\-focused features across hardware and software teams.  
Experience building and maintaining multi\-generation technology roadmaps.  
Awareness of SoC development lifecycle, from concept through mass production.  
Ability to quickly absorb complex technical topics and translate them for diverse audiences.  
Strong documentation and organizational skills; relentless follow\-through on action items.  
Experience presenting to and influencing senior management and executives  
**Minimum Qualifications**  
BS in Electrical Engineering, Computer Science, or related field \+ 10 years of relevant experience.  
5\+ years in SoC/Si design, architecture, or silicon development.  
Proven technical program management or cross\-functional leadership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
      <c r="A6" t="inlineStr">
        <is>
          <t>in-23289260e277279b</t>
        </is>
      </c>
      <c r="B6" t="inlineStr">
        <is>
          <t>Senior Product Manager - Databases</t>
        </is>
      </c>
      <c r="C6" t="inlineStr">
        <is>
          <t>Apple</t>
        </is>
      </c>
      <c r="D6" t="inlineStr">
        <is>
          <t>indeed</t>
        </is>
      </c>
      <c r="E6" t="inlineStr"/>
      <c r="F6" t="inlineStr"/>
      <c r="G6" t="inlineStr">
        <is>
          <t>Cupertino, CA, US</t>
        </is>
      </c>
      <c r="H6" s="2" t="n">
        <v>46060</v>
      </c>
      <c r="I6" t="inlineStr">
        <is>
          <t>Imagine what you could do here. At Apple, great ideas have a way of becoming great products, services, and customer experiences very quickly. We are building the next generation of applied data and AI platforms that power Apple’s most critical services, ranging from Music, TV\+, Sports, and Search to emerging AI and GenAI\-driven experiences.  
We are seeking a Senior Product Manager to lead database services for Apple Cloud. This role focuses on managing strategy, product features and roadmap for NoSQL database and streaming data services, and GenAI\-enabled workflows that teams within Apple can use to build faster, safer, and more scalable applications.  
This is a highly technical, cross\-functional role working at the intersection of streaming, databases, AI/GenAI systems, and product abstraction.  
**Description**  
As a Senior Product Manager for Databases, you will own product capabilities that sit above Apple’s core data platform and turn into platform capability.  
You will partner closely with database, AI/ML infrastructure, privacy, security, and application teams to design and deliver:  
* Product vision and roadmap for streaming data systems and NoSQL databases, aligned to business goals
* Platform intelligence built with AI and GenAI tools that helps developers troubleshoot and optimize databases
* Technical feasibility, scalability, cost efficiency, and high\-performance for managed cloud services
* Product collateral to enable product position and adoption by LOBS within Apple
You will be responsible for defining product vision, shaping multi\-quarter roadmaps, and driving execution from concept through launch, while balancing platform constraints, customer needs, and long\-term architectural integrity.","responsibilities":"Define and own the product vision and roadmap NoSQL databases and streaming data systems built within the Apple Cloud.  
Translate foundational data and AI infrastructure into clear product abstractions (APIs, workflows, templates, services).  
Lead the development of applied AI and GenAI features, including intelligent assistants, reasoning workflows, automation, and decision support for database use cases.  
Partner with engineering teams to align product requirements with platform architecture, scalability, reliability, privacy, and security constraints.  
Work closely with internal customer teams to understand real\-world application needs and co\-develop solutions.  
Communicate complex technical tradeoffs clearly to both technical and non\-technical stakeholders.  
Drive prioritization across competing demands from multiple products and organizations while maintaining platform consistency.  
Measure success through adoption, developer productivity, reliability, and customer impact.  
**Preferred Qualifications**  
Deep understanding of database and streaming concepts such as ingestion pipelines, transformations, storage, replication and SQL processing.  
Experience building or productizing AI/ML or GenAI\-powered features.  
Familiarity with public cloud platforms (AWS, GCP, or similar) and enterprise\-scale deployments.  
Strong systems thinking and the ability to reason about tradeoffs across performance, cost, reliability, and usability.  
Proven ability to influence without authority and build alignment across diverse stakeholder groups.  
Comfort operating in ambiguous problem spaces and shaping direction where requirements are not fully defined.  
**Minimum Qualifications**  
Bachelor’s degree in Computer Science, Electrical Engineering, Mathematics, or a related technical field (Master’s degree preferred).  
10\+ years of product management experience building enterprise or platform products.  
Strong experience working with streaming data systems like Apache Kafka and Apache Flink, Search platforms like Solr and OpenSearch, NoSQL databases such as Apache Cassandra, and distributed caches like Valkey.  
Demonstrated ability to take products from concept to launch, including vision setting, roadmap ownership, and execution.  
Working knowledge of modern data and AI stacks, and cloud\-based data platforms.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$203,300 and $365,400,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
      <c r="A7" t="inlineStr">
        <is>
          <t>in-ffdaf9e51d6619a4</t>
        </is>
      </c>
      <c r="B7" t="inlineStr">
        <is>
          <t>Panel Technologies Engineering Program Manager</t>
        </is>
      </c>
      <c r="C7" t="inlineStr">
        <is>
          <t>Apple</t>
        </is>
      </c>
      <c r="D7" t="inlineStr">
        <is>
          <t>indeed</t>
        </is>
      </c>
      <c r="E7" t="inlineStr"/>
      <c r="F7" t="inlineStr"/>
      <c r="G7" t="inlineStr">
        <is>
          <t>Cupertino, CA, US</t>
        </is>
      </c>
      <c r="H7" s="2" t="n">
        <v>46060</v>
      </c>
      <c r="I7" t="inlineStr">
        <is>
          <t>Apple is seeking a highly technical Display Engineering Program Manager to join the Panel Technologies EPM team supporting iPad and Home products. Our organization leads the development of innovative display panel and module designs, advanced materials, and next\-generation manufacturing processes that shape the future of Apple displays and touch technologies. This role serves as a central hub between display panel engineers, module teams, and cross\-functional partners across Materials, Mechanical Engineering, Electrical Engineering, and Operations. We work in a fast\-paced environment where proactive leadership, technical depth, and creative problem\-solving are essential.  
**Description**  
The Display EPM drives complex engineering programs from concept through mass production. You will define project plans, establish schedules, lead cross\-functional teams, and ensure execution at both Apple and international supplier sites. Success in this role requires strong technical fundamentals spanning optics, mechanics, electronics, materials, and manufacturing, along with excellent organizational, communication, and leadership skills.  
This position requires independent decision\-making, the ability to communicate complex technical topics, and a talent for resolving issues, dependencies, and conflicts quickly. You will lead engineering builds, manage development budgets, and ensure tight coordination across all partners. As part of the display development team, you will help bring new display technologies from proof\-of\-concept to high\-volume production, collaborating with top\-tier engineers and supplier partners around the world.","responsibilities":"Define project plans, schedules, and deliverables; drive execution across internal and external teams.  
Lead multi\-functional engineering and validation activities for display panels and modules.  
Ensure seamless communication and coordination between Apple teams and global suppliers.  
Communicate program status, risks, and technical issues with clarity and precision.  
Identify and resolve program conflicts, inter\-dependencies, and technical challenges rapidly and effectively.  
Lead development budgets, engineering builds, and factory engagement.  
Contribute to long\-term display technology strategy and roadmap planning.  
**Preferred Qualifications**  
Strong background in engineering or physical sciences, with the ability to understand and communicate complex technical issues.  
Self\-motivated, hands\-on, and comfortable working independently with minimal direction.  
Proven ability to lead multi\-functional teams in a fast\-paced environment.  
Experience working with international suppliers and high\-volume manufacturing ecosystems.  
Familiarity with consumer electronics development and hardware manufacturing practices.  
Working knowledge of thin\-film processes, including deposition, etch, characterization, and integration is preferred  
Experience in TFT device design or process development is preferred  
Knowledge of display materials, optical films, panel manufacturing processes, and module assembly is preferred  
Experience with manufacturing automation equipment, OCA/adhesive processes, or optical stack technologies is preferred.  
Experience with AI tools, modeling, and simulation work  
Excellent presentation, communication, and interpersonal skills.  
Ability and willingness to travel internationally.  
**Minimum Qualifications**  
BS and a minimum of 10 years relevant industry experience  
Experience in flat\-panel display (LCD/OLED), TFT device/process development, thin\-film manufacturing (semiconductor/solar), or process integration.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in-bce589dab33c124b</t>
        </is>
      </c>
      <c r="B8" t="inlineStr">
        <is>
          <t>Engineering Program Manager (Strategic Programs), Retail &amp; Marcom Engineering</t>
        </is>
      </c>
      <c r="C8" t="inlineStr">
        <is>
          <t>Apple</t>
        </is>
      </c>
      <c r="D8" t="inlineStr">
        <is>
          <t>indeed</t>
        </is>
      </c>
      <c r="E8" t="inlineStr"/>
      <c r="F8" t="inlineStr"/>
      <c r="G8" t="inlineStr">
        <is>
          <t>Sunnyvale, CA, US</t>
        </is>
      </c>
      <c r="H8" s="2" t="n">
        <v>46060</v>
      </c>
      <c r="I8" t="inlineStr">
        <is>
          <t>Imagine what you could do here! At Apple, new ideas have a way of becoming extraordinary products, services, and customer experiences very quickly. Bring passion and dedication to your job and there’s no telling what you could accomplish!  
Apple is a place where extraordinary people gather to do their best work. Together we craft products and experiences people once couldn’t have envisioned and now can’t imagine living without. If you’re motivated by the idea of making a real impact, and joining a team where we pride ourselves in being one of the most diverse and inclusive companies in the world, a career with Apple might be your dream job.  
We are a diverse collection of problem solvers and doers, continually reimagining our products, systems, and practices to help people do what they love in the best user friendly efficient way. Apple is a deeply collaborative place, where everything we create is the result of people in different roles and teams working together to make each other’s ideas stronger. That same passion for innovation that goes into our products also applies to our practices, strengthening our commitment to leave the world better than we found it.  
Today, the Retail Engineering provides one of the best Apple Experience to Customers in the world, and operates in multiple countries worldwide.  
**Description**  
The IS\&amp;T Retail Engineering organization is seeking individuals to lead Strategic Programs: large, complex, multi\-year initiatives that shape the development of both software and hardware solutions. In this role, you will define and execute strategies that align cross\-functional teams, drive clarity in ambiguous business challenges, and deliver scalable solutions that contribute to our platform’s long\-term success. You will leverage technical depth, strategic systems thinking, and high\-impact communication to navigate complexity and influence key decisions across engineering, product, and business domains.","responsibilities":"Structures ambiguity into actionable roadmaps  
Balances long\-term vision with near\-term execution  
Manages cross\-team dependencies  
Influences stakeholders at all levels  
Alignes diverse technical and business priorities  
Understands engineering workflows and architecture and can navigate complex trade\-offs, challenge assumptions, and ensure solutions are both scalable and impactful.  
**Preferred Qualifications**  
5\+ years of experience leading large, complex, cross\-functional initiatives\-this could be as a Technical Program Manager (TPM), Engineering Program Manager (EPM), Engineering Lead, or Product Lead.  
Proven ability to drive multi\-year, multi\-team programs that require both customer and technical focus.  
Experience leading customer\-facing software initiatives, balancing business objectives, customer impact, and engineering constraints.  
Experience with enterprise\-scale software development lifecycles, including launch strategies, compliance, and operational scaling.  
Experience managing cross\-org dependencies across multiple engineering, product, and business teams.  
Proficiency in setting up governance models, decision\-making frameworks, and program health metrics.  
Ability to drive consistency in execution across different teams, priorities, and timelines. What's going  
Proven track record of influencing at all levels, from engineers to C\-suite executives.  
Experience handling multi\-functional trade\-offs, ensuring collaboration rather than friction.  
Strong understanding of engineering workflows and architectural trade\-offs, even if not hands\-on coding.  
Familiarity with scalable architectures, cloud infrastructure, APIs, and software development best practices.  
**Minimum Qualifications**  
Experience as a Technical Program Manager (TPM), Engineering Program Manager (EPM), Engineering Lead, or Product Lead.  
Bachelor’s degree in Computer Science, Engineering, or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in-8ba4a824fe6e03d2</t>
        </is>
      </c>
      <c r="B9" t="inlineStr">
        <is>
          <t>NPI Operations Program Manager, WW Sales</t>
        </is>
      </c>
      <c r="C9" t="inlineStr">
        <is>
          <t>Apple</t>
        </is>
      </c>
      <c r="D9" t="inlineStr">
        <is>
          <t>indeed</t>
        </is>
      </c>
      <c r="E9" t="inlineStr"/>
      <c r="F9" t="inlineStr"/>
      <c r="G9" t="inlineStr">
        <is>
          <t>Cupertino, CA, US</t>
        </is>
      </c>
      <c r="H9" s="2" t="n">
        <v>46060</v>
      </c>
      <c r="I9" t="inlineStr">
        <is>
          <t>Imagine what you could do here. At Apple, new ideas have a way of becoming extraordinary products, services, and customer experiences very quickly. Bring passion and dedication to your job and there's no end to we can accomplish.  
Apple’s Sales organization generates the revenue needed to fuel our ongoing development of products and services. This in turn, enriches the lives of hundreds of millions of people around the world. Our sales team, is in many ways, the face of Apple to our largest customers.  
The WW Channel Strategy \&amp; Operations (CSO) NPI team is looking for a strategic forecasting and execution lead to drive the global deployment of Merchandising and Security elements. In this role, you will own the operational readiness for the critical merchandising elements that enable our products to be displayed around the world. You will sit at the center of the operation, bridging the gap between supply availability and global channel demand, ensuring that our partners have the necessary elements to deliver a world\-class customer experience on launch day.  
**Description**  
As the NPI Merchandising Operations Manager, you are responsible for the end\-to\-end planning and distribution of security and merchandising assets. You ensure that the supply chain execution aligns with the product launch strategy.","responsibilities":"Global Allocation \&amp; Planning: Partner with WW CSO Planning teams to determine demand requirements. Develop and execute allocation plans to distribute limited supply of security and merchandising elements across global regions based on launch priorities.  
Deployment Execution: Oversee the global logistics flow of merchandising assets. Manage the movement of inventory from manufacturing hand\-off to regional distribution centers and channel partners, ensuring "in\-store" dates are met.  
Risk Management: Proactively identify downstream supply chain risks (e.g., freight capacity, customs delays, warehouse bottlenecks) and develop mitigation strategies to protect the launch timeline.  
Vendor \&amp; Logistics Management: Drive performance with logistics providers and fulfillment vendors. Ensure execution of pick, pack, and ship operations meets NPI quality and timeline standards.  
Launch Readiness: Lead readiness reviews and forums prior to and during the launch window. Serve as the single source of truth for the location and status of all merchandising and security inventory.  
Process Improvement: Analyze operational performance post\-launch to identify opportunities for efficiency gains in the planning and distribution process.  
**Preferred Qualifications**  
8\+ years of experience in Supply Chain Planning, Demand Planning, Logistics Operations, or NPI Program Management.  
Excellent communication skills to synthesize complex logistics data into clear readiness updates for leadership and cross\-functional partners.  
Ability to work effectively in a fast\-paced, ambiguous environment where launch scenarios may change rapidly.  
BA/BS degree in Supply Chain, Operations, Business, or related field.  
**Minimum Qualifications**  
5\+ years of experience in Supply Chain Planning, Demand Planning, Logistics Operations, or NPI Program Management.  
Strong analytical skills with the ability to model complex distribution plans. Mastery of Excel is required to manage global allocations and inventory tracking.  
Proven ability to manage the planning and deployment of physical assets across a global network, working with OEMs and fulfillment partners to meet strict deadlines.  
Exceptional project management skills, with a track record of identifying critical path risks and driving cross\-functional teams toward a common launch date.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$137,900 and $207,300,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
      <c r="A10" t="inlineStr">
        <is>
          <t>in-6004601a7ec8b1cf</t>
        </is>
      </c>
      <c r="B10" t="inlineStr">
        <is>
          <t>Data Product Manager</t>
        </is>
      </c>
      <c r="C10" t="inlineStr">
        <is>
          <t>HP</t>
        </is>
      </c>
      <c r="D10" t="inlineStr">
        <is>
          <t>indeed</t>
        </is>
      </c>
      <c r="E10" t="inlineStr"/>
      <c r="F10" t="inlineStr"/>
      <c r="G10" t="inlineStr">
        <is>
          <t>Vancouver, WA, US</t>
        </is>
      </c>
      <c r="H10" s="2" t="n">
        <v>46059</v>
      </c>
      <c r="I10" t="inlineStr">
        <is>
          <t>Join the HP Print Software Platform team and be a part of history as we push the industry forward, redefining the state\-of\-the\-art Print Software Platform. It is an exciting time to be at HP as our services and solutions business are growing fast. The Print software organization has grown significantly, and we need to evolve the way we work to keep up.
HP is focused on converging multiple cloud stacks and data lakes into a unified scalable platform to serve as a single comprehensive Intelligent platform to meet the needs of HP's printers, PCs and other product lines.  
**Job Summary**  
The Data Product Manager will be responsible for planning, prioritizing, and breaking down data requirements for the Print software platform. This involves working closely with business stakeholders, software and data engineers, data scientists, designers and others in order to understand pain points, develop data strategies and build a successful ecosystem of data products. It'll involve crafting roadmaps that will help build a next\-generation data platform for maximum impact across all HP business units. Role includes managing data as an asset, motivating and launching data\-driven products that will ensure our customers’ success in creating technology that makes life better for everyone, everywhere. It is a highly visible role being part of a team supporting thousands of software developers, and hundreds of millions of users and devices
**Responsibilities**
* Facilitate and partner with business and technical leaders to develop value propositions for data science\-driven products that help achieve HP’s strategic initiatives across multiple business units.
* Collaborate with solution product teams to gather the voice of the customer, identify needs \&amp; create platform opportunities for data science to inform the delivery of rich, compelling user experiences.
* Collaborate with data engineers \&amp; data analysts to match data sources, data quality needs, and data science technical requirements with desired business outcomes.
* Develop use cases and roadmaps that build an ecosystem of data products and solutions that drive customer value with strong ROI.
* Manage the data platform’s end\-to\-end product and feature lifecycle, from strategic planning ideation to tactical execution implementation and stabilization.
* Establish source\-of\-truth data products and dashboards that the entire company can use to answer their own product questions.
* Manage solution engagement and onboarding, ensuring customer and partner success in using the data platform.
* Communicate with scrum teams, program teams, management and senior executives about data product strategy, requirements, development and launch.
* Maintain clear priorities and relentless execution in a dynamic, fast\-paced environment.
* Define and monitor data platform performance metrics against goals.
* Support data platform design and integration across adjacent platforms in HP.
* Maintain deep expertise on the solution space, market environment and overall HP business strategies as they relate to data science activities.
**Education \&amp; Experience** **Recommended**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**Knowledge \&amp; Skills**
* Agile Methodology
* Automation
* Change Management
* Big Data Management and Analytics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1">
      <c r="A11" t="inlineStr">
        <is>
          <t>in-365fae8958de003a</t>
        </is>
      </c>
      <c r="B11" t="inlineStr">
        <is>
          <t>Solutions Desktop Workstations R&amp;D Technical Program Manager</t>
        </is>
      </c>
      <c r="C11" t="inlineStr">
        <is>
          <t>HP</t>
        </is>
      </c>
      <c r="D11" t="inlineStr">
        <is>
          <t>indeed</t>
        </is>
      </c>
      <c r="E11" t="inlineStr"/>
      <c r="F11" t="inlineStr"/>
      <c r="G11" t="inlineStr">
        <is>
          <t>Fort Collins, CO, US</t>
        </is>
      </c>
      <c r="H11" s="2" t="n">
        <v>46059</v>
      </c>
      <c r="I11" t="inlineStr">
        <is>
          <t>**About Us**
Innovation is in HP’s DNA. From our origins in a Palo Alto garage in 1939, to our current position as one of the world’s leading technology companies, HP has grown to become a leader in technology and corporate culture, inspiring innovators and entrepreneurs around the globe.
HP brings together a portfolio that spans printing, personal computing, software and services to serve more than 1 billion customers in over 170 countries. We are committed to fostering a diverse and inclusive workplace that attracts exceptional talent and to supporting our employees to succeed at all levels. We dream in over 35 languages and share one mission: to engineer experiences that amaze.
**Job Description:**
The Advanced Compute and Solutions Desktop Workstations R\&amp;D Technical Program Manager (TPM) applies **developed** subject matter knowledge to solve common and complex business issues within established guidelines and recommends appropriate alternatives. Works on problems of diverse complexity and scope. Will act as a team or project leader providing direction to R\&amp;D team program activities and facilitates information validation and team decision making process. Exercises independent judgment within generally defined policies and practices to identify and select a solution. Ability to handle most unique situations. May seek advice in order to make decisions on complex business issues.
The TPM must utilize knowledge and experience in leading the R\&amp;D team and monitoring business performance including budget. The TPM utilizes experience to anticipate and proactively address program issues and challenges. The TPM is expected to be able to resolve a majority of issues and diffuse situations in order to avoid unnecessary escalations to the executive staff.
**Responsibilities**
* Manages and leads a program involving one or more functions and project teams to drive the engineering development and implementation process for a subsystem or component of a product or service offering.
* Leads moderate to high complexity projects, delivering professionally written reports, and supports the realization of operational and strategic plans.
* Understands the technical concepts, architecture, systems, development methods, and disciplines associated with the defined program, and utilizes knowledge to accelerate project completion.
* Leads the deployment, launch, and continuous improvement of new technologies \&amp; process automation developed within the company's worldwide engineering team.
* Develops schedules, critical deliverables, budget, resource allocation plan, logistics, and other support requirements for assigned program in collaboration with both the company \&amp; contract manufacturing teams.
* Coordinates activities of supporting project teams and internal and external development partners; tracks progress against established plan and makes decisions to alter or update schedule and resource allocation to meet product requirements and development schedule.
* Communicates program progress, escalations, and issue analysis to product stakeholders; collaborates with management and internal manufacturing and development partners to implement changes to product, process, or program plan to resolve escalated issues, produce solutions, and ensure adherence to budgets and established product roadmaps and schedules.
* Leads bug tracking resolution and reporting of program risks, status, and options for resolution to executive management.
* Solves difficult and complex problems with a fresh perspective, demonstrating good judgment in selecting creative solutions and managing projects independently.
* Leads and provides guidance and mentoring to less\-experienced staff members.
**Education \&amp; Experience Recommended**
* Four\-year or Graduate Degree in Computer Science, Engineering, Business Administration, or any other related discipline or commensurate work experience or demonstrated competence.
* Typically has 4\-7 years of work experience, preferably in engineering development and implementation, project planning tools and software packages, people management, or a related field or an advanced degree with 3\-5 years of work experience.
**Preferred Certifications**
* PMP/PMI
**Knowledge \&amp; Skills**
* Product Lifecycle Process and Methodologies
* Milestones (Project Management)
* Project Planning
* Project Schedules
* Agile Methodology
* Change Management
* Continuous Improvement Process
* JIRA or Azure DevOps
* Kanban Principles
* New Product Development
* Process Improvement
* Risk Management
* Hardware Development
* Software Development (is a plus)
**Cross\-Org Skills**
* Effective Communication \&amp; Presentation
* Detail Orientation
* Results Orientation
* Learning Agility
* Conflict Resolution
* Digital Fluency
* Customer Centricity
**Impact \&amp; Scope**
* Impacts multiple teams and may act as a team or project leader providing direction to team activities and facilitates information validation and team decision making process.
**Complexity**
* Responds to moderately complex issues within established guidelines.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**$93,400** to **$143,800**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Posting Expiration Date:** 02/01/2026</t>
        </is>
      </c>
    </row>
    <row r="12">
      <c r="A12" t="inlineStr">
        <is>
          <t>in-ce3dca4b8d1962d6</t>
        </is>
      </c>
      <c r="B12" t="inlineStr">
        <is>
          <t>Transit Program Manager I - Program Consultant I (61032868)</t>
        </is>
      </c>
      <c r="C12" t="inlineStr">
        <is>
          <t>State of South Carolina</t>
        </is>
      </c>
      <c r="D12" t="inlineStr">
        <is>
          <t>indeed</t>
        </is>
      </c>
      <c r="E12" t="inlineStr"/>
      <c r="F12" t="inlineStr"/>
      <c r="G12" t="inlineStr">
        <is>
          <t>SC, US</t>
        </is>
      </c>
      <c r="H12" s="2" t="n">
        <v>46058</v>
      </c>
      <c r="I12" t="inlineStr">
        <is>
          <t>**Job Responsibilities**
------------------------
Manages the day\-to\-day activities for assigned agencies within the Office of Public Transit (OPT). Manages the compliance, budget and guidance of assigned programs. Responsible for the development and implementation of policies and procedures for the OPT. Serves as the subject matter expert.  
Manages the transit planning activities for assigned areas. Serves as the Transit Planner and liaison to assigned agencies and maintains effective and productive working relationships with local officials and staff. Represents the Office of Public Transit at internal and external meetings to communicate and acquire key information. Attends public transit meetings within assigned program areas and prepares presentations when necessary.  
Manages the application for and disbursement of transit funding for assigned programs while ensuring compliance with relevant federal and state laws and regulations. Manages the execution of assigned transit sub\-recipient agreements and develops and implements compliance policies and reporting processes to ensure the effective and efficient use of federal and state funds. Develops, implements and manages SCDOT's procedures for identifying sub\-recipients. Regularly reviews the sub\-recipient procedures, processes, and applicable documentation, and recommends changes to Director of lntermodal \&amp; Freight.  
Manages and monitors compliance requirements as identified for assigned agencies to include three\-year compliance reviews, annual sub\-recipient reviews and other internal SCDOT audits to ensure compliance with federal and state programs.  
Provides oversight to a team that is responsible for managing contracts, vehicle and facility assets and program compliance. Reviews and interprets assigned program regulations and guidance and ensures staff members are adequately trained and are adhering to program regulations. Performs other related duties as assigned.
**Minimum and Additional Requirements**
---------------------------------------
A bachelor's degree and three (3\) years of relevant program experience; or an approved acceptable equivalence. A valid motor vehicle operator's license is required.  
The physical demands for the essential functions includes sitting or standing at a desk for an extended periods and working on a computer. May be required to lift up to 30 lbs. May be required to work outside normal business hours.
**Additional Comments**
-----------------------
The South Carolina Department of Transportation is committed to a diverse workforce and does not discriminate on the basis of race, color, religion, sex (including pregnancy), national origin, age (40 or older), disability or genetic information.</t>
        </is>
      </c>
    </row>
    <row r="13">
      <c r="A13" t="inlineStr">
        <is>
          <t>in-3bf7399edabfeff5</t>
        </is>
      </c>
      <c r="B13" t="inlineStr">
        <is>
          <t>Electric Utility Program Manager</t>
        </is>
      </c>
      <c r="C13" t="inlineStr">
        <is>
          <t>City of Cleveland, OH</t>
        </is>
      </c>
      <c r="D13" t="inlineStr">
        <is>
          <t>indeed</t>
        </is>
      </c>
      <c r="E13" t="inlineStr"/>
      <c r="F13" t="inlineStr"/>
      <c r="G13" t="inlineStr">
        <is>
          <t>Cleveland, OH, US</t>
        </is>
      </c>
      <c r="H13" s="2" t="n">
        <v>46057</v>
      </c>
      <c r="I13" t="inlineStr">
        <is>
          <t>**Salary**
$31,866\.20 \- $105,000\.00 Annually
**Location**2004 \- CPP
**Job Type**
Full\-time
**Job Number**
9744\-HR
**Department**
2004 \- Public Utilities \- CPP
**Division**
200490 \- Administration
**Opening Date**
02/05/2026
**Closing Date**
2/26/2026 11:59 PM Eastern
**Description**
---------------
**Electric Utility Program Manager**  
**Examples of Duties**
----------------------
Under administrative direction, this position is responsible for planning, managing, and coordinating assigned functions, which may include administration, citizen engagement, research, and financial operations. Responsibilities include developing work rules, implementing training programs, and may manage assigned staff members to ensure the effective performance of departmental objectives. Performs other job\-related duties as required.
**Minimum Qualifications**
--------------------------
Bachelor's Degree required. Four years of full\-time paid management or administrative experience required. (Substitution: Two years of any equivalent combination of education, training and experience may substitute for each year of college education lacking.) Valid State of Ohio Driver's License required.
**Supplemental Information**
----------------------------
**Primary Responsibilities**
* Initiate and monitor major capital projects for Electric Distribution and Transmission infrastructure, Smart Grid improvements, and Lighting.
* Directly manage essential projects and oversee the coordination of various IT, construction, and support projects. Coordinate cross\-functional resources in departments including Sales, Engineering, and Operations.
* Develop and update Request for Proposal documents, including establishing requirements and deliverables. Collect, organize, and analyze research to understand market, vendors, and bid options. Monitor and evaluate contract and project performance. Manage awarded contract performance, project progress, issues and risks, keep stakeholders informed, and accomplish project goals.
* Initiate and lead business process improvements by performing root cause analysis, managing change, and tracking issues.
* Establish deadlines, ensure complete and timely deliverables, troubleshoot problems, and coordinate cross\-functional teams to ensure the successful completion of projects.
* Coordinate with customers, utilities, and other external entities.
* Perform other job\-related duties as required, including managing employees, developing reports, and business and data analysis.
**Requirement**
* Bachelor's Degree required.
* Four years of full\-time paid management or administrative experience required. (Substitution: Two years of any equivalent combination of education, training and experience may substitute for each year of college education lacking.)
* Valid State of Ohio Driver's License required.
**Preferred Requirements**
Highly Preferred:
* Bachelor’s Degree in Business Administration, Project Management or related field (may substitute two (2\) years of full\-time experience for each year of college education lacking.)
* Two (2\) or more years working in an engineering, utility, or IT environment with experience directly managing large complex projects.
* Project Management Professional (PMP) Certificate or equivalent.
* Excellent written, presentation, and verbal communication skills, including communicating complex technical topics to an audience of diverse non\-technical backgrounds.
* Experience with various project and process applications such as MS Project, Visio, and SharePoint Lists.
Preferred:* Applied knowledge with Microsoft applications including Excel, Outlook, and SharePoint.
* Experience in work order management systems such as Cityworks.
* Expertise developing and documenting processes and procedures.
* Familiarity with Geographic Information Systems (GIS) techniques and software such as ArcGIS.
* Knowledge of City procurement regulations, policies, and procedures
The City's guiding principles are as follows*: Placing Clevelanders at the Center, Empowering Employees to Do Purposeful Work, Defining Clear and Pragmatic Objectives, Leading with Trust and Transparency, Striving for Equity in All We Do, and Embracing Change.* All City employees are responsible for embracing and carrying out these principles in all that they do.
The City of Cleveland makes available a variety of benefit options depending upon your employment status and any applicable union membership. In general, benefit options include comprehensive medical, dental, vision, prescription medical and life insurance. Specific information regarding benefit eligibility will be discussed and reviewed at the time of hire.
**Employer**
City of Cleveland
**Address**
601 Lakeside Avenue  
Cleveland, Ohio, 44114
**Phone**
216\-664\-2493</t>
        </is>
      </c>
    </row>
    <row r="14">
      <c r="A14" t="inlineStr">
        <is>
          <t>in-327b3d3f55ecbf62</t>
        </is>
      </c>
      <c r="B14" t="inlineStr">
        <is>
          <t>Compliance Assessment &amp; Training Program Manager - 61149818</t>
        </is>
      </c>
      <c r="C14" t="inlineStr">
        <is>
          <t>State of South Carolina</t>
        </is>
      </c>
      <c r="D14" t="inlineStr">
        <is>
          <t>indeed</t>
        </is>
      </c>
      <c r="E14" t="inlineStr"/>
      <c r="F14" t="inlineStr"/>
      <c r="G14" t="inlineStr">
        <is>
          <t>SC, US</t>
        </is>
      </c>
      <c r="H14" s="2" t="n">
        <v>46054</v>
      </c>
      <c r="I14" t="inlineStr">
        <is>
          <t>**Job Responsibilities**
------------------------
**Are you an experienced professional looking for new opportunities to further your career? The SC Department of Veterans’ Affairs is seeking a hardworking and dependable** **candidate just like you to apply! This position will offer great benefits with the state, including 15 days of annual and sick leave per year or more depending on applicable state service.**
The Compliance Assessment and Training Program Manager is responsible for overseeing and executing the compliance assessment and training functions of the South Carolina Department of Veterans' Affairs in accordance with Title 25\-11\-50 of the South Carolina Code of Laws, the Office of General Counsel, 38 Code of Federal Regulation, and external training requirements as directed by the Director of Veterans Services (The Palmetto Pathfinder Program). This position assesses that all County Veterans' Affairs Offices (CVAOs) are in compliance with applicable laws, regulations, and policies, and that their staff are properly trained and accredited to serve the Veterans of South Carolina effectively. The Compliance Assessment and Training Program Manager will prepare, present, and distribute reports based on complete CVAO compliance assessments.
**Responsibilities of the Compliance Assessment and Training Manager:**
* Supervises staff to include preparing performance planning and evaluation documents and related personnel paperwork. Coaches, counsels and trains employees. Establishes and monitors work processes. Implement management policies and initiatives and promote teamwork.
* Ensure full implementation of the requirements set forth under SC Code of Laws §25\-11\-50, which mandates compliance assessment, training, and support for County Veterans' Affairs Officers and their staff. Serve as the liaison between SCDVA and county governments in matters of compliance assessment and training. Conducts and leads a team for on\-site evaluations of each County Veterans' Affairs Office a minimum of twice per calendar year. Utilize standardized assessment tools to evaluate operational compliance, case management procedures, records handling, and adherence to VA and state protocols.
* Prepare detailed written reports and executive summaries of each county office evaluation. Provide recommendations for improvement and follow\-up evaluations as necessary. Assists CVAOs with coordination and delivery of basic, intermediate, and advanced skills training, as needed. Maintain accurate records of compliance assessments and follow\-up actions.
* Oversee the training and continuing education programs required for CVAO accreditation and re\-accreditation. Coordinate with USDVA and national organizations to ensure training content meets federal and state requirements. Supervise the scheduling, delivery, and documentation of all training activities. Maintain up to date accreditation in accordance with Office of General Counsel Standards.
* Develop and conduct semi\-annual training sessions for CVAOs and their staff. Ensure curriculum addresses updates in federal and state veterans' benefits laws, changes in policies, and best practices in service delivery. Assess training effectiveness through participant feedback and performance evaluations.
* Coordinate with Veteran Services Programs to ensure proper preparation, collaboration, and execution of regional initial and sustainment Palmetto Pathfinder training by the SCDVA Training Officer.
* Other duties as assigned.
**Minimum and Additional Requirements**
---------------------------------------
**Minimum Requirements:**
* Bachelor's degree and/or 10 years of relevant experience in leading and supervising a diverse team.
* At least 5 years of experience in Veterans' Affairs, compliance, training, or program management.
* Accreditation as a Veterans' Service Office (or ability to obtain within 6 months).
* Valid SC driver's license and willingness to travel statewide.
*Applicants indicating college credit or degree(s) on the application will be required to bring a copy of college transcript to the interview. A copy of the transcript may also be uploaded as an attachment to the application, if required by the hiring department or if desired by the applicant. Please note that some areas of the Agency may require an* ***official, certified copy of the transcript prior to hiring or within a specific timeframe required by that area, after hiring. Failure to produce an official, certified transcript may result in not being hired or termination.***
**Additional Requirements:**
* Position may require overnight travel.
* Position may require employee to work evenings and weekends.
* Position requires routine driver duties.
* Position requires frequent lifting: 25 lbs.
* Position requires up\-to\-date certification(s).
* Position requires Essential declaration.
* Position may be required to report to work during emergency situations.
**Additional Comments**
-----------------------
**Additional Comments:**
*The SC Department of Veterans’ Affairs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SC Department of Veterans’ Affairs offers an exceptional benefits package for full time (FTE) employees:***
*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15">
      <c r="A15" t="inlineStr">
        <is>
          <t>in-238ecfa4dd25a1e6</t>
        </is>
      </c>
      <c r="B15" t="inlineStr">
        <is>
          <t>Vertical Assets and Sales Manager (Program Manager I) - 60003225</t>
        </is>
      </c>
      <c r="C15" t="inlineStr">
        <is>
          <t>State of South Carolina</t>
        </is>
      </c>
      <c r="D15" t="inlineStr">
        <is>
          <t>indeed</t>
        </is>
      </c>
      <c r="E15" t="inlineStr"/>
      <c r="F15" t="inlineStr"/>
      <c r="G15" t="inlineStr">
        <is>
          <t>SC, US</t>
        </is>
      </c>
      <c r="H15" s="2" t="n">
        <v>46051</v>
      </c>
      <c r="I15" t="inlineStr">
        <is>
          <t>**Job Responsibilities**
------------------------
**About Our Agency:**
South Carolina ETV (SCETV) is the state's public educational broadcasting network. SCETV amplifies South Carolina voices, provides educational experiences, and strengthens communities while working to create a stronger, more connected, and informed South Carolina. SCETV provides national and local content to classrooms via internet services Knowitall.org and PBS Learning Media. SCETV also provides teacher training and re\-certification in face\-to\-face and online settings.  
**JOB PURPOSE:**  
The South Carolina Educational Television Commission is seeking a talented and experienced Vertical Assets and Sales Manager to join our team. As a Vertical Assets and Sales Manager, you will be responsible for overseeing and managing the organization's transmission towers asset portfolio. Your role will involve planning, process improvement, and effective management of the tower assets leasing program. You will utilize your expertise in inventory and related asset management software to ensure accurate and efficient tracking of SCETV's tower assets across the state. Additionally, you will work with the senior leadership team to strategize the leveraging of tower assets for revenue generation. This includes cultivating relationships with other state agencies and private entities seeking use of tower assets. You will work with the Chief Technology Officer to secure new licensing and rental agreements, manage existing agreements, and identify gaps in existing workflows. Reporting on asset utilization, flows and values to management is required.  
**KEY RESPONSIBILITIES:**  
***Strategic Program Management***  
Develops, implements, and manages effective strategies, policies, and procedures to ensure pragmatic use of the agency's physical tower assets; Ensures programmatic compliance with FCC and other applicable agencies; Builds, develops and maintains reporting dashboards using KPI's (Key performance Indicators) aligned with the agency's goals and objectives; Stays updated with industry trends, emerging technologies, and best practices in tower asset management; Manages and directs the Transmission Towers asset team who are the main point of contact for all activities related to ETV's tower licensing responsibilities. Maintains a list of ongoing related projects; Collaborates with and supports various business units and teams in understanding and establishing data driven demand.  
***Asset Inventory and Lifecycle Management***  
Develops and maintains an accurate and updated tower asset inventory, including detailed records of asset attributes, locations, associated services housed on each asset, and lease/rental information; Develops and implements standard procedures for asset tracking and disposal; Utilizes applicable software and other asset management tools to automate processes, track inventory, and generate insightful reports and analysis; Communicates all issues to management prior to reaching critical status.  
***Sales and Leasing Management***  
Works with third\-party vendors as necessary to support tower lease acquisitions and management; Participates in negotiations and execution of long\-term land lease agreements with landowners of tower sites; Participate in preparation and review of tower related legal documents for accuracy; Works with finance team and other staff as appropriate to reconcile all accounts payable and accounts receivable items; Analyzes data from tracking system to identify challenges, anticipate revenue, optimize resources, maximize revenue and make recommendations to management as to best practices for the program.
**Minimum and Additional Requirements**
---------------------------------------
A bachelor's degree and relevant program experience.
**Preferred Qualifications**
----------------------------
A bachelor's degree and experience in vertical asset management (preferably within the public media or broadcasting industry), contract administration, account management or customer service; or any equivalent combination of education, training or experience.  
Strong knowledge of inventory management processes, best practices, and industry standards.  
Proficiency in using asset management software platforms.  
Solid understanding of procurement and provisioning workflows for transmission tower assets.  
Excellent analytical skills with ability to identify trends, anomalies, and areas for improvement.  
Strong communication and interpersonal skills to effectively collaborate with diverse stakeholders and build relationships.  
Detail\-oriented mindset with exceptional organizational and documentation skills.
**Additional Comments**
-----------------------
**Equal Opportunity Statement:** SCETV is an equal employment opportunity/affirmative action employing agency. SCETV does not discriminate on the basis of race, color, religion, sex (including pregnancy), national origin, age (40 or older), disability or genetic information.  
**Background Check:** A pre\-employment background check will be conducted, and employment will be contingent on passing the background check. Some positions require a pre\-employment drug test. SCETV reserves the right to rescind any employment offer in the event our review of your background develops information, including opinions of previous employers or colleagues that cause us to conclude, at our sole discretion, that you are not suited for the position.  
**State Disaster Plan:** In accordance with the State's Disaster Plan, which includes hazardous weather, SCETV employees are considered essential and may be required to work in times of a state declared emergency or disaster.  
**College Transcripts:** Applicants indicating college credit or degree(s) on the application are required to provide an official, certified copy of the transcript prior to hiring or within fifteen (15\) days of hire. Failure to provide official transcripts may lead to disciplinary action up to and including termination.  
**Driving Record:** If this position requires the applicant to possess a valid driver's license to operate a state vehicle or personal vehicle, any applicant being considered in the final stages of selection for the position will be required to provide a certified copy of a 10\-year driving record.  
**Supplemental Questions****:**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**Alternative Work Schedules:** Alternative Work Schedules are available after one (1\) year of employment, subject to agency approval.  
**Remote Work****:** The option to work partially remote is available after one (1\) year of employment if you are new to state government and subject to agency approval.</t>
        </is>
      </c>
    </row>
    <row r="16">
      <c r="A16" t="inlineStr">
        <is>
          <t>in-d6d4bdf9d72205c8</t>
        </is>
      </c>
      <c r="B16" t="inlineStr">
        <is>
          <t>Principal Product Manager Architect</t>
        </is>
      </c>
      <c r="C16" t="inlineStr">
        <is>
          <t>Microsoft</t>
        </is>
      </c>
      <c r="D16" t="inlineStr">
        <is>
          <t>indeed</t>
        </is>
      </c>
      <c r="E16" t="inlineStr"/>
      <c r="F16" t="inlineStr"/>
      <c r="G16" t="inlineStr">
        <is>
          <t>Redmond, WA, US</t>
        </is>
      </c>
      <c r="H16" s="2" t="n">
        <v>46049</v>
      </c>
      <c r="I16" t="inlineStr">
        <is>
          <t>**Overview**  
Microsoft is transforming how the world works with AI and reshaping human productivity for the next generation. The Copilot ecosystem is at the center of this shift. Our team builds advanced AI agents on the Microsoft 365 and Azure AI platforms. We partner with innovative enterprise customers to incubate new platform capabilities, validate frontier agent scenarios, and accelerate adoption of modern AI architectures.
We are hiring a **Principal Product Manager Architect** who brings deep technical skills, thought leadership, and experience with emerging AI technologies. This role is ideal for a product leader who wants to operate on the frontier of agentic AI, guide customers through advanced architectural choices, and shape the next wave of platform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the next generation of AI agents**
* Provide technical architecture guidance across agentic workflows, grounding strategies, tool integration, retrieval pipelines, multi agent patterns, and orchestration models.
* Advise customers on optimum AI agent architectures across data surfaces, security boundaries, extensibility points, and operational requirements.
* Partner closely with engineering teams to validate architectural patterns and influence platform capabilities.
### 
### **Lead customer innovation and early adopter engagements**
* Drive architectural design sessions for bleeding edge agent scenarios with strategic enterprise customers.
* Partner with Forward Deployed Engineering and Builder PM teams to validate new platform capabilities and pilot frontier agent patterns.
* Serve as a trusted advisor in customer conversations focused on complex AI implementations.
### 
### **Shape platform direction and ecosystem strategy**
* Track emerging AI tooling, modern agent frameworks, orchestration engines, retrieval innovations, and competitive LLM ecosystems.
* Represent customer evidence, architectural insights, and ecosystem gaps to engineering teams to shape long term platform investments.
* Prototype architectural frameworks, templates, and best practices that accelerate adoption across the ecosystem.
### 
### **Influence internal and external thought leadership**
* Evangelize modern AI architectures and agent capabilities internally and externally.
* Contribute to executive reviews, industry forums, and community engagements focused on next generation AI solutions.
 **Qualifications** **Required Qualifications:**
* Bachelor's Degree AND 8\+ years experience in product/service/program management or software development
	+ OR equivalent experience.
* Demonstrable hands\-on experience building with modern AI tooling including agent frameworks, orchestration engines, retrieval pipelines, and leading LLM ecosystems.
* Experience designing enterprise AI scenarios using Microsoft 365 Copilot extensibility, Copilot Studio, Graph Connectors, or Azure AI.
* Technical depth in cloud architecture, distributed systems, enterprise application design, and modern AI architectural concepts.
* Experience with conversational AI, autonomous workflows, multi\-agent patterns, grounding strategies, and evaluation approaches.
* Ability to operate in ambiguous environments, make clear decisions, and collaborate effectively across engineering, design, research, and field organizations.
* Strong written, verbal, and visual communication skills across technical and executive audiences.
* Ability to define metrics, use analytics, and drive data\-informed product direction.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Relevant university degree in computer science, software engineering, artificial intelligence, or similar field.
* Recent experience with generative AI architectures, agent toolchains, retrieval strategies, or competitive AI platforms.
* Experience in rapid prototyping, incubation programs, or customer\-focused innovation work.
* Familiarity with the Microsoft technology stack including M365 extensibility patterns, Copilot Studio agent building, Azure OpenAI, and custom toolchain integration.
* Experience influencing engineering roadmaps using customer signals and architectural insights.
\#BICJobs
\#CAPE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in-cf4a62d1f066695c</t>
        </is>
      </c>
      <c r="B17" t="inlineStr">
        <is>
          <t>Senior Product Manager</t>
        </is>
      </c>
      <c r="C17" t="inlineStr">
        <is>
          <t>Commerce</t>
        </is>
      </c>
      <c r="D17" t="inlineStr">
        <is>
          <t>indeed</t>
        </is>
      </c>
      <c r="E17" t="inlineStr"/>
      <c r="F17" t="inlineStr"/>
      <c r="G17" t="inlineStr">
        <is>
          <t>Austin, TX, US</t>
        </is>
      </c>
      <c r="H17" s="2" t="n">
        <v>46060</v>
      </c>
      <c r="I17"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Product Manager, B2B** to build the future of B2B ecommerce. This person will own and deliver critical product capabilities that enable Commerce to become the leading B2B commerce platform. This role will be responsible for defining product strategy and execution for key B2B domains, working cross\-functionally to deliver customer value, improve operational efficiency, and drive commercial outcomes.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**What You’ll Do:**
* Product Strategy \&amp; Discovery
	+ Own product strategy and roadmap for one or more core B2B capability areas (e.g. pricing, customer hierarchies, ordering workflows, quotes, integrations, permissions, storefront experiences)
	+ Translate the broader B2B vision and ICP into clear problem statements, opportunities, and executable plans
	+ Develop deep empathy for B2B merchants and buyers through customer interviews, data analysis, field engagement, and partner feedback
	+ Assess competitive and adjacent market solutions to inform product differentiation and prioritization
* Execution \&amp; Delivery
	+ Define product requirements, success metrics, and trade\-offs in partnership with Engineering
	+ Lead cross\-functional delivery from discovery through launch, iteration, and scale
	+ Balance customer needs, technical constraints, and business impact to drive high\-quality outcomes
	+ Ensure solutions scale across customer size, complexity, and verticals
* Business Impact \&amp; Growth
	+ Own success metrics for your product areas, including adoption, engagement, performance, and contribution to retention, expansion and revenue
	+ Partner with Sales, PMM, and Solutions teams to ensure features are usable, sellable, and clearly differentiated
	+ Support pricing, packaging, and monetization initiatives by providing product insight and impact analysis
	+ Identify opportunities to reduce friction, improve time\-to\-value, and increase customer lifetime value
* Cross\-Functional Leadership
	+ Act as a subject matter expert for your B2B domains internally, and externally with partners and customers
	+ Collaborate closely with GTM, Support, and Partner teams to ensure feedback loops inform roadmap decisions
**Who You Are:**
* 5–8\+ years of product management experience, including ownership of complex, customer\-facing products
* Strong understanding of B2B commerce, SaaS, and enterprise workflows (e.g. manufacturers, distributors, ERP\-adjacent systems)
* Demonstrated ability to translate ambiguous problems into shipped, measurable product and revenue outcomes
* Experience working cross\-functionally with engineering, design, and go\-to\-market teams
* Strong analytical and communication skills, with the ability to influence without authority
* Comfort operating in fast\-moving, evolving environments
**Work Where You Thrive**
For candidates based in the Austin, Texas metro area, this role follows a hybrid work model, with three days per week in the office to balance focused individual work and meaningful in\-person collaboration.
**\#LI\-GC1**
**\#LI\-HYBRID**
**(Pay Transparency Range: $100,000\-$169,000\)**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18">
      <c r="A18" t="inlineStr">
        <is>
          <t>in-23d7840caad98525</t>
        </is>
      </c>
      <c r="B18" t="inlineStr">
        <is>
          <t>Technical Program Manager</t>
        </is>
      </c>
      <c r="C18" t="inlineStr">
        <is>
          <t>MANTECH</t>
        </is>
      </c>
      <c r="D18" t="inlineStr">
        <is>
          <t>indeed</t>
        </is>
      </c>
      <c r="E18" t="inlineStr"/>
      <c r="F18" t="inlineStr"/>
      <c r="G18" t="inlineStr">
        <is>
          <t>Chantilly, VA, US</t>
        </is>
      </c>
      <c r="H18" s="2" t="n">
        <v>46060</v>
      </c>
      <c r="I18" t="inlineStr">
        <is>
          <t>**MANTECH** seeks a motivated, career and customer\-oriented **Technical Program Manager** to join our team in **Chantilly, VA**. This is an **onsite** position.
**Responsibilities include but are not limited to:**
* Lead and deliver technical projects in accordance with contract requirements and company policies, procedures, and guidelines. This role supports a large portfolio of IT and Cybersecurity teams and focuses on managing scope, schedule, cost, security, and quality to meet customer objectives.
* Serve as the technical Project Manager across a portfolio of IT and cybersecurity projects, managing scope, schedule, cost, quality, and security in alignment with customer objectives.
* Lead and coordinate agile IT and cybersecurity teams of approximately 20–25 FTEs delivering Cybersecurity, Security Engineering, Systems Engineering, Network Engineering, Systems Administration, and ITIL Service Transition services.
* Lead or support IT technical design, implementation, operations, and cybersecurity incident response efforts, including management of a Security Operations Center (SOC) team.
* Develop, maintain, and manage project schedules, agile task boards, metrics, and status reporting using tools such as MS Project, Jira, and similar platforms.
* Serve as a trusted cybersecurity advisor to government stakeholders, providing guidance on cybersecurity policy, strategy, risk management, and continuous monitoring.
* Identify program risks, analyze performance metrics, and present findings and recommendations to management to ensure alignment with customer guidelines.
* Support personnel management and program growth activities for teams based in Springfield, VA, Washington, DC, Chantilly, VA and California, including timesheet approvals, performance evaluations, client relationship management, and proposal support for new and existing task orders.
**Minimum Qualifications:**
* Bachelor’s degree and 10\+ years of relevant IT experience
* 5\+ years of experience managing large IT Service Management contracts
* Demonstrated knowledge of cybersecurity best practices, Incident Response, Risk Management Framework (RMF), and Continuous Monitoring
* Experience managing IT and cybersecurity technical implementation projects from inception through completion
* Project Management Professional (PMP) certification
**Preferred Qualifications:**
* Masters degree
* Agile certification
* Knowledge of System Development Life Cycle (SDLC) phases and deliverables
* Experience with Microsoft and/or VMware technologies, including Windows Server, Active Directory, SharePoint, Exchange, and Splunk
* Experience planning, scheduling, and updating program activities using MS Project, Jira, or similar tools
* Experience identifying schedule risks and performing schedule risk analysis
**Clearance Requirements:**
* Must have a current/active Top Secret clearance with SCI eligibility, adjudicated within the last six years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t>
        </is>
      </c>
    </row>
    <row r="19">
      <c r="A19" t="inlineStr">
        <is>
          <t>in-34e83c13d975b4b8</t>
        </is>
      </c>
      <c r="B19" t="inlineStr">
        <is>
          <t>Treatment Planning – Program Manager</t>
        </is>
      </c>
      <c r="C19" t="inlineStr">
        <is>
          <t>King County, WA</t>
        </is>
      </c>
      <c r="D19" t="inlineStr">
        <is>
          <t>indeed</t>
        </is>
      </c>
      <c r="E19" t="inlineStr"/>
      <c r="F19" t="inlineStr"/>
      <c r="G19" t="inlineStr">
        <is>
          <t>Seattle, WA, US</t>
        </is>
      </c>
      <c r="H19" s="2" t="n">
        <v>46057</v>
      </c>
      <c r="I19" t="inlineStr">
        <is>
          <t>**Summary**
-----------
**Shape the Future of Water Quality in King County**
King County’s Wastewater Treatment Division is seeking a passionate and strategic **Program Manager** to lead the **Treatment Planning Program** – the team responsible for charting the course for future expansion and upgrades to our region’s wastewater treatment plants. This position is a unique opportunity to be on the forefront of planning the policies and capital projects that will protect public health, improve water quality, and ensure responsible environmental stewardship for generations to come.
As a senior leader within the **Treatment and Separated Conveyance Planning Group**, you’ll guide strategic planning efforts, coordinate across technical disciplines, and play a pivotal role in developing both short\- and long\-range plans to prepare the treatment system for population growth and to meet evolving environmental regulations. You’ll collaborate with and guide a dynamic, high\-performing team and influence decisions that will shape regional water quality for decades.
This is an opportunity to:
* Contribute to clean water and community well\-being through public service.
* Lead strategic planning that drives major infrastructure investments.
* Address complex, meaningful issues impacting Puget Sound, the environment, and public health.
* Work alongside a diverse, collaborative, and passionate team.
If you’re ready to help shape the roadmap for water quality in King County – and are driven by big\-picture thinking, strategic planning, and the chance to make a lasting impact on public health, equity, and the environment – this role offers the opportunity to lead meaningful work at the intersection of infrastructure and sustainability.
For more information on the Treatment Planning Program check out:
* https://kingcountywtd.com/2022/01/24/planning\-ahead\-to\-treat\-wastewater/ and
* https://kingcounty.gov/en/dept/dnrp/waste\-services/wastewater\-treatment/programs/treatment\-planning
**About the Role:**
As **Program Manager** for the **Treatment Planning Program**, you will play a pivotal role in shaping the future of our regional wastewater system. This position guides a team of talented professionals who are tackling some of the most pressing environmental and infrastructure challenges of our time – ensuring our five treatment plants meet growing capacity needs and evolving regulatory requirements, while considering climate impacts and adaptation, equity and social justice, resource recovery (recycled water, biosolids, biogas, energy) needs and opportunities, management of aging infrastructure, cost and affordability, and component agency priorities.
In this role, you will:
* **Drive major planning efforts**, such as the Long\-term Treatment Plan to provide a roadmap to guide treatment capital investments for decades to come.
* **Address critical regulatory challenges**, including nutrient reduction, NPDES permit compliance, and contaminants of emerging concern (such as PFAS), ensuring public health and environmental protection.
* **Lead treatment process studies** to improve and optimize treatment operations.
* **Support and incorporate resource recovery**, exploring opportunities for recycled water, biosolids reuse, and energy production and reduction.
* **Develop conceptual capital projects** that progress into project delivery and drive large capital investments in wastewater infrastructure.
* **Lead strategic planning processes and recommend policy**, guiding division and County decision\-making at the intersection of infrastructure, environmental stewardship, and equity.
* **Build strong partnerships** with County teams, operations staff, consultants, and component agencies.
You will provide technical guidance, manage diverse teams, support junior and mid\-level staff, and influence decisions that impact public health, environmental protection, and regional growth. With large\-scale capital projects, evolving regulations, and complex, completing needs on the horizon, this role offers the opportunity to make a lasting impact on the region’s infrastructure and water quality.
This position follows a hybrid work model, blending remote and in\-person work.
**About the Team:**
The **Treatment and Separated Conveyance Planning Group** is part of the Wastewater Treatment Division’s Planning and Project Delivery Section, a dynamic team of over 250 professionals responsible for delivering nearly $500 million in capital projects this year – and projected to grow to over $1 billion annually by the end of the decade. Our group plays a critical role at the forefront of this work, identifying and developing future projects and guiding strategic decision\-making for major investments in the region’s wastewater system. The work we do has a lasting impact on public health, water quality, and the environment in the Puget Sound region, both now and for generations to come.
Our Treatment and Separated Conveyance Planning team embodies the values of **adaptability, collaboration, equity, excellence, leadership, and respect**, fully supporting the Wastewater Treatment Division’s mission of **environmental stewardship, quality of service, and financial accountability**. Team members are empowered to communicate effectively, learn and grow from one another, and develop innovative solutions that advance both environmental sustainability and equity. By prioritizing equity and social justice, consistent with King County’s values, we strengthen our teams and ensure that all residents benefit from high\-quality wastewater services and improved environmental outcomes.
Working in the Treatment and Separated Conveyance Planning Group offers:
* Highly collaborative and supportive colleagues
* Opportunities for professional growth and continuous learning
* Flexible schedules and work arrangements
* A mix of independent and team\-based work
* Cross\-divisional collaboration with staff across operations and other work units
Our staff are critical strategic partners in shaping the processes and deliverables that guide major investment decisions, contributing directly to the long\-term resilience and sustainability of King County’s wastewater system.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Treatment Planning \- Program Manager, you will actively apply these principles in all aspects of your work. Learn more about our commitment at**http://www.kingcounty.gov/equity****.**  
**Apply now for a rewarding career at the** **Wastewater Treatment Division** **of King County Department of Natural Resources \&amp; Parks (DNRP). Join our talented workforce in protecting and restoring the natural environment and promoting more resilient, sustainable, and equitable communities. Enjoy training,** **comprehensive benefits****, and growth opportunities.**  
**Job Duties**
--------------
**What You** **Will** **Be Doing****:**
* **Guide long\-term, strategic planning initiatives:** Lead a team in developing long\-term plans, decision\-making processes, recommended policy, and obtaining necessary approvals for implementation. Establish processes for engagement with senior leadership, elected officials, regulators, tribal interests, and/or the public.
* **Lead planning and analysis:** Oversee, coordinate, and execute plans, studies, technical analyses, cost estimates, and policy evaluations to assess technical concepts and recommend long\-term treatment planning and policy decisions.
* **Foster collaboration:** Work closely and coordinate across divisions, sections, and agencies to integrate system needs, opportunities, and priorities with capacity and regulatory planning. Build strong relationships with county staff, leadership, local sewer agencies, regulators, and other interested parties.
* **Prepare planning documentation:** Lead or guide the creation of planning documents, technical reports, memos, presentations, and other materials that outline methods and strategies for long\-term investment in treatment plants.
* **Manage program work:** Develop and track program work plans, scopes, budgets, and schedules. Provide guidance, direction, and support to program staff and consultants to ensure successful project delivery.
* **Guide and lead a team:** Foster a collaborative, inclusive, and respectful team culture while providing mentorship, guidance, and clear direction to staff and consultants to support both individual growth and program success.
**Experience, Qualifications, Knowledge, Skills**
-------------------------------------------------
**Qualifications You Bring****:**
* Professional work experience and/or education in planning, engineering, science, business administration, public administration, or a related field, with increasing responsibility for managing large and complex programs or projects.
* Knowledge of water, wastewater, science, or environmental management.
* Experience developing and leading strategic planning, decision\-making processes, and policy analysis.
* Demonstrated experience and knowledge of program management and planning techniques, principles, and/or practices.
* Experience leading a team to accomplish a complex program or work.
* Experience leading or preparing a variety of types of documents, plans, memos, briefings, and/or summaries describing complex projects, programs, policies, or processes.
* Strong written and verbal communication skills for synthesizing and conveying complex information to a variety of expert and non\-expert audiences.
* Experience working with minimal guidance where there may be ambiguity and established procedures and policies may not exist and must be developed to craft solutions and pathways leading to recommendations.
**Competencies****You Bring*****:**** **Manages Complexity** \- Making sense of complex, high quantity, and sometimes contradictory information to effectively solve problems.
* **Strategic Mindset** \- Seeing ahead to future possibilities and translating them into breakthrough strategies.
* **Plans and Aligns \-** Planning and prioritizing work to meet commitments aligned with organizational goals.
* **Collaborates** \- Building partnerships and working collaboratively with others to meet shared objectives.
* **Communicates Effectively** \- Developing and delivering multi\-mode communications that convey a clear understanding of the unique needs of different audiences.
* **Manages Ambiguity** \- Operating effectively, even when things are not certain or the way forward is not clear.
**It Would Be Great if You Also Bring:*** Knowledge of local government processes, public utility issues, policy, and/or communications.
* Knowledge of environmental regulations, such as federal Clean Water Act and National Pollutant Discharge Elimination System (NPDES).
* Knowledge of and experience with project and/or contract management.
**Supplemental Information**
----------------------------
**Work Condition:**  
* **Work Details:** The Comprehensive Planning team works in a hybrid model, with days in the office as well as telecommuting.The ratio of remote to onsite work will be dependent on the business needs and is subject to change.The primary onsite location is the collaboration space at King Street Center \- 201 S. Jackson St, Seattle, WA 98104 and other wastewater treatment facilities.
* **Requirement:** Employees must reside in Washington State and be within a reasonable distance to King County worksites to meet onsite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position is exempt from the overtime provision of the Fair Labor Standard Act (FLSA) and is not overtime eligible.
* **Union Representation:** This position is represented by Technical Employees’ Association (TEA) \- Wastewater Treatment Division.
**Application and Selection Process:**  
We welcome applications from all qualified candidates**.**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**Anticipated** **Timeline for this recruitment****:** **(subject to** **change****)**
* Technical interview \- Virtual interviews will be held in March 2026
* Panel interview: Virtual interviews will be held in March \- and April 2026
To apply, submit a:  
* **Complete Application**
* **Resume**
* **Cover Letter**
* **Responses to the supplemental questions**
Note: Additional documents won't be considered during minimum qualification screening. **W****ho to Contact:** For more information regarding this recruitment, please contact Mark Workinger at mworkinger@kingcounty.gov **Discover More About the Wastewater Treatment Division**: Visit our **website**and check us out at **Facebook****,** **X (formerly Twitter)****,** **Instagram****,** **YouTube**, and the**WTD Blog****.**  
**Discover More About DNRP: Visit our** **DNRP website****, explore an** **interactive map** **of our recent accomplishments and check us out at** **Facebook****,** **X (formerly Twitter)****,** **LinkedIn****,** **TikTok****,** **Instagram****,** **YouTube** **and**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row>
    <row r="20">
      <c r="A20" t="inlineStr">
        <is>
          <t>in-53a69d5f24e8b4d9</t>
        </is>
      </c>
      <c r="B20" t="inlineStr">
        <is>
          <t>Program Manager, Quality Management, GEMS D&amp;C, Quality Management</t>
        </is>
      </c>
      <c r="C20" t="inlineStr">
        <is>
          <t>Amazon.com</t>
        </is>
      </c>
      <c r="D20" t="inlineStr">
        <is>
          <t>indeed</t>
        </is>
      </c>
      <c r="E20" t="inlineStr"/>
      <c r="F20" t="inlineStr"/>
      <c r="G20" t="inlineStr">
        <is>
          <t>Boston, MA, US</t>
        </is>
      </c>
      <c r="H20" s="2" t="n">
        <v>45999</v>
      </c>
      <c r="I20"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in-5bb439e105378a5b</t>
        </is>
      </c>
      <c r="B21" t="inlineStr">
        <is>
          <t>Program Manager, Quality Management, GEMS D&amp;C, Quality Management</t>
        </is>
      </c>
      <c r="C21" t="inlineStr">
        <is>
          <t>Amazon.com</t>
        </is>
      </c>
      <c r="D21" t="inlineStr">
        <is>
          <t>indeed</t>
        </is>
      </c>
      <c r="E21" t="inlineStr"/>
      <c r="F21" t="inlineStr"/>
      <c r="G21" t="inlineStr">
        <is>
          <t>Nashville, TN, US</t>
        </is>
      </c>
      <c r="H21" s="2" t="n">
        <v>45999</v>
      </c>
      <c r="I21"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in-e94d5d59577bc49f</t>
        </is>
      </c>
      <c r="B22" t="inlineStr">
        <is>
          <t>Program Manager, Quality Management, GEMS D&amp;C, Quality Management</t>
        </is>
      </c>
      <c r="C22" t="inlineStr">
        <is>
          <t>Amazon.com</t>
        </is>
      </c>
      <c r="D22" t="inlineStr">
        <is>
          <t>indeed</t>
        </is>
      </c>
      <c r="E22" t="inlineStr"/>
      <c r="F22" t="inlineStr"/>
      <c r="G22" t="inlineStr">
        <is>
          <t>Arlington, VA, US</t>
        </is>
      </c>
      <c r="H22" s="2" t="n">
        <v>45999</v>
      </c>
      <c r="I22"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in-12e8ea58fc2092f1</t>
        </is>
      </c>
      <c r="B23" t="inlineStr">
        <is>
          <t>Program Manager, Quality Management, GEMS D&amp;C, Quality Management</t>
        </is>
      </c>
      <c r="C23" t="inlineStr">
        <is>
          <t>Amazon.com</t>
        </is>
      </c>
      <c r="D23" t="inlineStr">
        <is>
          <t>indeed</t>
        </is>
      </c>
      <c r="E23" t="inlineStr"/>
      <c r="F23" t="inlineStr"/>
      <c r="G23" t="inlineStr">
        <is>
          <t>Atlanta, GA, US</t>
        </is>
      </c>
      <c r="H23" s="2" t="n">
        <v>45999</v>
      </c>
      <c r="I23"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in-1651d2ece4259747</t>
        </is>
      </c>
      <c r="B24" t="inlineStr">
        <is>
          <t>Global Signage &amp; Wayfinding Designer Program Manager, Workplace Design &amp; Construction (WD&amp;C)</t>
        </is>
      </c>
      <c r="C24" t="inlineStr">
        <is>
          <t>Amazon.com</t>
        </is>
      </c>
      <c r="D24" t="inlineStr">
        <is>
          <t>indeed</t>
        </is>
      </c>
      <c r="E24" t="inlineStr"/>
      <c r="F24" t="inlineStr"/>
      <c r="G24" t="inlineStr">
        <is>
          <t>Arlington, VA, US</t>
        </is>
      </c>
      <c r="H24" s="2" t="n">
        <v>45998</v>
      </c>
      <c r="I2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in-5a872b6c1aff29f9</t>
        </is>
      </c>
      <c r="B25" t="inlineStr">
        <is>
          <t>Global Signage &amp; Wayfinding Designer Program Manager, Workplace Design &amp; Construction (WD&amp;C)</t>
        </is>
      </c>
      <c r="C25" t="inlineStr">
        <is>
          <t>Amazon.com</t>
        </is>
      </c>
      <c r="D25" t="inlineStr">
        <is>
          <t>indeed</t>
        </is>
      </c>
      <c r="E25" t="inlineStr"/>
      <c r="F25" t="inlineStr"/>
      <c r="G25" t="inlineStr">
        <is>
          <t>Seattle, WA, US</t>
        </is>
      </c>
      <c r="H25" s="2" t="n">
        <v>45998</v>
      </c>
      <c r="I25"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in-96739432d016cee7</t>
        </is>
      </c>
      <c r="B26" t="inlineStr">
        <is>
          <t>Senior Product Manager, Ads</t>
        </is>
      </c>
      <c r="C26" t="inlineStr">
        <is>
          <t>Amazon.com</t>
        </is>
      </c>
      <c r="D26" t="inlineStr">
        <is>
          <t>indeed</t>
        </is>
      </c>
      <c r="E26" t="inlineStr"/>
      <c r="F26" t="inlineStr"/>
      <c r="G26" t="inlineStr">
        <is>
          <t>San Francisco, CA, US</t>
        </is>
      </c>
      <c r="H26" s="2"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in-0168929bb93f4acf</t>
        </is>
      </c>
      <c r="B27" t="inlineStr">
        <is>
          <t>Senior Product Manager, Ads</t>
        </is>
      </c>
      <c r="C27" t="inlineStr">
        <is>
          <t>Amazon.com</t>
        </is>
      </c>
      <c r="D27" t="inlineStr">
        <is>
          <t>indeed</t>
        </is>
      </c>
      <c r="E27" t="inlineStr"/>
      <c r="F27" t="inlineStr"/>
      <c r="G27" t="inlineStr">
        <is>
          <t>Irvine, CA, US</t>
        </is>
      </c>
      <c r="H27" s="2"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in-5962d0754ca2dba0</t>
        </is>
      </c>
      <c r="B28" t="inlineStr">
        <is>
          <t>Senior Product Manager, Ads</t>
        </is>
      </c>
      <c r="C28" t="inlineStr">
        <is>
          <t>Amazon.com</t>
        </is>
      </c>
      <c r="D28" t="inlineStr">
        <is>
          <t>indeed</t>
        </is>
      </c>
      <c r="E28" t="inlineStr"/>
      <c r="F28" t="inlineStr"/>
      <c r="G28" t="inlineStr">
        <is>
          <t>Los Angeles, CA, US</t>
        </is>
      </c>
      <c r="H28" s="2"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in-01856998861c67e4</t>
        </is>
      </c>
      <c r="B29" t="inlineStr">
        <is>
          <t>Senior Product Manager, Ads</t>
        </is>
      </c>
      <c r="C29" t="inlineStr">
        <is>
          <t>Amazon.com</t>
        </is>
      </c>
      <c r="D29" t="inlineStr">
        <is>
          <t>indeed</t>
        </is>
      </c>
      <c r="E29" t="inlineStr"/>
      <c r="F29" t="inlineStr"/>
      <c r="G29" t="inlineStr">
        <is>
          <t>Seattle, WA, US</t>
        </is>
      </c>
      <c r="H29" s="2"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in-c0a585585f1f06ae</t>
        </is>
      </c>
      <c r="B30" t="inlineStr">
        <is>
          <t>Senior Product Manager, Ads</t>
        </is>
      </c>
      <c r="C30" t="inlineStr">
        <is>
          <t>Amazon.com</t>
        </is>
      </c>
      <c r="D30" t="inlineStr">
        <is>
          <t>indeed</t>
        </is>
      </c>
      <c r="E30" t="inlineStr"/>
      <c r="F30" t="inlineStr"/>
      <c r="G30" t="inlineStr">
        <is>
          <t>San Francisco, CA, US</t>
        </is>
      </c>
      <c r="H30" s="2"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in-4f9acaf823f9fbca</t>
        </is>
      </c>
      <c r="B31" t="inlineStr">
        <is>
          <t>Senior Product Manager, Ads</t>
        </is>
      </c>
      <c r="C31" t="inlineStr">
        <is>
          <t>Amazon.com</t>
        </is>
      </c>
      <c r="D31" t="inlineStr">
        <is>
          <t>indeed</t>
        </is>
      </c>
      <c r="E31" t="inlineStr"/>
      <c r="F31" t="inlineStr"/>
      <c r="G31" t="inlineStr">
        <is>
          <t>New York, NY, US</t>
        </is>
      </c>
      <c r="H31" s="2"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in-04d592b6f4c8738d</t>
        </is>
      </c>
      <c r="B32" t="inlineStr">
        <is>
          <t>Senior Product Manager, Ads</t>
        </is>
      </c>
      <c r="C32" t="inlineStr">
        <is>
          <t>Amazon.com</t>
        </is>
      </c>
      <c r="D32" t="inlineStr">
        <is>
          <t>indeed</t>
        </is>
      </c>
      <c r="E32" t="inlineStr"/>
      <c r="F32" t="inlineStr"/>
      <c r="G32" t="inlineStr">
        <is>
          <t>Irvine, CA, US</t>
        </is>
      </c>
      <c r="H32" s="2"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in-5ffdecb0ab55d184</t>
        </is>
      </c>
      <c r="B33" t="inlineStr">
        <is>
          <t>Senior Product Manager, Ads</t>
        </is>
      </c>
      <c r="C33" t="inlineStr">
        <is>
          <t>Amazon.com</t>
        </is>
      </c>
      <c r="D33" t="inlineStr">
        <is>
          <t>indeed</t>
        </is>
      </c>
      <c r="E33" t="inlineStr"/>
      <c r="F33" t="inlineStr"/>
      <c r="G33" t="inlineStr">
        <is>
          <t>New York, NY, US</t>
        </is>
      </c>
      <c r="H33" s="2"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in-1689230fb9dd7fac</t>
        </is>
      </c>
      <c r="B34" t="inlineStr">
        <is>
          <t>Senior Product Manager, Ads</t>
        </is>
      </c>
      <c r="C34" t="inlineStr">
        <is>
          <t>Amazon.com</t>
        </is>
      </c>
      <c r="D34" t="inlineStr">
        <is>
          <t>indeed</t>
        </is>
      </c>
      <c r="E34" t="inlineStr"/>
      <c r="F34" t="inlineStr"/>
      <c r="G34" t="inlineStr">
        <is>
          <t>Los Angeles, CA, US</t>
        </is>
      </c>
      <c r="H34" s="2"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in-67edf889ba1a8fee</t>
        </is>
      </c>
      <c r="B35" t="inlineStr">
        <is>
          <t>Senior Product Manager, Ads</t>
        </is>
      </c>
      <c r="C35" t="inlineStr">
        <is>
          <t>Amazon.com</t>
        </is>
      </c>
      <c r="D35" t="inlineStr">
        <is>
          <t>indeed</t>
        </is>
      </c>
      <c r="E35" t="inlineStr"/>
      <c r="F35" t="inlineStr"/>
      <c r="G35" t="inlineStr">
        <is>
          <t>Seattle, WA, US</t>
        </is>
      </c>
      <c r="H35" s="2" t="n">
        <v>45994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in-4879186308bc83e8</t>
        </is>
      </c>
      <c r="B36" t="inlineStr">
        <is>
          <t>Sr. Product Manager</t>
        </is>
      </c>
      <c r="C36" t="inlineStr">
        <is>
          <t>Amazon.com</t>
        </is>
      </c>
      <c r="D36" t="inlineStr">
        <is>
          <t>indeed</t>
        </is>
      </c>
      <c r="E36" t="inlineStr"/>
      <c r="F36" t="inlineStr"/>
      <c r="G36" t="inlineStr">
        <is>
          <t>New York, NY, US</t>
        </is>
      </c>
      <c r="H36" s="2" t="n">
        <v>45979</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in-7c7f6ec9163d5811</t>
        </is>
      </c>
      <c r="B37" t="inlineStr">
        <is>
          <t>Sr. Product Manager</t>
        </is>
      </c>
      <c r="C37" t="inlineStr">
        <is>
          <t>Amazon.com</t>
        </is>
      </c>
      <c r="D37" t="inlineStr">
        <is>
          <t>indeed</t>
        </is>
      </c>
      <c r="E37" t="inlineStr"/>
      <c r="F37" t="inlineStr"/>
      <c r="G37" t="inlineStr">
        <is>
          <t>Seattle, WA, US</t>
        </is>
      </c>
      <c r="H37" s="2" t="n">
        <v>45979</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in-66bf4bc1757564e4</t>
        </is>
      </c>
      <c r="B38" t="inlineStr">
        <is>
          <t>Sr. Product Manager</t>
        </is>
      </c>
      <c r="C38" t="inlineStr">
        <is>
          <t>Amazon.com</t>
        </is>
      </c>
      <c r="D38" t="inlineStr">
        <is>
          <t>indeed</t>
        </is>
      </c>
      <c r="E38" t="inlineStr"/>
      <c r="F38" t="inlineStr"/>
      <c r="G38" t="inlineStr">
        <is>
          <t>San Francisco, CA, US</t>
        </is>
      </c>
      <c r="H38" s="2" t="n">
        <v>45979</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in-bf58e11dda372273</t>
        </is>
      </c>
      <c r="B39" t="inlineStr">
        <is>
          <t>Sr. Product Manager</t>
        </is>
      </c>
      <c r="C39" t="inlineStr">
        <is>
          <t>Amazon.com</t>
        </is>
      </c>
      <c r="D39" t="inlineStr">
        <is>
          <t>indeed</t>
        </is>
      </c>
      <c r="E39" t="inlineStr"/>
      <c r="F39" t="inlineStr"/>
      <c r="G39" t="inlineStr">
        <is>
          <t>Irvine, CA, US</t>
        </is>
      </c>
      <c r="H39" s="2" t="n">
        <v>45979</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in-6b524558fa2be530</t>
        </is>
      </c>
      <c r="B40" t="inlineStr">
        <is>
          <t>Sr. Product Manager</t>
        </is>
      </c>
      <c r="C40" t="inlineStr">
        <is>
          <t>Amazon.com</t>
        </is>
      </c>
      <c r="D40" t="inlineStr">
        <is>
          <t>indeed</t>
        </is>
      </c>
      <c r="E40" t="inlineStr"/>
      <c r="F40" t="inlineStr"/>
      <c r="G40" t="inlineStr">
        <is>
          <t>Los Angeles, CA, US</t>
        </is>
      </c>
      <c r="H40" s="2" t="n">
        <v>45979</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in-2a14d4d716cda401</t>
        </is>
      </c>
      <c r="B41" t="inlineStr">
        <is>
          <t>Program Manager, Executive Content and Programs, Global Executive Marketing</t>
        </is>
      </c>
      <c r="C41" t="inlineStr">
        <is>
          <t>Amazon Web Services</t>
        </is>
      </c>
      <c r="D41" t="inlineStr">
        <is>
          <t>indeed</t>
        </is>
      </c>
      <c r="E41" t="inlineStr"/>
      <c r="F41" t="inlineStr"/>
      <c r="G41" t="inlineStr">
        <is>
          <t>Arlington, VA, US</t>
        </is>
      </c>
      <c r="H41" s="2" t="n">
        <v>45970</v>
      </c>
      <c r="I4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in-f834e6fd8d46cfbf</t>
        </is>
      </c>
      <c r="B42" t="inlineStr">
        <is>
          <t>Program Manager, Executive Content and Programs, Global Executive Marketing</t>
        </is>
      </c>
      <c r="C42" t="inlineStr">
        <is>
          <t>Amazon Web Services</t>
        </is>
      </c>
      <c r="D42" t="inlineStr">
        <is>
          <t>indeed</t>
        </is>
      </c>
      <c r="E42" t="inlineStr"/>
      <c r="F42" t="inlineStr"/>
      <c r="G42" t="inlineStr">
        <is>
          <t>Seattle, WA, US</t>
        </is>
      </c>
      <c r="H42" s="2" t="n">
        <v>45970</v>
      </c>
      <c r="I42"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in-7f362a3b5de3f93e</t>
        </is>
      </c>
      <c r="B43" t="inlineStr">
        <is>
          <t>Senior Product Manager, Sub Same Day</t>
        </is>
      </c>
      <c r="C43" t="inlineStr">
        <is>
          <t>Amazon.com</t>
        </is>
      </c>
      <c r="D43" t="inlineStr">
        <is>
          <t>indeed</t>
        </is>
      </c>
      <c r="E43" t="inlineStr"/>
      <c r="F43" t="inlineStr"/>
      <c r="G43" t="inlineStr">
        <is>
          <t>New York, NY, US</t>
        </is>
      </c>
      <c r="H43" s="2" t="n">
        <v>45957</v>
      </c>
      <c r="I43"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in-bb006e6a1e8091e2</t>
        </is>
      </c>
      <c r="B44" t="inlineStr">
        <is>
          <t>Senior Product Manager, Sub Same Day</t>
        </is>
      </c>
      <c r="C44" t="inlineStr">
        <is>
          <t>Amazon.com</t>
        </is>
      </c>
      <c r="D44" t="inlineStr">
        <is>
          <t>indeed</t>
        </is>
      </c>
      <c r="E44" t="inlineStr"/>
      <c r="F44" t="inlineStr"/>
      <c r="G44" t="inlineStr">
        <is>
          <t>Bellevue, WA, US</t>
        </is>
      </c>
      <c r="H44" s="2" t="n">
        <v>45957</v>
      </c>
      <c r="I4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in-98a7b45b240d7059</t>
        </is>
      </c>
      <c r="B45" t="inlineStr">
        <is>
          <t>Senior Product Manager, Sub Same Day</t>
        </is>
      </c>
      <c r="C45" t="inlineStr">
        <is>
          <t>Amazon.com</t>
        </is>
      </c>
      <c r="D45" t="inlineStr">
        <is>
          <t>indeed</t>
        </is>
      </c>
      <c r="E45" t="inlineStr"/>
      <c r="F45" t="inlineStr"/>
      <c r="G45" t="inlineStr">
        <is>
          <t>Nashville, TN, US</t>
        </is>
      </c>
      <c r="H45" s="2" t="n">
        <v>45957</v>
      </c>
      <c r="I4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in-cc2ae209b201eaf0</t>
        </is>
      </c>
      <c r="B46" t="inlineStr">
        <is>
          <t>Sr. Program Manager, Planning &amp; Automation, Global Fleet and Products Electrification and Infrastructure</t>
        </is>
      </c>
      <c r="C46" t="inlineStr">
        <is>
          <t>Amazon.com</t>
        </is>
      </c>
      <c r="D46" t="inlineStr">
        <is>
          <t>indeed</t>
        </is>
      </c>
      <c r="E46" t="inlineStr"/>
      <c r="F46" t="inlineStr"/>
      <c r="G46" t="inlineStr">
        <is>
          <t>San Francisco, CA, US</t>
        </is>
      </c>
      <c r="H46" s="2" t="n">
        <v>45949</v>
      </c>
      <c r="I46"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in-3fc05cbbf018b39e</t>
        </is>
      </c>
      <c r="B47" t="inlineStr">
        <is>
          <t>Sr. Program Manager, Planning &amp; Automation, Global Fleet and Products Electrification and Infrastructure</t>
        </is>
      </c>
      <c r="C47" t="inlineStr">
        <is>
          <t>Amazon.com</t>
        </is>
      </c>
      <c r="D47" t="inlineStr">
        <is>
          <t>indeed</t>
        </is>
      </c>
      <c r="E47" t="inlineStr"/>
      <c r="F47" t="inlineStr"/>
      <c r="G47" t="inlineStr">
        <is>
          <t>Nashville, TN, US</t>
        </is>
      </c>
      <c r="H47" s="2" t="n">
        <v>45949</v>
      </c>
      <c r="I47"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in-55f8a5a9f068132b</t>
        </is>
      </c>
      <c r="B48" t="inlineStr">
        <is>
          <t>Sr. Program Manager, Planning &amp; Automation, Global Fleet and Products Electrification and Infrastructure</t>
        </is>
      </c>
      <c r="C48" t="inlineStr">
        <is>
          <t>Amazon.com</t>
        </is>
      </c>
      <c r="D48" t="inlineStr">
        <is>
          <t>indeed</t>
        </is>
      </c>
      <c r="E48" t="inlineStr"/>
      <c r="F48" t="inlineStr"/>
      <c r="G48" t="inlineStr">
        <is>
          <t>Bellevue, WA, US</t>
        </is>
      </c>
      <c r="H48" s="2" t="n">
        <v>45949</v>
      </c>
      <c r="I4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in-1cc48f589b1b7bbb</t>
        </is>
      </c>
      <c r="B49" t="inlineStr">
        <is>
          <t>Sr Program Manager, Procurement Operations, SSD OI</t>
        </is>
      </c>
      <c r="C49" t="inlineStr">
        <is>
          <t>Amazon.com</t>
        </is>
      </c>
      <c r="D49" t="inlineStr">
        <is>
          <t>indeed</t>
        </is>
      </c>
      <c r="E49" t="inlineStr"/>
      <c r="F49" t="inlineStr"/>
      <c r="G49" t="inlineStr">
        <is>
          <t>Nashville, TN, US</t>
        </is>
      </c>
      <c r="H49" s="2" t="n">
        <v>45938</v>
      </c>
      <c r="I49"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in-cd8e27b9094d6670</t>
        </is>
      </c>
      <c r="B50" t="inlineStr">
        <is>
          <t>Sr Program Manager, Procurement Operations, SSD OI</t>
        </is>
      </c>
      <c r="C50" t="inlineStr">
        <is>
          <t>Amazon.com</t>
        </is>
      </c>
      <c r="D50" t="inlineStr">
        <is>
          <t>indeed</t>
        </is>
      </c>
      <c r="E50" t="inlineStr"/>
      <c r="F50" t="inlineStr"/>
      <c r="G50" t="inlineStr">
        <is>
          <t>Bellevue, WA, US</t>
        </is>
      </c>
      <c r="H50" s="2" t="n">
        <v>45938</v>
      </c>
      <c r="I50"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in-3255dfcfd1b51513</t>
        </is>
      </c>
      <c r="B51" t="inlineStr">
        <is>
          <t>Sr Program Manager, Procurement Operations, SSD OI</t>
        </is>
      </c>
      <c r="C51" t="inlineStr">
        <is>
          <t>Amazon.com</t>
        </is>
      </c>
      <c r="D51" t="inlineStr">
        <is>
          <t>indeed</t>
        </is>
      </c>
      <c r="E51" t="inlineStr"/>
      <c r="F51" t="inlineStr"/>
      <c r="G51" t="inlineStr">
        <is>
          <t>New York, NY, US</t>
        </is>
      </c>
      <c r="H51" s="2" t="n">
        <v>45938</v>
      </c>
      <c r="I51"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in-f821554a6a3385a7</t>
        </is>
      </c>
      <c r="B52" t="inlineStr">
        <is>
          <t>Sr. Supply Chain Product Manager, Amazon Custom Modules</t>
        </is>
      </c>
      <c r="C52" t="inlineStr">
        <is>
          <t>Amazon.com</t>
        </is>
      </c>
      <c r="D52" t="inlineStr">
        <is>
          <t>indeed</t>
        </is>
      </c>
      <c r="E52" t="inlineStr"/>
      <c r="F52" t="inlineStr"/>
      <c r="G52" t="inlineStr">
        <is>
          <t>Cupertino, CA, US</t>
        </is>
      </c>
      <c r="H52" s="2" t="n">
        <v>45935</v>
      </c>
      <c r="I5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in-48033f0204fd0fbe</t>
        </is>
      </c>
      <c r="B53" t="inlineStr">
        <is>
          <t>Sr. Supply Chain Product Manager, Amazon Custom Modules</t>
        </is>
      </c>
      <c r="C53" t="inlineStr">
        <is>
          <t>Amazon.com</t>
        </is>
      </c>
      <c r="D53" t="inlineStr">
        <is>
          <t>indeed</t>
        </is>
      </c>
      <c r="E53" t="inlineStr"/>
      <c r="F53" t="inlineStr"/>
      <c r="G53" t="inlineStr">
        <is>
          <t>Seattle, WA, US</t>
        </is>
      </c>
      <c r="H53" s="2" t="n">
        <v>45935</v>
      </c>
      <c r="I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in-0ec9efbcb63d1396</t>
        </is>
      </c>
      <c r="B54" t="inlineStr">
        <is>
          <t>Sr. Supply Chain Product Manager, Amazon Custom Modules</t>
        </is>
      </c>
      <c r="C54" t="inlineStr">
        <is>
          <t>Amazon.com</t>
        </is>
      </c>
      <c r="D54" t="inlineStr">
        <is>
          <t>indeed</t>
        </is>
      </c>
      <c r="E54" t="inlineStr"/>
      <c r="F54" t="inlineStr"/>
      <c r="G54" t="inlineStr">
        <is>
          <t>Austin, TX, US</t>
        </is>
      </c>
      <c r="H54" s="2" t="n">
        <v>45935</v>
      </c>
      <c r="I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in-c49aa337e9967c21</t>
        </is>
      </c>
      <c r="B55" t="inlineStr">
        <is>
          <t>Sr. Program Manager, Same Day Programs,</t>
        </is>
      </c>
      <c r="C55" t="inlineStr">
        <is>
          <t>Amazon.com</t>
        </is>
      </c>
      <c r="D55" t="inlineStr">
        <is>
          <t>indeed</t>
        </is>
      </c>
      <c r="E55" t="inlineStr"/>
      <c r="F55" t="inlineStr"/>
      <c r="G55" t="inlineStr">
        <is>
          <t>Bellevue, WA, US</t>
        </is>
      </c>
      <c r="H55" s="2" t="n">
        <v>45931</v>
      </c>
      <c r="I5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in-1aa4caaeb422a26d</t>
        </is>
      </c>
      <c r="B56" t="inlineStr">
        <is>
          <t>Sr. Program Manager, Same Day Programs,</t>
        </is>
      </c>
      <c r="C56" t="inlineStr">
        <is>
          <t>Amazon.com</t>
        </is>
      </c>
      <c r="D56" t="inlineStr">
        <is>
          <t>indeed</t>
        </is>
      </c>
      <c r="E56" t="inlineStr"/>
      <c r="F56" t="inlineStr"/>
      <c r="G56" t="inlineStr">
        <is>
          <t>Nashville, TN, US</t>
        </is>
      </c>
      <c r="H56" s="2" t="n">
        <v>45931</v>
      </c>
      <c r="I5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in-e7f7c60c6e9f57ba</t>
        </is>
      </c>
      <c r="B57" t="inlineStr">
        <is>
          <t>Tech Infrastructure Program Manager - AV , IT Services - CIS</t>
        </is>
      </c>
      <c r="C57" t="inlineStr">
        <is>
          <t>Amazon.com</t>
        </is>
      </c>
      <c r="D57" t="inlineStr">
        <is>
          <t>indeed</t>
        </is>
      </c>
      <c r="E57" t="inlineStr"/>
      <c r="F57" t="inlineStr"/>
      <c r="G57" t="inlineStr">
        <is>
          <t>Arlington, VA, US</t>
        </is>
      </c>
      <c r="H57" s="2" t="n">
        <v>45923</v>
      </c>
      <c r="I57"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in-5627f099dea9a3b3</t>
        </is>
      </c>
      <c r="B58" t="inlineStr">
        <is>
          <t>Tech Infrastructure Program Manager - AV , IT Services - CIS</t>
        </is>
      </c>
      <c r="C58" t="inlineStr">
        <is>
          <t>Amazon.com</t>
        </is>
      </c>
      <c r="D58" t="inlineStr">
        <is>
          <t>indeed</t>
        </is>
      </c>
      <c r="E58" t="inlineStr"/>
      <c r="F58" t="inlineStr"/>
      <c r="G58" t="inlineStr">
        <is>
          <t>Austin, TX, US</t>
        </is>
      </c>
      <c r="H58" s="2" t="n">
        <v>45923</v>
      </c>
      <c r="I58"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in-28c5d66161c92db8</t>
        </is>
      </c>
      <c r="B59" t="inlineStr">
        <is>
          <t>Tech Infrastructure Program Manager - AV , IT Services - CIS</t>
        </is>
      </c>
      <c r="C59" t="inlineStr">
        <is>
          <t>Amazon.com</t>
        </is>
      </c>
      <c r="D59" t="inlineStr">
        <is>
          <t>indeed</t>
        </is>
      </c>
      <c r="E59" t="inlineStr"/>
      <c r="F59" t="inlineStr"/>
      <c r="G59" t="inlineStr">
        <is>
          <t>Seattle, WA, US</t>
        </is>
      </c>
      <c r="H59" s="2" t="n">
        <v>45923</v>
      </c>
      <c r="I59"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in-525cec53bd0d1820</t>
        </is>
      </c>
      <c r="B60" t="inlineStr">
        <is>
          <t>Tech Infrastructure Program Manager - AV , IT Services - CIS</t>
        </is>
      </c>
      <c r="C60" t="inlineStr">
        <is>
          <t>Amazon.com</t>
        </is>
      </c>
      <c r="D60" t="inlineStr">
        <is>
          <t>indeed</t>
        </is>
      </c>
      <c r="E60" t="inlineStr"/>
      <c r="F60" t="inlineStr"/>
      <c r="G60" t="inlineStr">
        <is>
          <t>Sunnyvale, CA, US</t>
        </is>
      </c>
      <c r="H60" s="2" t="n">
        <v>45923</v>
      </c>
      <c r="I60"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in-fbef9a8cb5a3418d</t>
        </is>
      </c>
      <c r="B61" t="inlineStr">
        <is>
          <t>Amazon Last Mile Fleet Program Manager, In Life Services-Recalls, Retrofits, and Tires</t>
        </is>
      </c>
      <c r="C61" t="inlineStr">
        <is>
          <t>Amazon.com</t>
        </is>
      </c>
      <c r="D61" t="inlineStr">
        <is>
          <t>indeed</t>
        </is>
      </c>
      <c r="E61" t="inlineStr"/>
      <c r="F61" t="inlineStr"/>
      <c r="G61" t="inlineStr">
        <is>
          <t>Arlington, VA, US</t>
        </is>
      </c>
      <c r="H61" s="2" t="n">
        <v>45911</v>
      </c>
      <c r="I6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in-62b40413400e0011</t>
        </is>
      </c>
      <c r="B62" t="inlineStr">
        <is>
          <t>Amazon Last Mile Fleet Program Manager, In Life Services-Recalls, Retrofits, and Tires</t>
        </is>
      </c>
      <c r="C62" t="inlineStr">
        <is>
          <t>Amazon.com</t>
        </is>
      </c>
      <c r="D62" t="inlineStr">
        <is>
          <t>indeed</t>
        </is>
      </c>
      <c r="E62" t="inlineStr"/>
      <c r="F62" t="inlineStr"/>
      <c r="G62" t="inlineStr">
        <is>
          <t>Nashville, TN, US</t>
        </is>
      </c>
      <c r="H62" s="2" t="n">
        <v>45911</v>
      </c>
      <c r="I6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in-36d0490f0001f295</t>
        </is>
      </c>
      <c r="B63" t="inlineStr">
        <is>
          <t>Amazon Last Mile Fleet Program Manager, In Life Services-Recalls, Retrofits, and Tires</t>
        </is>
      </c>
      <c r="C63" t="inlineStr">
        <is>
          <t>Amazon.com</t>
        </is>
      </c>
      <c r="D63" t="inlineStr">
        <is>
          <t>indeed</t>
        </is>
      </c>
      <c r="E63" t="inlineStr"/>
      <c r="F63" t="inlineStr"/>
      <c r="G63" t="inlineStr">
        <is>
          <t>Bellevue, WA, US</t>
        </is>
      </c>
      <c r="H63" s="2" t="n">
        <v>45911</v>
      </c>
      <c r="I6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in-f46aa7d5f04cd4c0</t>
        </is>
      </c>
      <c r="B64" t="inlineStr">
        <is>
          <t>Sr. EHS Program Manager, Safety Learning and Development</t>
        </is>
      </c>
      <c r="C64" t="inlineStr">
        <is>
          <t>Amazon.com</t>
        </is>
      </c>
      <c r="D64" t="inlineStr">
        <is>
          <t>indeed</t>
        </is>
      </c>
      <c r="E64" t="inlineStr"/>
      <c r="F64" t="inlineStr"/>
      <c r="G64" t="inlineStr">
        <is>
          <t>Bellevue, WA, US</t>
        </is>
      </c>
      <c r="H64" s="2" t="n">
        <v>45910</v>
      </c>
      <c r="I6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in-a1ba019cbaee7562</t>
        </is>
      </c>
      <c r="B65" t="inlineStr">
        <is>
          <t>Sr. EHS Program Manager, Safety Learning and Development</t>
        </is>
      </c>
      <c r="C65" t="inlineStr">
        <is>
          <t>Amazon.com</t>
        </is>
      </c>
      <c r="D65" t="inlineStr">
        <is>
          <t>indeed</t>
        </is>
      </c>
      <c r="E65" t="inlineStr"/>
      <c r="F65" t="inlineStr"/>
      <c r="G65" t="inlineStr">
        <is>
          <t>Nashville, TN, US</t>
        </is>
      </c>
      <c r="H65" s="2" t="n">
        <v>45910</v>
      </c>
      <c r="I6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in-cfc524bc4ef196a1</t>
        </is>
      </c>
      <c r="B66" t="inlineStr">
        <is>
          <t>Sr. Product Manager, Sub-Same Day (SSD) - DOT, SSD Delivery Ops Tech</t>
        </is>
      </c>
      <c r="C66" t="inlineStr">
        <is>
          <t>Amazon.com</t>
        </is>
      </c>
      <c r="D66" t="inlineStr">
        <is>
          <t>indeed</t>
        </is>
      </c>
      <c r="E66" t="inlineStr"/>
      <c r="F66" t="inlineStr"/>
      <c r="G66" t="inlineStr">
        <is>
          <t>Nashville, TN, US</t>
        </is>
      </c>
      <c r="H66" s="2" t="n">
        <v>45876</v>
      </c>
      <c r="I6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in-4d7b9ed738b3eb1c</t>
        </is>
      </c>
      <c r="B67" t="inlineStr">
        <is>
          <t>Sr. Product Manager, Sub-Same Day (SSD) - DOT, SSD Delivery Ops Tech</t>
        </is>
      </c>
      <c r="C67" t="inlineStr">
        <is>
          <t>Amazon.com</t>
        </is>
      </c>
      <c r="D67" t="inlineStr">
        <is>
          <t>indeed</t>
        </is>
      </c>
      <c r="E67" t="inlineStr"/>
      <c r="F67" t="inlineStr"/>
      <c r="G67" t="inlineStr">
        <is>
          <t>New York, NY, US</t>
        </is>
      </c>
      <c r="H67" s="2" t="n">
        <v>45876</v>
      </c>
      <c r="I6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in-5d83441e1e7ba899</t>
        </is>
      </c>
      <c r="B68" t="inlineStr">
        <is>
          <t>Sr. Product Manager, Sub-Same Day (SSD) - DOT, SSD Delivery Ops Tech</t>
        </is>
      </c>
      <c r="C68" t="inlineStr">
        <is>
          <t>Amazon.com</t>
        </is>
      </c>
      <c r="D68" t="inlineStr">
        <is>
          <t>indeed</t>
        </is>
      </c>
      <c r="E68" t="inlineStr"/>
      <c r="F68" t="inlineStr"/>
      <c r="G68" t="inlineStr">
        <is>
          <t>Bellevue, WA, US</t>
        </is>
      </c>
      <c r="H68" s="2" t="n">
        <v>45876</v>
      </c>
      <c r="I6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in-82dd92744d275f2c</t>
        </is>
      </c>
      <c r="B69" t="inlineStr">
        <is>
          <t>Principal Product Manager - External Services, End User Computing</t>
        </is>
      </c>
      <c r="C69" t="inlineStr">
        <is>
          <t>Amazon Web Services</t>
        </is>
      </c>
      <c r="D69" t="inlineStr">
        <is>
          <t>indeed</t>
        </is>
      </c>
      <c r="E69" t="inlineStr"/>
      <c r="F69" t="inlineStr"/>
      <c r="G69" t="inlineStr">
        <is>
          <t>Seattle, WA, US</t>
        </is>
      </c>
      <c r="H69" s="2" t="n">
        <v>45876</v>
      </c>
      <c r="I69"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in-a6d10542303c65ba</t>
        </is>
      </c>
      <c r="B70" t="inlineStr">
        <is>
          <t>Principal Product Manager - External Services, End User Computing</t>
        </is>
      </c>
      <c r="C70" t="inlineStr">
        <is>
          <t>Amazon Web Services</t>
        </is>
      </c>
      <c r="D70" t="inlineStr">
        <is>
          <t>indeed</t>
        </is>
      </c>
      <c r="E70" t="inlineStr"/>
      <c r="F70" t="inlineStr"/>
      <c r="G70" t="inlineStr">
        <is>
          <t>Sunnyvale, CA, US</t>
        </is>
      </c>
      <c r="H70" s="2" t="n">
        <v>45876</v>
      </c>
      <c r="I70"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in-5cb74ce781eb958b</t>
        </is>
      </c>
      <c r="B71" t="inlineStr">
        <is>
          <t>Sr. Product Manager Technical, Deal Tooling &amp; Insights, Strategic Customer Engagements</t>
        </is>
      </c>
      <c r="C71" t="inlineStr">
        <is>
          <t>Amazon Web Services</t>
        </is>
      </c>
      <c r="D71" t="inlineStr">
        <is>
          <t>indeed</t>
        </is>
      </c>
      <c r="E71" t="inlineStr"/>
      <c r="F71" t="inlineStr"/>
      <c r="G71" t="inlineStr">
        <is>
          <t>New York, NY,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in-d94a91e23bb02627</t>
        </is>
      </c>
      <c r="B72" t="inlineStr">
        <is>
          <t>Sr. Product Manager Technical, Deal Tooling &amp; Insights, Strategic Customer Engagements</t>
        </is>
      </c>
      <c r="C72" t="inlineStr">
        <is>
          <t>Amazon Web Services</t>
        </is>
      </c>
      <c r="D72" t="inlineStr">
        <is>
          <t>indeed</t>
        </is>
      </c>
      <c r="E72" t="inlineStr"/>
      <c r="F72" t="inlineStr"/>
      <c r="G72" t="inlineStr">
        <is>
          <t>Seattle, WA,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in-d65b7036f09c1be1</t>
        </is>
      </c>
      <c r="B73" t="inlineStr">
        <is>
          <t>Sr. Product Manager Technical, Deal Tooling &amp; Insights, Strategic Customer Engagements</t>
        </is>
      </c>
      <c r="C73" t="inlineStr">
        <is>
          <t>Amazon Web Services</t>
        </is>
      </c>
      <c r="D73" t="inlineStr">
        <is>
          <t>indeed</t>
        </is>
      </c>
      <c r="E73" t="inlineStr"/>
      <c r="F73" t="inlineStr"/>
      <c r="G73" t="inlineStr">
        <is>
          <t>Arlington, VA,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in-16c625ed7a1e73ba</t>
        </is>
      </c>
      <c r="B74" t="inlineStr">
        <is>
          <t>Sr. Product Manager Technical, Deal Tooling &amp; Insights, Strategic Customer Engagements</t>
        </is>
      </c>
      <c r="C74" t="inlineStr">
        <is>
          <t>Amazon Web Services</t>
        </is>
      </c>
      <c r="D74" t="inlineStr">
        <is>
          <t>indeed</t>
        </is>
      </c>
      <c r="E74" t="inlineStr"/>
      <c r="F74" t="inlineStr"/>
      <c r="G74" t="inlineStr">
        <is>
          <t>Dallas, TX,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in-b1a4979fc0ff5aa2</t>
        </is>
      </c>
      <c r="B75" t="inlineStr">
        <is>
          <t>Sr. Product Manager Technical, Deal Tooling &amp; Insights, Strategic Customer Engagements</t>
        </is>
      </c>
      <c r="C75" t="inlineStr">
        <is>
          <t>Amazon Web Services</t>
        </is>
      </c>
      <c r="D75" t="inlineStr">
        <is>
          <t>indeed</t>
        </is>
      </c>
      <c r="E75" t="inlineStr"/>
      <c r="F75" t="inlineStr"/>
      <c r="G75" t="inlineStr">
        <is>
          <t>Austin, TX,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in-6e10bc28e8f3a708</t>
        </is>
      </c>
      <c r="B76" t="inlineStr">
        <is>
          <t>Sr. Product Manager Technical, Deal Tooling &amp; Insights, Strategic Customer Engagements</t>
        </is>
      </c>
      <c r="C76" t="inlineStr">
        <is>
          <t>Amazon Web Services</t>
        </is>
      </c>
      <c r="D76" t="inlineStr">
        <is>
          <t>indeed</t>
        </is>
      </c>
      <c r="E76" t="inlineStr"/>
      <c r="F76" t="inlineStr"/>
      <c r="G76" t="inlineStr">
        <is>
          <t>Herndon, VA,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in-8353dfb8a70969fc</t>
        </is>
      </c>
      <c r="B77" t="inlineStr">
        <is>
          <t>Sr. Product Manager - Tech, Workforce Solutions - Talent Mobility</t>
        </is>
      </c>
      <c r="C77" t="inlineStr">
        <is>
          <t>Amazon.com</t>
        </is>
      </c>
      <c r="D77" t="inlineStr">
        <is>
          <t>indeed</t>
        </is>
      </c>
      <c r="E77" t="inlineStr"/>
      <c r="F77" t="inlineStr"/>
      <c r="G77" t="inlineStr">
        <is>
          <t>Nashville, TN, US</t>
        </is>
      </c>
      <c r="H77" s="2" t="n">
        <v>45867</v>
      </c>
      <c r="I7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8">
      <c r="A78" t="inlineStr">
        <is>
          <t>in-449a36265b3ed9da</t>
        </is>
      </c>
      <c r="B78" t="inlineStr">
        <is>
          <t>Sr. Product Manager - Tech, Workforce Solutions - Talent Mobility</t>
        </is>
      </c>
      <c r="C78" t="inlineStr">
        <is>
          <t>Amazon.com</t>
        </is>
      </c>
      <c r="D78" t="inlineStr">
        <is>
          <t>indeed</t>
        </is>
      </c>
      <c r="E78" t="inlineStr"/>
      <c r="F78" t="inlineStr"/>
      <c r="G78" t="inlineStr">
        <is>
          <t>Tempe, AZ, US</t>
        </is>
      </c>
      <c r="H78" s="2" t="n">
        <v>45867</v>
      </c>
      <c r="I7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9">
      <c r="A79" t="inlineStr">
        <is>
          <t>in-eab7bb818617c6c9</t>
        </is>
      </c>
      <c r="B79" t="inlineStr">
        <is>
          <t>Sr. Product Manager - Tech, Workforce Solutions - Talent Mobility</t>
        </is>
      </c>
      <c r="C79" t="inlineStr">
        <is>
          <t>Amazon.com</t>
        </is>
      </c>
      <c r="D79" t="inlineStr">
        <is>
          <t>indeed</t>
        </is>
      </c>
      <c r="E79" t="inlineStr"/>
      <c r="F79" t="inlineStr"/>
      <c r="G79" t="inlineStr">
        <is>
          <t>Seattle, WA, US</t>
        </is>
      </c>
      <c r="H79" s="2" t="n">
        <v>45867</v>
      </c>
      <c r="I7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0">
      <c r="A80" t="inlineStr">
        <is>
          <t>in-e99e07df4a0d27de</t>
        </is>
      </c>
      <c r="B80" t="inlineStr">
        <is>
          <t>Sr. Product Manager - Tech, Workforce Solutions - Talent Mobility</t>
        </is>
      </c>
      <c r="C80" t="inlineStr">
        <is>
          <t>Amazon.com</t>
        </is>
      </c>
      <c r="D80" t="inlineStr">
        <is>
          <t>indeed</t>
        </is>
      </c>
      <c r="E80" t="inlineStr"/>
      <c r="F80" t="inlineStr"/>
      <c r="G80" t="inlineStr">
        <is>
          <t>New York, NY, US</t>
        </is>
      </c>
      <c r="H80" s="2" t="n">
        <v>45867</v>
      </c>
      <c r="I8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1">
      <c r="A81" t="inlineStr">
        <is>
          <t>in-3ea963e505f90c03</t>
        </is>
      </c>
      <c r="B81" t="inlineStr">
        <is>
          <t>Sr. Product Manager - Tech, Workforce Solutions - Talent Mobility</t>
        </is>
      </c>
      <c r="C81" t="inlineStr">
        <is>
          <t>Amazon.com</t>
        </is>
      </c>
      <c r="D81" t="inlineStr">
        <is>
          <t>indeed</t>
        </is>
      </c>
      <c r="E81" t="inlineStr"/>
      <c r="F81" t="inlineStr"/>
      <c r="G81" t="inlineStr">
        <is>
          <t>Arlington, VA, US</t>
        </is>
      </c>
      <c r="H81" s="2" t="n">
        <v>45867</v>
      </c>
      <c r="I8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2">
      <c r="A82" t="inlineStr">
        <is>
          <t>in-95556043ce711f49</t>
        </is>
      </c>
      <c r="B82" t="inlineStr">
        <is>
          <t>Sr. Product Manager - Tech, WHS Data-Tech</t>
        </is>
      </c>
      <c r="C82" t="inlineStr">
        <is>
          <t>Amazon.com</t>
        </is>
      </c>
      <c r="D82" t="inlineStr">
        <is>
          <t>indeed</t>
        </is>
      </c>
      <c r="E82" t="inlineStr"/>
      <c r="F82" t="inlineStr"/>
      <c r="G82" t="inlineStr">
        <is>
          <t>Bellevue, WA, US</t>
        </is>
      </c>
      <c r="H82" s="2" t="n">
        <v>45836</v>
      </c>
      <c r="I8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3">
      <c r="A83" t="inlineStr">
        <is>
          <t>in-a537563521581cb8</t>
        </is>
      </c>
      <c r="B83" t="inlineStr">
        <is>
          <t>Sr. Product Manager - Tech, WHS Data-Tech</t>
        </is>
      </c>
      <c r="C83" t="inlineStr">
        <is>
          <t>Amazon.com</t>
        </is>
      </c>
      <c r="D83" t="inlineStr">
        <is>
          <t>indeed</t>
        </is>
      </c>
      <c r="E83" t="inlineStr"/>
      <c r="F83" t="inlineStr"/>
      <c r="G83" t="inlineStr">
        <is>
          <t>Arlington, VA, US</t>
        </is>
      </c>
      <c r="H83" s="2" t="n">
        <v>45836</v>
      </c>
      <c r="I8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4">
      <c r="A84" t="inlineStr">
        <is>
          <t>in-7c003e12406c9970</t>
        </is>
      </c>
      <c r="B84" t="inlineStr">
        <is>
          <t>Sr. Product Manager - Tech, WHS Data-Tech</t>
        </is>
      </c>
      <c r="C84" t="inlineStr">
        <is>
          <t>Amazon.com</t>
        </is>
      </c>
      <c r="D84" t="inlineStr">
        <is>
          <t>indeed</t>
        </is>
      </c>
      <c r="E84" t="inlineStr"/>
      <c r="F84" t="inlineStr"/>
      <c r="G84" t="inlineStr">
        <is>
          <t>Nashville, TN, US</t>
        </is>
      </c>
      <c r="H84" s="2" t="n">
        <v>45836</v>
      </c>
      <c r="I8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5">
      <c r="A85" t="inlineStr">
        <is>
          <t>in-2bb5a5bc34034f1a</t>
        </is>
      </c>
      <c r="B85" t="inlineStr">
        <is>
          <t>Sr. Product Manager-Technical, World Wide Operations Security Tech (WWOS Tech)</t>
        </is>
      </c>
      <c r="C85" t="inlineStr">
        <is>
          <t>Amazon.com</t>
        </is>
      </c>
      <c r="D85" t="inlineStr">
        <is>
          <t>indeed</t>
        </is>
      </c>
      <c r="E85" t="inlineStr"/>
      <c r="F85" t="inlineStr"/>
      <c r="G85" t="inlineStr">
        <is>
          <t>Austin, TX, US</t>
        </is>
      </c>
      <c r="H85" s="2" t="n">
        <v>46008</v>
      </c>
      <c r="I85"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86">
      <c r="A86" t="inlineStr">
        <is>
          <t>in-179ab339595fe4a0</t>
        </is>
      </c>
      <c r="B86" t="inlineStr">
        <is>
          <t>Sr. Product Manager-Technical, World Wide Operations Security Tech (WWOS Tech)</t>
        </is>
      </c>
      <c r="C86" t="inlineStr">
        <is>
          <t>Amazon.com</t>
        </is>
      </c>
      <c r="D86" t="inlineStr">
        <is>
          <t>indeed</t>
        </is>
      </c>
      <c r="E86" t="inlineStr"/>
      <c r="F86" t="inlineStr"/>
      <c r="G86" t="inlineStr">
        <is>
          <t>Seattle, WA, US</t>
        </is>
      </c>
      <c r="H86" s="2" t="n">
        <v>46008</v>
      </c>
      <c r="I86"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87">
      <c r="A87" t="inlineStr">
        <is>
          <t>in-ee0bb149f6f10559</t>
        </is>
      </c>
      <c r="B87" t="inlineStr">
        <is>
          <t>Principal Product Manager - Tech, Recommender Systems, Prime Video Personalization &amp; Discovery</t>
        </is>
      </c>
      <c r="C87" t="inlineStr">
        <is>
          <t>Amazon.com</t>
        </is>
      </c>
      <c r="D87" t="inlineStr">
        <is>
          <t>indeed</t>
        </is>
      </c>
      <c r="E87" t="inlineStr"/>
      <c r="F87" t="inlineStr"/>
      <c r="G87" t="inlineStr">
        <is>
          <t>Washington, DC,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in-27c9393aba72acb3</t>
        </is>
      </c>
      <c r="B88" t="inlineStr">
        <is>
          <t>Principal Product Manager - Tech, Recommender Systems, Prime Video Personalization &amp; Discovery</t>
        </is>
      </c>
      <c r="C88" t="inlineStr">
        <is>
          <t>Amazon.com</t>
        </is>
      </c>
      <c r="D88" t="inlineStr">
        <is>
          <t>indeed</t>
        </is>
      </c>
      <c r="E88" t="inlineStr"/>
      <c r="F88" t="inlineStr"/>
      <c r="G88" t="inlineStr">
        <is>
          <t>Seattle, WA, US</t>
        </is>
      </c>
      <c r="H88" s="2" t="n">
        <v>45753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in-41c635a0dd5d39fd</t>
        </is>
      </c>
      <c r="B89" t="inlineStr">
        <is>
          <t>Program Manager II, Relo Ops Integration</t>
        </is>
      </c>
      <c r="C89" t="inlineStr">
        <is>
          <t>Amazon.com</t>
        </is>
      </c>
      <c r="D89" t="inlineStr">
        <is>
          <t>indeed</t>
        </is>
      </c>
      <c r="E89" t="inlineStr"/>
      <c r="F89" t="inlineStr"/>
      <c r="G89" t="inlineStr">
        <is>
          <t>Louisville, KY, US</t>
        </is>
      </c>
      <c r="H89" s="2" t="n">
        <v>46035</v>
      </c>
      <c r="I8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90">
      <c r="A90" t="inlineStr">
        <is>
          <t>in-a35171042e952fe7</t>
        </is>
      </c>
      <c r="B90" t="inlineStr">
        <is>
          <t>Program Manager II, Relo Ops Integration</t>
        </is>
      </c>
      <c r="C90" t="inlineStr">
        <is>
          <t>Amazon.com</t>
        </is>
      </c>
      <c r="D90" t="inlineStr">
        <is>
          <t>indeed</t>
        </is>
      </c>
      <c r="E90" t="inlineStr"/>
      <c r="F90" t="inlineStr"/>
      <c r="G90" t="inlineStr">
        <is>
          <t>Nashville, TN, US</t>
        </is>
      </c>
      <c r="H90" s="2" t="n">
        <v>46035</v>
      </c>
      <c r="I9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91">
      <c r="A91" t="inlineStr">
        <is>
          <t>in-f60c3be4ff965b58</t>
        </is>
      </c>
      <c r="B91" t="inlineStr">
        <is>
          <t>Program Manager II, Relo Ops Integration</t>
        </is>
      </c>
      <c r="C91" t="inlineStr">
        <is>
          <t>Amazon.com</t>
        </is>
      </c>
      <c r="D91" t="inlineStr">
        <is>
          <t>indeed</t>
        </is>
      </c>
      <c r="E91" t="inlineStr"/>
      <c r="F91" t="inlineStr"/>
      <c r="G91" t="inlineStr">
        <is>
          <t>Dallas, TX, US</t>
        </is>
      </c>
      <c r="H91" s="2" t="n">
        <v>46035</v>
      </c>
      <c r="I9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92">
      <c r="A92" t="inlineStr">
        <is>
          <t>in-58c04137b0077fa4</t>
        </is>
      </c>
      <c r="B92" t="inlineStr">
        <is>
          <t>Program Manager II, Relo Ops Integration</t>
        </is>
      </c>
      <c r="C92" t="inlineStr">
        <is>
          <t>Amazon.com</t>
        </is>
      </c>
      <c r="D92" t="inlineStr">
        <is>
          <t>indeed</t>
        </is>
      </c>
      <c r="E92" t="inlineStr"/>
      <c r="F92" t="inlineStr"/>
      <c r="G92" t="inlineStr">
        <is>
          <t>Bellevue, WA, US</t>
        </is>
      </c>
      <c r="H92" s="2" t="n">
        <v>46035</v>
      </c>
      <c r="I9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93">
      <c r="A93" t="inlineStr">
        <is>
          <t>in-50bca7ba7496b190</t>
        </is>
      </c>
      <c r="B93" t="inlineStr">
        <is>
          <t>Program Manager, ReLo Ops Excellence, Relo Ops Integration</t>
        </is>
      </c>
      <c r="C93" t="inlineStr">
        <is>
          <t>Amazon.com</t>
        </is>
      </c>
      <c r="D93" t="inlineStr">
        <is>
          <t>indeed</t>
        </is>
      </c>
      <c r="E93" t="inlineStr"/>
      <c r="F93" t="inlineStr"/>
      <c r="G93" t="inlineStr">
        <is>
          <t>Nashville, TN, US</t>
        </is>
      </c>
      <c r="H93" s="2" t="n">
        <v>46020</v>
      </c>
      <c r="I9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4">
      <c r="A94" t="inlineStr">
        <is>
          <t>in-7c68dd5c223f9426</t>
        </is>
      </c>
      <c r="B94" t="inlineStr">
        <is>
          <t>Program Manager, ReLo Ops Excellence, Relo Ops Integration</t>
        </is>
      </c>
      <c r="C94" t="inlineStr">
        <is>
          <t>Amazon.com</t>
        </is>
      </c>
      <c r="D94" t="inlineStr">
        <is>
          <t>indeed</t>
        </is>
      </c>
      <c r="E94" t="inlineStr"/>
      <c r="F94" t="inlineStr"/>
      <c r="G94" t="inlineStr">
        <is>
          <t>Dallas, TX, US</t>
        </is>
      </c>
      <c r="H94" s="2" t="n">
        <v>46020</v>
      </c>
      <c r="I9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5">
      <c r="A95" t="inlineStr">
        <is>
          <t>in-49b7631adc76812a</t>
        </is>
      </c>
      <c r="B95" t="inlineStr">
        <is>
          <t>Program Manager, ReLo Ops Excellence, Relo Ops Integration</t>
        </is>
      </c>
      <c r="C95" t="inlineStr">
        <is>
          <t>Amazon.com</t>
        </is>
      </c>
      <c r="D95" t="inlineStr">
        <is>
          <t>indeed</t>
        </is>
      </c>
      <c r="E95" t="inlineStr"/>
      <c r="F95" t="inlineStr"/>
      <c r="G95" t="inlineStr">
        <is>
          <t>Bellevue, WA, US</t>
        </is>
      </c>
      <c r="H95" s="2" t="n">
        <v>46020</v>
      </c>
      <c r="I9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6">
      <c r="A96" t="inlineStr">
        <is>
          <t>in-85128f09f4538640</t>
        </is>
      </c>
      <c r="B96" t="inlineStr">
        <is>
          <t>Program Manager, ReLo Ops Excellence, Relo Ops Integration</t>
        </is>
      </c>
      <c r="C96" t="inlineStr">
        <is>
          <t>Amazon.com</t>
        </is>
      </c>
      <c r="D96" t="inlineStr">
        <is>
          <t>indeed</t>
        </is>
      </c>
      <c r="E96" t="inlineStr"/>
      <c r="F96" t="inlineStr"/>
      <c r="G96" t="inlineStr">
        <is>
          <t>Phoenix, AZ, US</t>
        </is>
      </c>
      <c r="H96" s="2" t="n">
        <v>46020</v>
      </c>
      <c r="I9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7">
      <c r="A97" t="inlineStr">
        <is>
          <t>in-4c6cab35dcb6abdd</t>
        </is>
      </c>
      <c r="B97" t="inlineStr">
        <is>
          <t>Principal Product Manager Technical, Creative X - RAPID</t>
        </is>
      </c>
      <c r="C97" t="inlineStr">
        <is>
          <t>Amazon.com</t>
        </is>
      </c>
      <c r="D97" t="inlineStr">
        <is>
          <t>indeed</t>
        </is>
      </c>
      <c r="E97" t="inlineStr"/>
      <c r="F97" t="inlineStr"/>
      <c r="G97" t="inlineStr">
        <is>
          <t>Seattle, WA, US</t>
        </is>
      </c>
      <c r="H97" s="2" t="n">
        <v>45939</v>
      </c>
      <c r="I9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8">
      <c r="A98" t="inlineStr">
        <is>
          <t>in-e5dca142278b00b2</t>
        </is>
      </c>
      <c r="B98" t="inlineStr">
        <is>
          <t>Principal Product Manager Technical, Creative X - RAPID</t>
        </is>
      </c>
      <c r="C98" t="inlineStr">
        <is>
          <t>Amazon.com</t>
        </is>
      </c>
      <c r="D98" t="inlineStr">
        <is>
          <t>indeed</t>
        </is>
      </c>
      <c r="E98" t="inlineStr"/>
      <c r="F98" t="inlineStr"/>
      <c r="G98" t="inlineStr">
        <is>
          <t>New York, NY, US</t>
        </is>
      </c>
      <c r="H98" s="2" t="n">
        <v>45939</v>
      </c>
      <c r="I9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9">
      <c r="A99" t="inlineStr">
        <is>
          <t>in-cf4a62d1f066695c</t>
        </is>
      </c>
      <c r="B99" t="inlineStr">
        <is>
          <t>Senior Product Manager</t>
        </is>
      </c>
      <c r="C99" t="inlineStr">
        <is>
          <t>Commerce</t>
        </is>
      </c>
      <c r="D99" t="inlineStr">
        <is>
          <t>indeed</t>
        </is>
      </c>
      <c r="E99">
        <f>HYPERLINK("https://www.indeed.com/viewjob?jk=cf4a62d1f066695c", "https://www.indeed.com/viewjob?jk=cf4a62d1f066695c")</f>
        <v/>
      </c>
      <c r="F99">
        <f>HYPERLINK("https://bigcommerce.wd12.myworkdayjobs.com/en-US/Commerce/job/Austin-TX/Senior-Product-Manager_JR102461", "https://bigcommerce.wd12.myworkdayjobs.com/en-US/Commerce/job/Austin-TX/Senior-Product-Manager_JR102461")</f>
        <v/>
      </c>
      <c r="G99" t="inlineStr">
        <is>
          <t>Austin, TX, US</t>
        </is>
      </c>
      <c r="H99" s="3" t="n">
        <v>46060</v>
      </c>
      <c r="I99"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Product Manager, B2B** to build the future of B2B ecommerce. This person will own and deliver critical product capabilities that enable Commerce to become the leading B2B commerce platform. This role will be responsible for defining product strategy and execution for key B2B domains, working cross\-functionally to deliver customer value, improve operational efficiency, and drive commercial outcomes.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**What You’ll Do:**
* Product Strategy \&amp; Discovery
	+ Own product strategy and roadmap for one or more core B2B capability areas (e.g. pricing, customer hierarchies, ordering workflows, quotes, integrations, permissions, storefront experiences)
	+ Translate the broader B2B vision and ICP into clear problem statements, opportunities, and executable plans
	+ Develop deep empathy for B2B merchants and buyers through customer interviews, data analysis, field engagement, and partner feedback
	+ Assess competitive and adjacent market solutions to inform product differentiation and prioritization
* Execution \&amp; Delivery
	+ Define product requirements, success metrics, and trade\-offs in partnership with Engineering
	+ Lead cross\-functional delivery from discovery through launch, iteration, and scale
	+ Balance customer needs, technical constraints, and business impact to drive high\-quality outcomes
	+ Ensure solutions scale across customer size, complexity, and verticals
* Business Impact \&amp; Growth
	+ Own success metrics for your product areas, including adoption, engagement, performance, and contribution to retention, expansion and revenue
	+ Partner with Sales, PMM, and Solutions teams to ensure features are usable, sellable, and clearly differentiated
	+ Support pricing, packaging, and monetization initiatives by providing product insight and impact analysis
	+ Identify opportunities to reduce friction, improve time\-to\-value, and increase customer lifetime value
* Cross\-Functional Leadership
	+ Act as a subject matter expert for your B2B domains internally, and externally with partners and customers
	+ Collaborate closely with GTM, Support, and Partner teams to ensure feedback loops inform roadmap decisions
**Who You Are:**
* 5–8\+ years of product management experience, including ownership of complex, customer\-facing products
* Strong understanding of B2B commerce, SaaS, and enterprise workflows (e.g. manufacturers, distributors, ERP\-adjacent systems)
* Demonstrated ability to translate ambiguous problems into shipped, measurable product and revenue outcomes
* Experience working cross\-functionally with engineering, design, and go\-to\-market teams
* Strong analytical and communication skills, with the ability to influence without authority
* Comfort operating in fast\-moving, evolving environments
**Work Where You Thrive**
For candidates based in the Austin, Texas metro area, this role follows a hybrid work model, with three days per week in the office to balance focused individual work and meaningful in\-person collaboration.
**\#LI\-GC1**
**\#LI\-HYBRID**
**(Pay Transparency Range: $100,000\-$169,000\)**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100">
      <c r="A100" t="inlineStr">
        <is>
          <t>in-23d7840caad98525</t>
        </is>
      </c>
      <c r="B100" t="inlineStr">
        <is>
          <t>Technical Program Manager</t>
        </is>
      </c>
      <c r="C100" t="inlineStr">
        <is>
          <t>MANTECH</t>
        </is>
      </c>
      <c r="D100" t="inlineStr">
        <is>
          <t>indeed</t>
        </is>
      </c>
      <c r="E100">
        <f>HYPERLINK("https://www.indeed.com/viewjob?jk=23d7840caad98525", "https://www.indeed.com/viewjob?jk=23d7840caad98525")</f>
        <v/>
      </c>
      <c r="F100">
        <f>HYPERLINK("https://click.appcast.io/t/DGIozvOE5fy8BA7CwsKipZyhVm4AavXgdrdDXKSSb6Y=", "https://click.appcast.io/t/DGIozvOE5fy8BA7CwsKipZyhVm4AavXgdrdDXKSSb6Y=")</f>
        <v/>
      </c>
      <c r="G100" t="inlineStr">
        <is>
          <t>Chantilly, VA, US</t>
        </is>
      </c>
      <c r="H100" s="3" t="n">
        <v>46060</v>
      </c>
      <c r="I100" t="inlineStr">
        <is>
          <t>**MANTECH** seeks a motivated, career and customer\-oriented **Technical Program Manager** to join our team in **Chantilly, VA**. This is an **onsite** position.
**Responsibilities include but are not limited to:**
* Lead and deliver technical projects in accordance with contract requirements and company policies, procedures, and guidelines. This role supports a large portfolio of IT and Cybersecurity teams and focuses on managing scope, schedule, cost, security, and quality to meet customer objectives.
* Serve as the technical Project Manager across a portfolio of IT and cybersecurity projects, managing scope, schedule, cost, quality, and security in alignment with customer objectives.
* Lead and coordinate agile IT and cybersecurity teams of approximately 20–25 FTEs delivering Cybersecurity, Security Engineering, Systems Engineering, Network Engineering, Systems Administration, and ITIL Service Transition services.
* Lead or support IT technical design, implementation, operations, and cybersecurity incident response efforts, including management of a Security Operations Center (SOC) team.
* Develop, maintain, and manage project schedules, agile task boards, metrics, and status reporting using tools such as MS Project, Jira, and similar platforms.
* Serve as a trusted cybersecurity advisor to government stakeholders, providing guidance on cybersecurity policy, strategy, risk management, and continuous monitoring.
* Identify program risks, analyze performance metrics, and present findings and recommendations to management to ensure alignment with customer guidelines.
* Support personnel management and program growth activities for teams based in Springfield, VA, Washington, DC, Chantilly, VA and California, including timesheet approvals, performance evaluations, client relationship management, and proposal support for new and existing task orders.
**Minimum Qualifications:**
* Bachelor’s degree and 10\+ years of relevant IT experience
* 5\+ years of experience managing large IT Service Management contracts
* Demonstrated knowledge of cybersecurity best practices, Incident Response, Risk Management Framework (RMF), and Continuous Monitoring
* Experience managing IT and cybersecurity technical implementation projects from inception through completion
* Project Management Professional (PMP) certification
**Preferred Qualifications:**
* Masters degree
* Agile certification
* Knowledge of System Development Life Cycle (SDLC) phases and deliverables
* Experience with Microsoft and/or VMware technologies, including Windows Server, Active Directory, SharePoint, Exchange, and Splunk
* Experience planning, scheduling, and updating program activities using MS Project, Jira, or similar tools
* Experience identifying schedule risks and performing schedule risk analysis
**Clearance Requirements:**
* Must have a current/active Top Secret clearance with SCI eligibility, adjudicated within the last six years
**Physical Requirements:**
* The person in this position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t>
        </is>
      </c>
    </row>
    <row r="101">
      <c r="A101" t="inlineStr">
        <is>
          <t>in-34e83c13d975b4b8</t>
        </is>
      </c>
      <c r="B101" t="inlineStr">
        <is>
          <t>Treatment Planning – Program Manager</t>
        </is>
      </c>
      <c r="C101" t="inlineStr">
        <is>
          <t>King County, WA</t>
        </is>
      </c>
      <c r="D101" t="inlineStr">
        <is>
          <t>indeed</t>
        </is>
      </c>
      <c r="E101">
        <f>HYPERLINK("https://www.indeed.com/viewjob?jk=34e83c13d975b4b8", "https://www.indeed.com/viewjob?jk=34e83c13d975b4b8")</f>
        <v/>
      </c>
      <c r="F101">
        <f>HYPERLINK("https://www.governmentjobs.com/careers/kingcounty/jobs/5214963/treatment-planning-program-manager", "https://www.governmentjobs.com/careers/kingcounty/jobs/5214963/treatment-planning-program-manager")</f>
        <v/>
      </c>
      <c r="G101" t="inlineStr">
        <is>
          <t>Seattle, WA, US</t>
        </is>
      </c>
      <c r="H101" s="3" t="n">
        <v>46057</v>
      </c>
      <c r="I101" t="inlineStr">
        <is>
          <t>**Summary**
-----------
**Shape the Future of Water Quality in King County**
King County’s Wastewater Treatment Division is seeking a passionate and strategic **Program Manager** to lead the **Treatment Planning Program** – the team responsible for charting the course for future expansion and upgrades to our region’s wastewater treatment plants. This position is a unique opportunity to be on the forefront of planning the policies and capital projects that will protect public health, improve water quality, and ensure responsible environmental stewardship for generations to come.
As a senior leader within the **Treatment and Separated Conveyance Planning Group**, you’ll guide strategic planning efforts, coordinate across technical disciplines, and play a pivotal role in developing both short\- and long\-range plans to prepare the treatment system for population growth and to meet evolving environmental regulations. You’ll collaborate with and guide a dynamic, high\-performing team and influence decisions that will shape regional water quality for decades.
This is an opportunity to:
* Contribute to clean water and community well\-being through public service.
* Lead strategic planning that drives major infrastructure investments.
* Address complex, meaningful issues impacting Puget Sound, the environment, and public health.
* Work alongside a diverse, collaborative, and passionate team.
If you’re ready to help shape the roadmap for water quality in King County – and are driven by big\-picture thinking, strategic planning, and the chance to make a lasting impact on public health, equity, and the environment – this role offers the opportunity to lead meaningful work at the intersection of infrastructure and sustainability.
For more information on the Treatment Planning Program check out:
* https://kingcountywtd.com/2022/01/24/planning\-ahead\-to\-treat\-wastewater/ and
* https://kingcounty.gov/en/dept/dnrp/waste\-services/wastewater\-treatment/programs/treatment\-planning
**About the Role:**
As **Program Manager** for the **Treatment Planning Program**, you will play a pivotal role in shaping the future of our regional wastewater system. This position guides a team of talented professionals who are tackling some of the most pressing environmental and infrastructure challenges of our time – ensuring our five treatment plants meet growing capacity needs and evolving regulatory requirements, while considering climate impacts and adaptation, equity and social justice, resource recovery (recycled water, biosolids, biogas, energy) needs and opportunities, management of aging infrastructure, cost and affordability, and component agency priorities.
In this role, you will:
* **Drive major planning efforts**, such as the Long\-term Treatment Plan to provide a roadmap to guide treatment capital investments for decades to come.
* **Address critical regulatory challenges**, including nutrient reduction, NPDES permit compliance, and contaminants of emerging concern (such as PFAS), ensuring public health and environmental protection.
* **Lead treatment process studies** to improve and optimize treatment operations.
* **Support and incorporate resource recovery**, exploring opportunities for recycled water, biosolids reuse, and energy production and reduction.
* **Develop conceptual capital projects** that progress into project delivery and drive large capital investments in wastewater infrastructure.
* **Lead strategic planning processes and recommend policy**, guiding division and County decision\-making at the intersection of infrastructure, environmental stewardship, and equity.
* **Build strong partnerships** with County teams, operations staff, consultants, and component agencies.
You will provide technical guidance, manage diverse teams, support junior and mid\-level staff, and influence decisions that impact public health, environmental protection, and regional growth. With large\-scale capital projects, evolving regulations, and complex, completing needs on the horizon, this role offers the opportunity to make a lasting impact on the region’s infrastructure and water quality.
This position follows a hybrid work model, blending remote and in\-person work.
**About the Team:**
The **Treatment and Separated Conveyance Planning Group** is part of the Wastewater Treatment Division’s Planning and Project Delivery Section, a dynamic team of over 250 professionals responsible for delivering nearly $500 million in capital projects this year – and projected to grow to over $1 billion annually by the end of the decade. Our group plays a critical role at the forefront of this work, identifying and developing future projects and guiding strategic decision\-making for major investments in the region’s wastewater system. The work we do has a lasting impact on public health, water quality, and the environment in the Puget Sound region, both now and for generations to come.
Our Treatment and Separated Conveyance Planning team embodies the values of **adaptability, collaboration, equity, excellence, leadership, and respect**, fully supporting the Wastewater Treatment Division’s mission of **environmental stewardship, quality of service, and financial accountability**. Team members are empowered to communicate effectively, learn and grow from one another, and develop innovative solutions that advance both environmental sustainability and equity. By prioritizing equity and social justice, consistent with King County’s values, we strengthen our teams and ensure that all residents benefit from high\-quality wastewater services and improved environmental outcomes.
Working in the Treatment and Separated Conveyance Planning Group offers:
* Highly collaborative and supportive colleagues
* Opportunities for professional growth and continuous learning
* Flexible schedules and work arrangements
* A mix of independent and team\-based work
* Cross\-divisional collaboration with staff across operations and other work units
Our staff are critical strategic partners in shaping the processes and deliverables that guide major investment decisions, contributing directly to the long\-term resilience and sustainability of King County’s wastewater system.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Treatment Planning \- Program Manager, you will actively apply these principles in all aspects of your work. Learn more about our commitment at**http://www.kingcounty.gov/equity****.**  
**Apply now for a rewarding career at the** **Wastewater Treatment Division** **of King County Department of Natural Resources \&amp; Parks (DNRP). Join our talented workforce in protecting and restoring the natural environment and promoting more resilient, sustainable, and equitable communities. Enjoy training,** **comprehensive benefits****, and growth opportunities.**  
**Job Duties**
--------------
**What You** **Will** **Be Doing****:**
* **Guide long\-term, strategic planning initiatives:** Lead a team in developing long\-term plans, decision\-making processes, recommended policy, and obtaining necessary approvals for implementation. Establish processes for engagement with senior leadership, elected officials, regulators, tribal interests, and/or the public.
* **Lead planning and analysis:** Oversee, coordinate, and execute plans, studies, technical analyses, cost estimates, and policy evaluations to assess technical concepts and recommend long\-term treatment planning and policy decisions.
* **Foster collaboration:** Work closely and coordinate across divisions, sections, and agencies to integrate system needs, opportunities, and priorities with capacity and regulatory planning. Build strong relationships with county staff, leadership, local sewer agencies, regulators, and other interested parties.
* **Prepare planning documentation:** Lead or guide the creation of planning documents, technical reports, memos, presentations, and other materials that outline methods and strategies for long\-term investment in treatment plants.
* **Manage program work:** Develop and track program work plans, scopes, budgets, and schedules. Provide guidance, direction, and support to program staff and consultants to ensure successful project delivery.
* **Guide and lead a team:** Foster a collaborative, inclusive, and respectful team culture while providing mentorship, guidance, and clear direction to staff and consultants to support both individual growth and program success.
**Experience, Qualifications, Knowledge, Skills**
-------------------------------------------------
**Qualifications You Bring****:**
* Professional work experience and/or education in planning, engineering, science, business administration, public administration, or a related field, with increasing responsibility for managing large and complex programs or projects.
* Knowledge of water, wastewater, science, or environmental management.
* Experience developing and leading strategic planning, decision\-making processes, and policy analysis.
* Demonstrated experience and knowledge of program management and planning techniques, principles, and/or practices.
* Experience leading a team to accomplish a complex program or work.
* Experience leading or preparing a variety of types of documents, plans, memos, briefings, and/or summaries describing complex projects, programs, policies, or processes.
* Strong written and verbal communication skills for synthesizing and conveying complex information to a variety of expert and non\-expert audiences.
* Experience working with minimal guidance where there may be ambiguity and established procedures and policies may not exist and must be developed to craft solutions and pathways leading to recommendations.
**Competencies****You Bring*****:**** **Manages Complexity** \- Making sense of complex, high quantity, and sometimes contradictory information to effectively solve problems.
* **Strategic Mindset** \- Seeing ahead to future possibilities and translating them into breakthrough strategies.
* **Plans and Aligns \-** Planning and prioritizing work to meet commitments aligned with organizational goals.
* **Collaborates** \- Building partnerships and working collaboratively with others to meet shared objectives.
* **Communicates Effectively** \- Developing and delivering multi\-mode communications that convey a clear understanding of the unique needs of different audiences.
* **Manages Ambiguity** \- Operating effectively, even when things are not certain or the way forward is not clear.
**It Would Be Great if You Also Bring:*** Knowledge of local government processes, public utility issues, policy, and/or communications.
* Knowledge of environmental regulations, such as federal Clean Water Act and National Pollutant Discharge Elimination System (NPDES).
* Knowledge of and experience with project and/or contract management.
**Supplemental Information**
----------------------------
**Work Condition:**  
* **Work Details:** The Comprehensive Planning team works in a hybrid model, with days in the office as well as telecommuting.The ratio of remote to onsite work will be dependent on the business needs and is subject to change.The primary onsite location is the collaboration space at King Street Center \- 201 S. Jackson St, Seattle, WA 98104 and other wastewater treatment facilities.
* **Requirement:** Employees must reside in Washington State and be within a reasonable distance to King County worksites to meet onsite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position is exempt from the overtime provision of the Fair Labor Standard Act (FLSA) and is not overtime eligible.
* **Union Representation:** This position is represented by Technical Employees’ Association (TEA) \- Wastewater Treatment Division.
**Application and Selection Process:**  
We welcome applications from all qualified candidates**.**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**Anticipated** **Timeline for this recruitment****:** **(subject to** **change****)**
* Technical interview \- Virtual interviews will be held in March 2026
* Panel interview: Virtual interviews will be held in March \- and April 2026
To apply, submit a:  
* **Complete Application**
* **Resume**
* **Cover Letter**
* **Responses to the supplemental questions**
Note: Additional documents won't be considered during minimum qualification screening. **W****ho to Contact:** For more information regarding this recruitment, please contact Mark Workinger at mworkinger@kingcounty.gov **Discover More About the Wastewater Treatment Division**: Visit our **website**and check us out at **Facebook****,** **X (formerly Twitter)****,** **Instagram****,** **YouTube**, and the**WTD Blog****.**  
**Discover More About DNRP: Visit our** **DNRP website****, explore an** **interactive map** **of our recent accomplishments and check us out at** **Facebook****,** **X (formerly Twitter)****,** **LinkedIn****,** **TikTok****,** **Instagram****,** **YouTube** **and**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row>
    <row r="102">
      <c r="A102" t="inlineStr">
        <is>
          <t>in-53a69d5f24e8b4d9</t>
        </is>
      </c>
      <c r="B102" t="inlineStr">
        <is>
          <t>Program Manager, Quality Management, GEMS D&amp;C, Quality Management</t>
        </is>
      </c>
      <c r="C102" t="inlineStr">
        <is>
          <t>Amazon.com</t>
        </is>
      </c>
      <c r="D102" t="inlineStr">
        <is>
          <t>indeed</t>
        </is>
      </c>
      <c r="E102">
        <f>HYPERLINK("https://www.indeed.com/viewjob?jk=53a69d5f24e8b4d9", "https://www.indeed.com/viewjob?jk=53a69d5f24e8b4d9")</f>
        <v/>
      </c>
      <c r="F102">
        <f>HYPERLINK("https://www.amazon.jobs/jobs/3143727/program-manager-quality-management-gems-dc-quality-management?cmpid=DA_INAD200785B", "https://www.amazon.jobs/jobs/3143727/program-manager-quality-management-gems-dc-quality-management?cmpid=DA_INAD200785B")</f>
        <v/>
      </c>
      <c r="G102" t="inlineStr">
        <is>
          <t>Boston, MA, US</t>
        </is>
      </c>
      <c r="H102" s="3" t="n">
        <v>45999</v>
      </c>
      <c r="I102"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in-5bb439e105378a5b</t>
        </is>
      </c>
      <c r="B103" t="inlineStr">
        <is>
          <t>Program Manager, Quality Management, GEMS D&amp;C, Quality Management</t>
        </is>
      </c>
      <c r="C103" t="inlineStr">
        <is>
          <t>Amazon.com</t>
        </is>
      </c>
      <c r="D103" t="inlineStr">
        <is>
          <t>indeed</t>
        </is>
      </c>
      <c r="E103">
        <f>HYPERLINK("https://www.indeed.com/viewjob?jk=5bb439e105378a5b", "https://www.indeed.com/viewjob?jk=5bb439e105378a5b")</f>
        <v/>
      </c>
      <c r="F103">
        <f>HYPERLINK("https://www.amazon.jobs/jobs/3143727/program-manager-quality-management-gems-dc-quality-management?cmpid=DA_INAD200785B", "https://www.amazon.jobs/jobs/3143727/program-manager-quality-management-gems-dc-quality-management?cmpid=DA_INAD200785B")</f>
        <v/>
      </c>
      <c r="G103" t="inlineStr">
        <is>
          <t>Nashville, TN, US</t>
        </is>
      </c>
      <c r="H103" s="3" t="n">
        <v>45999</v>
      </c>
      <c r="I103"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in-e94d5d59577bc49f</t>
        </is>
      </c>
      <c r="B104" t="inlineStr">
        <is>
          <t>Program Manager, Quality Management, GEMS D&amp;C, Quality Management</t>
        </is>
      </c>
      <c r="C104" t="inlineStr">
        <is>
          <t>Amazon.com</t>
        </is>
      </c>
      <c r="D104" t="inlineStr">
        <is>
          <t>indeed</t>
        </is>
      </c>
      <c r="E104">
        <f>HYPERLINK("https://www.indeed.com/viewjob?jk=e94d5d59577bc49f", "https://www.indeed.com/viewjob?jk=e94d5d59577bc49f")</f>
        <v/>
      </c>
      <c r="F104">
        <f>HYPERLINK("https://www.amazon.jobs/jobs/3143727/program-manager-quality-management-gems-dc-quality-management?cmpid=DA_INAD200785B", "https://www.amazon.jobs/jobs/3143727/program-manager-quality-management-gems-dc-quality-management?cmpid=DA_INAD200785B")</f>
        <v/>
      </c>
      <c r="G104" t="inlineStr">
        <is>
          <t>Arlington, VA, US</t>
        </is>
      </c>
      <c r="H104" s="3" t="n">
        <v>45999</v>
      </c>
      <c r="I104"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in-12e8ea58fc2092f1</t>
        </is>
      </c>
      <c r="B105" t="inlineStr">
        <is>
          <t>Program Manager, Quality Management, GEMS D&amp;C, Quality Management</t>
        </is>
      </c>
      <c r="C105" t="inlineStr">
        <is>
          <t>Amazon.com</t>
        </is>
      </c>
      <c r="D105" t="inlineStr">
        <is>
          <t>indeed</t>
        </is>
      </c>
      <c r="E105">
        <f>HYPERLINK("https://www.indeed.com/viewjob?jk=12e8ea58fc2092f1", "https://www.indeed.com/viewjob?jk=12e8ea58fc2092f1")</f>
        <v/>
      </c>
      <c r="F105">
        <f>HYPERLINK("https://www.amazon.jobs/jobs/3143727/program-manager-quality-management-gems-dc-quality-management?cmpid=DA_INAD200785B", "https://www.amazon.jobs/jobs/3143727/program-manager-quality-management-gems-dc-quality-management?cmpid=DA_INAD200785B")</f>
        <v/>
      </c>
      <c r="G105" t="inlineStr">
        <is>
          <t>Atlanta, GA, US</t>
        </is>
      </c>
      <c r="H105" s="3" t="n">
        <v>45999</v>
      </c>
      <c r="I105" t="inlineStr">
        <is>
          <t>**DESCRIPTION**
---------------
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Global Engineering, Maintenance, \&amp; Sustainability \- Design \&amp; Construction Quality Management team as a Program Manager.  
The Program Manager will play a critical role for defining process within the Preconstruction and Construction Execution team and benchmark the processes within the different business units globally. They will be responsible for defining Amazon values and technology with the best of lean management and six sigma to achieve excellence. The team will benchmark processes across facility and infrastructure Pre\-Construction and Construction lifecycle.
Travel up to 60% within assigned regions regional travel and availability to work from a corporate office when not traveling. Candidates should either live near or be willing to relocate within a reasonable commuting distance of the office. Relocation assistance may be provided.  
Key job responsibilities  
* Utilize industry standard methodologies to include PMP and Lean Six Sigma based continuous improvement methodologies to engage teams to solve customer problems.
* Drive speed, quality, and simplification by eliminating rework loops, reducing and automating manual work and hand\-offs, identifying and implementing best practices across the business, and minimizing process variability through standardization and automation.
* Motivate others to achieve impeccable quality in an explosive growth and deadline\-driven environment.
* Diagnose Amazon processes, identify improvement opportunities, prescribe improvement strategies, and guide the improvement effort.
* Responsible for leading and driving process improvements (short\-term wins) as well as process design / redesign (long\-term wins) efforts.
* Create global best practice documentation and facilitate sharing across the globe.
* Maintain close relationships with internal stakeholders and understanding our highest priority execution pain\-points and opportunities, which will translate into benchmarking initiatives that improve processes, tools, and team capabilities.
About the team  
Amazon Benefits: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 sets. If you’re passionate about this role and want to make an impact on a global scale, please apply!**BASIC QUALIFICATIONS**
------------------------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Bachelor's degree in business, engineering, operations, supply chain, transportation logistics
* Experience in facility and infrastructure construction management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PMP certificate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in-1651d2ece4259747</t>
        </is>
      </c>
      <c r="B106" t="inlineStr">
        <is>
          <t>Global Signage &amp; Wayfinding Designer Program Manager, Workplace Design &amp; Construction (WD&amp;C)</t>
        </is>
      </c>
      <c r="C106" t="inlineStr">
        <is>
          <t>Amazon.com</t>
        </is>
      </c>
      <c r="D106" t="inlineStr">
        <is>
          <t>indeed</t>
        </is>
      </c>
      <c r="E106">
        <f>HYPERLINK("https://www.indeed.com/viewjob?jk=1651d2ece4259747", "https://www.indeed.com/viewjob?jk=1651d2ece4259747")</f>
        <v/>
      </c>
      <c r="F106">
        <f>HYPERLINK("https://www.amazon.jobs/jobs/3139013/global-signage--wayfinding-designer-program-manager-workplace-design--construction-wdc?cmpid=DA_INAD200785B", "https://www.amazon.jobs/jobs/3139013/global-signage--wayfinding-designer-program-manager-workplace-design--construction-wdc?cmpid=DA_INAD200785B")</f>
        <v/>
      </c>
      <c r="G106" t="inlineStr">
        <is>
          <t>Arlington, VA, US</t>
        </is>
      </c>
      <c r="H106" s="3" t="n">
        <v>45998</v>
      </c>
      <c r="I106"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in-5a872b6c1aff29f9</t>
        </is>
      </c>
      <c r="B107" t="inlineStr">
        <is>
          <t>Global Signage &amp; Wayfinding Designer Program Manager, Workplace Design &amp; Construction (WD&amp;C)</t>
        </is>
      </c>
      <c r="C107" t="inlineStr">
        <is>
          <t>Amazon.com</t>
        </is>
      </c>
      <c r="D107" t="inlineStr">
        <is>
          <t>indeed</t>
        </is>
      </c>
      <c r="E107">
        <f>HYPERLINK("https://www.indeed.com/viewjob?jk=5a872b6c1aff29f9", "https://www.indeed.com/viewjob?jk=5a872b6c1aff29f9")</f>
        <v/>
      </c>
      <c r="F107">
        <f>HYPERLINK("https://www.amazon.jobs/jobs/3139013/global-signage--wayfinding-designer-program-manager-workplace-design--construction-wdc?cmpid=DA_INAD200785B", "https://www.amazon.jobs/jobs/3139013/global-signage--wayfinding-designer-program-manager-workplace-design--construction-wdc?cmpid=DA_INAD200785B")</f>
        <v/>
      </c>
      <c r="G107" t="inlineStr">
        <is>
          <t>Seattle, WA, US</t>
        </is>
      </c>
      <c r="H107" s="3" t="n">
        <v>45998</v>
      </c>
      <c r="I10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in-96739432d016cee7</t>
        </is>
      </c>
      <c r="B108" t="inlineStr">
        <is>
          <t>Senior Product Manager, Ads</t>
        </is>
      </c>
      <c r="C108" t="inlineStr">
        <is>
          <t>Amazon.com</t>
        </is>
      </c>
      <c r="D108" t="inlineStr">
        <is>
          <t>indeed</t>
        </is>
      </c>
      <c r="E108">
        <f>HYPERLINK("https://www.indeed.com/viewjob?jk=96739432d016cee7", "https://www.indeed.com/viewjob?jk=96739432d016cee7")</f>
        <v/>
      </c>
      <c r="F108">
        <f>HYPERLINK("https://www.amazon.jobs/jobs/3137568/senior-product-manager-ads?cmpid=DA_INAD200785B", "https://www.amazon.jobs/jobs/3137568/senior-product-manager-ads?cmpid=DA_INAD200785B")</f>
        <v/>
      </c>
      <c r="G108" t="inlineStr">
        <is>
          <t>San Francisco, CA, US</t>
        </is>
      </c>
      <c r="H108" s="3" t="n">
        <v>45994</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in-0168929bb93f4acf</t>
        </is>
      </c>
      <c r="B109" t="inlineStr">
        <is>
          <t>Senior Product Manager, Ads</t>
        </is>
      </c>
      <c r="C109" t="inlineStr">
        <is>
          <t>Amazon.com</t>
        </is>
      </c>
      <c r="D109" t="inlineStr">
        <is>
          <t>indeed</t>
        </is>
      </c>
      <c r="E109">
        <f>HYPERLINK("https://www.indeed.com/viewjob?jk=0168929bb93f4acf", "https://www.indeed.com/viewjob?jk=0168929bb93f4acf")</f>
        <v/>
      </c>
      <c r="F109">
        <f>HYPERLINK("https://www.amazon.jobs/jobs/3137568/senior-product-manager-ads?cmpid=DA_INAD200785B", "https://www.amazon.jobs/jobs/3137568/senior-product-manager-ads?cmpid=DA_INAD200785B")</f>
        <v/>
      </c>
      <c r="G109" t="inlineStr">
        <is>
          <t>Irvine, CA, US</t>
        </is>
      </c>
      <c r="H109" s="3" t="n">
        <v>45994</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in-5962d0754ca2dba0</t>
        </is>
      </c>
      <c r="B110" t="inlineStr">
        <is>
          <t>Senior Product Manager, Ads</t>
        </is>
      </c>
      <c r="C110" t="inlineStr">
        <is>
          <t>Amazon.com</t>
        </is>
      </c>
      <c r="D110" t="inlineStr">
        <is>
          <t>indeed</t>
        </is>
      </c>
      <c r="E110">
        <f>HYPERLINK("https://www.indeed.com/viewjob?jk=5962d0754ca2dba0", "https://www.indeed.com/viewjob?jk=5962d0754ca2dba0")</f>
        <v/>
      </c>
      <c r="F110">
        <f>HYPERLINK("https://www.amazon.jobs/jobs/3137568/senior-product-manager-ads?cmpid=DA_INAD200785B", "https://www.amazon.jobs/jobs/3137568/senior-product-manager-ads?cmpid=DA_INAD200785B")</f>
        <v/>
      </c>
      <c r="G110" t="inlineStr">
        <is>
          <t>Los Angeles, CA, US</t>
        </is>
      </c>
      <c r="H110" s="3" t="n">
        <v>45994</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in-01856998861c67e4</t>
        </is>
      </c>
      <c r="B111" t="inlineStr">
        <is>
          <t>Senior Product Manager, Ads</t>
        </is>
      </c>
      <c r="C111" t="inlineStr">
        <is>
          <t>Amazon.com</t>
        </is>
      </c>
      <c r="D111" t="inlineStr">
        <is>
          <t>indeed</t>
        </is>
      </c>
      <c r="E111">
        <f>HYPERLINK("https://www.indeed.com/viewjob?jk=01856998861c67e4", "https://www.indeed.com/viewjob?jk=01856998861c67e4")</f>
        <v/>
      </c>
      <c r="F111">
        <f>HYPERLINK("https://www.amazon.jobs/jobs/3137568/senior-product-manager-ads?cmpid=DA_INAD200785B", "https://www.amazon.jobs/jobs/3137568/senior-product-manager-ads?cmpid=DA_INAD200785B")</f>
        <v/>
      </c>
      <c r="G111" t="inlineStr">
        <is>
          <t>Seattle, WA, US</t>
        </is>
      </c>
      <c r="H111" s="3" t="n">
        <v>45994</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in-c0a585585f1f06ae</t>
        </is>
      </c>
      <c r="B112" t="inlineStr">
        <is>
          <t>Senior Product Manager, Ads</t>
        </is>
      </c>
      <c r="C112" t="inlineStr">
        <is>
          <t>Amazon.com</t>
        </is>
      </c>
      <c r="D112" t="inlineStr">
        <is>
          <t>indeed</t>
        </is>
      </c>
      <c r="E112">
        <f>HYPERLINK("https://www.indeed.com/viewjob?jk=c0a585585f1f06ae", "https://www.indeed.com/viewjob?jk=c0a585585f1f06ae")</f>
        <v/>
      </c>
      <c r="F112">
        <f>HYPERLINK("https://www.amazon.jobs/jobs/3137569/senior-product-manager-ads?cmpid=DA_INAD200785B", "https://www.amazon.jobs/jobs/3137569/senior-product-manager-ads?cmpid=DA_INAD200785B")</f>
        <v/>
      </c>
      <c r="G112" t="inlineStr">
        <is>
          <t>San Francisco, CA, US</t>
        </is>
      </c>
      <c r="H112" s="3" t="n">
        <v>45994</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in-4f9acaf823f9fbca</t>
        </is>
      </c>
      <c r="B113" t="inlineStr">
        <is>
          <t>Senior Product Manager, Ads</t>
        </is>
      </c>
      <c r="C113" t="inlineStr">
        <is>
          <t>Amazon.com</t>
        </is>
      </c>
      <c r="D113" t="inlineStr">
        <is>
          <t>indeed</t>
        </is>
      </c>
      <c r="E113">
        <f>HYPERLINK("https://www.indeed.com/viewjob?jk=4f9acaf823f9fbca", "https://www.indeed.com/viewjob?jk=4f9acaf823f9fbca")</f>
        <v/>
      </c>
      <c r="F113">
        <f>HYPERLINK("https://www.amazon.jobs/jobs/3137568/senior-product-manager-ads?cmpid=DA_INAD200785B", "https://www.amazon.jobs/jobs/3137568/senior-product-manager-ads?cmpid=DA_INAD200785B")</f>
        <v/>
      </c>
      <c r="G113" t="inlineStr">
        <is>
          <t>New York, NY, US</t>
        </is>
      </c>
      <c r="H113" s="3" t="n">
        <v>45994</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in-04d592b6f4c8738d</t>
        </is>
      </c>
      <c r="B114" t="inlineStr">
        <is>
          <t>Senior Product Manager, Ads</t>
        </is>
      </c>
      <c r="C114" t="inlineStr">
        <is>
          <t>Amazon.com</t>
        </is>
      </c>
      <c r="D114" t="inlineStr">
        <is>
          <t>indeed</t>
        </is>
      </c>
      <c r="E114">
        <f>HYPERLINK("https://www.indeed.com/viewjob?jk=04d592b6f4c8738d", "https://www.indeed.com/viewjob?jk=04d592b6f4c8738d")</f>
        <v/>
      </c>
      <c r="F114">
        <f>HYPERLINK("https://www.amazon.jobs/jobs/3137569/senior-product-manager-ads?cmpid=DA_INAD200785B", "https://www.amazon.jobs/jobs/3137569/senior-product-manager-ads?cmpid=DA_INAD200785B")</f>
        <v/>
      </c>
      <c r="G114" t="inlineStr">
        <is>
          <t>Irvine, CA, US</t>
        </is>
      </c>
      <c r="H114" s="3" t="n">
        <v>45994</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in-5ffdecb0ab55d184</t>
        </is>
      </c>
      <c r="B115" t="inlineStr">
        <is>
          <t>Senior Product Manager, Ads</t>
        </is>
      </c>
      <c r="C115" t="inlineStr">
        <is>
          <t>Amazon.com</t>
        </is>
      </c>
      <c r="D115" t="inlineStr">
        <is>
          <t>indeed</t>
        </is>
      </c>
      <c r="E115">
        <f>HYPERLINK("https://www.indeed.com/viewjob?jk=5ffdecb0ab55d184", "https://www.indeed.com/viewjob?jk=5ffdecb0ab55d184")</f>
        <v/>
      </c>
      <c r="F115">
        <f>HYPERLINK("https://www.amazon.jobs/jobs/3137569/senior-product-manager-ads?cmpid=DA_INAD200785B", "https://www.amazon.jobs/jobs/3137569/senior-product-manager-ads?cmpid=DA_INAD200785B")</f>
        <v/>
      </c>
      <c r="G115" t="inlineStr">
        <is>
          <t>New York, NY, US</t>
        </is>
      </c>
      <c r="H115" s="3" t="n">
        <v>45994</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in-1689230fb9dd7fac</t>
        </is>
      </c>
      <c r="B116" t="inlineStr">
        <is>
          <t>Senior Product Manager, Ads</t>
        </is>
      </c>
      <c r="C116" t="inlineStr">
        <is>
          <t>Amazon.com</t>
        </is>
      </c>
      <c r="D116" t="inlineStr">
        <is>
          <t>indeed</t>
        </is>
      </c>
      <c r="E116">
        <f>HYPERLINK("https://www.indeed.com/viewjob?jk=1689230fb9dd7fac", "https://www.indeed.com/viewjob?jk=1689230fb9dd7fac")</f>
        <v/>
      </c>
      <c r="F116">
        <f>HYPERLINK("https://www.amazon.jobs/jobs/3137569/senior-product-manager-ads?cmpid=DA_INAD200785B", "https://www.amazon.jobs/jobs/3137569/senior-product-manager-ads?cmpid=DA_INAD200785B")</f>
        <v/>
      </c>
      <c r="G116" t="inlineStr">
        <is>
          <t>Los Angeles, CA, US</t>
        </is>
      </c>
      <c r="H116" s="3" t="n">
        <v>45994</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in-67edf889ba1a8fee</t>
        </is>
      </c>
      <c r="B117" t="inlineStr">
        <is>
          <t>Senior Product Manager, Ads</t>
        </is>
      </c>
      <c r="C117" t="inlineStr">
        <is>
          <t>Amazon.com</t>
        </is>
      </c>
      <c r="D117" t="inlineStr">
        <is>
          <t>indeed</t>
        </is>
      </c>
      <c r="E117">
        <f>HYPERLINK("https://www.indeed.com/viewjob?jk=67edf889ba1a8fee", "https://www.indeed.com/viewjob?jk=67edf889ba1a8fee")</f>
        <v/>
      </c>
      <c r="F117">
        <f>HYPERLINK("https://www.amazon.jobs/jobs/3137569/senior-product-manager-ads?cmpid=DA_INAD200785B", "https://www.amazon.jobs/jobs/3137569/senior-product-manager-ads?cmpid=DA_INAD200785B")</f>
        <v/>
      </c>
      <c r="G117" t="inlineStr">
        <is>
          <t>Seattle, WA, US</t>
        </is>
      </c>
      <c r="H117" s="3" t="n">
        <v>45994</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in-4879186308bc83e8</t>
        </is>
      </c>
      <c r="B118" t="inlineStr">
        <is>
          <t>Sr. Product Manager</t>
        </is>
      </c>
      <c r="C118" t="inlineStr">
        <is>
          <t>Amazon.com</t>
        </is>
      </c>
      <c r="D118" t="inlineStr">
        <is>
          <t>indeed</t>
        </is>
      </c>
      <c r="E118">
        <f>HYPERLINK("https://www.indeed.com/viewjob?jk=4879186308bc83e8", "https://www.indeed.com/viewjob?jk=4879186308bc83e8")</f>
        <v/>
      </c>
      <c r="F118">
        <f>HYPERLINK("https://www.amazon.jobs/jobs/3129468/sr-product-manager?cmpid=DA_INAD200785B", "https://www.amazon.jobs/jobs/3129468/sr-product-manager?cmpid=DA_INAD200785B")</f>
        <v/>
      </c>
      <c r="G118" t="inlineStr">
        <is>
          <t>New York, NY, US</t>
        </is>
      </c>
      <c r="H118" s="3" t="n">
        <v>45979</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in-7c7f6ec9163d5811</t>
        </is>
      </c>
      <c r="B119" t="inlineStr">
        <is>
          <t>Sr. Product Manager</t>
        </is>
      </c>
      <c r="C119" t="inlineStr">
        <is>
          <t>Amazon.com</t>
        </is>
      </c>
      <c r="D119" t="inlineStr">
        <is>
          <t>indeed</t>
        </is>
      </c>
      <c r="E119">
        <f>HYPERLINK("https://www.indeed.com/viewjob?jk=7c7f6ec9163d5811", "https://www.indeed.com/viewjob?jk=7c7f6ec9163d5811")</f>
        <v/>
      </c>
      <c r="F119">
        <f>HYPERLINK("https://www.amazon.jobs/jobs/3129468/sr-product-manager?cmpid=DA_INAD200785B", "https://www.amazon.jobs/jobs/3129468/sr-product-manager?cmpid=DA_INAD200785B")</f>
        <v/>
      </c>
      <c r="G119" t="inlineStr">
        <is>
          <t>Seattle, WA, US</t>
        </is>
      </c>
      <c r="H119" s="3" t="n">
        <v>45979</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in-66bf4bc1757564e4</t>
        </is>
      </c>
      <c r="B120" t="inlineStr">
        <is>
          <t>Sr. Product Manager</t>
        </is>
      </c>
      <c r="C120" t="inlineStr">
        <is>
          <t>Amazon.com</t>
        </is>
      </c>
      <c r="D120" t="inlineStr">
        <is>
          <t>indeed</t>
        </is>
      </c>
      <c r="E120">
        <f>HYPERLINK("https://www.indeed.com/viewjob?jk=66bf4bc1757564e4", "https://www.indeed.com/viewjob?jk=66bf4bc1757564e4")</f>
        <v/>
      </c>
      <c r="F120">
        <f>HYPERLINK("https://www.amazon.jobs/jobs/3129468/sr-product-manager?cmpid=DA_INAD200785B", "https://www.amazon.jobs/jobs/3129468/sr-product-manager?cmpid=DA_INAD200785B")</f>
        <v/>
      </c>
      <c r="G120" t="inlineStr">
        <is>
          <t>San Francisco, CA, US</t>
        </is>
      </c>
      <c r="H120" s="3" t="n">
        <v>45979</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in-bf58e11dda372273</t>
        </is>
      </c>
      <c r="B121" t="inlineStr">
        <is>
          <t>Sr. Product Manager</t>
        </is>
      </c>
      <c r="C121" t="inlineStr">
        <is>
          <t>Amazon.com</t>
        </is>
      </c>
      <c r="D121" t="inlineStr">
        <is>
          <t>indeed</t>
        </is>
      </c>
      <c r="E121">
        <f>HYPERLINK("https://www.indeed.com/viewjob?jk=bf58e11dda372273", "https://www.indeed.com/viewjob?jk=bf58e11dda372273")</f>
        <v/>
      </c>
      <c r="F121">
        <f>HYPERLINK("https://www.amazon.jobs/jobs/3129468/sr-product-manager?cmpid=DA_INAD200785B", "https://www.amazon.jobs/jobs/3129468/sr-product-manager?cmpid=DA_INAD200785B")</f>
        <v/>
      </c>
      <c r="G121" t="inlineStr">
        <is>
          <t>Irvine, CA, US</t>
        </is>
      </c>
      <c r="H121" s="3" t="n">
        <v>45979</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in-6b524558fa2be530</t>
        </is>
      </c>
      <c r="B122" t="inlineStr">
        <is>
          <t>Sr. Product Manager</t>
        </is>
      </c>
      <c r="C122" t="inlineStr">
        <is>
          <t>Amazon.com</t>
        </is>
      </c>
      <c r="D122" t="inlineStr">
        <is>
          <t>indeed</t>
        </is>
      </c>
      <c r="E122">
        <f>HYPERLINK("https://www.indeed.com/viewjob?jk=6b524558fa2be530", "https://www.indeed.com/viewjob?jk=6b524558fa2be530")</f>
        <v/>
      </c>
      <c r="F122">
        <f>HYPERLINK("https://www.amazon.jobs/jobs/3129468/sr-product-manager?cmpid=DA_INAD200785B", "https://www.amazon.jobs/jobs/3129468/sr-product-manager?cmpid=DA_INAD200785B")</f>
        <v/>
      </c>
      <c r="G122" t="inlineStr">
        <is>
          <t>Los Angeles, CA, US</t>
        </is>
      </c>
      <c r="H122" s="3" t="n">
        <v>45979</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in-2a14d4d716cda401</t>
        </is>
      </c>
      <c r="B123" t="inlineStr">
        <is>
          <t>Program Manager, Executive Content and Programs, Global Executive Marketing</t>
        </is>
      </c>
      <c r="C123" t="inlineStr">
        <is>
          <t>Amazon Web Services</t>
        </is>
      </c>
      <c r="D123" t="inlineStr">
        <is>
          <t>indeed</t>
        </is>
      </c>
      <c r="E123">
        <f>HYPERLINK("https://www.indeed.com/viewjob?jk=2a14d4d716cda401", "https://www.indeed.com/viewjob?jk=2a14d4d716cda401")</f>
        <v/>
      </c>
      <c r="F123">
        <f>HYPERLINK("https://www.amazon.jobs/jobs/3125520/program-manager-executive-content-and-programs-global-executive-marketing?cmpid=DA_INAD200785B", "https://www.amazon.jobs/jobs/3125520/program-manager-executive-content-and-programs-global-executive-marketing?cmpid=DA_INAD200785B")</f>
        <v/>
      </c>
      <c r="G123" t="inlineStr">
        <is>
          <t>Arlington, VA, US</t>
        </is>
      </c>
      <c r="H123" s="3" t="n">
        <v>45970</v>
      </c>
      <c r="I12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in-f834e6fd8d46cfbf</t>
        </is>
      </c>
      <c r="B124" t="inlineStr">
        <is>
          <t>Program Manager, Executive Content and Programs, Global Executive Marketing</t>
        </is>
      </c>
      <c r="C124" t="inlineStr">
        <is>
          <t>Amazon Web Services</t>
        </is>
      </c>
      <c r="D124" t="inlineStr">
        <is>
          <t>indeed</t>
        </is>
      </c>
      <c r="E124">
        <f>HYPERLINK("https://www.indeed.com/viewjob?jk=f834e6fd8d46cfbf", "https://www.indeed.com/viewjob?jk=f834e6fd8d46cfbf")</f>
        <v/>
      </c>
      <c r="F124">
        <f>HYPERLINK("https://www.amazon.jobs/jobs/3125520/program-manager-executive-content-and-programs-global-executive-marketing?cmpid=DA_INAD200785B", "https://www.amazon.jobs/jobs/3125520/program-manager-executive-content-and-programs-global-executive-marketing?cmpid=DA_INAD200785B")</f>
        <v/>
      </c>
      <c r="G124" t="inlineStr">
        <is>
          <t>Seattle, WA, US</t>
        </is>
      </c>
      <c r="H124" s="3" t="n">
        <v>45970</v>
      </c>
      <c r="I12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in-7f362a3b5de3f93e</t>
        </is>
      </c>
      <c r="B125" t="inlineStr">
        <is>
          <t>Senior Product Manager, Sub Same Day</t>
        </is>
      </c>
      <c r="C125" t="inlineStr">
        <is>
          <t>Amazon.com</t>
        </is>
      </c>
      <c r="D125" t="inlineStr">
        <is>
          <t>indeed</t>
        </is>
      </c>
      <c r="E125">
        <f>HYPERLINK("https://www.indeed.com/viewjob?jk=7f362a3b5de3f93e", "https://www.indeed.com/viewjob?jk=7f362a3b5de3f93e")</f>
        <v/>
      </c>
      <c r="F125">
        <f>HYPERLINK("https://www.amazon.jobs/jobs/3122677/senior-product-manager-sub-same-day?cmpid=DA_INAD200785B", "https://www.amazon.jobs/jobs/3122677/senior-product-manager-sub-same-day?cmpid=DA_INAD200785B")</f>
        <v/>
      </c>
      <c r="G125" t="inlineStr">
        <is>
          <t>New York, NY, US</t>
        </is>
      </c>
      <c r="H125" s="3" t="n">
        <v>45957</v>
      </c>
      <c r="I12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in-bb006e6a1e8091e2</t>
        </is>
      </c>
      <c r="B126" t="inlineStr">
        <is>
          <t>Senior Product Manager, Sub Same Day</t>
        </is>
      </c>
      <c r="C126" t="inlineStr">
        <is>
          <t>Amazon.com</t>
        </is>
      </c>
      <c r="D126" t="inlineStr">
        <is>
          <t>indeed</t>
        </is>
      </c>
      <c r="E126">
        <f>HYPERLINK("https://www.indeed.com/viewjob?jk=bb006e6a1e8091e2", "https://www.indeed.com/viewjob?jk=bb006e6a1e8091e2")</f>
        <v/>
      </c>
      <c r="F126">
        <f>HYPERLINK("https://www.amazon.jobs/jobs/3122677/senior-product-manager-sub-same-day?cmpid=DA_INAD200785B", "https://www.amazon.jobs/jobs/3122677/senior-product-manager-sub-same-day?cmpid=DA_INAD200785B")</f>
        <v/>
      </c>
      <c r="G126" t="inlineStr">
        <is>
          <t>Bellevue, WA, US</t>
        </is>
      </c>
      <c r="H126" s="3" t="n">
        <v>45957</v>
      </c>
      <c r="I12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in-98a7b45b240d7059</t>
        </is>
      </c>
      <c r="B127" t="inlineStr">
        <is>
          <t>Senior Product Manager, Sub Same Day</t>
        </is>
      </c>
      <c r="C127" t="inlineStr">
        <is>
          <t>Amazon.com</t>
        </is>
      </c>
      <c r="D127" t="inlineStr">
        <is>
          <t>indeed</t>
        </is>
      </c>
      <c r="E127">
        <f>HYPERLINK("https://www.indeed.com/viewjob?jk=98a7b45b240d7059", "https://www.indeed.com/viewjob?jk=98a7b45b240d7059")</f>
        <v/>
      </c>
      <c r="F127">
        <f>HYPERLINK("https://www.amazon.jobs/jobs/3122677/senior-product-manager-sub-same-day?cmpid=DA_INAD200785B", "https://www.amazon.jobs/jobs/3122677/senior-product-manager-sub-same-day?cmpid=DA_INAD200785B")</f>
        <v/>
      </c>
      <c r="G127" t="inlineStr">
        <is>
          <t>Nashville, TN, US</t>
        </is>
      </c>
      <c r="H127" s="3" t="n">
        <v>45957</v>
      </c>
      <c r="I12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in-cc2ae209b201eaf0</t>
        </is>
      </c>
      <c r="B128" t="inlineStr">
        <is>
          <t>Sr. Program Manager, Planning &amp; Automation, Global Fleet and Products Electrification and Infrastructure</t>
        </is>
      </c>
      <c r="C128" t="inlineStr">
        <is>
          <t>Amazon.com</t>
        </is>
      </c>
      <c r="D128" t="inlineStr">
        <is>
          <t>indeed</t>
        </is>
      </c>
      <c r="E128">
        <f>HYPERLINK("https://www.indeed.com/viewjob?jk=cc2ae209b201eaf0", "https://www.indeed.com/viewjob?jk=cc2ae209b201eaf0")</f>
        <v/>
      </c>
      <c r="F128">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8" t="inlineStr">
        <is>
          <t>San Francisco, CA, US</t>
        </is>
      </c>
      <c r="H128" s="3" t="n">
        <v>45949</v>
      </c>
      <c r="I12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in-3fc05cbbf018b39e</t>
        </is>
      </c>
      <c r="B129" t="inlineStr">
        <is>
          <t>Sr. Program Manager, Planning &amp; Automation, Global Fleet and Products Electrification and Infrastructure</t>
        </is>
      </c>
      <c r="C129" t="inlineStr">
        <is>
          <t>Amazon.com</t>
        </is>
      </c>
      <c r="D129" t="inlineStr">
        <is>
          <t>indeed</t>
        </is>
      </c>
      <c r="E129">
        <f>HYPERLINK("https://www.indeed.com/viewjob?jk=3fc05cbbf018b39e", "https://www.indeed.com/viewjob?jk=3fc05cbbf018b39e")</f>
        <v/>
      </c>
      <c r="F129">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9" t="inlineStr">
        <is>
          <t>Nashville, TN, US</t>
        </is>
      </c>
      <c r="H129" s="3" t="n">
        <v>45949</v>
      </c>
      <c r="I12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in-55f8a5a9f068132b</t>
        </is>
      </c>
      <c r="B130" t="inlineStr">
        <is>
          <t>Sr. Program Manager, Planning &amp; Automation, Global Fleet and Products Electrification and Infrastructure</t>
        </is>
      </c>
      <c r="C130" t="inlineStr">
        <is>
          <t>Amazon.com</t>
        </is>
      </c>
      <c r="D130" t="inlineStr">
        <is>
          <t>indeed</t>
        </is>
      </c>
      <c r="E130">
        <f>HYPERLINK("https://www.indeed.com/viewjob?jk=55f8a5a9f068132b", "https://www.indeed.com/viewjob?jk=55f8a5a9f068132b")</f>
        <v/>
      </c>
      <c r="F130">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30" t="inlineStr">
        <is>
          <t>Bellevue, WA, US</t>
        </is>
      </c>
      <c r="H130" s="3" t="n">
        <v>45949</v>
      </c>
      <c r="I13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in-1cc48f589b1b7bbb</t>
        </is>
      </c>
      <c r="B131" t="inlineStr">
        <is>
          <t>Sr Program Manager, Procurement Operations, SSD OI</t>
        </is>
      </c>
      <c r="C131" t="inlineStr">
        <is>
          <t>Amazon.com</t>
        </is>
      </c>
      <c r="D131" t="inlineStr">
        <is>
          <t>indeed</t>
        </is>
      </c>
      <c r="E131">
        <f>HYPERLINK("https://www.indeed.com/viewjob?jk=1cc48f589b1b7bbb", "https://www.indeed.com/viewjob?jk=1cc48f589b1b7bbb")</f>
        <v/>
      </c>
      <c r="F131">
        <f>HYPERLINK("https://www.amazon.jobs/jobs/3120809/sr-program-manager-procurement-operations-ssd-oi-?cmpid=DA_INAD200785B", "https://www.amazon.jobs/jobs/3120809/sr-program-manager-procurement-operations-ssd-oi-?cmpid=DA_INAD200785B")</f>
        <v/>
      </c>
      <c r="G131" t="inlineStr">
        <is>
          <t>Nashville, TN, US</t>
        </is>
      </c>
      <c r="H131" s="3" t="n">
        <v>45938</v>
      </c>
      <c r="I131"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in-cd8e27b9094d6670</t>
        </is>
      </c>
      <c r="B132" t="inlineStr">
        <is>
          <t>Sr Program Manager, Procurement Operations, SSD OI</t>
        </is>
      </c>
      <c r="C132" t="inlineStr">
        <is>
          <t>Amazon.com</t>
        </is>
      </c>
      <c r="D132" t="inlineStr">
        <is>
          <t>indeed</t>
        </is>
      </c>
      <c r="E132">
        <f>HYPERLINK("https://www.indeed.com/viewjob?jk=cd8e27b9094d6670", "https://www.indeed.com/viewjob?jk=cd8e27b9094d6670")</f>
        <v/>
      </c>
      <c r="F132">
        <f>HYPERLINK("https://www.amazon.jobs/jobs/3120809/sr-program-manager-procurement-operations-ssd-oi-?cmpid=DA_INAD200785B", "https://www.amazon.jobs/jobs/3120809/sr-program-manager-procurement-operations-ssd-oi-?cmpid=DA_INAD200785B")</f>
        <v/>
      </c>
      <c r="G132" t="inlineStr">
        <is>
          <t>Bellevue, WA, US</t>
        </is>
      </c>
      <c r="H132" s="3" t="n">
        <v>45938</v>
      </c>
      <c r="I132"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in-3255dfcfd1b51513</t>
        </is>
      </c>
      <c r="B133" t="inlineStr">
        <is>
          <t>Sr Program Manager, Procurement Operations, SSD OI</t>
        </is>
      </c>
      <c r="C133" t="inlineStr">
        <is>
          <t>Amazon.com</t>
        </is>
      </c>
      <c r="D133" t="inlineStr">
        <is>
          <t>indeed</t>
        </is>
      </c>
      <c r="E133">
        <f>HYPERLINK("https://www.indeed.com/viewjob?jk=3255dfcfd1b51513", "https://www.indeed.com/viewjob?jk=3255dfcfd1b51513")</f>
        <v/>
      </c>
      <c r="F133">
        <f>HYPERLINK("https://www.amazon.jobs/jobs/3120809/sr-program-manager-procurement-operations-ssd-oi-?cmpid=DA_INAD200785B", "https://www.amazon.jobs/jobs/3120809/sr-program-manager-procurement-operations-ssd-oi-?cmpid=DA_INAD200785B")</f>
        <v/>
      </c>
      <c r="G133" t="inlineStr">
        <is>
          <t>New York, NY, US</t>
        </is>
      </c>
      <c r="H133" s="3" t="n">
        <v>45938</v>
      </c>
      <c r="I13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in-f821554a6a3385a7</t>
        </is>
      </c>
      <c r="B134" t="inlineStr">
        <is>
          <t>Sr. Supply Chain Product Manager, Amazon Custom Modules</t>
        </is>
      </c>
      <c r="C134" t="inlineStr">
        <is>
          <t>Amazon.com</t>
        </is>
      </c>
      <c r="D134" t="inlineStr">
        <is>
          <t>indeed</t>
        </is>
      </c>
      <c r="E134">
        <f>HYPERLINK("https://www.indeed.com/viewjob?jk=f821554a6a3385a7", "https://www.indeed.com/viewjob?jk=f821554a6a3385a7")</f>
        <v/>
      </c>
      <c r="F134">
        <f>HYPERLINK("https://www.amazon.jobs/jobs/3109372/sr-supply-chain-product-manager-amazon-custom-modules?cmpid=DA_INAD200785B", "https://www.amazon.jobs/jobs/3109372/sr-supply-chain-product-manager-amazon-custom-modules?cmpid=DA_INAD200785B")</f>
        <v/>
      </c>
      <c r="G134" t="inlineStr">
        <is>
          <t>Cupertino, CA, US</t>
        </is>
      </c>
      <c r="H134" s="3" t="n">
        <v>45935</v>
      </c>
      <c r="I1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in-48033f0204fd0fbe</t>
        </is>
      </c>
      <c r="B135" t="inlineStr">
        <is>
          <t>Sr. Supply Chain Product Manager, Amazon Custom Modules</t>
        </is>
      </c>
      <c r="C135" t="inlineStr">
        <is>
          <t>Amazon.com</t>
        </is>
      </c>
      <c r="D135" t="inlineStr">
        <is>
          <t>indeed</t>
        </is>
      </c>
      <c r="E135">
        <f>HYPERLINK("https://www.indeed.com/viewjob?jk=48033f0204fd0fbe", "https://www.indeed.com/viewjob?jk=48033f0204fd0fbe")</f>
        <v/>
      </c>
      <c r="F135">
        <f>HYPERLINK("https://www.amazon.jobs/jobs/3109372/sr-supply-chain-product-manager-amazon-custom-modules?cmpid=DA_INAD200785B", "https://www.amazon.jobs/jobs/3109372/sr-supply-chain-product-manager-amazon-custom-modules?cmpid=DA_INAD200785B")</f>
        <v/>
      </c>
      <c r="G135" t="inlineStr">
        <is>
          <t>Seattle, WA, US</t>
        </is>
      </c>
      <c r="H135" s="3" t="n">
        <v>45935</v>
      </c>
      <c r="I1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in-0ec9efbcb63d1396</t>
        </is>
      </c>
      <c r="B136" t="inlineStr">
        <is>
          <t>Sr. Supply Chain Product Manager, Amazon Custom Modules</t>
        </is>
      </c>
      <c r="C136" t="inlineStr">
        <is>
          <t>Amazon.com</t>
        </is>
      </c>
      <c r="D136" t="inlineStr">
        <is>
          <t>indeed</t>
        </is>
      </c>
      <c r="E136">
        <f>HYPERLINK("https://www.indeed.com/viewjob?jk=0ec9efbcb63d1396", "https://www.indeed.com/viewjob?jk=0ec9efbcb63d1396")</f>
        <v/>
      </c>
      <c r="F136">
        <f>HYPERLINK("https://www.amazon.jobs/jobs/3109372/sr-supply-chain-product-manager-amazon-custom-modules?cmpid=DA_INAD200785B", "https://www.amazon.jobs/jobs/3109372/sr-supply-chain-product-manager-amazon-custom-modules?cmpid=DA_INAD200785B")</f>
        <v/>
      </c>
      <c r="G136" t="inlineStr">
        <is>
          <t>Austin, TX, US</t>
        </is>
      </c>
      <c r="H136" s="3" t="n">
        <v>45935</v>
      </c>
      <c r="I1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in-c49aa337e9967c21</t>
        </is>
      </c>
      <c r="B137" t="inlineStr">
        <is>
          <t>Sr. Program Manager, Same Day Programs,</t>
        </is>
      </c>
      <c r="C137" t="inlineStr">
        <is>
          <t>Amazon.com</t>
        </is>
      </c>
      <c r="D137" t="inlineStr">
        <is>
          <t>indeed</t>
        </is>
      </c>
      <c r="E137">
        <f>HYPERLINK("https://www.indeed.com/viewjob?jk=c49aa337e9967c21", "https://www.indeed.com/viewjob?jk=c49aa337e9967c21")</f>
        <v/>
      </c>
      <c r="F137">
        <f>HYPERLINK("https://www.amazon.jobs/jobs/3106368/sr-program-manager-same-day-programs--?cmpid=DA_INAD200785B", "https://www.amazon.jobs/jobs/3106368/sr-program-manager-same-day-programs--?cmpid=DA_INAD200785B")</f>
        <v/>
      </c>
      <c r="G137" t="inlineStr">
        <is>
          <t>Bellevue, WA, US</t>
        </is>
      </c>
      <c r="H137" s="3" t="n">
        <v>45931</v>
      </c>
      <c r="I1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in-1aa4caaeb422a26d</t>
        </is>
      </c>
      <c r="B138" t="inlineStr">
        <is>
          <t>Sr. Program Manager, Same Day Programs,</t>
        </is>
      </c>
      <c r="C138" t="inlineStr">
        <is>
          <t>Amazon.com</t>
        </is>
      </c>
      <c r="D138" t="inlineStr">
        <is>
          <t>indeed</t>
        </is>
      </c>
      <c r="E138">
        <f>HYPERLINK("https://www.indeed.com/viewjob?jk=1aa4caaeb422a26d", "https://www.indeed.com/viewjob?jk=1aa4caaeb422a26d")</f>
        <v/>
      </c>
      <c r="F138">
        <f>HYPERLINK("https://www.amazon.jobs/jobs/3106368/sr-program-manager-same-day-programs--?cmpid=DA_INAD200785B", "https://www.amazon.jobs/jobs/3106368/sr-program-manager-same-day-programs--?cmpid=DA_INAD200785B")</f>
        <v/>
      </c>
      <c r="G138" t="inlineStr">
        <is>
          <t>Nashville, TN, US</t>
        </is>
      </c>
      <c r="H138" s="3" t="n">
        <v>45931</v>
      </c>
      <c r="I1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in-e7f7c60c6e9f57ba</t>
        </is>
      </c>
      <c r="B139" t="inlineStr">
        <is>
          <t>Tech Infrastructure Program Manager - AV , IT Services - CIS</t>
        </is>
      </c>
      <c r="C139" t="inlineStr">
        <is>
          <t>Amazon.com</t>
        </is>
      </c>
      <c r="D139" t="inlineStr">
        <is>
          <t>indeed</t>
        </is>
      </c>
      <c r="E139">
        <f>HYPERLINK("https://www.indeed.com/viewjob?jk=e7f7c60c6e9f57ba", "https://www.indeed.com/viewjob?jk=e7f7c60c6e9f57ba")</f>
        <v/>
      </c>
      <c r="F139">
        <f>HYPERLINK("https://www.amazon.jobs/jobs/3114622/tech-infrastructure-program-manager--av--it-services--cis?cmpid=DA_INAD200785B", "https://www.amazon.jobs/jobs/3114622/tech-infrastructure-program-manager--av--it-services--cis?cmpid=DA_INAD200785B")</f>
        <v/>
      </c>
      <c r="G139" t="inlineStr">
        <is>
          <t>Arlington, VA, US</t>
        </is>
      </c>
      <c r="H139" s="3" t="n">
        <v>45923</v>
      </c>
      <c r="I139"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in-5627f099dea9a3b3</t>
        </is>
      </c>
      <c r="B140" t="inlineStr">
        <is>
          <t>Tech Infrastructure Program Manager - AV , IT Services - CIS</t>
        </is>
      </c>
      <c r="C140" t="inlineStr">
        <is>
          <t>Amazon.com</t>
        </is>
      </c>
      <c r="D140" t="inlineStr">
        <is>
          <t>indeed</t>
        </is>
      </c>
      <c r="E140">
        <f>HYPERLINK("https://www.indeed.com/viewjob?jk=5627f099dea9a3b3", "https://www.indeed.com/viewjob?jk=5627f099dea9a3b3")</f>
        <v/>
      </c>
      <c r="F140">
        <f>HYPERLINK("https://www.amazon.jobs/jobs/3114622/tech-infrastructure-program-manager--av--it-services--cis?cmpid=DA_INAD200785B", "https://www.amazon.jobs/jobs/3114622/tech-infrastructure-program-manager--av--it-services--cis?cmpid=DA_INAD200785B")</f>
        <v/>
      </c>
      <c r="G140" t="inlineStr">
        <is>
          <t>Austin, TX, US</t>
        </is>
      </c>
      <c r="H140" s="3" t="n">
        <v>45923</v>
      </c>
      <c r="I140"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in-28c5d66161c92db8</t>
        </is>
      </c>
      <c r="B141" t="inlineStr">
        <is>
          <t>Tech Infrastructure Program Manager - AV , IT Services - CIS</t>
        </is>
      </c>
      <c r="C141" t="inlineStr">
        <is>
          <t>Amazon.com</t>
        </is>
      </c>
      <c r="D141" t="inlineStr">
        <is>
          <t>indeed</t>
        </is>
      </c>
      <c r="E141">
        <f>HYPERLINK("https://www.indeed.com/viewjob?jk=28c5d66161c92db8", "https://www.indeed.com/viewjob?jk=28c5d66161c92db8")</f>
        <v/>
      </c>
      <c r="F141">
        <f>HYPERLINK("https://www.amazon.jobs/jobs/3114622/tech-infrastructure-program-manager--av--it-services--cis?cmpid=DA_INAD200785B", "https://www.amazon.jobs/jobs/3114622/tech-infrastructure-program-manager--av--it-services--cis?cmpid=DA_INAD200785B")</f>
        <v/>
      </c>
      <c r="G141" t="inlineStr">
        <is>
          <t>Seattle, WA, US</t>
        </is>
      </c>
      <c r="H141" s="3" t="n">
        <v>45923</v>
      </c>
      <c r="I14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in-525cec53bd0d1820</t>
        </is>
      </c>
      <c r="B142" t="inlineStr">
        <is>
          <t>Tech Infrastructure Program Manager - AV , IT Services - CIS</t>
        </is>
      </c>
      <c r="C142" t="inlineStr">
        <is>
          <t>Amazon.com</t>
        </is>
      </c>
      <c r="D142" t="inlineStr">
        <is>
          <t>indeed</t>
        </is>
      </c>
      <c r="E142">
        <f>HYPERLINK("https://www.indeed.com/viewjob?jk=525cec53bd0d1820", "https://www.indeed.com/viewjob?jk=525cec53bd0d1820")</f>
        <v/>
      </c>
      <c r="F142">
        <f>HYPERLINK("https://www.amazon.jobs/jobs/3114622/tech-infrastructure-program-manager--av--it-services--cis?cmpid=DA_INAD200785B", "https://www.amazon.jobs/jobs/3114622/tech-infrastructure-program-manager--av--it-services--cis?cmpid=DA_INAD200785B")</f>
        <v/>
      </c>
      <c r="G142" t="inlineStr">
        <is>
          <t>Sunnyvale, CA, US</t>
        </is>
      </c>
      <c r="H142" s="3" t="n">
        <v>45923</v>
      </c>
      <c r="I14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in-fbef9a8cb5a3418d</t>
        </is>
      </c>
      <c r="B143" t="inlineStr">
        <is>
          <t>Amazon Last Mile Fleet Program Manager, In Life Services-Recalls, Retrofits, and Tires</t>
        </is>
      </c>
      <c r="C143" t="inlineStr">
        <is>
          <t>Amazon.com</t>
        </is>
      </c>
      <c r="D143" t="inlineStr">
        <is>
          <t>indeed</t>
        </is>
      </c>
      <c r="E143">
        <f>HYPERLINK("https://www.indeed.com/viewjob?jk=fbef9a8cb5a3418d", "https://www.indeed.com/viewjob?jk=fbef9a8cb5a3418d")</f>
        <v/>
      </c>
      <c r="F143">
        <f>HYPERLINK("https://www.amazon.jobs/jobs/3083275/amazon-last-mile-fleet-program-manager-in-life-servicesrecalls-retrofits-and-tires?cmpid=DA_INAD200785B", "https://www.amazon.jobs/jobs/3083275/amazon-last-mile-fleet-program-manager-in-life-servicesrecalls-retrofits-and-tires?cmpid=DA_INAD200785B")</f>
        <v/>
      </c>
      <c r="G143" t="inlineStr">
        <is>
          <t>Arlington, VA, US</t>
        </is>
      </c>
      <c r="H143" s="3" t="n">
        <v>45911</v>
      </c>
      <c r="I1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in-62b40413400e0011</t>
        </is>
      </c>
      <c r="B144" t="inlineStr">
        <is>
          <t>Amazon Last Mile Fleet Program Manager, In Life Services-Recalls, Retrofits, and Tires</t>
        </is>
      </c>
      <c r="C144" t="inlineStr">
        <is>
          <t>Amazon.com</t>
        </is>
      </c>
      <c r="D144" t="inlineStr">
        <is>
          <t>indeed</t>
        </is>
      </c>
      <c r="E144">
        <f>HYPERLINK("https://www.indeed.com/viewjob?jk=62b40413400e0011", "https://www.indeed.com/viewjob?jk=62b40413400e0011")</f>
        <v/>
      </c>
      <c r="F144">
        <f>HYPERLINK("https://www.amazon.jobs/jobs/3083275/amazon-last-mile-fleet-program-manager-in-life-servicesrecalls-retrofits-and-tires?cmpid=DA_INAD200785B", "https://www.amazon.jobs/jobs/3083275/amazon-last-mile-fleet-program-manager-in-life-servicesrecalls-retrofits-and-tires?cmpid=DA_INAD200785B")</f>
        <v/>
      </c>
      <c r="G144" t="inlineStr">
        <is>
          <t>Nashville, TN, US</t>
        </is>
      </c>
      <c r="H144" s="3" t="n">
        <v>45911</v>
      </c>
      <c r="I1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in-36d0490f0001f295</t>
        </is>
      </c>
      <c r="B145" t="inlineStr">
        <is>
          <t>Amazon Last Mile Fleet Program Manager, In Life Services-Recalls, Retrofits, and Tires</t>
        </is>
      </c>
      <c r="C145" t="inlineStr">
        <is>
          <t>Amazon.com</t>
        </is>
      </c>
      <c r="D145" t="inlineStr">
        <is>
          <t>indeed</t>
        </is>
      </c>
      <c r="E145">
        <f>HYPERLINK("https://www.indeed.com/viewjob?jk=36d0490f0001f295", "https://www.indeed.com/viewjob?jk=36d0490f0001f295")</f>
        <v/>
      </c>
      <c r="F145">
        <f>HYPERLINK("https://www.amazon.jobs/jobs/3083275/amazon-last-mile-fleet-program-manager-in-life-servicesrecalls-retrofits-and-tires?cmpid=DA_INAD200785B", "https://www.amazon.jobs/jobs/3083275/amazon-last-mile-fleet-program-manager-in-life-servicesrecalls-retrofits-and-tires?cmpid=DA_INAD200785B")</f>
        <v/>
      </c>
      <c r="G145" t="inlineStr">
        <is>
          <t>Bellevue, WA, US</t>
        </is>
      </c>
      <c r="H145" s="3" t="n">
        <v>45911</v>
      </c>
      <c r="I1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in-f46aa7d5f04cd4c0</t>
        </is>
      </c>
      <c r="B146" t="inlineStr">
        <is>
          <t>Sr. EHS Program Manager, Safety Learning and Development</t>
        </is>
      </c>
      <c r="C146" t="inlineStr">
        <is>
          <t>Amazon.com</t>
        </is>
      </c>
      <c r="D146" t="inlineStr">
        <is>
          <t>indeed</t>
        </is>
      </c>
      <c r="E146">
        <f>HYPERLINK("https://www.indeed.com/viewjob?jk=f46aa7d5f04cd4c0", "https://www.indeed.com/viewjob?jk=f46aa7d5f04cd4c0")</f>
        <v/>
      </c>
      <c r="F146">
        <f>HYPERLINK("https://www.amazon.jobs/jobs/3124450/sr-ehs-program-manager-safety-learning-and-development?cmpid=DA_INAD200785B", "https://www.amazon.jobs/jobs/3124450/sr-ehs-program-manager-safety-learning-and-development?cmpid=DA_INAD200785B")</f>
        <v/>
      </c>
      <c r="G146" t="inlineStr">
        <is>
          <t>Bellevue, WA, US</t>
        </is>
      </c>
      <c r="H146" s="3" t="n">
        <v>45910</v>
      </c>
      <c r="I14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in-a1ba019cbaee7562</t>
        </is>
      </c>
      <c r="B147" t="inlineStr">
        <is>
          <t>Sr. EHS Program Manager, Safety Learning and Development</t>
        </is>
      </c>
      <c r="C147" t="inlineStr">
        <is>
          <t>Amazon.com</t>
        </is>
      </c>
      <c r="D147" t="inlineStr">
        <is>
          <t>indeed</t>
        </is>
      </c>
      <c r="E147">
        <f>HYPERLINK("https://www.indeed.com/viewjob?jk=a1ba019cbaee7562", "https://www.indeed.com/viewjob?jk=a1ba019cbaee7562")</f>
        <v/>
      </c>
      <c r="F147">
        <f>HYPERLINK("https://www.amazon.jobs/jobs/3124450/sr-ehs-program-manager-safety-learning-and-development?cmpid=DA_INAD200785B", "https://www.amazon.jobs/jobs/3124450/sr-ehs-program-manager-safety-learning-and-development?cmpid=DA_INAD200785B")</f>
        <v/>
      </c>
      <c r="G147" t="inlineStr">
        <is>
          <t>Nashville, TN, US</t>
        </is>
      </c>
      <c r="H147" s="3" t="n">
        <v>45910</v>
      </c>
      <c r="I14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in-cfc524bc4ef196a1</t>
        </is>
      </c>
      <c r="B148" t="inlineStr">
        <is>
          <t>Sr. Product Manager, Sub-Same Day (SSD) - DOT, SSD Delivery Ops Tech</t>
        </is>
      </c>
      <c r="C148" t="inlineStr">
        <is>
          <t>Amazon.com</t>
        </is>
      </c>
      <c r="D148" t="inlineStr">
        <is>
          <t>indeed</t>
        </is>
      </c>
      <c r="E148">
        <f>HYPERLINK("https://www.indeed.com/viewjob?jk=cfc524bc4ef196a1", "https://www.indeed.com/viewjob?jk=cfc524bc4ef196a1")</f>
        <v/>
      </c>
      <c r="F148">
        <f>HYPERLINK("https://www.amazon.jobs/jobs/3063966/sr-product-manager-subsame-day-ssd--dot-ssd-delivery-ops-tech?cmpid=DA_INAD200785B", "https://www.amazon.jobs/jobs/3063966/sr-product-manager-subsame-day-ssd--dot-ssd-delivery-ops-tech?cmpid=DA_INAD200785B")</f>
        <v/>
      </c>
      <c r="G148" t="inlineStr">
        <is>
          <t>Nashville, TN, US</t>
        </is>
      </c>
      <c r="H148" s="3" t="n">
        <v>45876</v>
      </c>
      <c r="I14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in-4d7b9ed738b3eb1c</t>
        </is>
      </c>
      <c r="B149" t="inlineStr">
        <is>
          <t>Sr. Product Manager, Sub-Same Day (SSD) - DOT, SSD Delivery Ops Tech</t>
        </is>
      </c>
      <c r="C149" t="inlineStr">
        <is>
          <t>Amazon.com</t>
        </is>
      </c>
      <c r="D149" t="inlineStr">
        <is>
          <t>indeed</t>
        </is>
      </c>
      <c r="E149">
        <f>HYPERLINK("https://www.indeed.com/viewjob?jk=4d7b9ed738b3eb1c", "https://www.indeed.com/viewjob?jk=4d7b9ed738b3eb1c")</f>
        <v/>
      </c>
      <c r="F149">
        <f>HYPERLINK("https://www.amazon.jobs/jobs/3063966/sr-product-manager-subsame-day-ssd--dot-ssd-delivery-ops-tech?cmpid=DA_INAD200785B", "https://www.amazon.jobs/jobs/3063966/sr-product-manager-subsame-day-ssd--dot-ssd-delivery-ops-tech?cmpid=DA_INAD200785B")</f>
        <v/>
      </c>
      <c r="G149" t="inlineStr">
        <is>
          <t>New York, NY, US</t>
        </is>
      </c>
      <c r="H149" s="3" t="n">
        <v>45876</v>
      </c>
      <c r="I14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in-5d83441e1e7ba899</t>
        </is>
      </c>
      <c r="B150" t="inlineStr">
        <is>
          <t>Sr. Product Manager, Sub-Same Day (SSD) - DOT, SSD Delivery Ops Tech</t>
        </is>
      </c>
      <c r="C150" t="inlineStr">
        <is>
          <t>Amazon.com</t>
        </is>
      </c>
      <c r="D150" t="inlineStr">
        <is>
          <t>indeed</t>
        </is>
      </c>
      <c r="E150">
        <f>HYPERLINK("https://www.indeed.com/viewjob?jk=5d83441e1e7ba899", "https://www.indeed.com/viewjob?jk=5d83441e1e7ba899")</f>
        <v/>
      </c>
      <c r="F150">
        <f>HYPERLINK("https://www.amazon.jobs/jobs/3063966/sr-product-manager-subsame-day-ssd--dot-ssd-delivery-ops-tech?cmpid=DA_INAD200785B", "https://www.amazon.jobs/jobs/3063966/sr-product-manager-subsame-day-ssd--dot-ssd-delivery-ops-tech?cmpid=DA_INAD200785B")</f>
        <v/>
      </c>
      <c r="G150" t="inlineStr">
        <is>
          <t>Bellevue, WA, US</t>
        </is>
      </c>
      <c r="H150" s="3" t="n">
        <v>45876</v>
      </c>
      <c r="I15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in-82dd92744d275f2c</t>
        </is>
      </c>
      <c r="B151" t="inlineStr">
        <is>
          <t>Principal Product Manager - External Services, End User Computing</t>
        </is>
      </c>
      <c r="C151" t="inlineStr">
        <is>
          <t>Amazon Web Services</t>
        </is>
      </c>
      <c r="D151" t="inlineStr">
        <is>
          <t>indeed</t>
        </is>
      </c>
      <c r="E151">
        <f>HYPERLINK("https://www.indeed.com/viewjob?jk=82dd92744d275f2c", "https://www.indeed.com/viewjob?jk=82dd92744d275f2c")</f>
        <v/>
      </c>
      <c r="F151">
        <f>HYPERLINK("https://www.amazon.jobs/jobs/3055181/principal-product-manager--external-services-end-user-computing?cmpid=DA_INAD200785B", "https://www.amazon.jobs/jobs/3055181/principal-product-manager--external-services-end-user-computing?cmpid=DA_INAD200785B")</f>
        <v/>
      </c>
      <c r="G151" t="inlineStr">
        <is>
          <t>Seattle, WA, US</t>
        </is>
      </c>
      <c r="H151" s="3" t="n">
        <v>45876</v>
      </c>
      <c r="I151"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in-a6d10542303c65ba</t>
        </is>
      </c>
      <c r="B152" t="inlineStr">
        <is>
          <t>Principal Product Manager - External Services, End User Computing</t>
        </is>
      </c>
      <c r="C152" t="inlineStr">
        <is>
          <t>Amazon Web Services</t>
        </is>
      </c>
      <c r="D152" t="inlineStr">
        <is>
          <t>indeed</t>
        </is>
      </c>
      <c r="E152">
        <f>HYPERLINK("https://www.indeed.com/viewjob?jk=a6d10542303c65ba", "https://www.indeed.com/viewjob?jk=a6d10542303c65ba")</f>
        <v/>
      </c>
      <c r="F152">
        <f>HYPERLINK("https://www.amazon.jobs/jobs/3055181/principal-product-manager--external-services-end-user-computing?cmpid=DA_INAD200785B", "https://www.amazon.jobs/jobs/3055181/principal-product-manager--external-services-end-user-computing?cmpid=DA_INAD200785B")</f>
        <v/>
      </c>
      <c r="G152" t="inlineStr">
        <is>
          <t>Sunnyvale, CA, US</t>
        </is>
      </c>
      <c r="H152" s="3" t="n">
        <v>45876</v>
      </c>
      <c r="I152"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in-5cb74ce781eb958b</t>
        </is>
      </c>
      <c r="B153" t="inlineStr">
        <is>
          <t>Sr. Product Manager Technical, Deal Tooling &amp; Insights, Strategic Customer Engagements</t>
        </is>
      </c>
      <c r="C153" t="inlineStr">
        <is>
          <t>Amazon Web Services</t>
        </is>
      </c>
      <c r="D153" t="inlineStr">
        <is>
          <t>indeed</t>
        </is>
      </c>
      <c r="E153">
        <f>HYPERLINK("https://www.indeed.com/viewjob?jk=5cb74ce781eb958b", "https://www.indeed.com/viewjob?jk=5cb74ce781eb958b")</f>
        <v/>
      </c>
      <c r="F153">
        <f>HYPERLINK("https://www.amazon.jobs/jobs/3138889/sr-product-manager-technical-deal-tooling--insights-strategic-customer-engagements?cmpid=DA_INAD200785B", "https://www.amazon.jobs/jobs/3138889/sr-product-manager-technical-deal-tooling--insights-strategic-customer-engagements?cmpid=DA_INAD200785B")</f>
        <v/>
      </c>
      <c r="G153" t="inlineStr">
        <is>
          <t>New York, NY, US</t>
        </is>
      </c>
      <c r="H153" s="3" t="n">
        <v>45994</v>
      </c>
      <c r="I1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4">
      <c r="A154" t="inlineStr">
        <is>
          <t>in-d94a91e23bb02627</t>
        </is>
      </c>
      <c r="B154" t="inlineStr">
        <is>
          <t>Sr. Product Manager Technical, Deal Tooling &amp; Insights, Strategic Customer Engagements</t>
        </is>
      </c>
      <c r="C154" t="inlineStr">
        <is>
          <t>Amazon Web Services</t>
        </is>
      </c>
      <c r="D154" t="inlineStr">
        <is>
          <t>indeed</t>
        </is>
      </c>
      <c r="E154">
        <f>HYPERLINK("https://www.indeed.com/viewjob?jk=d94a91e23bb02627", "https://www.indeed.com/viewjob?jk=d94a91e23bb02627")</f>
        <v/>
      </c>
      <c r="F154">
        <f>HYPERLINK("https://www.amazon.jobs/jobs/3138889/sr-product-manager-technical-deal-tooling--insights-strategic-customer-engagements?cmpid=DA_INAD200785B", "https://www.amazon.jobs/jobs/3138889/sr-product-manager-technical-deal-tooling--insights-strategic-customer-engagements?cmpid=DA_INAD200785B")</f>
        <v/>
      </c>
      <c r="G154" t="inlineStr">
        <is>
          <t>Seattle, WA, US</t>
        </is>
      </c>
      <c r="H154" s="3" t="n">
        <v>45994</v>
      </c>
      <c r="I1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5">
      <c r="A155" t="inlineStr">
        <is>
          <t>in-d65b7036f09c1be1</t>
        </is>
      </c>
      <c r="B155" t="inlineStr">
        <is>
          <t>Sr. Product Manager Technical, Deal Tooling &amp; Insights, Strategic Customer Engagements</t>
        </is>
      </c>
      <c r="C155" t="inlineStr">
        <is>
          <t>Amazon Web Services</t>
        </is>
      </c>
      <c r="D155" t="inlineStr">
        <is>
          <t>indeed</t>
        </is>
      </c>
      <c r="E155">
        <f>HYPERLINK("https://www.indeed.com/viewjob?jk=d65b7036f09c1be1", "https://www.indeed.com/viewjob?jk=d65b7036f09c1be1")</f>
        <v/>
      </c>
      <c r="F155">
        <f>HYPERLINK("https://www.amazon.jobs/jobs/3138889/sr-product-manager-technical-deal-tooling--insights-strategic-customer-engagements?cmpid=DA_INAD200785B", "https://www.amazon.jobs/jobs/3138889/sr-product-manager-technical-deal-tooling--insights-strategic-customer-engagements?cmpid=DA_INAD200785B")</f>
        <v/>
      </c>
      <c r="G155" t="inlineStr">
        <is>
          <t>Arlington, VA, US</t>
        </is>
      </c>
      <c r="H155" s="3" t="n">
        <v>45994</v>
      </c>
      <c r="I1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6">
      <c r="A156" t="inlineStr">
        <is>
          <t>in-16c625ed7a1e73ba</t>
        </is>
      </c>
      <c r="B156" t="inlineStr">
        <is>
          <t>Sr. Product Manager Technical, Deal Tooling &amp; Insights, Strategic Customer Engagements</t>
        </is>
      </c>
      <c r="C156" t="inlineStr">
        <is>
          <t>Amazon Web Services</t>
        </is>
      </c>
      <c r="D156" t="inlineStr">
        <is>
          <t>indeed</t>
        </is>
      </c>
      <c r="E156">
        <f>HYPERLINK("https://www.indeed.com/viewjob?jk=16c625ed7a1e73ba", "https://www.indeed.com/viewjob?jk=16c625ed7a1e73ba")</f>
        <v/>
      </c>
      <c r="F156">
        <f>HYPERLINK("https://www.amazon.jobs/jobs/3138889/sr-product-manager-technical-deal-tooling--insights-strategic-customer-engagements?cmpid=DA_INAD200785B", "https://www.amazon.jobs/jobs/3138889/sr-product-manager-technical-deal-tooling--insights-strategic-customer-engagements?cmpid=DA_INAD200785B")</f>
        <v/>
      </c>
      <c r="G156" t="inlineStr">
        <is>
          <t>Dallas, TX, US</t>
        </is>
      </c>
      <c r="H156" s="3" t="n">
        <v>45994</v>
      </c>
      <c r="I1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7">
      <c r="A157" t="inlineStr">
        <is>
          <t>in-b1a4979fc0ff5aa2</t>
        </is>
      </c>
      <c r="B157" t="inlineStr">
        <is>
          <t>Sr. Product Manager Technical, Deal Tooling &amp; Insights, Strategic Customer Engagements</t>
        </is>
      </c>
      <c r="C157" t="inlineStr">
        <is>
          <t>Amazon Web Services</t>
        </is>
      </c>
      <c r="D157" t="inlineStr">
        <is>
          <t>indeed</t>
        </is>
      </c>
      <c r="E157">
        <f>HYPERLINK("https://www.indeed.com/viewjob?jk=b1a4979fc0ff5aa2", "https://www.indeed.com/viewjob?jk=b1a4979fc0ff5aa2")</f>
        <v/>
      </c>
      <c r="F157">
        <f>HYPERLINK("https://www.amazon.jobs/jobs/3138889/sr-product-manager-technical-deal-tooling--insights-strategic-customer-engagements?cmpid=DA_INAD200785B", "https://www.amazon.jobs/jobs/3138889/sr-product-manager-technical-deal-tooling--insights-strategic-customer-engagements?cmpid=DA_INAD200785B")</f>
        <v/>
      </c>
      <c r="G157" t="inlineStr">
        <is>
          <t>Austin, TX, US</t>
        </is>
      </c>
      <c r="H157" s="3" t="n">
        <v>45994</v>
      </c>
      <c r="I1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8">
      <c r="A158" t="inlineStr">
        <is>
          <t>in-6e10bc28e8f3a708</t>
        </is>
      </c>
      <c r="B158" t="inlineStr">
        <is>
          <t>Sr. Product Manager Technical, Deal Tooling &amp; Insights, Strategic Customer Engagements</t>
        </is>
      </c>
      <c r="C158" t="inlineStr">
        <is>
          <t>Amazon Web Services</t>
        </is>
      </c>
      <c r="D158" t="inlineStr">
        <is>
          <t>indeed</t>
        </is>
      </c>
      <c r="E158">
        <f>HYPERLINK("https://www.indeed.com/viewjob?jk=6e10bc28e8f3a708", "https://www.indeed.com/viewjob?jk=6e10bc28e8f3a708")</f>
        <v/>
      </c>
      <c r="F158">
        <f>HYPERLINK("https://www.amazon.jobs/jobs/3138889/sr-product-manager-technical-deal-tooling--insights-strategic-customer-engagements?cmpid=DA_INAD200785B", "https://www.amazon.jobs/jobs/3138889/sr-product-manager-technical-deal-tooling--insights-strategic-customer-engagements?cmpid=DA_INAD200785B")</f>
        <v/>
      </c>
      <c r="G158" t="inlineStr">
        <is>
          <t>Herndon, VA, US</t>
        </is>
      </c>
      <c r="H158" s="3" t="n">
        <v>45994</v>
      </c>
      <c r="I1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9">
      <c r="A159" t="inlineStr">
        <is>
          <t>in-8353dfb8a70969fc</t>
        </is>
      </c>
      <c r="B159" t="inlineStr">
        <is>
          <t>Sr. Product Manager - Tech, Workforce Solutions - Talent Mobility</t>
        </is>
      </c>
      <c r="C159" t="inlineStr">
        <is>
          <t>Amazon.com</t>
        </is>
      </c>
      <c r="D159" t="inlineStr">
        <is>
          <t>indeed</t>
        </is>
      </c>
      <c r="E159">
        <f>HYPERLINK("https://www.indeed.com/viewjob?jk=8353dfb8a70969fc", "https://www.indeed.com/viewjob?jk=8353dfb8a70969fc")</f>
        <v/>
      </c>
      <c r="F159">
        <f>HYPERLINK("https://www.amazon.jobs/jobs/3112703/sr-product-manager--tech-workforce-solutions--talent-mobility?cmpid=DA_INAD200785B", "https://www.amazon.jobs/jobs/3112703/sr-product-manager--tech-workforce-solutions--talent-mobility?cmpid=DA_INAD200785B")</f>
        <v/>
      </c>
      <c r="G159" t="inlineStr">
        <is>
          <t>Nashville, TN, US</t>
        </is>
      </c>
      <c r="H159" s="3" t="n">
        <v>45867</v>
      </c>
      <c r="I15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60">
      <c r="A160" t="inlineStr">
        <is>
          <t>in-449a36265b3ed9da</t>
        </is>
      </c>
      <c r="B160" t="inlineStr">
        <is>
          <t>Sr. Product Manager - Tech, Workforce Solutions - Talent Mobility</t>
        </is>
      </c>
      <c r="C160" t="inlineStr">
        <is>
          <t>Amazon.com</t>
        </is>
      </c>
      <c r="D160" t="inlineStr">
        <is>
          <t>indeed</t>
        </is>
      </c>
      <c r="E160">
        <f>HYPERLINK("https://www.indeed.com/viewjob?jk=449a36265b3ed9da", "https://www.indeed.com/viewjob?jk=449a36265b3ed9da")</f>
        <v/>
      </c>
      <c r="F160">
        <f>HYPERLINK("https://www.amazon.jobs/jobs/3112703/sr-product-manager--tech-workforce-solutions--talent-mobility?cmpid=DA_INAD200785B", "https://www.amazon.jobs/jobs/3112703/sr-product-manager--tech-workforce-solutions--talent-mobility?cmpid=DA_INAD200785B")</f>
        <v/>
      </c>
      <c r="G160" t="inlineStr">
        <is>
          <t>Tempe, AZ, US</t>
        </is>
      </c>
      <c r="H160" s="3" t="n">
        <v>45867</v>
      </c>
      <c r="I16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61">
      <c r="A161" t="inlineStr">
        <is>
          <t>in-eab7bb818617c6c9</t>
        </is>
      </c>
      <c r="B161" t="inlineStr">
        <is>
          <t>Sr. Product Manager - Tech, Workforce Solutions - Talent Mobility</t>
        </is>
      </c>
      <c r="C161" t="inlineStr">
        <is>
          <t>Amazon.com</t>
        </is>
      </c>
      <c r="D161" t="inlineStr">
        <is>
          <t>indeed</t>
        </is>
      </c>
      <c r="E161">
        <f>HYPERLINK("https://www.indeed.com/viewjob?jk=eab7bb818617c6c9", "https://www.indeed.com/viewjob?jk=eab7bb818617c6c9")</f>
        <v/>
      </c>
      <c r="F161">
        <f>HYPERLINK("https://www.amazon.jobs/jobs/3112703/sr-product-manager--tech-workforce-solutions--talent-mobility?cmpid=DA_INAD200785B", "https://www.amazon.jobs/jobs/3112703/sr-product-manager--tech-workforce-solutions--talent-mobility?cmpid=DA_INAD200785B")</f>
        <v/>
      </c>
      <c r="G161" t="inlineStr">
        <is>
          <t>Seattle, WA, US</t>
        </is>
      </c>
      <c r="H161" s="3" t="n">
        <v>45867</v>
      </c>
      <c r="I16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62">
      <c r="A162" t="inlineStr">
        <is>
          <t>in-e99e07df4a0d27de</t>
        </is>
      </c>
      <c r="B162" t="inlineStr">
        <is>
          <t>Sr. Product Manager - Tech, Workforce Solutions - Talent Mobility</t>
        </is>
      </c>
      <c r="C162" t="inlineStr">
        <is>
          <t>Amazon.com</t>
        </is>
      </c>
      <c r="D162" t="inlineStr">
        <is>
          <t>indeed</t>
        </is>
      </c>
      <c r="E162">
        <f>HYPERLINK("https://www.indeed.com/viewjob?jk=e99e07df4a0d27de", "https://www.indeed.com/viewjob?jk=e99e07df4a0d27de")</f>
        <v/>
      </c>
      <c r="F162">
        <f>HYPERLINK("https://www.amazon.jobs/jobs/3112703/sr-product-manager--tech-workforce-solutions--talent-mobility?cmpid=DA_INAD200785B", "https://www.amazon.jobs/jobs/3112703/sr-product-manager--tech-workforce-solutions--talent-mobility?cmpid=DA_INAD200785B")</f>
        <v/>
      </c>
      <c r="G162" t="inlineStr">
        <is>
          <t>New York, NY, US</t>
        </is>
      </c>
      <c r="H162" s="3" t="n">
        <v>45867</v>
      </c>
      <c r="I162"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63">
      <c r="A163" t="inlineStr">
        <is>
          <t>in-3ea963e505f90c03</t>
        </is>
      </c>
      <c r="B163" t="inlineStr">
        <is>
          <t>Sr. Product Manager - Tech, Workforce Solutions - Talent Mobility</t>
        </is>
      </c>
      <c r="C163" t="inlineStr">
        <is>
          <t>Amazon.com</t>
        </is>
      </c>
      <c r="D163" t="inlineStr">
        <is>
          <t>indeed</t>
        </is>
      </c>
      <c r="E163">
        <f>HYPERLINK("https://www.indeed.com/viewjob?jk=3ea963e505f90c03", "https://www.indeed.com/viewjob?jk=3ea963e505f90c03")</f>
        <v/>
      </c>
      <c r="F163">
        <f>HYPERLINK("https://www.amazon.jobs/jobs/3112703/sr-product-manager--tech-workforce-solutions--talent-mobility?cmpid=DA_INAD200785B", "https://www.amazon.jobs/jobs/3112703/sr-product-manager--tech-workforce-solutions--talent-mobility?cmpid=DA_INAD200785B")</f>
        <v/>
      </c>
      <c r="G163" t="inlineStr">
        <is>
          <t>Arlington, VA, US</t>
        </is>
      </c>
      <c r="H163" s="3" t="n">
        <v>45867</v>
      </c>
      <c r="I16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64">
      <c r="A164" t="inlineStr">
        <is>
          <t>in-95556043ce711f49</t>
        </is>
      </c>
      <c r="B164" t="inlineStr">
        <is>
          <t>Sr. Product Manager - Tech, WHS Data-Tech</t>
        </is>
      </c>
      <c r="C164" t="inlineStr">
        <is>
          <t>Amazon.com</t>
        </is>
      </c>
      <c r="D164" t="inlineStr">
        <is>
          <t>indeed</t>
        </is>
      </c>
      <c r="E164">
        <f>HYPERLINK("https://www.indeed.com/viewjob?jk=95556043ce711f49", "https://www.indeed.com/viewjob?jk=95556043ce711f49")</f>
        <v/>
      </c>
      <c r="F164">
        <f>HYPERLINK("https://www.amazon.jobs/jobs/3156736/sr-product-manager--tech-whs-datatech?cmpid=DA_INAD200785B", "https://www.amazon.jobs/jobs/3156736/sr-product-manager--tech-whs-datatech?cmpid=DA_INAD200785B")</f>
        <v/>
      </c>
      <c r="G164" t="inlineStr">
        <is>
          <t>Bellevue, WA, US</t>
        </is>
      </c>
      <c r="H164" s="3" t="n">
        <v>45836</v>
      </c>
      <c r="I16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5">
      <c r="A165" t="inlineStr">
        <is>
          <t>in-a537563521581cb8</t>
        </is>
      </c>
      <c r="B165" t="inlineStr">
        <is>
          <t>Sr. Product Manager - Tech, WHS Data-Tech</t>
        </is>
      </c>
      <c r="C165" t="inlineStr">
        <is>
          <t>Amazon.com</t>
        </is>
      </c>
      <c r="D165" t="inlineStr">
        <is>
          <t>indeed</t>
        </is>
      </c>
      <c r="E165">
        <f>HYPERLINK("https://www.indeed.com/viewjob?jk=a537563521581cb8", "https://www.indeed.com/viewjob?jk=a537563521581cb8")</f>
        <v/>
      </c>
      <c r="F165">
        <f>HYPERLINK("https://www.amazon.jobs/jobs/3156736/sr-product-manager--tech-whs-datatech?cmpid=DA_INAD200785B", "https://www.amazon.jobs/jobs/3156736/sr-product-manager--tech-whs-datatech?cmpid=DA_INAD200785B")</f>
        <v/>
      </c>
      <c r="G165" t="inlineStr">
        <is>
          <t>Arlington, VA, US</t>
        </is>
      </c>
      <c r="H165" s="3" t="n">
        <v>45836</v>
      </c>
      <c r="I16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6">
      <c r="A166" t="inlineStr">
        <is>
          <t>in-7c003e12406c9970</t>
        </is>
      </c>
      <c r="B166" t="inlineStr">
        <is>
          <t>Sr. Product Manager - Tech, WHS Data-Tech</t>
        </is>
      </c>
      <c r="C166" t="inlineStr">
        <is>
          <t>Amazon.com</t>
        </is>
      </c>
      <c r="D166" t="inlineStr">
        <is>
          <t>indeed</t>
        </is>
      </c>
      <c r="E166">
        <f>HYPERLINK("https://www.indeed.com/viewjob?jk=7c003e12406c9970", "https://www.indeed.com/viewjob?jk=7c003e12406c9970")</f>
        <v/>
      </c>
      <c r="F166">
        <f>HYPERLINK("https://www.amazon.jobs/jobs/3156736/sr-product-manager--tech-whs-datatech?cmpid=DA_INAD200785B", "https://www.amazon.jobs/jobs/3156736/sr-product-manager--tech-whs-datatech?cmpid=DA_INAD200785B")</f>
        <v/>
      </c>
      <c r="G166" t="inlineStr">
        <is>
          <t>Nashville, TN, US</t>
        </is>
      </c>
      <c r="H166" s="3" t="n">
        <v>45836</v>
      </c>
      <c r="I16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7">
      <c r="A167" t="inlineStr">
        <is>
          <t>in-2bb5a5bc34034f1a</t>
        </is>
      </c>
      <c r="B167" t="inlineStr">
        <is>
          <t>Sr. Product Manager-Technical, World Wide Operations Security Tech (WWOS Tech)</t>
        </is>
      </c>
      <c r="C167" t="inlineStr">
        <is>
          <t>Amazon.com</t>
        </is>
      </c>
      <c r="D167" t="inlineStr">
        <is>
          <t>indeed</t>
        </is>
      </c>
      <c r="E167">
        <f>HYPERLINK("https://www.indeed.com/viewjob?jk=2bb5a5bc34034f1a", "https://www.indeed.com/viewjob?jk=2bb5a5bc34034f1a")</f>
        <v/>
      </c>
      <c r="F167">
        <f>HYPERLINK("https://www.amazon.jobs/jobs/3152463/sr-product-managertechnical-world-wide-operations-security-tech-wwos-tech?cmpid=DA_INAD200785B", "https://www.amazon.jobs/jobs/3152463/sr-product-managertechnical-world-wide-operations-security-tech-wwos-tech?cmpid=DA_INAD200785B")</f>
        <v/>
      </c>
      <c r="G167" t="inlineStr">
        <is>
          <t>Austin, TX, US</t>
        </is>
      </c>
      <c r="H167" s="3" t="n">
        <v>46008</v>
      </c>
      <c r="I167"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68">
      <c r="A168" t="inlineStr">
        <is>
          <t>in-179ab339595fe4a0</t>
        </is>
      </c>
      <c r="B168" t="inlineStr">
        <is>
          <t>Sr. Product Manager-Technical, World Wide Operations Security Tech (WWOS Tech)</t>
        </is>
      </c>
      <c r="C168" t="inlineStr">
        <is>
          <t>Amazon.com</t>
        </is>
      </c>
      <c r="D168" t="inlineStr">
        <is>
          <t>indeed</t>
        </is>
      </c>
      <c r="E168">
        <f>HYPERLINK("https://www.indeed.com/viewjob?jk=179ab339595fe4a0", "https://www.indeed.com/viewjob?jk=179ab339595fe4a0")</f>
        <v/>
      </c>
      <c r="F168">
        <f>HYPERLINK("https://www.amazon.jobs/jobs/3152463/sr-product-managertechnical-world-wide-operations-security-tech-wwos-tech?cmpid=DA_INAD200785B", "https://www.amazon.jobs/jobs/3152463/sr-product-managertechnical-world-wide-operations-security-tech-wwos-tech?cmpid=DA_INAD200785B")</f>
        <v/>
      </c>
      <c r="G168" t="inlineStr">
        <is>
          <t>Seattle, WA, US</t>
        </is>
      </c>
      <c r="H168" s="3" t="n">
        <v>46008</v>
      </c>
      <c r="I168"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69">
      <c r="A169" t="inlineStr">
        <is>
          <t>in-ee0bb149f6f10559</t>
        </is>
      </c>
      <c r="B169" t="inlineStr">
        <is>
          <t>Principal Product Manager - Tech, Recommender Systems, Prime Video Personalization &amp; Discovery</t>
        </is>
      </c>
      <c r="C169" t="inlineStr">
        <is>
          <t>Amazon.com</t>
        </is>
      </c>
      <c r="D169" t="inlineStr">
        <is>
          <t>indeed</t>
        </is>
      </c>
      <c r="E169">
        <f>HYPERLINK("https://www.indeed.com/viewjob?jk=ee0bb149f6f10559", "https://www.indeed.com/viewjob?jk=ee0bb149f6f10559")</f>
        <v/>
      </c>
      <c r="F169">
        <f>HYPERLINK("https://www.amazon.jobs/jobs/2956622/principal-product-manager--tech-recommender-systems-prime-video-personalization--discovery-?cmpid=DA_INAD200785B", "https://www.amazon.jobs/jobs/2956622/principal-product-manager--tech-recommender-systems-prime-video-personalization--discovery-?cmpid=DA_INAD200785B")</f>
        <v/>
      </c>
      <c r="G169" t="inlineStr">
        <is>
          <t>Washington, DC, US</t>
        </is>
      </c>
      <c r="H169" s="3" t="n">
        <v>45753</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in-27c9393aba72acb3</t>
        </is>
      </c>
      <c r="B170" t="inlineStr">
        <is>
          <t>Principal Product Manager - Tech, Recommender Systems, Prime Video Personalization &amp; Discovery</t>
        </is>
      </c>
      <c r="C170" t="inlineStr">
        <is>
          <t>Amazon.com</t>
        </is>
      </c>
      <c r="D170" t="inlineStr">
        <is>
          <t>indeed</t>
        </is>
      </c>
      <c r="E170">
        <f>HYPERLINK("https://www.indeed.com/viewjob?jk=27c9393aba72acb3", "https://www.indeed.com/viewjob?jk=27c9393aba72acb3")</f>
        <v/>
      </c>
      <c r="F170">
        <f>HYPERLINK("https://www.amazon.jobs/jobs/2956622/principal-product-manager--tech-recommender-systems-prime-video-personalization--discovery-?cmpid=DA_INAD200785B", "https://www.amazon.jobs/jobs/2956622/principal-product-manager--tech-recommender-systems-prime-video-personalization--discovery-?cmpid=DA_INAD200785B")</f>
        <v/>
      </c>
      <c r="G170" t="inlineStr">
        <is>
          <t>Seattle, WA, US</t>
        </is>
      </c>
      <c r="H170" s="3" t="n">
        <v>45753</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in-41c635a0dd5d39fd</t>
        </is>
      </c>
      <c r="B171" t="inlineStr">
        <is>
          <t>Program Manager II, Relo Ops Integration</t>
        </is>
      </c>
      <c r="C171" t="inlineStr">
        <is>
          <t>Amazon.com</t>
        </is>
      </c>
      <c r="D171" t="inlineStr">
        <is>
          <t>indeed</t>
        </is>
      </c>
      <c r="E171">
        <f>HYPERLINK("https://www.indeed.com/viewjob?jk=41c635a0dd5d39fd", "https://www.indeed.com/viewjob?jk=41c635a0dd5d39fd")</f>
        <v/>
      </c>
      <c r="F171">
        <f>HYPERLINK("https://www.amazon.jobs/jobs/3167596/program-manager-ii-relo-ops-integration?cmpid=DA_INAD200785B", "https://www.amazon.jobs/jobs/3167596/program-manager-ii-relo-ops-integration?cmpid=DA_INAD200785B")</f>
        <v/>
      </c>
      <c r="G171" t="inlineStr">
        <is>
          <t>Louisville, KY, US</t>
        </is>
      </c>
      <c r="H171" s="3" t="n">
        <v>46035</v>
      </c>
      <c r="I17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72">
      <c r="A172" t="inlineStr">
        <is>
          <t>in-a35171042e952fe7</t>
        </is>
      </c>
      <c r="B172" t="inlineStr">
        <is>
          <t>Program Manager II, Relo Ops Integration</t>
        </is>
      </c>
      <c r="C172" t="inlineStr">
        <is>
          <t>Amazon.com</t>
        </is>
      </c>
      <c r="D172" t="inlineStr">
        <is>
          <t>indeed</t>
        </is>
      </c>
      <c r="E172">
        <f>HYPERLINK("https://www.indeed.com/viewjob?jk=a35171042e952fe7", "https://www.indeed.com/viewjob?jk=a35171042e952fe7")</f>
        <v/>
      </c>
      <c r="F172">
        <f>HYPERLINK("https://www.amazon.jobs/jobs/3167596/program-manager-ii-relo-ops-integration?cmpid=DA_INAD200785B", "https://www.amazon.jobs/jobs/3167596/program-manager-ii-relo-ops-integration?cmpid=DA_INAD200785B")</f>
        <v/>
      </c>
      <c r="G172" t="inlineStr">
        <is>
          <t>Nashville, TN, US</t>
        </is>
      </c>
      <c r="H172" s="3" t="n">
        <v>46035</v>
      </c>
      <c r="I17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73">
      <c r="A173" t="inlineStr">
        <is>
          <t>in-f60c3be4ff965b58</t>
        </is>
      </c>
      <c r="B173" t="inlineStr">
        <is>
          <t>Program Manager II, Relo Ops Integration</t>
        </is>
      </c>
      <c r="C173" t="inlineStr">
        <is>
          <t>Amazon.com</t>
        </is>
      </c>
      <c r="D173" t="inlineStr">
        <is>
          <t>indeed</t>
        </is>
      </c>
      <c r="E173">
        <f>HYPERLINK("https://www.indeed.com/viewjob?jk=f60c3be4ff965b58", "https://www.indeed.com/viewjob?jk=f60c3be4ff965b58")</f>
        <v/>
      </c>
      <c r="F173">
        <f>HYPERLINK("https://www.amazon.jobs/jobs/3167596/program-manager-ii-relo-ops-integration?cmpid=DA_INAD200785B", "https://www.amazon.jobs/jobs/3167596/program-manager-ii-relo-ops-integration?cmpid=DA_INAD200785B")</f>
        <v/>
      </c>
      <c r="G173" t="inlineStr">
        <is>
          <t>Dallas, TX, US</t>
        </is>
      </c>
      <c r="H173" s="3" t="n">
        <v>46035</v>
      </c>
      <c r="I17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74">
      <c r="A174" t="inlineStr">
        <is>
          <t>in-58c04137b0077fa4</t>
        </is>
      </c>
      <c r="B174" t="inlineStr">
        <is>
          <t>Program Manager II, Relo Ops Integration</t>
        </is>
      </c>
      <c r="C174" t="inlineStr">
        <is>
          <t>Amazon.com</t>
        </is>
      </c>
      <c r="D174" t="inlineStr">
        <is>
          <t>indeed</t>
        </is>
      </c>
      <c r="E174">
        <f>HYPERLINK("https://www.indeed.com/viewjob?jk=58c04137b0077fa4", "https://www.indeed.com/viewjob?jk=58c04137b0077fa4")</f>
        <v/>
      </c>
      <c r="F174">
        <f>HYPERLINK("https://www.amazon.jobs/jobs/3167596/program-manager-ii-relo-ops-integration?cmpid=DA_INAD200785B", "https://www.amazon.jobs/jobs/3167596/program-manager-ii-relo-ops-integration?cmpid=DA_INAD200785B")</f>
        <v/>
      </c>
      <c r="G174" t="inlineStr">
        <is>
          <t>Bellevue, WA, US</t>
        </is>
      </c>
      <c r="H174" s="3" t="n">
        <v>46035</v>
      </c>
      <c r="I17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75">
      <c r="A175" t="inlineStr">
        <is>
          <t>in-50bca7ba7496b190</t>
        </is>
      </c>
      <c r="B175" t="inlineStr">
        <is>
          <t>Program Manager, ReLo Ops Excellence, Relo Ops Integration</t>
        </is>
      </c>
      <c r="C175" t="inlineStr">
        <is>
          <t>Amazon.com</t>
        </is>
      </c>
      <c r="D175" t="inlineStr">
        <is>
          <t>indeed</t>
        </is>
      </c>
      <c r="E175">
        <f>HYPERLINK("https://www.indeed.com/viewjob?jk=50bca7ba7496b190", "https://www.indeed.com/viewjob?jk=50bca7ba7496b190")</f>
        <v/>
      </c>
      <c r="F175">
        <f>HYPERLINK("https://www.amazon.jobs/jobs/3167103/program-manager-relo-ops-excellence-relo-ops-integration?cmpid=DA_INAD200785B", "https://www.amazon.jobs/jobs/3167103/program-manager-relo-ops-excellence-relo-ops-integration?cmpid=DA_INAD200785B")</f>
        <v/>
      </c>
      <c r="G175" t="inlineStr">
        <is>
          <t>Nashville, TN, US</t>
        </is>
      </c>
      <c r="H175" s="3" t="n">
        <v>46020</v>
      </c>
      <c r="I17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76">
      <c r="A176" t="inlineStr">
        <is>
          <t>in-7c68dd5c223f9426</t>
        </is>
      </c>
      <c r="B176" t="inlineStr">
        <is>
          <t>Program Manager, ReLo Ops Excellence, Relo Ops Integration</t>
        </is>
      </c>
      <c r="C176" t="inlineStr">
        <is>
          <t>Amazon.com</t>
        </is>
      </c>
      <c r="D176" t="inlineStr">
        <is>
          <t>indeed</t>
        </is>
      </c>
      <c r="E176">
        <f>HYPERLINK("https://www.indeed.com/viewjob?jk=7c68dd5c223f9426", "https://www.indeed.com/viewjob?jk=7c68dd5c223f9426")</f>
        <v/>
      </c>
      <c r="F176">
        <f>HYPERLINK("https://www.amazon.jobs/jobs/3167103/program-manager-relo-ops-excellence-relo-ops-integration?cmpid=DA_INAD200785B", "https://www.amazon.jobs/jobs/3167103/program-manager-relo-ops-excellence-relo-ops-integration?cmpid=DA_INAD200785B")</f>
        <v/>
      </c>
      <c r="G176" t="inlineStr">
        <is>
          <t>Dallas, TX, US</t>
        </is>
      </c>
      <c r="H176" s="3" t="n">
        <v>46020</v>
      </c>
      <c r="I17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77">
      <c r="A177" t="inlineStr">
        <is>
          <t>in-49b7631adc76812a</t>
        </is>
      </c>
      <c r="B177" t="inlineStr">
        <is>
          <t>Program Manager, ReLo Ops Excellence, Relo Ops Integration</t>
        </is>
      </c>
      <c r="C177" t="inlineStr">
        <is>
          <t>Amazon.com</t>
        </is>
      </c>
      <c r="D177" t="inlineStr">
        <is>
          <t>indeed</t>
        </is>
      </c>
      <c r="E177">
        <f>HYPERLINK("https://www.indeed.com/viewjob?jk=49b7631adc76812a", "https://www.indeed.com/viewjob?jk=49b7631adc76812a")</f>
        <v/>
      </c>
      <c r="F177">
        <f>HYPERLINK("https://www.amazon.jobs/jobs/3167103/program-manager-relo-ops-excellence-relo-ops-integration?cmpid=DA_INAD200785B", "https://www.amazon.jobs/jobs/3167103/program-manager-relo-ops-excellence-relo-ops-integration?cmpid=DA_INAD200785B")</f>
        <v/>
      </c>
      <c r="G177" t="inlineStr">
        <is>
          <t>Bellevue, WA, US</t>
        </is>
      </c>
      <c r="H177" s="3" t="n">
        <v>46020</v>
      </c>
      <c r="I17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78">
      <c r="A178" t="inlineStr">
        <is>
          <t>in-85128f09f4538640</t>
        </is>
      </c>
      <c r="B178" t="inlineStr">
        <is>
          <t>Program Manager, ReLo Ops Excellence, Relo Ops Integration</t>
        </is>
      </c>
      <c r="C178" t="inlineStr">
        <is>
          <t>Amazon.com</t>
        </is>
      </c>
      <c r="D178" t="inlineStr">
        <is>
          <t>indeed</t>
        </is>
      </c>
      <c r="E178">
        <f>HYPERLINK("https://www.indeed.com/viewjob?jk=85128f09f4538640", "https://www.indeed.com/viewjob?jk=85128f09f4538640")</f>
        <v/>
      </c>
      <c r="F178">
        <f>HYPERLINK("https://www.amazon.jobs/jobs/3167103/program-manager-relo-ops-excellence-relo-ops-integration?cmpid=DA_INAD200785B", "https://www.amazon.jobs/jobs/3167103/program-manager-relo-ops-excellence-relo-ops-integration?cmpid=DA_INAD200785B")</f>
        <v/>
      </c>
      <c r="G178" t="inlineStr">
        <is>
          <t>Phoenix, AZ, US</t>
        </is>
      </c>
      <c r="H178" s="3" t="n">
        <v>46020</v>
      </c>
      <c r="I17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79">
      <c r="A179" t="inlineStr">
        <is>
          <t>in-4c6cab35dcb6abdd</t>
        </is>
      </c>
      <c r="B179" t="inlineStr">
        <is>
          <t>Principal Product Manager Technical, Creative X - RAPID</t>
        </is>
      </c>
      <c r="C179" t="inlineStr">
        <is>
          <t>Amazon.com</t>
        </is>
      </c>
      <c r="D179" t="inlineStr">
        <is>
          <t>indeed</t>
        </is>
      </c>
      <c r="E179">
        <f>HYPERLINK("https://www.indeed.com/viewjob?jk=4c6cab35dcb6abdd", "https://www.indeed.com/viewjob?jk=4c6cab35dcb6abdd")</f>
        <v/>
      </c>
      <c r="F179">
        <f>HYPERLINK("https://www.amazon.jobs/jobs/3112224/principal-product-manager-technical-creative-x--rapid?cmpid=DA_INAD200785B", "https://www.amazon.jobs/jobs/3112224/principal-product-manager-technical-creative-x--rapid?cmpid=DA_INAD200785B")</f>
        <v/>
      </c>
      <c r="G179" t="inlineStr">
        <is>
          <t>Seattle, WA, US</t>
        </is>
      </c>
      <c r="H179" s="3" t="n">
        <v>45939</v>
      </c>
      <c r="I17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80">
      <c r="A180" t="inlineStr">
        <is>
          <t>in-e5dca142278b00b2</t>
        </is>
      </c>
      <c r="B180" t="inlineStr">
        <is>
          <t>Principal Product Manager Technical, Creative X - RAPID</t>
        </is>
      </c>
      <c r="C180" t="inlineStr">
        <is>
          <t>Amazon.com</t>
        </is>
      </c>
      <c r="D180" t="inlineStr">
        <is>
          <t>indeed</t>
        </is>
      </c>
      <c r="E180">
        <f>HYPERLINK("https://www.indeed.com/viewjob?jk=e5dca142278b00b2", "https://www.indeed.com/viewjob?jk=e5dca142278b00b2")</f>
        <v/>
      </c>
      <c r="F180">
        <f>HYPERLINK("https://www.amazon.jobs/jobs/3112224/principal-product-manager-technical-creative-x--rapid?cmpid=DA_INAD200785B", "https://www.amazon.jobs/jobs/3112224/principal-product-manager-technical-creative-x--rapid?cmpid=DA_INAD200785B")</f>
        <v/>
      </c>
      <c r="G180" t="inlineStr">
        <is>
          <t>New York, NY, US</t>
        </is>
      </c>
      <c r="H180" s="3" t="n">
        <v>45939</v>
      </c>
      <c r="I18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li-4198546605</t>
        </is>
      </c>
      <c r="B2" t="inlineStr">
        <is>
          <t>Product Manager</t>
        </is>
      </c>
      <c r="C2" t="inlineStr">
        <is>
          <t>Meta</t>
        </is>
      </c>
      <c r="D2" t="inlineStr">
        <is>
          <t>linkedin</t>
        </is>
      </c>
      <c r="E2" t="inlineStr"/>
      <c r="F2" t="inlineStr"/>
      <c r="G2" t="inlineStr">
        <is>
          <t>Bellevue, WA</t>
        </is>
      </c>
      <c r="H2" t="inlineStr"/>
      <c r="I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li-4199408700</t>
        </is>
      </c>
      <c r="B3" t="inlineStr">
        <is>
          <t>Product Manager</t>
        </is>
      </c>
      <c r="C3" t="inlineStr">
        <is>
          <t>Meta</t>
        </is>
      </c>
      <c r="D3" t="inlineStr">
        <is>
          <t>linkedin</t>
        </is>
      </c>
      <c r="E3" t="inlineStr"/>
      <c r="F3" t="inlineStr"/>
      <c r="G3" t="inlineStr">
        <is>
          <t>Burlingame, CA</t>
        </is>
      </c>
      <c r="H3" t="inlineStr"/>
      <c r="I3"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li-4199409425</t>
        </is>
      </c>
      <c r="B4" t="inlineStr">
        <is>
          <t>Product Manager</t>
        </is>
      </c>
      <c r="C4" t="inlineStr">
        <is>
          <t>Meta</t>
        </is>
      </c>
      <c r="D4" t="inlineStr">
        <is>
          <t>linkedin</t>
        </is>
      </c>
      <c r="E4" t="inlineStr"/>
      <c r="F4" t="inlineStr"/>
      <c r="G4" t="inlineStr">
        <is>
          <t>Menlo Park, CA</t>
        </is>
      </c>
      <c r="H4" t="inlineStr"/>
      <c r="I4"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li-4199414034</t>
        </is>
      </c>
      <c r="B5" t="inlineStr">
        <is>
          <t>Product Manager</t>
        </is>
      </c>
      <c r="C5" t="inlineStr">
        <is>
          <t>Meta</t>
        </is>
      </c>
      <c r="D5" t="inlineStr">
        <is>
          <t>linkedin</t>
        </is>
      </c>
      <c r="E5" t="inlineStr"/>
      <c r="F5" t="inlineStr"/>
      <c r="G5" t="inlineStr">
        <is>
          <t>New York, NY</t>
        </is>
      </c>
      <c r="H5" t="inlineStr"/>
      <c r="I5"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li-4245709356</t>
        </is>
      </c>
      <c r="B6" t="inlineStr">
        <is>
          <t>Product Manager, Consumer</t>
        </is>
      </c>
      <c r="C6" t="inlineStr">
        <is>
          <t>Wonder</t>
        </is>
      </c>
      <c r="D6" t="inlineStr">
        <is>
          <t>linkedin</t>
        </is>
      </c>
      <c r="E6" t="inlineStr"/>
      <c r="F6" t="inlineStr"/>
      <c r="G6" t="inlineStr">
        <is>
          <t>New York, NY</t>
        </is>
      </c>
      <c r="H6" t="inlineStr"/>
      <c r="I6"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Wonder is looking for a high\-impact Product Manager to scale our Restaurants business. As part of the Consumer Product team, you will be responsible for delivering innovative product features that transform how customers browse, discover, and order from our restaurant offerings. This includes both our first\-party portfolio of chef\-driven concepts, as well as our expansive local marketplace. In this pivotal role, you will be at the forefront of shaping Wonder into a super\-app for mealtime.
**The Impact You Will Make**
* Work closely with the rest of the consumer product team, and key stakeholders across the organization, to execute our product roadmap, drive top\-line growth, and improve our key metrics
* Own the feature development lifecycle from ideation to feature definition, prioritization, testing, and impact measurement
* Leverage user research, marketing trends, competitive analyses, and customer feedback to inform feature development
* Collaborate with UX/UI designers to ensure the app, website, and all other customer touchpoints are optimized for conversion and engagement
* Communicate product performance and impact to the business and key stakeholders
**What You Bring To The Table**
* 3\+ years of experience in product management leading initiatives and cross\-functional teams
* Relevant experience building consumer\-facing products in eCommerce or multi\-sided marketplaces
* Strong analytical skills and the ability to interpret and use data to drive decision\-making
* Demonstrated ability to work collaboratively in a fast\-paced, dynamic environment
* Excellent communication and interpersonal skills, with the ability to communicate complex ideas clearly and concisely
* Strong project management skills, with the ability to manage multiple projects simultaneously and prioritize competing demands
* Demonstrated experience optimizing conversion funnels using experimentation and impact\-driven prioritization
**Got These? Even Better**
* You think holistically about the customer journey—and obsess over helping users find what they want with ease
* You’re comfortable with ambiguity and bring structure to complex problems
* You communicate clearly and inspire alignment across technical and non\-technical teams
* You have a bias toward action and a desire to learn and improve your product sense
**Base Salary** 
 : $138,000 \- $145,500 per year.
 Wonder uses geographic\-specific salary structures, which means the salary offered may vary depending on where the job is located. The final salary offer will take into account various factors, such as the candidate's skills, education, training, credentials, and experience.
 Our hybrid model requires 3 days a week in the office. That said, many team members choose to come in more often to take advantage of in\-person collaboration and connection. You're welcome—and encouraged—to be in the office up to 5 days a week if it works for you.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7">
      <c r="A7" t="inlineStr">
        <is>
          <t>li-4224920118</t>
        </is>
      </c>
      <c r="B7" t="inlineStr">
        <is>
          <t>Product Manager</t>
        </is>
      </c>
      <c r="C7" t="inlineStr">
        <is>
          <t>Meta</t>
        </is>
      </c>
      <c r="D7" t="inlineStr">
        <is>
          <t>linkedin</t>
        </is>
      </c>
      <c r="E7" t="inlineStr"/>
      <c r="F7" t="inlineStr"/>
      <c r="G7" t="inlineStr">
        <is>
          <t>Seattle, WA</t>
        </is>
      </c>
      <c r="H7" t="inlineStr"/>
      <c r="I7"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li-4340593746</t>
        </is>
      </c>
      <c r="B8" t="inlineStr">
        <is>
          <t>Product Manager, Prediction Markets</t>
        </is>
      </c>
      <c r="C8" t="inlineStr">
        <is>
          <t>Robinhood</t>
        </is>
      </c>
      <c r="D8" t="inlineStr">
        <is>
          <t>linkedin</t>
        </is>
      </c>
      <c r="E8" t="inlineStr"/>
      <c r="F8" t="inlineStr"/>
      <c r="G8" t="inlineStr">
        <is>
          <t>Menlo Park, CA</t>
        </is>
      </c>
      <c r="H8" t="inlineStr"/>
      <c r="I8"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Prediction Markets team’s mission is to expand access to sophisticated financial instruments by making them intuitive and accessible to retail traders. We focus on launching new products such as futures and event\-based contracts, including sports prediction markets. The team partners cross\-functionally with engineering, design, data science, compliance, marketing, and research to unlock entirely new trading experiences.
 As a Product Manager, you will lead initiatives within one of Robinhood’s newest business lines—prediction markets. You’ll shape the future of how users engage with complex financial tools by simplifying decision\-making and creating thoughtful, engaging experiences for our retail audience. This is an opportunity to drive new product innovation from the ground up!
**This role is based in our New York, NY or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cross\-functional team of engineers, designers, data scientists, marketers, and researchers to deliver new prediction market and event\-based trading experiences
* Define product strategy and roadmap for prediction markets and related offerings
* Translate user insights into thoughtful product decisions that balance simplicity, compliance, and trading sophistication
* Launch new products from zero\-to\-one, ensuring timely delivery and high\-quality execution
* Use data, experimentation, and market analysis to guide prioritization and measure success
**What You Bring**
* Bachelor’s or Master's Degree
* 5\+ years of direct product management experience building high\-quality consumer products
* Demonstrated history of using research, experimentation and analytics to guide decision making
* Excellent communication and collaboration skills
* Motivated self\-starter and scrappy
* (Nice to have) Experience working in fintech with an interest in sports or prediction markets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9">
      <c r="A9" t="inlineStr">
        <is>
          <t>li-4335864317</t>
        </is>
      </c>
      <c r="B9" t="inlineStr">
        <is>
          <t>Senior Product Manager, Consumer Payments and Retention</t>
        </is>
      </c>
      <c r="C9" t="inlineStr">
        <is>
          <t>Roku</t>
        </is>
      </c>
      <c r="D9" t="inlineStr">
        <is>
          <t>linkedin</t>
        </is>
      </c>
      <c r="E9" t="inlineStr"/>
      <c r="F9" t="inlineStr"/>
      <c r="G9" t="inlineStr">
        <is>
          <t>San Jose, CA</t>
        </is>
      </c>
      <c r="H9" t="inlineStr"/>
      <c r="I9"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Subscriptions Product team at Roku is focused on growing Roku’s subscriptions business by creating extraordinary experiences that allow our viewers to purchase and engage with subscription services. We collaborate closely with Engineering, UX, Legal, Business teams, and partners to deliver high\-quality features and capabilities our users love.
**About the Role** 
 We’re seeking a Senior Product Manager of Consumer Payments \&amp; Retention to own payment experience, compliance, and drive subscription retention efforts across the Roku ecosystem.  
 For California Only \- The estimated annual salary for this position is between $204,000 \- $255,000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Enhance the consumer facing experiences, wherever Subscriptions from Roku are available, for adding and updating methods of payment with a goal of increasing purchase conversion. This includes at time of device activation or account creation, and at critical points through the consumer journey
* Drive method of payment enhancements, giving users a choice on how they purchase on Roku
* Define and ship retention mechanisms—smart cancellation save offers, win back pathways, and seamless discovery/subscription into other services
* Run A/B tests to quantify the impact of features and capabilities across the payment and retention portfolio
* Collaborate cross\-functionally to operationalize payment and purchase compliance requirements in consumer flows and customer communications
* Partner with Customer Care to design clear, fair refund experiences and policies that balance user trust with operational efficiency
**We’re Excited If You Have** 
* 5\+ years of Product Management experience; consumer subscriptions/streaming experience strongly preferred
* Ability to engage deeply with Engineering on technical details to translate product requirements into scalable solutions; proven success delivering high\-quality products on time
* Reputation as a strong collaborator who listens, builds consensus, makes clear decisions, and writes thoughtful requirements
* Track record of executing plans end\-to\-end: driving alignment, managing tradeoffs, and unblocking teams to ship reliably
* Comfort with instrumentation and experimentation at scale: conversion, churn, payment success, and partner health metrics
* Bonus: Proven track record shipping multi\-country products: payments, tax/VAT/compliance, localization, and partner onboarding at scale
* Bachelor’s degree (in Computer Science or a related technical field), MBA preferred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
      <c r="A10" t="inlineStr">
        <is>
          <t>li-4353720198</t>
        </is>
      </c>
      <c r="B10" t="inlineStr">
        <is>
          <t>Product Manager, Enterprise Systems</t>
        </is>
      </c>
      <c r="C10" t="inlineStr">
        <is>
          <t>Netflix</t>
        </is>
      </c>
      <c r="D10" t="inlineStr">
        <is>
          <t>linkedin</t>
        </is>
      </c>
      <c r="E10" t="inlineStr"/>
      <c r="F10" t="inlineStr"/>
      <c r="G10" t="inlineStr">
        <is>
          <t>Hartford, CT</t>
        </is>
      </c>
      <c r="H10" t="inlineStr"/>
      <c r="I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Role**
 We are seeking a dynamic and experienced Product Manager to lead our efforts in building a data and integration platform that connects enterprise systems and tools, centralizes data, and enables seamless workflow automation across the organization. This role also requires data integration strategy and roadmap for the Travel Technology space including conducting buy vs. build analysis for 3rd party Travel tools. In this high\-impact role, you will drive the strategy, roadmap, and execution for our data platform and enterprise integration initiatives, empowering teams with reliable, accessible, and actionable tools and information.
 You will work at the intersection of data, and enterprise systems, collaborating with engineering, business stakeholders, and external partners to define and deliver on key strategic initiatives. Your leadership will ensure we deliver scalable solutions that integrate disparate systems, streamline data flows, and support our digital transformation goals.
**About You**
 You are curious, creative and have experience applying product management frameworks to create enterprise or consumer products. You have a keen eye for design, are highly adaptable and when faced with challenges, you become more creative, not less. You like solving problems and can drive clarity to build the optimal products. You are biased toward execution and can lead the team to bring projects from concept to completion, doing everything possible to ensure a successful launch. You are data\-driven with a knack for using data to identify business opportunities, have a can\-do attitude, are confident, and a skilled communicator who welcomes honest and candid feedback. You are comfortable working with engineers, customers, and executives and know how to articulate your communication to each audience effectively.
**Key Responsibilities**
* Define and execute the product vision and roadmap for data integration and enterprise systems solutions.
* Oversee the centralization and integration of data with internal centralized data warehouse using APIs.
* Conduct buy vs. build analysis for third\-party tools
* Gather requirements from diverse internal stakeholders and translate them into actionable product features.
* Ensure data quality, consistency, privacy, and compliance across all integrated systems and data flows.
* Partner with analytics and business intelligence teams to enable self\-service reporting and actionable insights from unified data.
* Drive continuous improvement in user experience and integration capabilities.
* Manage vendor relationships to understand and integrate continuous product improvements.
* Communicate progress, priorities, and results to executive leadership and cross\-functional teams.
**Requirements**
* Bachelor's Degree.
* 4\+ years of product management experience with a proven track record in data integration and enterprise systems.
* Strong understanding of data platforms, APIs and enterprise integration patterns.
* Experience conducting buy vs. build analysis for third\-party tools.
* Excellent communication and interpersonal skills
* Ability to operate strategically, envisioning scalable solutions, while also diving deep with engineers into edge cases, technical tradeoffs, and implementation details.
* Self\-directed and comfortable operating in a decentralized, fast\-paced environment
* Empathy for internal users and ability to turn business needs into delightful product experiences.
* Lead product requirements, technical development, product testing, launch, end\-user training, and rollout.
* Ability to drive and influence business decisions based on data and metrics.
* Outstanding written and verbal communication skills.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li-4323917195</t>
        </is>
      </c>
      <c r="B11" t="inlineStr">
        <is>
          <t>Senior Product Manager</t>
        </is>
      </c>
      <c r="C11" t="inlineStr">
        <is>
          <t>Candid</t>
        </is>
      </c>
      <c r="D11" t="inlineStr">
        <is>
          <t>linkedin</t>
        </is>
      </c>
      <c r="E11" t="inlineStr"/>
      <c r="F11" t="inlineStr"/>
      <c r="G11" t="inlineStr">
        <is>
          <t>New York, NY</t>
        </is>
      </c>
      <c r="H11" t="inlineStr"/>
      <c r="I11" t="inlineStr">
        <is>
          <t>**Position Summary**
 Candid is a nonprofit that provides the most comprehensive data and insights about the social sector. We get you the information you need to do good. Candid currently has an opportunity for a
 **Senior Product Manager** 
 to drive social change working for an exceptional technology and user centric nonprofit. Candid’s products offer best\-in\-class data about the social sector and are used by companies and nonprofits to facilitate their work as change agents. The Senior Product Manager will work with the Senior Director of Product Management to deliver features, products and services to Candid’s product portfolio, with emphasis on implementation of emerging technologies; executing end\-to\-end features that drive customer acquisition and retention. He/She/They will drive innovation that enhances overall customer experience to exceed expectations.
**Position:** 
 Senior Product Manager
**Reporting to:** 
 Senior Director of Product Management
**Supervises:** 
 N/A
**Schedule:** 
 35\-hour work week, Monday through Friday
**Compensation:** 
 $121,000 \- $170,000 (this range is for the NYC area and will be adjusted for other localities; additionally, factors like skills and experience will be considered).
**Location:** 
 Remote. In\-person attendance is expected twice per year during our annual, weeklong all\-staff summits. Additional in\-person meeting participation is expected at least once per quarter for senior leaders and at least once per month for the executive team. Staff not located in the NYC area are expected to travel for these meetings.
**Benefits** 
 : Health insurance (medical, dental, vision), retirement contribution with additional option for a match, paid life insurance and AD\&amp;D, paid leave time (PTO, compassionate leave, volunteer, holiday, parental), short\-term and long\-term disability, pre\-tax transit, flexible spending accounts, supplemental insurance, summer hours, and Public Service Loan Forgiveness (PSLF) program eligible employer.
**Responsibilities**
* Own core SaaS product functionality including AI\-enhanced user experiences, intelligent workflows, metrics and platform KPIs, in partnership with the Director of Product Management.
* Lead Product Discovery with Engineering, Design and Research to identify, prototype, and implement solutions using emerging technologies that automate workflows, surface insights, and deliver critical context at scale—continuously evaluating new tools to maintain competitive advantage.
* Partner with product teams to prioritize work toward collective OKRs, target metrics, and customer\-driven features.
* Shape product strategy through user feedback, competitive analysis, AI market trends, and stakeholder input to inform current and future data and technology needs.
* Execute day\-to\-day product operations: manage product backlogs, maintain Jira boards, attend daily scrums, provide trade\-off decisions, and approve releases as part of CI/CD processes.
* Create and maintain product documentation and release notes for internal and external stakeholders.
* Present product updates, value propositions, and competitive differentiators to cross\-divisional teams and external audiences.
* Create/own the sunset plan for legacy platforms (Foundation Directory, GuideStar Pro, Charity Check, Foundation Maps).
* Foster team unity and cross\-team collaboration while embodying Candid's values and championing innovation in emerging technologies.
**Requirements**
* 5\+ years of Product Management experience with complex, data\-driven SaaS products.
* Deep familiarity with AI and emerging technologies, especially prototyping, generative tools, and practical implementations.
* Experience with B2B subscription products (Salesforce or similar) and payment processing systems including credit card and ACH.
* Technical proficiency with data queries, APIs, and search technology (nomenclature, approaches, and tooling).
* Proven ability to facilitate cross\-functional collaboration between design, engineering, and business stakeholders.
* Strong documentation skills: technical specifications for internal teams and simplified content for external audiences.
* Experience with Agile methodologies (Kanban and Scrum) and Atlassian tools (JIRA, Confluence).
* U.S.\-based work hours preferred (EST\-PST).
* Willingness to perform other duties and special projects as needed/requested.
* Sensitivity and respect for racial, gender, sexual orientation, and cultural differences.
* Champions and represents Candid’s core values: We’re driven, direct, accessible, curious, and inclusive.
**About Candid**
 Candid’s mission is to get you the information you need to do good.
 The world’s problems are only growing, and change can’t wait. Nonprofits are needed now more than ever, but all too often their work goes without adequate support.
 Candid makes it easier and faster for nonprofits and funders to connect in pursuit of solutions to change the world. Candid is where nonprofits find grants, donors find nonprofits that inspire them, and all can gain insights about the work being done for good.
 Candid is a qualifying nonprofit organization as defined by the Public Service Loan Forgiveness Program. As such, Candid employees may claim their employment time on their PSLF application. We offer a competitive salary and excellent benefits. Due to the high volume of applicants we typically receive, we regret that we can only contact candidates we would like to interview.
 For more information on positions available at Candid, please visit our website:
 **Work with us**
**Candid is an equal opportunity employer.** 
 Candid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2">
      <c r="A12" t="inlineStr">
        <is>
          <t>li-4264886439</t>
        </is>
      </c>
      <c r="B12" t="inlineStr">
        <is>
          <t>Sr. Product Manager - FinTech</t>
        </is>
      </c>
      <c r="C12" t="inlineStr">
        <is>
          <t>Stampli</t>
        </is>
      </c>
      <c r="D12" t="inlineStr">
        <is>
          <t>linkedin</t>
        </is>
      </c>
      <c r="E12" t="inlineStr"/>
      <c r="F12" t="inlineStr"/>
      <c r="G12" t="inlineStr">
        <is>
          <t>Mountain View, CA</t>
        </is>
      </c>
      <c r="H12" t="inlineStr"/>
      <c r="I12" t="inlineStr">
        <is>
          <t>**About The Position**
 Stampli, a leader in B2B SaaS and fintech innovation, is seeking a
 **Senior Product Manager** 
 to help drive the vision, strategy, and execution of our Fintech product offerings. Our solutions are transforming how businesses manage financial operations and ERP connectivity, with a focus on seamless user experiences, automation, and AI\-powered efficiencies.
 In this role, you will own critical product initiatives within the Fintech domain, working cross\-functionally to deliver innovative, high\-impact features. You’ll collaborate with teams across the Bay Area and Israel and report directly to the Director of Fintech Product.
**What You Will Do**
* Define and execute product features and roadmap items that support the broader product strategy and company goals.
* Manage fintech integrations and partnerships, ensuring seamless operations from validation through execution and ongoing operation.
* Drive Product\-Led Growth initiatives to enhance customer adoption, retention, and revenue generation.
* Leverage AI\-driven technologies and data driven insights to innovate, improve user experience and reduce operational friction.
* Partner with engineering, design, data, and customer\-facing teams to ensure timely delivery and successful product outcomes.
* Serve as the product domain expert, clearly communicating vision, progress, and outcomes to stakeholders.
* Serve as the voice of the customer in all product decisions, advocating for delightful, intuitive user experiences.
**What You Will Bring**
* 4–6 years of product management experience in B2B SaaS, ideally in the FinTech space.
* Experience working with partners to integrate financial products such as money movement, credit card processing, or payments automation.
* Demonstrated success driving product initiatives that lead to measurable business outcomes, especially in product\-led growth environments.
* Strong collaboration and communication skills, with the ability to align cross\-functional teams and influence stakeholders.
* Familiarity with AI technologies, machine learning \&amp; LLM concepts, and practical experience applying AI to fintech solutions.
* Analytical mindset with a passion for using data and customer feedback to drive decisions.
* Familiarity with agile methodologies and user\-centered design principles.
* Ability to manage multiple initiatives in a fast\-paced, collaborative environment.
* Bachelor’s degree in Business, Computer Science, Engineering, or a related field.
**You Will Get**
* The flexibility of working from our Mountain View, CA office three days a week (Tuesday, Wednesday, and Thursday), with the option to work remotely for the remainder of the week.
* Full medical, dental, and vision insurance
* 401(k) \+ employer match
* Access to cutting\-edge AI tools, including ChatGPT Enterprise, to enhance productivity, support innovation, and streamline daily workflows
* Opportunities and development for career and personal growth
* Strong and experienced leadership that supports your growth and success
* An open\-concept, modern workspace within an inclusive and dynamic scale\-up culture
 The base salary range for this position is $170K\-$180K \+ Bonus and Equity. Compensation offered will be determined by factors such as location, level, job\-related knowledge, skills, and experience.
**Why Join Stampli?**
 Stampli is revolutionizing financial operations with AI, far ahead of competitors. For nearly a decade, our AI assistant, Billy, has set the industry standard—processing $100B\+ in invoices annually and saving millions of labor hours for 1,600\+ customers. More than automation, Billy transforms finance teams by freeing them of manual work.
 Our explosive growth places us among the top tech companies at our stage, with exceptionally low churn. After conquering the Accounts Payable space, we're now revolutionizing the entire procure\-to\-pay (P2P) lifecycle with our new platform that "connects every dot from request to reconciliation."
 What sets us apart? We adapt to customers—not the other way around—integrating with 70\+ ERPs in weeks, not months. Our customer\-first approach extends to our award\-winning workplace culture, with vibrant, global offices. We've earned multiple Comparably awards, including Best Company Outlook, Work\-Life Balance, Compensation, Happiness, and Perks \&amp; Benefits.
 Here at Stampli, we build exceptional products with exceptional people. Join our dynamic team where your career will thrive in an environment that champions creativity, collaboration, and growth!</t>
        </is>
      </c>
    </row>
    <row r="13">
      <c r="A13" t="inlineStr">
        <is>
          <t>li-4361468380</t>
        </is>
      </c>
      <c r="B13" t="inlineStr">
        <is>
          <t>Product Owner</t>
        </is>
      </c>
      <c r="C13" t="inlineStr">
        <is>
          <t>Mind Flex Games LLC</t>
        </is>
      </c>
      <c r="D13" t="inlineStr">
        <is>
          <t>linkedin</t>
        </is>
      </c>
      <c r="E13" t="inlineStr"/>
      <c r="F13" t="inlineStr"/>
      <c r="G13" t="inlineStr"/>
      <c r="H13" t="inlineStr"/>
      <c r="I13" t="inlineStr">
        <is>
          <t>**🚀 We’re Hiring: Product Owner – Daily Fantasy Sports (USA)**
**Location:** 
 Remote
**Type:** 
 Full\-time
**Reporting to:** 
 Founders / Executive Leadership
 We’re building a
**next\-generation Daily Fantasy Sports (DFS) platform** 
 for the US market—combining
**best\-in\-class engagement mechanics from Indian DFS** 
 with
**fully compliant US contest formats** 
 .
 We’re looking for a
**Product Owner** 
 with
**hands\-on US DFS experience** 
 who can own product execution end\-to\-end and coordinate across engineering, design, compliance, and third\-party vendors.
**🎯 What You’ll Do** 
 Own the
**DFS product roadmap** 
 across web and mobile
 Define and deliver
**contest formats, gameplay rules, scoring systems, and payouts** 
 Design
**hybrid DFS gameplay** 
 blending Indian engagement mechanics with US compliance
 Act as the
**primary product bridge** 
 between:
* Engineering (frontend, backend, mobile)
* UI/UX
* Legal \&amp; compliance
* Payments, KYC, geo\-location, fraud, and data vendors
 Lead
**Agile execution** 
 : PRDs, user stories, backlog grooming, sprint planning
 Ensure platform alignment with
**US DFS regulations and state\-wise requirements** 
 Drive vendor integrations (sports data, payments, KYC, AML, fraud)
 Report product metrics, risks, and progress to founders and key stakeholders
**✅ What We’re Looking For** 
**Must\-Have** 
 5\+ years of Product Management / Product Owner experience
**Direct experience in US Daily Fantasy Sports** 
 Strong understanding of:
* DFS contest economics \&amp; rake structures
* User engagement \&amp; retention mechanics
* US DFS compliance and state restrictions
 Proven experience working with
**remote, cross\-functional teams** 
 Excellent stakeholder communication skills
**Nice\-to\-Have** 
* Experience launching or scaling a DFS platform (0→1 or growth stage)
* Exposure to
**Indian DFS products or formats**
* Multi\-sport DFS experience (NFL, NBA, MLB, Soccer, Cricket)
* Startup or founder\-led environment experience
**🌟 Why Join Us** 
* Build a
**differentiated US DFS product** 
 from the ground up
* High ownership and direct access to founders
* Remote\-first, outcome\-driven culture
* Opportunity to shape a
**cross\-border DFS product vision**
 📩
**Interested?** 
 Apply via LinkedIn or message us directly with:
* Your DFS product experience
* Platforms you’ve worked on
* Your role in contest design or compliance execution</t>
        </is>
      </c>
    </row>
    <row r="14">
      <c r="A14" t="inlineStr">
        <is>
          <t>li-4238777828</t>
        </is>
      </c>
      <c r="B14" t="inlineStr">
        <is>
          <t>Senior Agent Product Manager</t>
        </is>
      </c>
      <c r="C14" t="inlineStr">
        <is>
          <t>Decagon</t>
        </is>
      </c>
      <c r="D14" t="inlineStr">
        <is>
          <t>linkedin</t>
        </is>
      </c>
      <c r="E14" t="inlineStr"/>
      <c r="F14" t="inlineStr"/>
      <c r="G14" t="inlineStr">
        <is>
          <t>New York, NY</t>
        </is>
      </c>
      <c r="H14" t="inlineStr"/>
      <c r="I14"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4\+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$200K – $285K \+ Offers Equity</t>
        </is>
      </c>
    </row>
    <row r="15">
      <c r="A15" t="inlineStr">
        <is>
          <t>li-4298781375</t>
        </is>
      </c>
      <c r="B15" t="inlineStr">
        <is>
          <t>Product Manager | Growth</t>
        </is>
      </c>
      <c r="C15" t="inlineStr">
        <is>
          <t>Ramp</t>
        </is>
      </c>
      <c r="D15" t="inlineStr">
        <is>
          <t>linkedin</t>
        </is>
      </c>
      <c r="E15" t="inlineStr"/>
      <c r="F15" t="inlineStr"/>
      <c r="G15" t="inlineStr">
        <is>
          <t>San Francisco, CA</t>
        </is>
      </c>
      <c r="H15" t="inlineStr"/>
      <c r="I1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 are seeking a high\-velocity product manager to own Activation and Expansion Tech at Ramp. You will define and evolve our end\-to\-end vision for how we onboard customers and help them maximize value from Ramp’s multi\-product offering. In addition to in\-app experiences, this role will build tooling for our Sales org to maximize efficiency. This role requires collaboration across various internal teams (especially sales, finance, and marketing), a deep understanding of our customers, and the ability to leverage data to build high\-impact growth systems.
***Please note that this Product Management role will require you to be comfortable with working in\-person at one of our NYC or SF offices at least 2 days/week***
**What You’ll Do**
* Own Ramp's Activation and Expansion product roadmap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**What You Need**
* BA/BS in mathematics, technical, or analytical field
* Minimum of either:
+ 4 years of product management experience
+ 2 years of product management experience and 2\+ year of experience in investment banking or management consulting
* Data\-Driven Mindset – Fluency in crafting data\-driven narratives. You enjoy writing SQL to answer your own questions and thrive on leveraging data to shape and communicate a strategic vision.
* Slope \- We value slope over intercept; We’re looking for a high\-growth team member who can be a future leader at Ramp
* Leadership \&amp; Collaboration – Proven ability to build alignment across cross\-functional teams, inspire stakeholders, and lead initiatives from strategy through execution.
* Passion for AI, shown through hands\-on building, prototyping, or side projects, and staying current on research and tools.
* Fluency with modern prototyping tools (e.g. Cursor, Bolt, Claude Code) and comfort with design/collaboration environments like Figma and Git.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6">
      <c r="A16" t="inlineStr">
        <is>
          <t>li-4269258388</t>
        </is>
      </c>
      <c r="B16" t="inlineStr">
        <is>
          <t>Senior Product Manager</t>
        </is>
      </c>
      <c r="C16" t="inlineStr">
        <is>
          <t>Knot</t>
        </is>
      </c>
      <c r="D16" t="inlineStr">
        <is>
          <t>linkedin</t>
        </is>
      </c>
      <c r="E16" t="inlineStr"/>
      <c r="F16" t="inlineStr"/>
      <c r="G16" t="inlineStr">
        <is>
          <t>New York, NY</t>
        </is>
      </c>
      <c r="H16" t="inlineStr"/>
      <c r="I16"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Newer products like TransactionLink support the retrieval of item\-level transaction data, while Shopping enables native purchasing and checkout capabilities for any app. We are building many new products on top of our novel merchant connectivity platform and we hope you choose to come build them with us!
 Founded in 2021, Knot was founded by two brothers and Thiel Fellows \- Rory and Kieran O’Reilly \- and today powers connected online payment experiences for hundreds of thousands of consumers. Companies like American Express, PayPal, OnePay,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Work with an engineering team to build any number of the following:
* Brand new 0 → 1 products that interact with direct merchant integrations (to read/write data) and solve a specific problem for customers (exposed via API and webhooks)
* Funnel optimizations for the core CardSwitcher product via UX improvements and deep personalization
* AI\-native validation and code healing systems for data retrieval, parsing, and storage
* 1st\-of\-it's\-kind, SKU\-level reward offer marketplace for merchants to offer rewards for specific products through the Knot UX and network
* New transaction data features for the TransactionLink product on the API (e.g. membership info, fulfillment lifecycle info, product recommendations, etc.)
* PLG features to enable customers to explore (through data \&amp; visualization) and sign up for Knot’s products without speaking to the team
* Developer\-experience features to make integrating Knot even easier (e.g. MCP, CLI tool, SDKs, 1\-click testing, etc.)
* Enterprise features (e.g. direct issuer processor integrations, localization, audit logs, observability, custom billing, etc.)
**You Will Also**
* Talk to customers frequently via slack \&amp; calls to help them integrate Knot seamlessly and to understand customers’ precise needs \&amp; desires to influence your roadmap
* Prioritize your relationship with the engineering team, doing whatever it takes to support them in building the right products
* Find ways to automate as much mundane work in \&amp; outside your team as possible
* Set an exceptionally high pace for the team and everyone around you
**What You’ll Need To Get The Job Done**
* Experience: 2\-8 years of experience working at a startup.
* Clued\-in on AI: you use multiple AI tools daily to perform your role and play with new tools frequently (e.g. cursor, chatgpt, claude, google AI studio, agent builders, etc.).
* Intellectual firepower: you are exceptionally smart and can connect many dots to make high quality decisions.
* Resilience under pressure: you don’t panic when things get hard and thrive in a high\-stakes environment.
* In\-the\-weeds execution: you live in the details and obsess over edge cases, not just pretty strategy decks. You’re the first to notice when something seems off or smells wrong.
* Relentless drive: you operate with a maniacal intensity and don't slow down at the first (or tenth) obstacle.
* Sharp judgment: you have elite product sense and strong instincts about what matters and what doesn't.
* Technical fluency: you have some technical background (e.g. engineering, computer science, etc.) that allows you to deeply understand complex systems, collaborate with engineers, and spot technical risk early.
**What We Offer**
* 5 days/week working on interesting and challenging problems alongside your team in our beautiful NYC office in the heart of Flatiron
* Extremely compact team with high talent\-density
* Competitive base salary (commensurate with experience) \+ up to 20% annual bonus \+ generous early employee equity
* 100% medical, dental, and vision insurance coverage for you and your dependents (U.S.)
* Unlimited PTO
* Parental leave
* Herman Miller Aeron Desk Chair
* Food (snacks, frequent lunches, and often dinner for those working late)</t>
        </is>
      </c>
    </row>
    <row r="17">
      <c r="A17" t="inlineStr">
        <is>
          <t>li-4336103966</t>
        </is>
      </c>
      <c r="B17" t="inlineStr">
        <is>
          <t>Senior Product Manager, Platform</t>
        </is>
      </c>
      <c r="C17" t="inlineStr">
        <is>
          <t>Mindbody</t>
        </is>
      </c>
      <c r="D17" t="inlineStr">
        <is>
          <t>linkedin</t>
        </is>
      </c>
      <c r="E17" t="inlineStr"/>
      <c r="F17" t="inlineStr"/>
      <c r="G17" t="inlineStr"/>
      <c r="H17" t="inlineStr"/>
      <c r="I17"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**About The Role**
 We're seeking a Senior Product Manager, Platform to serve our internal product development squads and help guide us towards the platform of the future for Playlist.
 This role sits at the intersection of developer experience, infrastructure, security, and software development lifecycle (SDLC) operations. You'll work cross\-functionally with engineering, SRE, security, and application teams to deliver intuitive, scalable, and secure platform capabilities that accelerate developer productivity and enable our business objectives.
 What You'll Do
 Developer Engagement \&amp; Advocacy
* **Be the voice of our internal developers** 
 . Collect pain points, usage patterns, and feedback from engineering teams across Mindbody to develop an informed POV on the biggest opportunities for Platform teams to better serve the organization.
* **Evangelize platform capabilities.** 
 Help development squads understand what the platform offers, how to best leverage platform products and other tools, and where opportunities exist for partnership and collaboration.
* **Roadmap Synthesis:** 
 Work with AI tooling and analytics to synthesize this information and integrate it into strategic planning.
 Platform Strategy \&amp; Execution
* Own the platform roadmap across key themes including reliability \&amp; performance, platform modernization, developer experience, and operational excellence.
* Drive initiatives to improve developer experience, CI/CD workflows, infrastructure abstraction, security, and observability.
* Partner with security, compliance, and architecture teams to ensure platform capabilities are scalable, secure, and meet enterprise standards.
 Measurement \&amp; Impact
* Work with platform squads to define North Star metrics and establish a framework for tracking success metrics that demonstrate business impact.
* Measure platform adoption and effectiveness.
* Communicate the value of platform investments to leadership and stakeholders through data\-driven storytelling.
 What You'll Bring
**Required**
* **Enterprise developer tooling experience:** 
 Proven track record building "Platform as a Product" either internally at scale or as an external offering.
* **Developer\-focused product management:** 
 Deep experience building tools, services, and APIs consumed by developers. You understand what makes developers productive and can translate technical requirements into product strategy.
* **Technical depth:** 
 Ability to engage credibly with engineering teams on technical topics including infrastructure, CI/CD, observability, security, platform architecture, and GenAI Coding Tools.
* **Hands on experience with one or more of the following areas:** 
 Kubernetes ecosystem (EKS, Karpenter, or Kyverno), CI/CD (Github Actions, Azure DevOps), Infrastructure\-as\-Code (Terraform, Pulumi, or CloudFormation), Observability (New Relic, Datadog, or Grafana), GenAI Coding Tools (Copilot, Cursor)
* **Cross\-functional leadership:** 
 Track record of driving complex initiatives across multiple engineering teams, with influence rather than authority.
* **Data\-driven decision making:** 
 Experience defining metrics that matter and using data to prioritize, communicate impact, and drive continuous improvement.
 Nice to Have
* Previous experience as an SRE, software engineer, or in a similar technical role
* Experience with platform modernization and legacy system migrations
* Familiarity with developer portal tools, service catalogs, and internal developer platforms
* Experience in SaaS or B2B environments serving technical audiences
* Experience collaborating and aligning with global teams and moving projects forward asynchronously
 Success in Your First Year
* **30 Days:** 
 Build relationships across platform and application development squads. Establish regular touchpoints with key developer teams and their leaders. Begin synthesizing feedback from support channels.
* **90 Days:** 
 Deliver a refined platform vision and 2026 roadmap aligned with strategic themes. Launch developer engagement initiatives. Establish baseline metrics for platform health and developer satisfaction.
* **6 Months:** 
 Drive measurable improvements in key metrics (deployment time, DevEx scores, platform infrastructure adoption). Increase platform visibility and adoption across engineering. Establish the platform as a trusted partner to development teams.
* **1 Year:** 
 Demonstrate clear business impact through improved reliability, faster delivery cycles, and higher developer satisfaction. Position the platform for scale as Mindbody grows. Build a community of platform advocates across the organization.
 Why This Role Matters
 Platform Engineering at Mindbody touches every aspect of our technical operation—from how quickly we ship features to how reliably our services run to how secure our customer data remains. This role has the unique opportunity to accelerate every engineering team's effectiveness, enabling us to deliver better experiences for the millions of consumers and businesses who rely on Mindbody.
 As the first dedicated Platform PM, you'll shape not just what we build, but how we think about internal platforms as products. You'll establish practices, metrics, and relationships that will scale with the company for years to come.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$130k to $175k. The total compensation package for this position may also include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Playlist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Playlist,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18">
      <c r="A18" t="inlineStr">
        <is>
          <t>li-4257737027</t>
        </is>
      </c>
      <c r="B18" t="inlineStr">
        <is>
          <t>Senior Agent Product Manager</t>
        </is>
      </c>
      <c r="C18" t="inlineStr">
        <is>
          <t>Decagon</t>
        </is>
      </c>
      <c r="D18" t="inlineStr">
        <is>
          <t>linkedin</t>
        </is>
      </c>
      <c r="E18" t="inlineStr"/>
      <c r="F18" t="inlineStr"/>
      <c r="G18" t="inlineStr">
        <is>
          <t>San Francisco, CA</t>
        </is>
      </c>
      <c r="H18" t="inlineStr"/>
      <c r="I18"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**About The Role**
 On the APM team you’ll own each stage of the AI Agent building process.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You’ll become a key source of customer insight guiding our long\-term product roadmap.
 APMs at Decagon own their own portfolio of agents from end\-to\-end and are trusted to make real impact. This role is for someone who dives deep into complex business problems, builds elegant solutions and then scales them out to millions users.
**In this role, you will**
* Build, Design and optimize Enterprise\-quality AI agents in collaboration with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**Your background looks something like this**
* Have 4\+ years of relevant experience (e.g., product manager, engagement manager, consultant, founder, etc.)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**Benefits**
* Medical, dental, and vision benefits
* Take what you need vacation policy
* Daily lunches, dinners and snacks in the office to keep you at your best
**Compensation**
 $200K – $285K \+ Offers Equity</t>
        </is>
      </c>
    </row>
    <row r="19">
      <c r="A19" t="inlineStr">
        <is>
          <t>li-4370090117</t>
        </is>
      </c>
      <c r="B19" t="inlineStr">
        <is>
          <t>Principal Product Manager</t>
        </is>
      </c>
      <c r="C19" t="inlineStr">
        <is>
          <t>The Walt Disney Company</t>
        </is>
      </c>
      <c r="D19" t="inlineStr">
        <is>
          <t>linkedin</t>
        </is>
      </c>
      <c r="E19" t="inlineStr"/>
      <c r="F19" t="inlineStr"/>
      <c r="G19" t="inlineStr">
        <is>
          <t>San Francisco, CA</t>
        </is>
      </c>
      <c r="H19" t="inlineStr"/>
      <c r="I19"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Product Management is responsible for driving the overall user experience, feature strategies and concepts, and engagement paradigms for Disney Entertainment \&amp; ESPN's global portfolio of consumer\-facing streaming and digital products – including Disney\+, Hulu, ESPN, ABC, ABC News, Nat Geo, Marvel, and Star Wars.
**About This Role**
 This position is part of the ESPN Product team. At ESPN, our mission is To Serve Sports Fans. Anytime. Anywhere. The mission statement is not just words; it is the mantra that we live by. The ESPN Product Team is responsible for setting strategy, building, executing and operating world\-class products for sports fans. Anytime. Anywhere. With unmatched scale, best\-in\-class content, incredible rights, and world class platforms, ESPN is the market leader in Sports, and we are never complacent. We are constantly innovating for our fans.
 As the Principal Product Manager of Fandom for ESPN Digital products, you will be a key leader responsible for shaping fan expression, “lean\-forward” participatory features, and connected social experiences across the ESPN suite of apps to unlock the full potential of sports fandom across the ESPN ecosystem.
 This role demands a seasoned product manager with a deep understanding of how to build an engaging fan experience in a brand safe way, a proven track record of operating online communities, navigating complex user experience projects, and the ability to collaborate effectively with cross\-functional teams, particularly in design and engineering. You will work with other leaders to define a unified strategic vision for creating engagement flywheels centered around sports fandom. The ability and excitement to strategize for a new generation of sports fans and how they engage with our products is vital for this position.
 This role demands a strong technical background, excellent product sense, strategic thinking, analytical capabilities, and the ability to collaborate with cross\-functional teams to deliver high\-quality, cutting\-edge solutions.
 The ideal candidate must be highly experienced in cultivating and operating online communities and connected social products that leverage user\-generated content (UGC). This person must operate with a high level of autonomy and demonstrate strong product vision, strategy, leadership and analytical thinking in furtherance of business objectives. This opportunity is uniquely positioned to make an immediate impact on the next generation of ESPN’s consumer experiences.
**Responsibilities**
***Product Strategy and Vison***
* Develop and communicate a strategic vision for engaging our fans, aligning with broader company goals and market trends.
* Effectively communicate product strategies, updates, and results to stakeholders at all levels, fostering a collaborative and transparent working environment.
* Work with leadership to craft product vision, strategy, OKRs, and roadmap while executing with great success.
* Stay abreast of industry trends and emerging technologies related to fan engagement and moderation, providing recommendations for continuous improvement.
* Be an ambassador and culture champion for ESPN products internally and externally.
***Product Development***
* Leverage previous experience building online communities and connected social experiences and apply those learnings to ESPN and Disney.
* Champion a fan\-centered design approach, ensuring that user needs and preferences drive the development of innovative and intuitive product features.
* Lead and inspire cross\-functional teams in the planning, execution, and delivery of complex user experience projects, ensuring timelines and quality standards are met.
* Write detailed product requirements, user stories, and documentation to drive development of features.
* Manage road maps, backlogs, and prioritize features to drive maximum impact.
* Fill in gaps across roles and functions as needed, performing as an adaptive problem solver.
* Engage in our sports\-obsessed culture to best serve our fans.
***OKRs and Analytics***
* Define and monitor Objectives and Key Results (OKRs) related to fan engagement and user satisfaction.
* Identify KPIs, build dashboards, and analyze data to understand user behaviors.
* Utilize data and analytics to make informed decisions, conduct A/B testing, and continuously iterate features to optimize performance and user satisfaction.
* Conduct user research to inform new features and improved user experiences.
**Basic Qualifications**
* 10\+ years of product management or highly\-relevant experience required.
* Direct product management experience cultivating and operating online communities and connected social products that leverage user\-generated content (UGC).
* Proven track record of building world\-class digital products for large, consumer\-focused companies.
* Keen product sense and demonstrated product leadership experience.
* Strong analytical skills with the ability to use data\-driven insights to inform product decisions, measure performance, and optimize the user experience.
* Ability to operate effectively in a team oriented and collaborative environment.
* Excellent written and verbal communication skills.
* Experience leading end\-to\-end product development processes, from concept through retrospective, for both consumer\-facing and back\-end features.
* Experience creating and delivering compelling, data\-driven presentations to both senior and junior audiences.
* Understanding of fandom, fan engagement, moderation, sports landscapes, and familiarity with terminologies and business models.
* Proven ability to drive product initiatives from concept to delivery.
**Required Education**
* Bachelor's degree in a relevant field or equivalent practical experience.
 The hiring range for this position in San Francisco is $201,900 \- $270,700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0">
      <c r="A20" t="inlineStr">
        <is>
          <t>li-4340833239</t>
        </is>
      </c>
      <c r="B20" t="inlineStr">
        <is>
          <t>Senior Product Manager - Real Time Personalization</t>
        </is>
      </c>
      <c r="C20" t="inlineStr">
        <is>
          <t>Amperity</t>
        </is>
      </c>
      <c r="D20" t="inlineStr">
        <is>
          <t>linkedin</t>
        </is>
      </c>
      <c r="E20" t="inlineStr"/>
      <c r="F20" t="inlineStr"/>
      <c r="G20" t="inlineStr">
        <is>
          <t>Seattle, WA</t>
        </is>
      </c>
      <c r="H20" t="inlineStr"/>
      <c r="I20" t="inlineStr">
        <is>
          <t>At Amperity, we’re an AI\-first company helping the world’s leading brands create personalized customer experiences that build loyalty and fuel growth. Our AI\-powered Customer Data Cloud, built on multi\-patented technology, enables more than 400 global brands, including Alaska Airlines, Wyndham Hotels \&amp; Resorts, and DICK’S Sporting Goods, to turn customer data into a competitive advantage.
 We unlock the full value of customer data with simplicity and speed. AI is at the core of our platform and the way we work — from powering advanced identity resolution and predictive analytics to streamlining internal workflows and decision\-making. It’s not just a capability; it’s part of our DNA.
 Our team thrives on curiosity, collaboration, and transparency, fostering a culture where everyone can contribute, learn, and grow. We welcome talented individuals from diverse backgrounds to help us remove data bottlenecks, accelerate business impact, and push the boundaries of what AI can do for the world’s most innovative companies.
 With offices in Seattle, New York City, London, and Melbourne, you’ll join a fast\-growing team tackling critical challenges at the intersection of AI, data, and customer experience. Ready to make an impact? Let’s talk.
**The Role**
 You'll lead the end\-to\-end direction for real\-time workflows across event ingestion, event processing, real\-time API lookups, and data validation. You'll partner with engineering, design, and field teams to push our technical strategy forward, ensuring the platform remains scalable, durable, and enterprise\-grade.
 An important part of this role is working directly with brands to understand how they capture and route customer signals across modern data ecosystems. You'll design product experiences that meet the realities of fragmented, multi\-channel data while allowing the next generation of event\-driven personalization and orchestration.
 We're looking for someone who brings enterprise SaaS product experience, familiarity of real\-time data and API\-driven systems, customer and product instincts, and the ability to collaborate across technical, business, and executive audiences. You'll thrive in environments with technical complexity and evolving requirements
 You will report to the Senior Manager, Product Management; Data Implementation and Customer 360\.
**Interesting Problems**
* Define the product vision for Amperity's real\-time capabilities, from event ingestion to activation.
* Enable go\-to\-market and customer\-facing teams with the clarity, training, and tools required to address customer questions effectively and guide enterprise customers through successful onboarding
* Work with product design to develop end\-to\-end user experiences for technical audiences.
* Work closely with engineering on high\-throughput low latency event pipelines, data aggregations, and functionality suited for enterprise\-scale workloads.
* Ensure deep interoperability across the event\-collection ecosystem.
* Conduct customer discovery and research, synthesizing insights into clear requirements, experience narratives, and product direction.
* Identify opportunities for market expansion by uncovering new real\-time and event\-driven use cases, integration patterns, and platform capabilities.
* Balance operational and marketer\-facing experiences, ensuring the platform supports both robust enterprise data operations and dynamic personalization workflows
* Build for real customer use cases, including those centered around:
* 
+ Real\-time website and mobile personalization
+ Large scale data processing
+ Data quality monitoring
+ Cross\-timeframe decisioning that blends historical and streaming data
+ Cart abandonment, re\-targeting, and re\-engagement
**About You**
* 8\+ years of product management experience, including 3–5 years building data products or tools
* Familiarity with one or more event streaming technologies and/or distributed systems concepts. You can quickly ramp up to understand the tradeoffs and customer impact of these technologies.
* Experience working with event instrumentation teams or analytics engineers.
* Meaningful experience overseeing or contributing to public or partner\-facing APIs
* Experience working with Product Design to define conceptual models, workflows, and intuitive user experiences for technically complex systems.
* Translate customer needs and market signals into product strategy decisions.
* Comfort engaging with engineering, solution architects, customer success, field leaders, and executives at enterprise brands.
* Experience communicating complex technical concepts to a variety of audiences; able to distill complexity, shape product narratives, support release readiness, and contribute to GTM agreement.
**Location**
**Seattle, WA**
 Our hybrid work model includes three days in the office each week, providing a mix of in\-person collaboration and remote flexibility
**Compensation**
**Base Salary: $170,000\-$230,000\.** 
 Individual compensation within this range will depend on several factors, including your skills, experience, education/training, and the level at which you join. We also consider internal equity, market conditions, and overall business needs.
**Cash Incentives:** 
 Cash incentives are also available.
**Stock Options:** 
 The opportunity for ownership is an exciting part of Amperity’s total compensation package. Every employee at Amperity receives a new\-hire equity grant, commensurate with the scope of their position.
**Benefits**
 We offer all the benefits you'd expect from a great place to work: 100% employee healthcare coverage, transportation subsidies, a comfortable work environment with plenty of snacks, and other employee experience perks like events and activities, both in\-person and remote. We also offer self\-managed PTO and the flexibility to do your best work in the way that works for you. We provide an inclusive environment where you'll be challenged to find and unlock your full potential, surrounded by a team of world\-class people driving for excellence. For more details on our benefits, please see our US Benefits \&amp; Perks Guide.
 Amperity is proud to be an equal opportunity employer. We do not discriminate on the basis of race, religion, color, national origin, sex (including pregnancy, childbirth, and reproductive health choices), sexual orientation, gender identity, gender expression, age, status as a protected veteran, status as someone with a disability, political views or activity, or other applicable legally protected characteristics. We also consider qualified applicants with criminal histories, consistent with applicable federal, state, and local law.</t>
        </is>
      </c>
    </row>
    <row r="21">
      <c r="A21" t="inlineStr">
        <is>
          <t>li-4251376445</t>
        </is>
      </c>
      <c r="B21" t="inlineStr">
        <is>
          <t>Senior Product Manager</t>
        </is>
      </c>
      <c r="C21" t="inlineStr">
        <is>
          <t>Joby Aviation</t>
        </is>
      </c>
      <c r="D21" t="inlineStr">
        <is>
          <t>linkedin</t>
        </is>
      </c>
      <c r="E21" t="inlineStr"/>
      <c r="F21" t="inlineStr"/>
      <c r="G21" t="inlineStr">
        <is>
          <t>San Carlos, CA</t>
        </is>
      </c>
      <c r="H21" t="inlineStr"/>
      <c r="I21"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As a Senior Product Manager on the Factory Systems team, you will be instrumental in certifying the world's first eVTOL aircraft and launching the world's first Urban Air Mobility service. You will help build manufacturing systems that will produce aircraft at never\-before\-seen scale while maintaining the precision and traceability required for aerospace certification.
 Factory Systems is the technological backbone of Joby's vertically integrated operations, encompassing the complex software and business systems that span engineering, manufacturing, quality, supply chain, and operations. This is a highly technical role requiring deep understanding of both software architecture and the intricate business processes that support revolutionary aircraft manufacturing.
 You will drive both strategic vision and tactical execution, owning end\-to\-end product delivery across interconnected systems. Your decisions will directly impact Joby's certification timeline and our ability to bring safe, reliable air taxis to market.
**Responsibilities**
* Build and maintain product roadmaps that balance immediate operational needs with long\-term strategic objectives
* Conduct deep\-dive root cause analysis on systemic issues, developing comprehensive solutions that address underlying problems
* Own end\-to\-end product delivery for factory systems, from requirements gathering through implementation and post\-launch optimization
* Drive engineering execution velocity by identifying bottlenecks, streamlining processes, and implementing solutions that accelerate development cycles
* Navigate complex stakeholder relationships across Manufacturing, Quality, Engineering, IT, and external partners to drive decisions and align priorities
* Manage competing priorities and resource constraints in a high\-ambiguity environment, making data\-driven decisions with incomplete information
* Collaborate closely with engineering teams to translate business requirements into technical specifications and ensure feasible implementation paths
* Develop and track key performance metrics to measure system effectiveness and drive continuous improvement initiatives
**Required**
* BA/BS in Computer Science, Engineering, or related technical field
* 5\+ years of Product Management experience in technical environments
* Proven track record of driving engineering execution in fast\-paced, high\-stakes environments
* Experience managing products with multiple technical dependencies and cross\-system integrations
* Demonstrated ability to thrive in ambiguous situations with shifting requirements and evolving priorities
* Strong analytical and problem\-solving skills with experience conducting root cause analysis on complex technical issues
* Exceptional stakeholder management skills with ability to influence and align diverse teams without direct authority
* Track record of taking full ownership of outcomes and driving projects to successful completion
* Experience working with engineering teams on technical architecture decisions and implementation trade\-offs
* Ability to communicate complex technical concepts to both technical and non\-technical audiences
**Desired**
* Background in aviation or aerospace industry
* Experience with manufacturing processes and systems such as ERP, MES, PLM, or quality management platforms
* Previous technical role in software development, engineering, or systems implementation
* Experience working in regulated industries
* History working in startup or high\-pace environments
 Compensation at Joby is a combination of base pay and Restricted Stock Units (RSUs). The target base pay for this position is $133,800 \- $203,000 per year.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**Joby is an Equal Opportunity Employer.**</t>
        </is>
      </c>
    </row>
    <row r="22">
      <c r="A22" t="inlineStr">
        <is>
          <t>li-4330756101</t>
        </is>
      </c>
      <c r="B22" t="inlineStr">
        <is>
          <t>Senior Product Manager, Platform and SDK</t>
        </is>
      </c>
      <c r="C22" t="inlineStr">
        <is>
          <t>Jane Technologies, Inc.</t>
        </is>
      </c>
      <c r="D22" t="inlineStr">
        <is>
          <t>linkedin</t>
        </is>
      </c>
      <c r="E22" t="inlineStr"/>
      <c r="F22" t="inlineStr"/>
      <c r="G22" t="inlineStr">
        <is>
          <t>Santa Cruz, CA</t>
        </is>
      </c>
      <c r="H22" t="inlineStr"/>
      <c r="I22" t="inlineStr">
        <is>
          <t>**Company Overview**
 Jane Technologies is an MIT\-founded eCommerce company in the cannabis industry experiencing rapid growth. We believe in cannabis's ability to bring well\-being, health, and love to the world, and our mission is to bring confidence to the online cannabis shopping experience. Our platform connects consumers with local dispensaries and brands, creating a seamless shopping experience and delivering industry\-leading insights to our retail, brand, and integration partners.
 Dispensaries use Jane to sell cannabis products compliantly and efficiently. Brands plug into the platform to reach shoppers via personalized sponsored content. Shoppers engage with Jane’s online menus to make purchasing decisions via rich product content and verified reviews. These services come together to form a tightly integrated ecosystem \- creating diversified revenue streams for Jane and a win\-win\-win equation for the industry.
 To learn more about who we are, our culture, and whether this is the right place for you!
 Check out our company at: https://www.iheartjane.com/team\#careers
**What You'll Do**
 Jane Technologies is seeking a Platform and SDK Technical Product Manager to own the vision and execution of our Digital Merchandising (DM) SDK and scale our headless eCommerce API ecosystem for both internal and external partners. In this role, you will lead the SDK and API\-focused team within Jane's Platform Product vertical, enabling partners to leverage our robust personalization and checkout optimization features.
**Responsibilities**
* Own the strategic vision, roadmap, and execution for Jane's SDK development and API ecosystem
* Drive adoption of Jane's SDK among retailers and partners by creating compelling documentation, demos, and implementation resources
* Partner with engineering teams to design scalable API architectures that support high\-volume traffic and diverse integration needs
* Collaborate with sales and account management to understand customer requirements and translate them into technical specifications
* Develop and maintain comprehensive technical documentation and integration guides for external partners
* Monitor SDK and API performance metrics, identifying opportunities for optimization
* Stay current with industry standards and best practices in API development and SDK implementation
* Work cross\-functionally with product, engineering, and business teams to prioritize feature development and technical improvements
* Advocate for developer experience and API usability both internally and externally
**Qualifications**
* 5\+ years of product management experience with a focus on developer platforms, SDKs, or APIs
* Strong technical background with experience in software development or engineering
* Demonstrated success in building and scaling developer\-focused products
* Experience with RESTful API design, SDK development, and integration patterns
* Excellent communication skills with the ability to translate complex technical concepts for diverse audiences
* Data\-driven approach to product development with experience using analytics to inform decisions and measure the stability of systems
* Experience with documentation systems and developer resources
* Experience with advertising technology and eCommerce platforms
* Experience working with enterprise solutions engineering or commercial partnerships
* Knowledge of pixel\-based event tracking implementations
* Knowledge of JavaScript, React, or other frontend frameworks
* Familiarity with API management tools and gateway technologies
* Understanding of authentication protocols and security best practices
* Background in cannabis technology or regulated industries is a plus
 $159,000 \- $195,000 a year
 The compensation range for this position is $159,000 \- $195,000 annually in addition to benefits and equity. The starting compensation is based on various factors such as skills, experience, training, and business needs. The range of a role and compensation provides the opportunity to progress as you grow and develop at Jane.
**Our Benefits**
 Great compensation package and equity
 Remote friendly work environment with employees throughout the US and Canada
 Health, Dental, Vision, 401k, Unlimited PTO, and home office stipend
 Jane Technologies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***Jane Technologies, Inc. participates in the federal government’s E\-Verify program, which confirms employment authorization of all newly hired employees in conjunction with the Form I\-9 Employment Eligibility Verification. E\-Verify is not used as a tool to pre\-screen candidates. For up\-to\-date information on E\-Verify, go to***
***www.uscis.gov***
***and click on 'E\-Verify' located near the bottom of the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li-4297757008</t>
        </is>
      </c>
      <c r="B23" t="inlineStr">
        <is>
          <t>Sr. Product Manager, DBSQL</t>
        </is>
      </c>
      <c r="C23" t="inlineStr">
        <is>
          <t>Databricks</t>
        </is>
      </c>
      <c r="D23" t="inlineStr">
        <is>
          <t>linkedin</t>
        </is>
      </c>
      <c r="E23" t="inlineStr"/>
      <c r="F23" t="inlineStr"/>
      <c r="G23" t="inlineStr">
        <is>
          <t>Seattle, WA</t>
        </is>
      </c>
      <c r="H23" t="inlineStr"/>
      <c r="I23" t="inlineStr">
        <is>
          <t>RDQ226R484
**Build the Future of Data \&amp; AI with Databricks SQL**
 At Databricks, we are delivering Data \&amp; AI for enterprises \&amp; startups around the world. Our
 **Databricks SQL (DBSQL) product** 
 is at the forefront of
 **next\-gen AI powered cloud data warehousing** 
 , helping businesses query, visualize, and drive real\-time decisions at scale. DBSQL is the fastest\-growing data warehouse in the world. Read this seminal blog from Databricks co\-founder on What is a Lakehouse?
 We're looking for a
 **passionate, strategic, and customer\-obsessed Product Manager** 
 to drive innovation, shape our roadmap, and lead DBSQL into its next phase of growth.
**Why Join Us?**
* Be a Game\-Changer: Work on a cutting\-edge product that transforms how companies handle big data and AI\-driven analytics.
* Massive Impact: Help enterprises make faster, smarter decisions with a lakehouse architecture that breaks silos.
* Hyper\-Growth Environment: Join a fast\-paced, collaborative team where your ideas directly shape the future.
* Customer\-Centric Innovation: Build features that solve real problems for data analysts, engineers, and business leaders worldwide.
**The Impact You Will Have**
* Own and define the product vision, strategy, and roadmap for Databricks SQL
* Work closely with engineering, design, sales, and marketing to launch new features and drive adoption.
* Engage directly with customers and partners to understand their needs and prioritize high\-impact solutions.
* Drive competitive differentiation and positioning in the cloud data warehouse market.
* Collaborate with leadership to align product initiatives with business goals.
* Use data\-driven insights to measure success, iterate, and improve user experience.
**What We Look For**
* 5\+ years of product management experience (preferably in cloud, analytics, or data platforms).
* Deep understanding of SQL, data warehousing, BI, and analytics use cases.
* Ability to break down complex problems into simple, scalable solutions.
* Strong sense of ownership—you thrive in ambiguity and love solving hard problems
* Experience working with engineers and designers to ship high\-impact products.
* Exceptional communication and storytelling skills to inspire teams and stakeholders.
**Ready to Build the Future?**
 If you're excited about shaping the next evolution of
 **data warehousing and analytics** 
 , we’d love to hear from you! Apply today and let’s build something incredible together.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$145,400—$199,850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4">
      <c r="A24" t="inlineStr">
        <is>
          <t>li-4336112831</t>
        </is>
      </c>
      <c r="B24" t="inlineStr">
        <is>
          <t>Product Manager - NetSuite (Remote)</t>
        </is>
      </c>
      <c r="C24" t="inlineStr">
        <is>
          <t>United Site Services</t>
        </is>
      </c>
      <c r="D24" t="inlineStr">
        <is>
          <t>linkedin</t>
        </is>
      </c>
      <c r="E24" t="inlineStr"/>
      <c r="F24" t="inlineStr"/>
      <c r="G24" t="inlineStr">
        <is>
          <t>Westborough, MA</t>
        </is>
      </c>
      <c r="H24" t="inlineStr"/>
      <c r="I24" t="inlineStr">
        <is>
          <t>**About USS**
 United Site Services is the industry leader in comprehensive site services, committed to creating partnerships that help enable our customers’ project and event success. Our deep industry expertise, excellence in process management, and dedication to corporate responsibility are pillars of our value proposition; each supported by tangible, best\-practice programs.
 Our success is fueled by the dedication and collaboration of our diverse team, which includes field technicians, customer care representatives, sales professionals, and functional experts. Each member of our team plays a vital role in ensuring a seamless and reliable experience for our customers.
 By joining United Site Services, you will be part of an organization that values continuous improvement, teamwork, and excellence in every aspect of our business.
**Primary Purpose**
 The Product Manager \- NetSuite is responsible for defining and driving the product vision, strategy, and roadmap for the organization’s NetSuite ERP platform, while also supporting the broader financial systems ecosystem, including Coupa, Sidetrade, and other finance\-related applications.
 This role bridges business needs with technical execution—partnering with Finance, Procurement, Sales, Operations, Collections, and IT stakeholders to ensure financial systems are optimized to support business growth, streamline processes, and enable data\-driven decision\-making.
**THIS IS A FULLY REMOTE POSITION**
**Essential Functions**
**Product Strategy \&amp; Roadmap**
* Own the end\-to\-end NetSuite product lifecycle—from ideation to deployment and continuous optimization.
* Define and maintain the NetSuite product roadmap aligned with enterprise objectives and business priorities.
* Support secondary financial systems (Coupa, Sidetrade, etc.) by identifying integration opportunities, automation enhancements, and cross\-platform optimizations.
* Evaluate and recommend new features, modules, and system integrations to improve business processes and system efficiency.
**Stakeholder Collaboration**
* Serve as the primary liaison between business users and technical teams (internal and external) for NetSuite, while also supporting stakeholders in Coupa, Sidetrade, and other financial platforms.
* Translate business requirements into detailed user stories, acceptance criteria, and functional specifications.
* Facilitate prioritization sessions and ensure alignment across departments on system enhancements and process improvements.
**System Enhancements \&amp; Governance**
* Lead evaluation, testing, and rollout of NetSuite releases and modules (e.g., Advanced Revenue Management, Invoicing).
* Support enhancements and integrations for Coupa, Sidetrade, and other financial systems, ensuring data integrity, security, and compliance across platforms.
* Oversee change management, documentation, and end\-user training for new functionality and process updates.
**Analytics \&amp; Continuous Improvement**
* Monitor KPIs related to NetSuite performance, process efficiency, and data accuracy.
* Identify automation and process improvement opportunities across NetSuite and other financial systems to reduce manual effort and increase productivity.
* Stay current with NetSuite updates, emerging technologies, and best practices, as well as trends in Coupa, Sidetrade, and financial system integrations.
**Qualifications**
**EDUCATION**
**Min/Preferred**
**Education Level**
**Description**
 Minimum
 4 Year / Bachelors Degree
 Information Systems, Computer Science, or related field.
**Experience**
**Minimum Years of Experience**
**Maximum Years Of Experience**
**Comments**
 5
 of hands\-on experience managing or supporting financial systems (e.g., NetSuite, Coupa, Sidetrade).
**Additional Knowledge, Skills, And Abilities**
**REQUIRED:**
* Proven experience as a Product Manager for NetSuite, with strong understanding of ERP functionality and finance processes.
* Experience with Coupa, Sidetrade, or other financial systems.
* Strong cross\-functional collaboration and stakeholder management skills.
* Ability to translate complex business requirements into actionable technical solutions.
* Excellent communication, analytical, and stakeholder management skills.
**PREFERRED:**
* NetSuite Administrator or SuiteFoundation Certification.
* Experience with integrations (Celigo or similar middleware).
* Background in SaaS, manufacturing, or field services industries.
* Familiarity with Agile methodologies and user story creation in Jira or similar tools.
**SOFT SKILLS:**
* Strategic thinker who can connect technology initiatives to business outcomes.
* Highly organized with strong prioritization and project management skills.
* Collaborative, proactive, and adaptable in a fast\-paced environment.
**SUCCESS METRICS:**
* Increased process automation and system adoption.
* Reduced manual reconciliation and reporting effort.
* Improved financial close cycle and reporting accuracy.
* Positive stakeholder feedback on system enhancements and usability.
**Physical Requirements**
**Demand**
**Frequency**
 Sit while answering phones or reply to emails
 Frequent
 Use hands and fingers to handle, control or feel objects tools or controls
 Frequent
 Repeat the same movements when entering data
 Frequent
 See details of objects that are less than a few feet away
 Occasional
 Speak clearly so listeners can understand
 Frequent
 Understand the speech of another person
 Frequent
 Focus on one source of sound and ignore others
 Occasional
 Hear sounds and recognize the difference between them
 Occasional
 See differences between colors, shades and brightness
 Occasional
**Benefits Summary**
**All full\-time employees working an average of 30 hours or more per week are eligible for the following benefits:**
* Holiday \&amp; Paid Time Off (pro\-rated for Part\-Time employees)
* Medical/Pharmacy
* Dental
* Vision
* Employer\-Paid Short\-Term Disability
* Employer\-Paid Employee Basic Life \&amp; Accidental Death and Dismemberment
* Voluntary Employee Life \&amp; Accidental Death and Dismemberment
* Voluntary Spousal Life
* Voluntary Dependent Life
* Hospital Indemnity, Accident and Critical Illness
* Commuter/Transit Account
* Healthcare Flexible Spending Account
* Dependent Care Flexible Spending Account
* Health Savings Account
* 401(k) with employer match
* Employer\-Paid Employee Assistance Program (EAP)
* Employee Discounts
**Salary Range**
 $105,600\.00 – $158,400\.00 / year
**Pay Transparency Statement**
 At United Site Services, our salary ranges reflect the minimum and maximum base pay for the posted position applicable to all locations across the US. Within the posted salary range, individual pay is determined by the geographic location, job related skills, experience, education, and certifications. Our total compensation package includes base pay plus a comprehensive benefits program.
**EEO Statement**
 Some positions may require secure site access and/or domestic air travel. All candidates for positions which require secure site access and/or domestic air travel must possess an acceptable form of identification to comply with state and federal regulations, such as REAL ID\-compliant driver’s license or state ID, or U.S. passport. This statement is not intended to require documentation beyond what is acceptable under the federal I\-9 form process administered by the U.S. Citizenship and Immigration Services (USCIS); and should not be construed as creating additional employment eligibility verification requirements.
 United Site Services is an equal opportunity employer. In accordance with applicable law, we prohibit discrimination against any applicant or employee based on any legally\-recognized basis, including, but not limited to: race, color, religion, sex (including pregnancy, lactation, childbirth or related medical conditions), sexual orientation , gender identity , age (40 and over), national origin or ancestry, citizenship status, physical or mental disability, genetic information (including testing and characteristics), veteran status, uniformed servicemember status or any other status protected by federal, state or local law. Our commitment to equal opportunity employment applies to all persons involved in our operations and prohibits unlawful discrimination by any employee, including supervisors and co\-workers.</t>
        </is>
      </c>
    </row>
    <row r="25">
      <c r="A25" t="inlineStr">
        <is>
          <t>li-4285961459</t>
        </is>
      </c>
      <c r="B25" t="inlineStr">
        <is>
          <t>Senior Agent Product Manager, Strategic</t>
        </is>
      </c>
      <c r="C25" t="inlineStr">
        <is>
          <t>Decagon</t>
        </is>
      </c>
      <c r="D25" t="inlineStr">
        <is>
          <t>linkedin</t>
        </is>
      </c>
      <c r="E25" t="inlineStr"/>
      <c r="F25" t="inlineStr"/>
      <c r="G25" t="inlineStr">
        <is>
          <t>New York, NY</t>
        </is>
      </c>
      <c r="H25" t="inlineStr"/>
      <c r="I25"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It’s not enough for our customers to just “set it and forget it” when it comes to AI software. Truly successful AI Agents require guidance and input throughout the development lifecycle.
 The Agent Product Management team drives this journey as Decagon’s in\-house experts on building, deploying, and scaling AI agents. Agent PMs work directly with customers to bring their AI agents to life, and then grow each Agent into a core part of each company’s businesses. As one of our early APM’s, you will deploy our technology into some of the world’s most influential businesses, driving real world business impact as one part Product Manager, one part AI expert.
 The APM owns each step in the AI Agent build lifecycle. This can include:
* Collaborating with engineering to design a new product feature
* Writing and testing prompt logic for a specific customer use case
* Working with a customer’s executive team to define their AI roadmap
 You’ll partner closely with every team at Decagon: Go\-To\-Market, Design, Engineering, and across our leadership team. You will own and drive your customer builds and help shape the overall product roadmap by being the voice of the customer.
**About The Role**
 We’re looking for a Strategic APM that thrives in a highly autonomous environment. You’re product\-minded, scrappy, can drive highly complex projects across cross\-functional teams, and are comfortable building relationships with some of the largest brands in the world.
 Given their size, these strategic accounts often present the challenge of complexity, requiring the navigation of customer stakeholders across org charts. A successful Strat APM will be able to navigate this complexity seamlessly and develop deep, trusted relationships with key stakeholders at all levels of the customer organization (comfortable speaking to CX leaders, Product Leaders, and Operations Leaders).
 APMs at Decagon own their own portfolio of agents from end\-to\-end and are trusted to make real impact. You’ll have the opportunity to dive deep into complex business problems, build elegant solutions and then scale them out to millions users, all while being part of the founding Strat APM team. This role is ideal for future founders, general managers, and business unit leaders.
**In this role, you will**
* Build, Design and optimize Enterprise\-quality AI agents in collaboration with Decagon’s most strategic customers — understanding their workflows, pain points, and goals.
* Embed deeply within strategic customers to understand their business challenges and serve as a strategic advisor to their AI roadmap
* Run tight feedback loops into Engineering — influence feature development based on real customer needs.
* Represent Decagon externally — working closely with customers and prospects, participating in key deployments.
* Collaborate closely with Decagon’s C\-suite and other executives to continue building the playbook for strategic logos for Decagon
**Your background looks something like this**
* Have 8\+ years of relevant experience. This includes but is not limited to:
+ Senior manager or equivalent at a top\-tier consulting or other professional services firm
+ Partner at an investing firm
+ Senior product leader or group product manager
* Deep technical acumen — able to understand and shape AI agent designs.
* Strong communication and relationship\-building skills.
* Comfort working in fast\-moving, ambiguous environments where you shape solutions as much as you implement them.
**Even better**
* A Computer Science, Engineering, or Math degree — or equivalent technical experience.
* An MBA
**Benefits**
* Medical, dental, and vision benefits
* Take what you need vacation policy
* Daily lunches, dinners and snacks in the office to keep you at your best
**Compensation**
 $240K – $285K \+ Offers Equity</t>
        </is>
      </c>
    </row>
    <row r="26">
      <c r="A26" t="inlineStr">
        <is>
          <t>li-4297753022</t>
        </is>
      </c>
      <c r="B26" t="inlineStr">
        <is>
          <t>Sr. Product Manager, Data Engineering</t>
        </is>
      </c>
      <c r="C26" t="inlineStr">
        <is>
          <t>Databricks</t>
        </is>
      </c>
      <c r="D26" t="inlineStr">
        <is>
          <t>linkedin</t>
        </is>
      </c>
      <c r="E26" t="inlineStr"/>
      <c r="F26" t="inlineStr"/>
      <c r="G26" t="inlineStr">
        <is>
          <t>San Francisco, CA</t>
        </is>
      </c>
      <c r="H26" t="inlineStr"/>
      <c r="I26" t="inlineStr">
        <is>
          <t>P\-8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Data Engineering is foundational and among the largest scale workloads on the Databrick Data Intelligence Platform. We are reinventing Data Engineering with Lakeflow \- a unified product and experience for simple data ingestion, declarative data transformation, and real\-time streaming. In this role, you will lead product management for a core Lakeflow product area. You will own and drive all aspects of product management including vision, strategy, roadmap, execution, and go\-to\-marketing. In addition, you will partner closely with various Databricks product teams to enable Data Engineering for the overall Databrick product portfolio including data science, data warehousing, business intelligence, and machine learning products.
**The impact you will have**
* Lead product management for one of the fastest growing products and businesses at Databricks
* Make company wide impact by driving Data Engineering across the Databricks product portfolio
* Develop and deepen understanding of and expertise in Data Engineering, a foundational domain in the data and AI industry
* Define, shape, and drive the future of data processing, data applications, and data pipelines
* Own the full life cycle of product development from ideation to requirements, development, pricing, launch, and go\-to\-market.
**What We Look For**
* 5\+ years of product management and related experience with enterprise or SaaS products.
* Educational or professional background in computer science or related engineering fields.
* Ability to partner with senior technical leaders from Engineering, while going deep on technical concepts.
* Track record of delivering products with cross\-functional teams common to enterprise software industry (field engineering, sales, marketing, partnerships, etc.)
* Analytical skills to make data\-driven decisions (e.g. analyze product usage)
* Excellent communication skills to clearly and concisely communicate complex topics to diverse stakeholders (engineers, customers, etc.) in written and verbal form
* A background in Data Engineering is a plus but not required.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$115,400—$204,200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7">
      <c r="A27" t="inlineStr">
        <is>
          <t>li-4289357458</t>
        </is>
      </c>
      <c r="B27" t="inlineStr">
        <is>
          <t>Senior Product Manager, Games</t>
        </is>
      </c>
      <c r="C27" t="inlineStr">
        <is>
          <t>Condé Nast</t>
        </is>
      </c>
      <c r="D27" t="inlineStr">
        <is>
          <t>linkedin</t>
        </is>
      </c>
      <c r="E27" t="inlineStr"/>
      <c r="F27" t="inlineStr"/>
      <c r="G27" t="inlineStr">
        <is>
          <t>New York, NY</t>
        </is>
      </c>
      <c r="H27" t="inlineStr"/>
      <c r="I27"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has:**
* 6\-8 years of experience developing engaging game products, ideally at a digital media organization
* Experience in developing and delivering digital products at scale within a consumer\-facing company (preferably media)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The expected base salary range for this position is from $150,000\-$170,000\. Salary offers are based on a wide range of factors including but not limited to relevant skills, training, experience, and education.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28">
      <c r="A28" t="inlineStr">
        <is>
          <t>li-4336123856</t>
        </is>
      </c>
      <c r="B28" t="inlineStr">
        <is>
          <t>Staff Product Manager - AI Foundations</t>
        </is>
      </c>
      <c r="C28" t="inlineStr">
        <is>
          <t>Plaid</t>
        </is>
      </c>
      <c r="D28" t="inlineStr">
        <is>
          <t>linkedin</t>
        </is>
      </c>
      <c r="E28" t="inlineStr"/>
      <c r="F28" t="inlineStr"/>
      <c r="G28" t="inlineStr">
        <is>
          <t>San Francisco, CA</t>
        </is>
      </c>
      <c r="H28" t="inlineStr"/>
      <c r="I2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the future of financial services. Our mission is to unlock financial freedom for everyone through open finance. Product Managers at Plaid are curious, customer\-obsessed, and move quickly to deliver value. They take ownership, sweat the details, and make sound decisions with imperfect information.
 As a Product Manager on the AI Foundations team, you will drive Plaid’s AI strategy by building the data and intelligence layer that powers smarter financial experiences. You will work across engineering, data science, and research to develop scalable AI systems—from core embeddings and representation learning to applied model integrations that enhance developer and consumer outcomes.
 This role is for an experienced PM who thrives at the intersection of AI and platform products. You are technically fluent, strategic, and execution\-oriented. You enjoy turning advanced machine\-learning capabilities into reliable, trusted infrastructure that scales across Plaid’s ecosystem.
**Responsibilities**
* AI Platform Vision: Define the strategy, roadmap, and success metrics for Plaid’s core AI and data foundation, enabling smarter, more adaptive financial products across the ecosystem.
* System Development: Partner with Engineering and Data Science to design scalable AI systems, from model training and evaluation pipelines to APIs that deliver intelligence at scale.
* Product Execution: Drive initiatives from concept to production, balancing rapid experimentation with reliability, transparency, and responsible AI practices.
* Cross\-Functional Collaboration: Work closely with research, platform, and product teams to embed AI capabilities across Plaid’s products and developer platform.
* Measurement and Iteration: Use metrics, model performance data, and customer feedback to validate impact, inform prioritization, and continuously improve outcomes.
* Communication and Alignment: Translate complex AI concepts into clear narratives and tradeoffs for technical and non\-technical stakeholders, building shared understanding across teams.
**Qualifications**
* 8\+ years of product management experience with direct experience leading AI/ML or applied intelligence products from concept to production with measurable impact.
* Deep technical fluency in how modern ML systems are trained, evaluated, deployed, and monitored, with the ability to engage confidently with engineers and data scientists.
* Strategic and executional range. Skilled at defining long\-term AI vision while delivering near\-term experiments, prototypes, and launches.
* Platform mindset and experience building scalable developer or data platforms through well\-designed primitives, APIs, and frameworks.
* Strong communicator and influencer who can translate complex AI concepts into clear narratives and decisions for technical and non\-technical audiences.
* Commitment to responsible AI and transparency, especially in regulated or high\-trust domains.
* \[Nice to Have] Hands\-on experience with LLMs, embeddings, or agentic systems in production.
* \[Nice to Have] Familiarity with applied AI in regulated or high\-trust domains such as fintech, identity, or risk.
 $202,800 \- $330,000 a year
 The target base salary for this position ranges from $202,800/year to $330,000/year \[in Zone 1, in Zone 4 or encompassing all Zones].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9">
      <c r="A29" t="inlineStr">
        <is>
          <t>li-4323969531</t>
        </is>
      </c>
      <c r="B29" t="inlineStr">
        <is>
          <t>Senior Product Manager, Platform</t>
        </is>
      </c>
      <c r="C29" t="inlineStr">
        <is>
          <t>Verkada</t>
        </is>
      </c>
      <c r="D29" t="inlineStr">
        <is>
          <t>linkedin</t>
        </is>
      </c>
      <c r="E29" t="inlineStr"/>
      <c r="F29" t="inlineStr"/>
      <c r="G29" t="inlineStr">
        <is>
          <t>San Mateo, CA</t>
        </is>
      </c>
      <c r="H29" t="inlineStr"/>
      <c r="I29"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 is seeking a Senior Product Manager to lead the development of cutting\-edge capabilities tailored for enterprise customers with 10,000\+ users and globally distributed operations. In this role, you will design advanced functionality for managing user access, permissions, and security controls to meet the complex needs of national and global enterprises. Your work will empower customers to scale Verkada’s solutions seamlessly across their organizations, enhancing productivity while ensuring top\-tier privacy capabilities and security compliance.
 We are committed to a thriving in\-office culture. This role requires you to be on\-site at our office in San Mateo, CA 5 days per week.
**What You'll Do**
* Develop scalable and secure user and group management solutions to address the needs of enterprise customers with complex organizational structures
* Drive the implementation of advanced identity and access management (IAM) capabilities, including multi\-factor authentication(MFA), role\-based access control (RBAC), and single\-sign on (SSO) integrations
* Collaborate with stakeholders to design user permission hierarchies and access workflows optimized for large\-scale, distributed organizations
* Build privacy and compliance controls aligned with global regulatory standards (e.g., GDPR, CCPA) to support enterprise\-level deployments
* Partner with Engineering, Design, and Customer Success teams to deliver solutions that simplify access management and meet security expectations
* Gather feedback from customers and analyze usage data to continuously refine and enhance scalability, usability, and adoption of key features
* Define success metrics, track outcomes, and communicate progress to stakeholders
**What You Bring**
* 6\+ years of product management experience in B2B SaaS, with a focus on enterprise customer acquisition, expansion, and retention
* Bachelor's degree in Computer Science, Engineering, or a related field; advanced degrees are a plus
* Strong technical expertise in Identity and Access Management (IAM) systems, emphasizing scalable solutions for enterprise organizations
* Experience with authentication protocols and standards, including OpenID Connect (OIDC), SAML 2\.0, SCIM, and Single Sign\-On (SSO)
* Familiarity with advanced security features such as multi\-factor Authentication (MFA) and digital authentication workflows
* Demonstrated ability to design solutions for audit logs and compliance workflows
* Strong analytical skills to identify opportunities and drive decisions based on data
* Experience managing cross\-functional teams and delivering customer\-centric solutions
* Proven success in building integrations with enterprise tools like Okta, Azure Entra, Google Workspace is a strong plus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$185,000—$215,000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0">
      <c r="A30" t="inlineStr">
        <is>
          <t>li-4318585904</t>
        </is>
      </c>
      <c r="B30" t="inlineStr">
        <is>
          <t>Staff Product Manager</t>
        </is>
      </c>
      <c r="C30" t="inlineStr">
        <is>
          <t>Stepful</t>
        </is>
      </c>
      <c r="D30" t="inlineStr">
        <is>
          <t>linkedin</t>
        </is>
      </c>
      <c r="E30" t="inlineStr"/>
      <c r="F30" t="inlineStr"/>
      <c r="G30" t="inlineStr">
        <is>
          <t>New York, NY</t>
        </is>
      </c>
      <c r="H30" t="inlineStr"/>
      <c r="I30" t="inlineStr">
        <is>
          <t>**About Stepful**
 Stepful is reimagining allied healthcare training by offering affordable, online, instructor\-led, and AI\-supported programs that help learners—especially those from underserved communities—launch high\-demand healthcare careers.
 In addition to our direct\-to\-consumer training, Stepful partners with leading healthcare institutions to build talent pipelines and address the growing shortage of allied health workers. Our graduates, including Medical Assistants, Pharmacy Technicians and more, go on to work at major employers like CVS, NY\-Presbyterian, and Walgreens.
 Stepful is backed by Y Combinator, Reach Capital, and AlleyCorp, with a recent $31\.5M Series B led by Oak HC/FT. Additionally, we were named the \#1 EdTech company in the U.S. by TIME for 2025 and to GSV's 150 Most Transformational Growth Companies in Digital Learning.
 We’re unlocking the full potential of the global workforce—improving access to quality healthcare for everyone, everywhere.
**Our Values**
 We credit much of our success to our exceptional team. We’re looking for mission\-driven individuals who thrive in fast\-paced, sometimes ambiguous environments, and embody our four core values:
**Care first** 
 : We do whatever it takes for our students to succeed.
**Learn quickly** 
 : We test, learn with data, and iterate.
**Build together** 
 : We win when we rely on each other.
**Own it** 
 : We show up, take initiative, and show pride.
**The Role**
 As a Staff Product Manager on our team, you’ll be responsible for crafting delightful, data\-driven best in class product experiences to ensure our students are successful from signup to graduation to ultimately find their dream job. This could include anything from growing our proprietary learning platform, improving the efficiency of our coaches and instructors, or building 0 to 1 products.
**You Will Be Successful If You**
* Care first: We do everything it takes for our students to succeed.
* Learn quickly: We test, learn with data, and iterate
* Build together: We win when we rely on each other
* Own it: We show up, we take initiative, and pride
**What You’ll Do**
* Lead the strategy for how we can best prioritize our coach and instructor time to effectively work with large and varied student populations
* Strategize how AI can help us move quicker and deliver better personalized experiences across the board
* Deeply understand our students, instructors and coaches and be their voice across our team
* Work closely with design, engineering, data, ops and other cross\-functional partners to learn quickly and ship quickly.
* Effectively communicate product roadmap \&amp; vision and clearly managing priorities and tradeoffs
**This Job Is For You If You Have**
* You have 10\+ years of consumer facing product management experience
* You are highly analytical (proficient in SQL \&amp; data visualizations) with strong communication skills to relay those insights
* Ability to build relationships and influence decisions at various levels across all different team members
* You aren’t afraid to roll up your sleeves and be hands on to get the job done
* Bias to action with the ability to consider trade\-offs and make decisions amongst competing priorities
**Bonus Points If You Have**
* Previous startup experience especially at B2B2C or B2C EdTech/Healthcare
* Experience working in consulting
* Experience with A/B testing or other experiment/data driven product development organizations
* Understanding of technical aspects of software development (ex. should be able to search through GitHub)
**Interview Process**
 Step 1: Intro Call with Talent Acquisition Lead
 Step 2: Call with hiring manager (past project deep dive and mini case)
 Step 3: Onsite interview at office in SoHo, NYC
**Compensation**
 New Hire Base Salary Bands:
 Staff I \- $191,000\-$241,000
 Staff II \- $201,000\-$254,000
 Please note we do not have a bonus structure at this time so all cash compensation will come in the form of base salary. The total compensation package will also include our benefits package and an equity (ISOs) package.
 Compensation for this role will fall within the pay range listed and will be determined based on job\-related factors including, but not limited to, skills, experience, qualifications as well as interview evaluation. Ranges are market\-dependent and may be modified in the future.
**Stepful is proud to be an equal opportunity employer** 
 .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t>
        </is>
      </c>
    </row>
    <row r="31">
      <c r="A31" t="inlineStr">
        <is>
          <t>li-4342433535</t>
        </is>
      </c>
      <c r="B31" t="inlineStr">
        <is>
          <t>Principal Product Manager</t>
        </is>
      </c>
      <c r="C31" t="inlineStr">
        <is>
          <t>Zscaler</t>
        </is>
      </c>
      <c r="D31" t="inlineStr">
        <is>
          <t>linkedin</t>
        </is>
      </c>
      <c r="E31" t="inlineStr"/>
      <c r="F31" t="inlineStr"/>
      <c r="G31" t="inlineStr">
        <is>
          <t>San Jose, CA</t>
        </is>
      </c>
      <c r="H31" t="inlineStr"/>
      <c r="I31"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Principal Product Manager to join our Product Management team. This is a hybrid role based in our San Jose, CA office, reporting to the Director, Product Management. We built the Zscaler architecture from the ground up as a platform that could extend to new features and services. Our Product Management team takes hold of this massive opportunity to deliver our customers a growing portfolio of never\-before\-seen capabilities in threat prevention, visibility, scalability, and business enablement. Join us to make your mark on the planning and product roadmap at the forefront of the world’s cloud security leader.
**What You’ll Do (Role Expectations)**
* Define and execute the product roadmap for the Zero Trust Cloud product line, addressing critical customer priorities for public cloud security
* Deliver an intuitive administrator experience that simplifies complex security operations with actionable, data\-driven insights
* Lead high\-impact, cross\-functional collaborations across engineering, sales, and marketing to successfully drive products from concept to market delivery
* Engage with global customers to gather feedback, identify market opportunities, analyze competition, and anticipate emerging trends in public cloud security
* Build strategic public cloud partnerships to align innovation with go\-to\-market strategies, driving accelerated adoption and market leadership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7\+ years of product management experience, with a strong focus on public cloud security
* In\-depth, hands\-on expertise with major cloud platforms including AWS, Azure, GCP, and OCI
* Strong foundation in Zero Trust Networking, Multi\-Cloud Governance, Identity \&amp; Access Management (IAM), Threat Protection, and Data Loss Prevention (DLP)
* Proven track record of defining, launching, and scaling successful security products for public cloud environments
* Exceptional collaboration and stakeholder management skills with experience translating complex customer needs into well\-defined product requirements
**What Will Make You Stand Out (Preferred Qualifications)**
* Technical background in engineering or software development
* Success in leveraging data analysis and UX techniques to optimize user experience
* Hands\-on experience managing vendor\-managed (SaaS) and customer\-managed (Virtual Appliance) solutions to meet diverse market needs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$164,500 \- $235,000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32">
      <c r="A32" t="inlineStr">
        <is>
          <t>li-4370071623</t>
        </is>
      </c>
      <c r="B32" t="inlineStr">
        <is>
          <t>Manufacturing Product Manager</t>
        </is>
      </c>
      <c r="C32" t="inlineStr">
        <is>
          <t>Ashton North LLC</t>
        </is>
      </c>
      <c r="D32" t="inlineStr">
        <is>
          <t>linkedin</t>
        </is>
      </c>
      <c r="E32" t="inlineStr"/>
      <c r="F32" t="inlineStr"/>
      <c r="G32" t="inlineStr">
        <is>
          <t>Springfield, IL</t>
        </is>
      </c>
      <c r="H32" t="inlineStr"/>
      <c r="I32" t="inlineStr">
        <is>
          <t>Product Manager
 In\-Office \| Central Illinois \| Manufacturing Equipment
 We are partnering with a long\-standing manufacturing client to identify a Product Manager to own a key equipment product line. This role focuses on managing the full product lifecycle for tangible, engineered products and working closely with engineering and cross\-functional teams to drive successful product development and launches.
 This is an in\-office position based in Central Illinois.
 The Role
 As Product Manager, you will be responsible for shaping product strategy, guiding new product development, and ensuring the ongoing success of an established product portfolio. This role sits at the intersection of engineering, operations, sales, and the customer, with a strong emphasis on upstream product management and New Product Introduction (NPI).
 Key Responsibilities
* Own and manage the product lifecycle from concept through launch, growth, and maturity
* Lead new product introductions (NPI) for engineered equipment\-based products
* Develop and maintain product roadmaps aligned with business and market needs
* Translate customer and market insights into clear product requirements and specifications
* Partner closely with engineering teams throughout the development process
* Collaborate cross\-functionally with operations, sales, and marketing to ensure successful execution
* Coordinate timelines, priorities, and deliverables across multiple stakeholders
* Engage with customers, dealers, and field teams to gather feedback and validate product direction
* Monitor competitive landscape and industry trends to inform positioning and future development
**Qualifications**
* 3–5 years of Product Management experience within manufacturing or equipment\-based environments
* Hands\-on experience launching tangible, engineered products
* Direct experience working with engineering teams during product development
* Strong understanding of upstream product management and NPI processes
* Bachelor’s degree preferred (Engineering strongly preferred, but not required)
* Equivalent experience will be considered in lieu of a degree for the right candidate
* Agricultural or industrial equipment experience is a plus, but not required
*Backgrounds in software, SaaS, technology platforms, insurance, pharma, chemical, medical, or food manufacturing are not aligned with this role.*
 What You’ll Bring
* Strong technical aptitude and ability to engage effectively with engineering teams
* Clear, structured communication skills across technical and non\-technical audiences
* Ability to manage multiple priorities in a manufacturing\-driven environment
* Customer\-focused mindset with a practical, execution\-oriented approach
* Accountability, ownership, and comfort operating in a cross\-functional setting
**Compensation \&amp; Benefits**
* Competitive base salary w/ annual bonus opportunity
* Comprehensive medical, dental, and vision coverage
* Company\-paid life, short\-term, and long\-term disability
* 401(k) with up to 5\.5% company match and immediate vesting
* Paid vacation and holidays
* Ongoing learning and professional development opportunities
* Relocation available
 Equal Opportunity Statement
 Our client is an Equal Opportunity Employer and is committed to building an inclusive workplace. Pre\-employment substance screening required.
 Employment Type: Full Time
 Years Experience: 3 \- 5 years
 Salary: $90,000 \- $110,000 Annual
 Bonus/Commission: Yes</t>
        </is>
      </c>
    </row>
    <row r="33">
      <c r="A33" t="inlineStr">
        <is>
          <t>li-4285800578</t>
        </is>
      </c>
      <c r="B33" t="inlineStr">
        <is>
          <t>Principal Product Manager, AI Platform</t>
        </is>
      </c>
      <c r="C33" t="inlineStr">
        <is>
          <t>Circle</t>
        </is>
      </c>
      <c r="D33" t="inlineStr">
        <is>
          <t>linkedin</t>
        </is>
      </c>
      <c r="E33" t="inlineStr"/>
      <c r="F33" t="inlineStr"/>
      <c r="G33" t="inlineStr"/>
      <c r="H33" t="inlineStr"/>
      <c r="I3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4">
      <c r="A34" t="inlineStr">
        <is>
          <t>li-4325782820</t>
        </is>
      </c>
      <c r="B34" t="inlineStr">
        <is>
          <t>Principal Product Manager, Flow Studio</t>
        </is>
      </c>
      <c r="C34" t="inlineStr">
        <is>
          <t>Autodesk</t>
        </is>
      </c>
      <c r="D34" t="inlineStr">
        <is>
          <t>linkedin</t>
        </is>
      </c>
      <c r="E34" t="inlineStr"/>
      <c r="F34" t="inlineStr"/>
      <c r="G34" t="inlineStr">
        <is>
          <t>Massachusetts, United States</t>
        </is>
      </c>
      <c r="H34" t="inlineStr"/>
      <c r="I34"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$151,400 and $244,860\.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35">
      <c r="A35" t="inlineStr">
        <is>
          <t>li-4304253819</t>
        </is>
      </c>
      <c r="B35" t="inlineStr">
        <is>
          <t>Sr. Product Owner - PERM 9764</t>
        </is>
      </c>
      <c r="C35" t="inlineStr">
        <is>
          <t>BSH Home Appliances Corporation - North America</t>
        </is>
      </c>
      <c r="D35" t="inlineStr">
        <is>
          <t>linkedin</t>
        </is>
      </c>
      <c r="E35" t="inlineStr"/>
      <c r="F35" t="inlineStr"/>
      <c r="G35" t="inlineStr">
        <is>
          <t>Irvine, CA</t>
        </is>
      </c>
      <c r="H35" t="inlineStr"/>
      <c r="I35" t="inlineStr">
        <is>
          <t>Pay range:
**$140,774 to $212,641**
 Incentive Plan:
**Annual Bonus**
 Incentive Target %:
**10%**
 SHIFT:
**First**
 BSH Home Appliances Corporation seeks Senior Product Owner at its facility located at 1901 Main Street, Irvine, California 92614 . Reports to the Head of Product Management and is responsible for strategic input to product management as well as execution from concept to product launch. This includes describing requirements, closely collaborating with the team, accepting or rejecting work results, and steering the project by tracking and forecasting its progress. Facilitates creativity; encourages innovation; and is comfortable with change, ambiguity, debate, conflict, playfulness, experimentation, and informed risk taking. Will be accountable for the business field/category regarding deriving products from consumers’ pain \&amp; gain points as well as their shopping behaviour. Based on the analysis of the trends will define the future roadmap requirement and drive the globally aligned roadmap to successful launch. They would be responsible for steering the development of the product along with budgetary steering of resources to ensure metrics like cost, quality and timeline are met. The cross\-functional project manager will be the co\-pilot in this effort. As the individual responsible for the product’s success, the product owner provides guidance and direction for everyone involved in the development effort and ensures that tough decisions are made. Must be a team player who relies on close collaboration with the other team members yet has no formal authority over them. Manages complex categories in terms of revenues and will have the assistance of the BU head in terms of delivering on KPIs for business success and definition of the vision. REQS: This position requires a bachelor’s degree or foreign equivalent in Manufacturing Engineering or a related field. Plus, 7 years of experience as a Product Owner, Innovation Manager or occupation involving Product Development within the home appliances industry. Additionally, the applicant must have employment experience with: (1\) Strategy formulation and execution; (2\) Consumer Research and Trend Analysis; (3\) Concept and requirement specification writing; (4\) Product Development \&amp; Project Management; and (5\) P\&amp;L Management and budget steering. 30% domestic and international travel. Telecommuting: 100% remote position. WAGE RANGE
 **: $140,774 to $212,641** 
 .Applicants who are interested in this position should apply https://www.bsh\-group.com/us/careers/ , search
 **\[Senior Product Owner** 
**/ Reference \# \- 9764** 
 .</t>
        </is>
      </c>
    </row>
    <row r="36">
      <c r="A36" t="inlineStr">
        <is>
          <t>li-4297741861</t>
        </is>
      </c>
      <c r="B36" t="inlineStr">
        <is>
          <t>Sr. Product Manager, Data Governance</t>
        </is>
      </c>
      <c r="C36" t="inlineStr">
        <is>
          <t>Databricks</t>
        </is>
      </c>
      <c r="D36" t="inlineStr">
        <is>
          <t>linkedin</t>
        </is>
      </c>
      <c r="E36" t="inlineStr"/>
      <c r="F36" t="inlineStr"/>
      <c r="G36" t="inlineStr">
        <is>
          <t>San Francisco, CA</t>
        </is>
      </c>
      <c r="H36" t="inlineStr"/>
      <c r="I36" t="inlineStr">
        <is>
          <t>RDQ226R497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You will be a Sr Product Manager for Unity Catalog (https://databricks.com/product/unity\-catalog). Unity Catalog is the metadata and governance foundation for the Lakehouse, providing not only fine grained security and governance capabilities, but also performance and productivity capabilities such as lineage, search, discovery, auditing, and compliance, for our customers' data and AI assets.
 This role is requires coordinating all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Design and launch new governance and security capabilities as part of Unity Catalog.
* Define and build new platform services that enable Databricks’ data \&amp; AI product teams (ML/AI, Data Science \&amp; Engineering, Data Warehousing, etc.) to easily add new workload\-specific governance capabilities that enhance the value of Unity Catalog and the Lakehouse.
* Take new features you envision from ideation / exploration with customers to full launch and rollout, including a marketing plan, field enablement, and broad customer adoption across all our segments.
* Bring insights about the data governance persona, our customers, and the market at large to the engineering and leadership team by working closely with our customers and partners.
**What We Look For**
* 5\+ years of enterprise B2B Product Management experience
* Educational background in computer science or related engineering practice.
* Experience working with databases and/or data warehouses, security, and catalogs.
* Experience building user\-facing products for Data Analysts, Scientists, and/or Engineers.
* Strong track record of delivering products with cross\-functional teams common to the enterprise software industry (field engineering, sales, marketing, partnerships, etc.).
* Experience in working closely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$153,000—$210,450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7">
      <c r="A37" t="inlineStr">
        <is>
          <t>li-4289057548</t>
        </is>
      </c>
      <c r="B37" t="inlineStr">
        <is>
          <t>Associate Product Manager, Fixed Income</t>
        </is>
      </c>
      <c r="C37" t="inlineStr">
        <is>
          <t>LSEG</t>
        </is>
      </c>
      <c r="D37" t="inlineStr">
        <is>
          <t>linkedin</t>
        </is>
      </c>
      <c r="E37" t="inlineStr"/>
      <c r="F37" t="inlineStr"/>
      <c r="G37" t="inlineStr">
        <is>
          <t>Buffalo, NY</t>
        </is>
      </c>
      <c r="H37" t="inlineStr"/>
      <c r="I37" t="inlineStr">
        <is>
          <t>**Role Overview:**
 We are seeking a strategic and analytically driven Product Manager to lead the development and enhancement of analytics platforms and investment tools for Agency MBS, Gov/Corp Bonds and Interest Rate Derivatives within the LSEG Analytics team. This role will be central to shaping product strategy, driving innovation, and delivering solutions that support our efforts to expand coverage in these asset classes.
**Key Responsibilities:**
* Define and execute product vision and roadmap for Agency MBS, Gov/Corp Bonds and Interest Rate Derivatives
* Oversee the Yield Book Calculator
* Align product development with market trends, client needs, and regulatory requirements.
* Monitor performance of securitized products and identify actionable insights.
* Stay abreast of market developments, transaction structures, and regulatory changes.
* Work cross\-functionally with engineering, proposition, sales, CSM and marketing teams
* Lead client presentations on our capabilities
* Gather feedback from institutional clients and translate into product features.
**Required Qualifications:**
* Bachelor’s or Master’s degree in Finance, Economics, Engineering, or related field
* 2\+ years of experience in structured finance, preferably in product management or analytics
* Deep understanding of non\-agency RMBS, ABS, and CLO structures
* Proficiency in structured finance tools
* Strong analytical and strategic thinking skills
* Excellent communication and stakeholder management abilities
* Experience working with cross\-functional teams in an agile environment
**Preferred Qualifications:**
* Experience with the Yield Book product set
* Understanding of model derived analytics and how to build them
**Compensation/Benefits Information:**
 LSEG is committed to offering competitive Compensation and Benefits. The anticipated base salary for this position is $83,500 \- $139,300\.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38">
      <c r="A38" t="inlineStr">
        <is>
          <t>li-4340831718</t>
        </is>
      </c>
      <c r="B38" t="inlineStr">
        <is>
          <t>Senior Product Manager, Clinical Efficiency</t>
        </is>
      </c>
      <c r="C38" t="inlineStr">
        <is>
          <t>Spring Health</t>
        </is>
      </c>
      <c r="D38" t="inlineStr">
        <is>
          <t>linkedin</t>
        </is>
      </c>
      <c r="E38" t="inlineStr"/>
      <c r="F38" t="inlineStr"/>
      <c r="G38" t="inlineStr">
        <is>
          <t>San Francisco, CA</t>
        </is>
      </c>
      <c r="H38" t="inlineStr"/>
      <c r="I38"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Director of Product, Care Delivery, you will take on a high\-impact role in building and delivering clinical products that power Spring Health’s provider network. Your work will directly improve the provider experience—enhancing efficiency, reducing administrative burden, and enabling clinicians to practice at the top of their license. Ultimately, you’ll help providers focus on what matters most: delivering the high\-quality, outcome\-driven care that defines Spring Health.
 Please note that this is a
 **hybrid role based in San Francisco** 
 , with an expectation to be in office 2\-3 days a week. Our office is located at 2 Embarcadero Ctr.
**What You’ll Do**
* Empower providers with intuitive, intelligent tools that help them practice more efficiently and focus on delivering high\-quality care.
* Leverage automation and AI\-assisted workflows to streamline documentation, communication, and task management, improving overall provider efficiency
* Deliver a delightful provider experience by designing and improving tools that make it effortless for caregivers to do their best work.
* Drive workflow innovation by deeply understanding provider pain points and building scalable solutions that help clinicians practice efficiently and confidently.
* Gather, synthesize, and apply provider feedback to deliver features that elevate provider satisfaction and support market differentiation.
* Partner with data science to measure and analyze the impact of your initiatives, using insights to continuously refine and improve product effectiveness.
* Work closely with the broader Product organization to set strategy within your team’s scope, serving as the subject matter expert and helping guide organizational decisions.
* “Roll up your sleeves” and drive results as an independent, self\-driven product manager with stage\-appropriate product management rigor and attention to detail.
* Stay informed on industry trends, competitor products, and emerging technologies, proactively sharing insights to shape and evolve product strategy.
**What Success Looks Like In This Role**
* Deliver market\-leading provider tools that drive measurable reductions in time spent on documentation, communication, and administrative workflows.
* Implement foundational improvements to the Compass experience, enhancing information architecture, system intuitiveness, and overall usability.
* Quantify efficiency impact by demonstrating meaningful cost and time savings from automation (e.g., provider hours saved per month).
* Achieve outstanding usability and provider satisfaction, consistently maintaining a Customer Satisfaction (CSAT) score above 4\.5\.
* Define and track automation\-driven efficiency metrics in partnership with Operations and Data teams (e.g., task completion time, workflow latency, automated task coverage).
* Translate provider feedback and analytics insights into iterative product improvements that yield measurable gains in satisfaction and workflow efficiency.
* Lead the full product development lifecycle—from discovery through launch—with clarity, rigor, and a focus on delivering high\-impact, high\-quality releases.
**What We Expect From You**
 We’re looking for an experienced product manager with demonstrated talent for creativity and execution. Experience working with healthcare infrastructure, in AI/ML, and having worked in an early\-stage startup environment is a big plus.
* Bachelor’s degree in Business, Computer Science, Engineering, or a related field.
* 5\+ years of product management experience with a solid track record of delivering successful products within or adjacent to the healthcare industry.
* Experience building clinical tools or EHR systems, with a deep understanding of provider workflows, documentation processes, and the realities of clinical practice.
* Empathy for providers and clinical teams—you understand their daily realities, can speak their language, and translate their needs into intuitive, efficient product experiences.
* Broad healthcare knowledge, ideally spanning beyond mental health.
* Comfort with a high\-growth, dynamic environment, and an ability to balance agility with consistency as business priorities, user needs, and our competitive environment evolves
* An ability to navigate ambiguity, with a bias towards rapid execution over process
* A self starter who thrives when given autonomy, with aptitude and desire to build effective internal and external relationships
* Strong technical knowledge and foundation in AI/ML and SaaS capabilities
*The target base salary range for this position is $172,400 \- $215,500,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39">
      <c r="A39" t="inlineStr">
        <is>
          <t>li-4325852672</t>
        </is>
      </c>
      <c r="B39" t="inlineStr">
        <is>
          <t>Principal Product Manager, Flow Studio</t>
        </is>
      </c>
      <c r="C39" t="inlineStr">
        <is>
          <t>Autodesk</t>
        </is>
      </c>
      <c r="D39" t="inlineStr">
        <is>
          <t>linkedin</t>
        </is>
      </c>
      <c r="E39" t="inlineStr"/>
      <c r="F39" t="inlineStr"/>
      <c r="G39" t="inlineStr">
        <is>
          <t>Florida, United States</t>
        </is>
      </c>
      <c r="H39" t="inlineStr"/>
      <c r="I39"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$151,400 and $244,860\.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40">
      <c r="A40" t="inlineStr">
        <is>
          <t>li-4288285187</t>
        </is>
      </c>
      <c r="B40" t="inlineStr">
        <is>
          <t>Product Manager - Vault CRM Suite</t>
        </is>
      </c>
      <c r="C40" t="inlineStr">
        <is>
          <t>Veeva Systems</t>
        </is>
      </c>
      <c r="D40" t="inlineStr">
        <is>
          <t>linkedin</t>
        </is>
      </c>
      <c r="E40" t="inlineStr"/>
      <c r="F40" t="inlineStr"/>
      <c r="G40" t="inlineStr"/>
      <c r="H40" t="inlineStr"/>
      <c r="I4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Vault CRM is an industry\-leading product purpose\-built for life sciences, with more than 80% market share, transforming how pharmaceutical, biotech, and medtech companies engage with healthcare professionals worldwide. This is an opportunity to build on a foundation of market leadership while driving the next wave of innovation in AI\-powered customer engagement.
 Vault CRM delivers:
* A unified suite that integrates CRM with campaign management, contact centers, sales planning, events management, and more which enables customers to break down silos and enables smarter, more connected workflows.
* Next\-generation AI agents that deliver intelligent, context\-driven engagement across commercial and medical teams.
* Global compliance, with region\-specific functionality and hundreds of built\-in compliance features to support highly regulated markets.
* Always\-on productivity, with full offline support across Windows, Mac, and iOS, ensuring seamless use anywhere.
* Deep functionality purpose\-built for life sciences and strengthened by data lakehouse technology and modern cloud architecture \- all built on the Veeva Vault Platform.
* Integrations with other leading technology providers such as Microsoft 365, Concur, Workday, Zoom, and more.
 Product Managers at Veeva:
* Influence product direction and strategy in one of the world’s most widely used enterprise CRM applications.
* Collaborate with life sciences and technology experts to shape the next generation of AI\-powered, data\-driven CRM solutions.
* Drive Veeva’s AI and data initiative by designing functionality that combines intelligent orchestration and natural language interfaces.
* See their work adopted at scale, with features rolled out across some of the world’s largest and most innovative life sciences companies.
* Work for a product\-focused company with a clear product vision set from the top, and where product knowledge and instinct are valued at all levels.
* Contribute to a mission that matters by accelerating how new therapies reach patients and improving global healthcare outcomes.
 This role offers the best of both worlds: the chance to work on a product with global scale and proven adoption, while still innovating at the cutting edge of AI, data, and platform extensibility. You’ll have visibility with senior leaders, influence roadmap decisions, and shape how an entire industry engages with its customers.
**What You'll Do**
* Participate in the full product lifecycle, from ideation and pitching through design, development, and delivery to bring new features to market
* Work with Product Management leaders to translate market trends, customer insights, and emerging technologies into clear product requirements that anticipate future needs
* Drive the ideation and development of new AI features within our core commercial software, guiding end users and empowering them to be more effective in their roles
* Collaborate with UX, architecture, development, and QA teams to create detailed product specifications which deliver real business value and intuitive user experiences
* Lead cross\-functional teams in daily standups, to ensure smooth execution and timely releases
* Present the roadmap and demo cutting edge features to customers and internal stakeholders to showcase upcoming product innovations and gather feedback on product direction
* Serve as a product evangelist and subject matter expert across solutions consulting, services, and support
* Guide features from concept through release, ensuring they are built with quality, adopted at scale, and truly delight users
**Requirements**
* 2\+ years of product management experience for a software company
* Experience in obtaining and synthesizing customer feedback, assessing needs, and integrating into a cohesive design
* Strong analytical and problem\-solving skills with a curiosity to go deep and uncover the “why”
* Self\-motivated, resourceful, and independent, willing to go the extra mile to make our product and customers successful
* Demonstrated ability to write requirements specifications, manage backlogs, and lead engineering and QA to deliver in an agile environment
* Excellent communication skills (written, verbal, and presentation)
* High degree of professional ethics and integrity
****Nice to Have****
* Experience in the life sciences industry, particularly commercial, medical, or field teams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1">
      <c r="A41" t="inlineStr">
        <is>
          <t>li-4297755029</t>
        </is>
      </c>
      <c r="B41" t="inlineStr">
        <is>
          <t>Sr. Product Manager, Data Governance</t>
        </is>
      </c>
      <c r="C41" t="inlineStr">
        <is>
          <t>Databricks</t>
        </is>
      </c>
      <c r="D41" t="inlineStr">
        <is>
          <t>linkedin</t>
        </is>
      </c>
      <c r="E41" t="inlineStr"/>
      <c r="F41" t="inlineStr"/>
      <c r="G41" t="inlineStr">
        <is>
          <t>Seattle, WA</t>
        </is>
      </c>
      <c r="H41" t="inlineStr"/>
      <c r="I41" t="inlineStr">
        <is>
          <t>RDQ226R497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You will be a Sr Product Manager for Unity Catalog (https://databricks.com/product/unity\-catalog). Unity Catalog is the metadata and governance foundation for the Lakehouse, providing not only fine grained security and governance capabilities, but also performance and productivity capabilities such as lineage, search, discovery, auditing, and compliance, for our customers' data and AI assets.
 This role is requires coordinating all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Design and launch new governance and security capabilities as part of Unity Catalog.
* Define and build new platform services that enable Databricks’ data \&amp; AI product teams (ML/AI, Data Science \&amp; Engineering, Data Warehousing, etc.) to easily add new workload\-specific governance capabilities that enhance the value of Unity Catalog and the Lakehouse.
* Take new features you envision from ideation / exploration with customers to full launch and rollout, including a marketing plan, field enablement, and broad customer adoption across all our segments.
* Bring insights about the data governance persona, our customers, and the market at large to the engineering and leadership team by working closely with our customers and partners.
**What We Look For**
* 5\+ years of enterprise B2B Product Management experience
* Educational background in computer science or related engineering practice.
* Experience working with databases and/or data warehouses, security, and catalogs.
* Experience building user\-facing products for Data Analysts, Scientists, and/or Engineers.
* Strong track record of delivering products with cross\-functional teams common to the enterprise software industry (field engineering, sales, marketing, partnerships, etc.).
* Experience in working closely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$145,400—$199,850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2">
      <c r="A42" t="inlineStr">
        <is>
          <t>li-4299606785</t>
        </is>
      </c>
      <c r="B42" t="inlineStr">
        <is>
          <t>Principal Product Manager, Agentic Offensive Security</t>
        </is>
      </c>
      <c r="C42" t="inlineStr">
        <is>
          <t>HackerOne</t>
        </is>
      </c>
      <c r="D42" t="inlineStr">
        <is>
          <t>linkedin</t>
        </is>
      </c>
      <c r="E42" t="inlineStr"/>
      <c r="F42" t="inlineStr"/>
      <c r="G42" t="inlineStr"/>
      <c r="H42" t="inlineStr"/>
      <c r="I42"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43">
      <c r="A43" t="inlineStr">
        <is>
          <t>li-4353439590</t>
        </is>
      </c>
      <c r="B43" t="inlineStr">
        <is>
          <t>Product Manager, Small Reciprocating Compressors</t>
        </is>
      </c>
      <c r="C43" t="inlineStr">
        <is>
          <t>Ingersoll Rand</t>
        </is>
      </c>
      <c r="D43" t="inlineStr">
        <is>
          <t>linkedin</t>
        </is>
      </c>
      <c r="E43" t="inlineStr"/>
      <c r="F43" t="inlineStr"/>
      <c r="G43" t="inlineStr">
        <is>
          <t>Davidson, NC</t>
        </is>
      </c>
      <c r="H43" t="inlineStr"/>
      <c r="I43" t="inlineStr">
        <is>
          <t>Ingersoll Rand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**Title:** 
 Product Manager, Small Reciprocating Compressors
**Location:** 
 Davidson, NC
**About Us**
 Imagine a company with technology leadership of over 160 years, yet it operates with the energy of a startup. Ingersoll Rand has dedicated itself to Making Life Better for its employees, customers, shareholders, and planets. We produce innovative and mission\-critical flow creation and life science technologies – from compressors to precision handling of liquids, gasses, and powers – to increase industrial productivity, efficiency, and sustainability. Supported by over 80\+ brands, our products are used in various end\-markets including life sciences, food and beverage, clean energy, industrial manufacturing, infrastructure, and more. Across the globe, we are driving growth with an entrepreneurial spirit and ownership mindset. Learn more at irco.com and join us to own your future.
**Job Overview**
 The Compression Systems and Services – North America business unit has an opportunity for a Product Manager, Small Reciprocating Compressors. This role will report to the Reciprocating and Small Rotary Portfolio Leader. This role is responsible for strategy development, roadmap, new product introduction, and lifecycle management across multiple brands of reciprocating compressors in North America. In this roll you will lead the strategy for the Ingersoll Rand, Gardner Denver, Champion, and DV Systems brands for Small Reciprocating compressors. This role is key to the organization for vision, strategy, and development of the future generations of reciprocating compressors, which represent a critical portfolio segment for the Compression Systems and Services business. Your work will directly influence our customer experience and business results. You must have experience in sales, product management or equivalent technical role. This role requires strong leadership skills, excellent communication skills, business acumen, and the ability to work cross functionally to drive continuous improvement.
**Responsibilities**
* Own and manage strategy, roadmaps, business cases, and value proposition for all Ingersoll Rand small reciprocating completes and services for the CSS North America Business Unit.
* Analyze market trends, technology trends, and other potential impact to reciprocating products and services.
* Create and defend business cases to justify revenue and incremental margin from new product developments or inline product revisions.
* Conduct key customer account portfolio reviews of products and services to win opportunities for incremental business and mitigate risk with existing partners.
* Conduct voice of customer activities to identify business, customer, and user needs based on customer account reviews, stakeholder interviews, and advisory panels. Represent the needs of end customers in all business activities.
* Drive customer satisfaction through continuous improvements to operational excellence, including product quality \&amp; on time shipment.
* Lead and influence cross\-functional teams to execute on product development, integration, and commercialization plans to deliver on business case.
* Lead lifecycle management of existing compressor platforms to support completes and aftermarket sales.
* Prepare sales forecasts for use in planning manufacturing operations, phase\-in and phase\-out and controlling inventories.
**Requirements**
* Bachelor’s Degree required.
* 7\+ years of work experience in commercial / sales roles, product management, or marketing disciplines.
* 2\+ years of demonstrated experience working with customers and working with phase gate product execution.
**Core Competencies**
* Product and Market Knowledge: Expertise in air compressors, or other industrial products such as, hydraulics, positive displacement blowers, and other rotating equipment, with the ability to articulate the value proposition of Paragon products in customer terms.
* Strategic Thinking and Planning: Ability to assess market opportunities, develop actionable strategies, and set specific, measurable goals to drive growth and profitability.
* Customer\-Centric Approach: Skilled at building strong relationships, understanding customer needs, and providing tailored solutions to ensure high satisfaction and repeat business.
* Technical Proficiency: Proficient in leveraging technical expertise to identify customer needs and help to develop tailored product solutions.
* Strong Communication and Collaboration: Excellent interpersonal, negotiation, and persuasion skills to foster positive relationships with customers, vendors, and internal teams.
* Excellent presentation skills: Ability to craft a compelling narrative and engage audiences effectively.
* Time and Task Management: Highly organized with strong time management skills, ensuring timely execution of tasks while balancing multiple priorities effectively.
* Business Acumen: High level of business and financial acumen, enabling informed decision\-making and alignment with organizational goals.
* Self\-Motivation and Discipline: Demonstrates intrinsic motivation, a disciplined work style, and the ability to work independently while contributing as part of a team.
* Technology Proficiency: Skilled in using Microsoft Office Suite (Word, Excel, PowerPoint, Teams, Outlook) and CRM tools like Salesforce to document and manage sales opportunities.
**Preferences**
* Bachelor’s degree in Mechanical, Electrical, Industrial Engineering, or a closely related technical discipline
* Master’s degree in business or management is a plus.
* Will consider experience in lieu of Bachelor's Degree.
* B2B industrial market experience is a plus.
* Working knowledge of Salesforce.
* Working knowledge of ERP such as SAP or Oracle.
* Sound record in leading industrial companies.
* Demonstrated experience developing and implementing product strategy and growth plans.
**Travel \&amp; Work Arrangements/Requirements**
* 15\-20%\+ overnight travel is common with this role.
* This position is onsite in Davidson, NC.
**What We Offer**
 At Ingersoll Rand, we embrace a culture of personal ownership — taking responsibility for our company, our communities, and our environment, as well as our individual health and well\-being. Our comprehensive benefits package is designed to empower you with the tools and support necessary to take charge of your health, ensuring that together, we can continue to make life better. Our range of benefits includes health care options like medical and prescription plans, dental and vision coverage, as well as wellness programs. Additionally, we provide life insurance, a robust 401(k) plan, paid time off, and even an employee stock grant, among other offerings. These benefits are our commitment to you, so you can be your best at work and beyond.
 Ingersoll Rand Inc. (NYSE:IR), driven by an entrepreneurial spirit and ownership mindset, is dedicated to helping make life better for our employees, customers and communities. Customers lean on us for our technology\-driven excellence in mission\-critical flow creation and industrial solutions across 40\+ respected brands where our products and services excel in the most complex and harsh conditions. Our employees develop customers for life through their daily commitment to expertise, productivity and efficiency. For more information, visit www.IRCO.com.</t>
        </is>
      </c>
    </row>
    <row r="44">
      <c r="A44" t="inlineStr">
        <is>
          <t>li-4306952714</t>
        </is>
      </c>
      <c r="B44" t="inlineStr">
        <is>
          <t>Sr. Technical Product Manager - Instinct GPU Products</t>
        </is>
      </c>
      <c r="C44" t="inlineStr">
        <is>
          <t>AMD</t>
        </is>
      </c>
      <c r="D44" t="inlineStr">
        <is>
          <t>linkedin</t>
        </is>
      </c>
      <c r="E44" t="inlineStr"/>
      <c r="F44" t="inlineStr"/>
      <c r="G44" t="inlineStr">
        <is>
          <t>Austin, TX</t>
        </is>
      </c>
      <c r="H44" t="inlineStr"/>
      <c r="I4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Team**
 AMD's Data Center GPU organization is transforming the industry with our AI based Graphic Processors. Our primary objective is to design exceptional products that drive the evolution of computing experiences, serving as the cornerstone for enterprise Data Centers, (AI) Artificial Intelligence, HPC and Embedded systems. If this resonates with you, come and joining our Data Center GPU organization where we are building amazing AI powered products with amazing people.
**The Role**
 As a valued member of the Instinct Architecture Requirements Definition team in AMD’s Data Center GPU \&amp; Accelerated Processing product management organization, you will help to define the technical requirements, product strategy, and competitive outlook for AMD’s Instinct GPU product families. You will author detailed technical product requirements, prepare technical guidance documents to inform product managers and influence product roadmaps, produce detailed customer collateral to foster deep technical engagement with key customers, and perform thorough competitive analysis on planned system feature sets and performance.
**THE PERSON:** 
 We’re looking for system\-level thinkers excited about solving the world’s most challenging computing problems beyond rack scale. The right candidate seeks a strong understanding of “why” a system is performing a particular task, as opposed to solely focusing on “how”. We need motivated self\-starters with extensive experience across multiple domains used in industry\-leading datacenter and enterprise environments: cooling technologies, power distribution and delivery, power transient management, data center design, platform mechanical engineering, manufacturing and system integration test fixtures, shipping logistics, and installation. Your work will influence all layers of the technology stack, from the silicon to the system SW.
**Key Responsibilities**
* Product Requirements Definition: capture detailed technical product requirements to guide and direct product development execution and perform thorough reviews of engineering deliverables to ensure they satisfy established product requirements.
* Customer Engagement: engage directly with leading Hyperscaler, CSP, OEM, and ODM clients to capture their requirements, understand their technology roadmap, and collaborate with them to ensure alignment between their future plans and AMD’s product roadmap
* Internal Advocacy: synthesize external feedback, requirements, and industry updates into informative and compelling internal presentation material to change minds and assert influence across multi\-disciplinary groups
* Industry Involvement: participate in standards setting bodies, attend industry event such as conventions and conferences, and meet with vendors of supporting technologies to understand product roadmaps for all the varied technologies required to implement massively scaled GPU compute clusters
**KEY SUCCESS FACTORS \&amp; COMPETENCIES**
* Strong problem\-solving skills with a holistic, system\-level approach to delivering solutions
* Strong communication and presentation skills, capable of articulating complex information in an accessible manner to a diverse audience
* Comfortable in a customer\-facing role, able to command attention and engage participants in a large, dynamic environment.
**Preferred Experience**
* Strong experience in datacenter/enterprise industry
* Experience working with ONE or more relevant technologies:
* Cooling technologies, including AC heat sink design, DLC cold plate design, CDUs, LACCs, AALC, rear door heat exchangers,
* Device power delivery, data center busways, power transient management
* Data center design, platform mechanical engineering, L11 manufacturing and system integration, HALT testing, L11 EMC and certification, shock and vibe test fixtures, shipping logistics, and rack installation
* Extensive experience providing internal technical leadership and guidance to large teams of engineers across multiple disciplines
* Extensive experience driving technical engagement with industry\-leading datacenter and enterprise customers
* Proven track record of successful product requirements definition
**Academic Credentials**
 MS in Computer Science, Computer Engineering, or Electrical Engineering required. PhD a plus.
**LOCATION:**
 Austin TX (Might consider other areas or remote)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45">
      <c r="A45" t="inlineStr">
        <is>
          <t>li-4299602857</t>
        </is>
      </c>
      <c r="B45" t="inlineStr">
        <is>
          <t>Principal Product Manager, Agentic Offensive Security</t>
        </is>
      </c>
      <c r="C45" t="inlineStr">
        <is>
          <t>HackerOne</t>
        </is>
      </c>
      <c r="D45" t="inlineStr">
        <is>
          <t>linkedin</t>
        </is>
      </c>
      <c r="E45" t="inlineStr"/>
      <c r="F45" t="inlineStr"/>
      <c r="G45" t="inlineStr">
        <is>
          <t>Boston, MA</t>
        </is>
      </c>
      <c r="H45" t="inlineStr"/>
      <c r="I45"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46">
      <c r="A46" t="inlineStr">
        <is>
          <t>li-4297749049</t>
        </is>
      </c>
      <c r="B46" t="inlineStr">
        <is>
          <t>Staff Product Manager, Security</t>
        </is>
      </c>
      <c r="C46" t="inlineStr">
        <is>
          <t>Databricks</t>
        </is>
      </c>
      <c r="D46" t="inlineStr">
        <is>
          <t>linkedin</t>
        </is>
      </c>
      <c r="E46" t="inlineStr"/>
      <c r="F46" t="inlineStr"/>
      <c r="G46" t="inlineStr">
        <is>
          <t>Seattle, WA</t>
        </is>
      </c>
      <c r="H46" t="inlineStr"/>
      <c r="I46" t="inlineStr">
        <is>
          <t>P\-1016
 At Databricks, we are passionate about helping data teams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To achieve our mission, we strive to radically simplify the experience of our users as they undertake complex data management projects, while ensuring that we protect their data with the highest standards of security.
 In this role, you will lead all aspects of data security for the Databricks Lakehouse platform. You will drive the product strategy to identify, prioritize and deliver both the external and internal controls necessary for customers to meet their privacy, confidentiality, digital sovereignty and other regulatory obligations. You will create elegant yet simple policy models that enable customers to control access to their most important assets. Your work will help IT and security administrators feel at ease with increasing Databricks usage in their organization. Our data champions will benefit from the data security and operational simplicity you provide, to ensure that they can focus their time on creating most value for their users. You will report to a Senior Director of Product management.
**The Impact You Will Have**
* Make security a market differentiator that enables Databricks to succeed in enterprise and regulated industries.
* Help Databricks gain the trust of CSO teams of security sensitive customers and qualify the Lakehouse platform for all data classes in the customer organization.
* Build a vision for a best\-in\-class network and data security policy model that provides secure access to customer workloads and data while minimizing exposure to unauthorized access and risk of data loss.
* Partner with privacy, legal, and security teams to deliver anonymization, retention, and residency for regulated data and sensitive assets such as AI models.
* Deepen our understanding of evolving threats and corresponding technologies in data security. Use customer inputs to serve as an expert and propose new innovations or best practices from the industry.
* Partner with cloud providers and support confidential compute
* Rationalize and refine the differences in customer experience and data security technologies across multiple clouds including Azure, AWS and Google Cloud.
**What We Look For**
* 7\+ years of product management experience with enterprise B2B or SaaS products, with experience delivering successful customer\-facing products/features.
* Domain expertise in data security, data privacy, and encryption
* An accomplished senior product manager who can define and deliver on success metrics, summarize customer inputs into actionable requirements, and crisply communicate product value propositions to customers and sales teams.
* Experience partnering with senior engineering leadership with an ability to deep\-dive into complex technical concepts.
* Experience driving business results through influential leadership across multiple partner teams including engineering, sales, marketing, solution architects and customer success.
* Passion for designing products that simplify user experience of technically complex products.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$129,000—$228,000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7">
      <c r="A47" t="inlineStr">
        <is>
          <t>li-4308978332</t>
        </is>
      </c>
      <c r="B47" t="inlineStr">
        <is>
          <t>U.S. Custody Product Manager - Vice President</t>
        </is>
      </c>
      <c r="C47" t="inlineStr">
        <is>
          <t>JPMorganChase</t>
        </is>
      </c>
      <c r="D47" t="inlineStr">
        <is>
          <t>linkedin</t>
        </is>
      </c>
      <c r="E47" t="inlineStr"/>
      <c r="F47" t="inlineStr"/>
      <c r="G47" t="inlineStr">
        <is>
          <t>New York, NY</t>
        </is>
      </c>
      <c r="H47" t="inlineStr"/>
      <c r="I47" t="inlineStr">
        <is>
          <t>**Job Description**
 Global Custody Product Management is seeking a Vice President\-level U.S. Custody Product Manager to oversee all aspects of custody services in the U.S. market. The successful candidate will manage the firm's custodial obligations related to U.S. securities across both U.S. depositories. This role requires strong engagement skills to collaborate effectively with internal and external clients, stakeholders, and colleagues at all levels. Key responsibilities include driving U.S. initiatives, navigating industry and regulatory changes, and enhancing product differentiation to maintain a competitive edge.
**Job Responsibilities**
* Lead the modernization, growth, and maintenance of the U.S. custody strategy.
* Liaise with local market infrastructure and service providers.
* Develop and execute market initiatives in alignment with the global direction of the Securities Services product line.
* Clearly articulate our competitive proposition and key differentiators, including significant business drivers, opportunities, and risks.
* Represent the custody product and its clients in interactions with local regulators, and act as the lead advocate with market infrastructure and trade representative groups.
* Contribute to the service documentation related to the product.
* Plan and deliver a coordinated program of innovative market information to clients efficiently and in various formats.
* Coordinate across Operations, Client Service, and Technology to ensure product development aligns with the overall market strategy.
* Partner with local and functional Compliance to ensure the custody product operates within all relevant regulatory frameworks.
* Maintain a strong focus on risk and controls, ensuring issues are identified, escalated, and managed effectively and transparently.
* Contribute to client change requests concerning the market.
* Demonstrate principled leadership in aspects of culture and conduct.
**Required Qualifications, Capabilities, And Skills**
* Possess a thorough understanding of the operating model for the U.S. market.
* Comprehensive knowledge of the custody lifecycle, including safekeeping, settlement, and all aspects of asset servicing such as corporate actions, income processing, proxy services, and tax products.
* In\-depth understanding of market participants, local regulations, client requirements, and market practices, demonstrated through established relationships, past experience, and previous achievements.
* Proven track record in delivering and managing change effectively.
* Exceptional communication and presentation skills, with the ability to convey clear, concise messages and leverage the broader organization to achieve objectives.
* Strong analytical, problem\-solving, and process re\-engineering skills.
* Highly motivated and energetic self\-starter with a strong sense of ownership.
* Excellent organizational skills, with the ability to manage and prioritize multiple tasks across different time horizons while meeting deadlines.
* Solid understanding of business processes and the application of appropriate risk controls.
**Preferred Qualifications, Capabilities, And Skills**
* Possess extensive knowledge of the U.S. market.
* A confident and driven executive with the ability to engage effectively with individuals and teams at all levels, securing their support for key initiatives.
* Capable of managing a wide range of activities over extended periods, with a strong ability to prioritize focus appropriately.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8">
      <c r="A48" t="inlineStr">
        <is>
          <t>li-4310415687</t>
        </is>
      </c>
      <c r="B48" t="inlineStr">
        <is>
          <t>Group Product Manager - Unified Factory</t>
        </is>
      </c>
      <c r="C48" t="inlineStr">
        <is>
          <t>Magna International</t>
        </is>
      </c>
      <c r="D48" t="inlineStr">
        <is>
          <t>linkedin</t>
        </is>
      </c>
      <c r="E48" t="inlineStr"/>
      <c r="F48" t="inlineStr"/>
      <c r="G48" t="inlineStr">
        <is>
          <t>Lowell, MA</t>
        </is>
      </c>
      <c r="H48" t="inlineStr"/>
      <c r="I48"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Magna New Mobility is a business unit inside Magna International leveraging Magna’s technology building blocks, developing new capabilities, and entering new markets and use cases. Our products include advanced solutions for urban markets, industrial intralogistics, commercial and autonomous vehicles.
 Magna New Mobility is also creating advanced software solutions that integrate with next\-generation hardware. Our software is a core driver \- turning our hardware into smart, integrated platforms for partners eager to advance the mobility sector.
 Magna's New Mobility group is not just about building individual technologies; we aim to create integrated solutions that address the complex challenges of moving people efficiently and cost effectively in the 21st century. Join us in advancing and shaping the future of mobility.
**Job Responsibilities**
**About the Team**
 Magna New Mobility is building the future of automation in manufacturing and logistics. Our team is at the forefront of
 **autonomous mobile robotics (AMRs), fleet orchestration, and Unified Factory software platforms** 
 , enabling smarter, safer, and more efficient industrial operations. We combine robotics, AI, and software\-driven automation to transform how factories and supply chains operate at scale.
**About The Role**
 We are looking for a
 **Group Product Manager (GPM)** 
 to lead product strategy and execution across Magna’s
 **AMR software control systems, fleet orchestration, and Unified Factory software platform** 
 . In this role, you will manage a team of product owners and collaborate closely with engineering, design, operations, and business stakeholders to deliver products that reshape industrial automation.
 You will own the vision, roadmap, and execution across multiple product lines—from real\-time AMR navigation and fleet management to IoT\-enabled forklift routing, analytics, and integration with industrial systems. This is a high\-impact leadership role with visibility across Magna’s global operations.
**What You’ll Do**
* Lead Product Strategy \&amp; Vision – Define and communicate the long\-term strategy for AMR software, Unified Factory orchestration, and supporting analytics platforms.
* Manage \&amp; Mentor Product Teams – Guide product owners/managers in backlog management, roadmap planning, and execution, ensuring alignment across robotics, cloud, and industrial automation.
* Drive Cross\-Functional Execution – Collaborate with engineering, hardware, and operations teams to deliver integrated solutions that connect AMRs, forklifts, cloud systems, and factory platforms.
* Shape the Roadmap Across Product Lines – Prioritize features spanning AMR navigation/localization, fleet coordination, IoT forklift integration, cloud analytics, and factory\-wide orchestration.
* Translate Business Needs Into Product Outcomes – Engage with plant operators, logistics teams, and executive stakeholders to ensure solutions deliver measurable value in efficiency, safety, and scalability.
* Measure Impact \&amp; Drive Continuous Improvement – Use data, system performance metrics, and customer feedback to refine strategy and product execution.
* Evangelize Products Across Magna – Communicate progress, wins, and roadmap priorities to leadership and customer groups globally.
**What We’re Looking For**
* 8\+ years of experience in product management, including leading multiple product lines or managing product teams (GPM, Sr. PM, or equivalent).
* Experience in robotics, automation, IoT, or complex B2B software systems (exposure to AMRs, fleet management, or industrial software strongly preferred).
* Proven ability to set vision and strategy while driving day\-to\-day execution.
* Experience with Agile methodologies, backlog management, and leading cross\-functional product delivery.
* Strong communication and stakeholder management skills, with ability to influence at all levels of the organization.
* Passion for automation, robotics, and industrial transformation.
 This role offers a unique opportunity to shape the
 **future of factory automation** 
 —leading teams building real\-world solutions in robotics, IoT, and software\-driven orchestration at global scale.
 Hiring Base Salary Range: $105,780 \- $196,440 (
 *Salary to be determined by the education, experience, knowledge, skills, and abilities of the applicant, internal equity, and alignment with market data).* 
*In addition to base salary, some positions are eligible for an annual performance based bonus.*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**Worker Type**
 Regular / Permanent
**Group**
 Magna Corporate</t>
        </is>
      </c>
    </row>
    <row r="49">
      <c r="A49" t="inlineStr">
        <is>
          <t>li-4316290050</t>
        </is>
      </c>
      <c r="B49" t="inlineStr">
        <is>
          <t>Group Product Manager - Urology</t>
        </is>
      </c>
      <c r="C49" t="inlineStr">
        <is>
          <t>Medline</t>
        </is>
      </c>
      <c r="D49" t="inlineStr">
        <is>
          <t>linkedin</t>
        </is>
      </c>
      <c r="E49" t="inlineStr"/>
      <c r="F49" t="inlineStr"/>
      <c r="G49" t="inlineStr">
        <is>
          <t>Chicago, IL</t>
        </is>
      </c>
      <c r="H49" t="inlineStr"/>
      <c r="I49" t="inlineStr">
        <is>
          <t>**Job Summary**
 Medline Industries has an immediate opening for a Group Product Manager with our Urology division. This role will be based out of our Chicago\-Merchandise Mart location and will work a hybrid model. Lead a portfolio development team to drive the growth product portfolio through strategy development and execution, provide financial estimate to support overall business planning of the product portfolios. Lead market research/due diligence for new opportunity or acquisition targets.
**Job Description**
 CORE JOB RESPONSIBILITIES
* Develop and implement a strategic plan for the product portfolio, based on market trend, customer needs and competitive landscape
* Lead a team of portfolio development managers in Conducting effective market research and translate that research into new products, product improvements, or line extensions by building effective business cases to enable decision making.
* Lead the cross functional team of GSO/QA/RA/R\&amp;D/vendor to move development projects forward.
* Monitor competitive products and strategies, Identify gaps in products, evidence and other access, recommend strategies and tactics to obtain and maintain competitive advantages. .
* Establish key performance indicator to measure product portfolio’s success. Tracking and reporting KPIs to senior management and provide recommendations for improvements or adjustments as needed.
* Managing a team of portfolio development managers or other professionals, providing guidance, coaching and support to ensure team’s success.
 Medline Industries, LP, and its subsidiaries, offer a competitive total rewards package, continuing education \&amp; training, and tremendous potential with a growing worldwide organization.
**The Anticipated Salary Range For This Position**
 $132,600\.00 \- $199,160\.00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50">
      <c r="A50" t="inlineStr">
        <is>
          <t>li-4331357108</t>
        </is>
      </c>
      <c r="B50" t="inlineStr">
        <is>
          <t>Technical Program Manager, RL Infrastructure &amp; Reliability</t>
        </is>
      </c>
      <c r="C50" t="inlineStr">
        <is>
          <t>Google DeepMind</t>
        </is>
      </c>
      <c r="D50" t="inlineStr">
        <is>
          <t>linkedin</t>
        </is>
      </c>
      <c r="E50" t="inlineStr"/>
      <c r="F50" t="inlineStr"/>
      <c r="G50" t="inlineStr">
        <is>
          <t>Mountain View, CA</t>
        </is>
      </c>
      <c r="H50" t="inlineStr"/>
      <c r="I50" t="inlineStr">
        <is>
          <t>**The Role**
 As a Technical Program Manager for Reinforcement Learning (RL) Infrastructure \&amp; Reliability, you will focus on a critical, rapidly evolving area: the post\-training stack that refines and improves Gemini models. You will be a hands\-on driver of technical programs, embedding with engineering teams to enhance the reliability, performance, and scalability of the infrastructure that powers our most advanced RL workloads.
 This role is for a TPM who thrives on ambiguity and technical depth. You will lead concrete engineering initiatives, from driving performance optimization programs to owning the execution of reliability roadmaps. Your work will have a direct and measurable impact on the quality of our models and the velocity of our research.
**Responsibilities**
* Performance \&amp; Efficiency Optimization: Drive technical programs focused on optimizing the performance and efficiency of post\-training and RL workloads. This includes quantitative analysis, developing shared dashboards, and guiding engineering execution on improvements.
* Reliability Roadmap Execution: Execute key projects from the post\-training reliability roadmap, such as improving monitoring tools and centralizing core services, to enhance the stability of the entire stack.
* Code Health Initiatives: Own the technical project management for initiatives aimed at improving the long\-term health, testability, and maintainability of the RL infrastructure codebases.
* Roadmap \&amp; Backlog Management: Manage the engineering backlog and tactical execution for core RL framework development, ensuring progress is tracked and aligned with the team's strategic roadmap.
* Cross\-Functional Coordination: Build effective working relationships with engineering teams, guiding alignment on project goals, managing interdependencies, and ensuring clear communication and risk management.
* Program Governance: Contribute to the broader program management of the Frameworks and Infrastructure team, providing clear stakeholder updates and supporting team\-wide events.
**Minimum Qualifications**
* Bachelor's degree in a technical field or equivalent practical experience.
* 5 years of experience in program or project management in a technical software environment.
* Experience working directly with engineering teams on the software development lifecycle.
**Preferred Qualifications**
* 5\+ years of relevant work experience.
* Experience with machine learning workflows, particularly in training, post\-training, or MLOps. Direct experience with Reinforcement Learning (RL) is a strong plus.
* Strong analytical skills, with experience in performance analysis, reliability engineering (SRE), or technical efficiency projects.
* Proficiency with project management and development tools (e.g., Jira, Gantt charts) for managing technical backlogs.
* Excellent interpersonal and communication skills, with a demonstrated ability to work effectively in ambiguous, fast\-paced R\&amp;D environments.
 The US base salary range for this full\-time position is between $156,000 \- $229,000 \+ bonus \+ equity \+ benefits. Your recruiter can share more about the specific salary range for your targeted location during the hiring process.
**Application deadline:** 
 12pm PST Friday 14th Nov 2025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51">
      <c r="A51" t="inlineStr">
        <is>
          <t>li-4318722333</t>
        </is>
      </c>
      <c r="B51" t="inlineStr">
        <is>
          <t>Senior Technical Program Manager, Logistics</t>
        </is>
      </c>
      <c r="C51" t="inlineStr">
        <is>
          <t>Zoox</t>
        </is>
      </c>
      <c r="D51" t="inlineStr">
        <is>
          <t>linkedin</t>
        </is>
      </c>
      <c r="E51" t="inlineStr"/>
      <c r="F51" t="inlineStr"/>
      <c r="G51" t="inlineStr">
        <is>
          <t>Hayward, CA</t>
        </is>
      </c>
      <c r="H51" t="inlineStr"/>
      <c r="I51" t="inlineStr">
        <is>
          <t>At Zoox, our Logistics team enables seamless, scalable, and efficient material flow across the supply chain, ensuring the timely delivery of components critical to vehicle manufacturing and service operations. We value collaboration, innovation, and a commitment to operational excellence.
 This Senior Technical Program Manager (TPM) role is pivotal in leading large\-scale logistics transformation initiatives as Zoox transitions from prototype and R\&amp;D builds into high\-volume automotive production. You will drive standardization, scalability, and technology integration across inbound, warehouse, and outbound operations, partnering with engineering, manufacturing, and supply chain teams to deliver world\-class logistics systems that support Zoox’s growth.
**In This Role, You Will**
* Lead complex, cross\-functional logistics programs aligning with key company milestones from concept through execution, enabling the transition from pilot builds to scaled production.
* Drive strategic change management, developing and deploying scalable frameworks, standard processes, and best practices across logistics and warehouse operations.
* Establish and govern logistics standards and KPIs to ensure performance, budget, safety, quality, efficiency, and compliance across all sites.
* Partner cross\-functionally with Engineering, Supply Chain, Planning, Operations, Manufacturing, Service, and Facilities to align logistics readiness with company milestones.
* Manage large\-scale initiatives (e.g., new warehouse implementations, automation deployments, material flow redesigns) balancing short\-term build needs with long\-term scalability.
* Integrate technology, automation, and lean practices into logistics operations to improve throughput, accuracy, and sustainability.
* Design and optimize inbound, warehouse, and outbound logistics processes to maximize efficiency, reduce costs, and meet operational requirements while engaging key stakeholders to drive solutions. Analyze material flow patterns to identify inefficiencies, implement strategies to reduce lead times, and manage cross\-functional issue resolution.
* Mentor and lead cross\-functional project teams, providing structure, accountability, and clarity around priorities, deliverables, and risks. Create and implement standards for best practices on methodologies, tools and processes for consistent execution.
* Develop and manage schedules, risk registers, and reporting tools (Smartsheet, MS Project, etc.) to ensure on\-time, in\-scope delivery of logistics programs.
**Travel Requirements:** 
 25%
**Qualifications**
* Bachelor's degree in Industrial Engineering, Supply Chain Management, Logistics, or a related field.
* 8\+ years of experience in automotive logistics, manufacturing, or technical program management within high\-scale industries (aerospace, medical device, or electronics preferred).
* Proven success leading large, multi\-site logistics or warehouse transformation programs from design to implementation.
* Deep knowledge of logistics engineering, supply chain, transportation, material flow optimization, and warehouse design.
* Demonstrated ability to drive organizational change, standardize operations, and scale new processes.
* Strong skills in program management, risk mitigation, and stakeholder alignment across cross\-functional technical and operational teams.
* Exceptional communication and executive presentation skills; capable of influencing at all organizational levels.
* Experience with ERP/WMS systems (SAP preferred) and program management tools (Smartsheet, MS Project).
* Strong analytical, data\-driven mindset; comfortable with metrics, dashboards, and performance tracking.
**Bonus Qualifications**
* Master’s degree in Industrial Engineering, Supply Chain, or Logistics\-related field.
* PMP/PgMP or Lean/Six Sigma certification.
* Experience launching greenfield logistics operations or scaling facilities for mass production.
* Proficiency with AutoCAD and time studies for layout design and labor/equipment analysis.
* Familiarity with SQL, Python, or simulation tools for decision support.
* Knowledge of ISO 9001, IATF 16949, and OSHA/EHS standards in logistics and manufacturing environments.
 $163,000 \- $220,000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li-4363898509</t>
        </is>
      </c>
      <c r="B52" t="inlineStr">
        <is>
          <t>Senior Staff Engineering Product Manager</t>
        </is>
      </c>
      <c r="C52" t="inlineStr">
        <is>
          <t>Cisco</t>
        </is>
      </c>
      <c r="D52" t="inlineStr">
        <is>
          <t>linkedin</t>
        </is>
      </c>
      <c r="E52" t="inlineStr"/>
      <c r="F52" t="inlineStr"/>
      <c r="G52" t="inlineStr">
        <is>
          <t>Durham, NC</t>
        </is>
      </c>
      <c r="H52" t="inlineStr"/>
      <c r="I52" t="inlineStr">
        <is>
          <t>**Senior Staff Product Manager – Platform Security**
 (Cryptography, PKI, FIPS, Secrets, AI Runtime Security)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We are a company filled with people who are passionate about our products, our customers, and delivering outcomes that matter. At Splunk, we are committed to trust, innovation, and to each other's success. Now part of Cisco, we offer the scale, reach, and investment of a global technology leader while preserving the velocity, ownership, and product\-driven culture that define Splunk. Learn more about Splunk careers and how you can become a part of our journey.
**The Opportunity**
 We are hiring a
 **Senior Staff Product Manager to lead Platform Security** 
 — defining and driving the core security primitives that power Splunk’s platform, cloud services, and AI future. This role owns product strategy and execution for PKI, certificate lifecycle automation, TLS and cryptographic upgrades, FIPS compliance, secrets management, and secure service identity for a multi\-billion\-dollar product portfolio.
 You will drive the next generation of Splunk’s secure foundation — ensuring every workload, every customer action, and every AI agent at Splunk is backed by strong identity hardened cryptography, and secure\-by\-default design. You will also lead security direction for
 **AI agent workloads and runtime environments** 
 , ensuring safe credentials, isolation\-ed boundaries, encrypted inter\-agent communication, and trust\-anchored execution models as Splunk scales into distributed automation and agentic decisioning.
 This is a pivotal role for Splunk’s future. You will act as the product authority and single\-threaded owner working across engineering, architecture, and product leadership to deliver crypto\-resilient infrastructure that customers rely on every second of every day.
**Responsibilities**
* Develop and maintain a multi\-year roadmap for Platform Security capabilities including certificate lifecycle management, PKI infrastructure, secrets management, token security, and cryptographic compliance (FIPS 140\-3, TLS modernization).
* Lead product strategy for secure\-by\-default platform foundations, including certificate authority enablement, key management systems, secure bootstrapping, and encrypted data\-in\-transit/at\-rest standards across Splunk products.
* Partner closely with engineering, architecture, compliance, and product teams to deliver security\-critical outcomes tied to regulatory requirements, customer needs, and Cisco\-Splunk integration.
* Drive execution from concept to GA — translating security requirements into product features, guiding implementation tradeoffs, and ensuring scalable, operable, and audit\-ready security systems.
* Influence internal partners and customers through clear RFCs, technical proposals, risk\-impact evaluations, and roadmap presentations to align execution across distributed product teams.
* Champion a security\-first culture passionate about resilience, crypto\-agility, measurable hardening of the platform, and continuous improvement of secrets, certificates, and machine identity posture.
**Requirements**
* Bachelor’s, Master’s, PhD in Computer Science, Security Engineering, or equivalent experience — with demonstrated depth in cryptographic or distributed security systems.
* 7\+ years experience in Product Management or Technical Product Leadership within enterprise infrastructure, cloud platforms, or security foundations.
* Recognized expertise in platform security — consistent record owning and scaling capabilities such as PKI systems, certificate lifecycle automation, CA/RA service design, HSM/KMS integration, mTLS, token/secret governance.
* Hands\-on experience driving cryptographic modernization at scale — including TLS upgrades, OpenSSL migrations, FIPS 140\-2/140\-3 compliance, deprecation of legacy cipher suites, and crypto\-agility planning across large product surfaces.
* Drive the security strategy for AI agent workloads and runtime environments — ensuring secure credential handling, secrets isolation, encrypted agent\-to\-agent communication, certificate\-backed identity, and hardened execution surfaces for AI\-driven automation.
* Proven ability to influence technical direction and security standards across multiple product organizations, with a history of defining frameworks, policies, and architectural principles — not just completing them.
* Outstanding written and verbal communication — skilled at producing high\-clarity PRFAQs, technical narratives, risk justifications, and roadmap proposals to drive alignment from engineering teams to EVP/SVP audiences.
* Background with Splunk, large distributed control planes, high\-scale authentication trust chains, or security\-sensitive enterprise products is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$176,100\.00 to $250,400\.00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3">
      <c r="A53" t="inlineStr">
        <is>
          <t>li-4363838953</t>
        </is>
      </c>
      <c r="B53" t="inlineStr">
        <is>
          <t>Senior Staff Engineering Product Manager</t>
        </is>
      </c>
      <c r="C53" t="inlineStr">
        <is>
          <t>Cisco</t>
        </is>
      </c>
      <c r="D53" t="inlineStr">
        <is>
          <t>linkedin</t>
        </is>
      </c>
      <c r="E53" t="inlineStr"/>
      <c r="F53" t="inlineStr"/>
      <c r="G53" t="inlineStr">
        <is>
          <t>Boston, MA</t>
        </is>
      </c>
      <c r="H53" t="inlineStr"/>
      <c r="I53" t="inlineStr">
        <is>
          <t>**Senior Staff Product Manager – Platform Security**
 (Cryptography, PKI, FIPS, Secrets, AI Runtime Security)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We are a company filled with people who are passionate about our products, our customers, and delivering outcomes that matter. At Splunk, we are committed to trust, innovation, and to each other's success. Now part of Cisco, we offer the scale, reach, and investment of a global technology leader while preserving the velocity, ownership, and product\-driven culture that define Splunk. Learn more about Splunk careers and how you can become a part of our journey.
**The Opportunity**
 We are hiring a
 **Senior Staff Product Manager to lead Platform Security** 
 — defining and driving the core security primitives that power Splunk’s platform, cloud services, and AI future. This role owns product strategy and execution for PKI, certificate lifecycle automation, TLS and cryptographic upgrades, FIPS compliance, secrets management, and secure service identity for a multi\-billion\-dollar product portfolio.
 You will drive the next generation of Splunk’s secure foundation — ensuring every workload, every customer action, and every AI agent at Splunk is backed by strong identity hardened cryptography, and secure\-by\-default design. You will also lead security direction for
 **AI agent workloads and runtime environments** 
 , ensuring safe credentials, isolation\-ed boundaries, encrypted inter\-agent communication, and trust\-anchored execution models as Splunk scales into distributed automation and agentic decisioning.
 This is a pivotal role for Splunk’s future. You will act as the product authority and single\-threaded owner working across engineering, architecture, and product leadership to deliver crypto\-resilient infrastructure that customers rely on every second of every day.
**Responsibilities**
* Develop and maintain a multi\-year roadmap for Platform Security capabilities including certificate lifecycle management, PKI infrastructure, secrets management, token security, and cryptographic compliance (FIPS 140\-3, TLS modernization).
* Lead product strategy for secure\-by\-default platform foundations, including certificate authority enablement, key management systems, secure bootstrapping, and encrypted data\-in\-transit/at\-rest standards across Splunk products.
* Partner closely with engineering, architecture, compliance, and product teams to deliver security\-critical outcomes tied to regulatory requirements, customer needs, and Cisco\-Splunk integration.
* Drive execution from concept to GA — translating security requirements into product features, guiding implementation tradeoffs, and ensuring scalable, operable, and audit\-ready security systems.
* Influence internal partners and customers through clear RFCs, technical proposals, risk\-impact evaluations, and roadmap presentations to align execution across distributed product teams.
* Champion a security\-first culture passionate about resilience, crypto\-agility, measurable hardening of the platform, and continuous improvement of secrets, certificates, and machine identity posture.
**Requirements**
* Bachelor’s, Master’s, PhD in Computer Science, Security Engineering, or equivalent experience — with demonstrated depth in cryptographic or distributed security systems.
* 7\+ years experience in Product Management or Technical Product Leadership within enterprise infrastructure, cloud platforms, or security foundations.
* Recognized expertise in platform security — consistent record owning and scaling capabilities such as PKI systems, certificate lifecycle automation, CA/RA service design, HSM/KMS integration, mTLS, token/secret governance.
* Hands\-on experience driving cryptographic modernization at scale — including TLS upgrades, OpenSSL migrations, FIPS 140\-2/140\-3 compliance, deprecation of legacy cipher suites, and crypto\-agility planning across large product surfaces.
* Drive the security strategy for AI agent workloads and runtime environments — ensuring secure credential handling, secrets isolation, encrypted agent\-to\-agent communication, certificate\-backed identity, and hardened execution surfaces for AI\-driven automation.
* Proven ability to influence technical direction and security standards across multiple product organizations, with a history of defining frameworks, policies, and architectural principles — not just completing them.
* Outstanding written and verbal communication — skilled at producing high\-clarity PRFAQs, technical narratives, risk justifications, and roadmap proposals to drive alignment from engineering teams to EVP/SVP audiences.
* Background with Splunk, large distributed control planes, high\-scale authentication trust chains, or security\-sensitive enterprise products is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$176,100\.00 to $250,400\.00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4">
      <c r="A54" t="inlineStr">
        <is>
          <t>li-4318292258</t>
        </is>
      </c>
      <c r="B54" t="inlineStr">
        <is>
          <t>J.P. Morgan Wealth Management - Investment Funding Product Manager</t>
        </is>
      </c>
      <c r="C54" t="inlineStr">
        <is>
          <t>JPMorganChase</t>
        </is>
      </c>
      <c r="D54" t="inlineStr">
        <is>
          <t>linkedin</t>
        </is>
      </c>
      <c r="E54" t="inlineStr"/>
      <c r="F54" t="inlineStr"/>
      <c r="G54" t="inlineStr">
        <is>
          <t>Columbus, OH</t>
        </is>
      </c>
      <c r="H54" t="inlineStr"/>
      <c r="I54" t="inlineStr">
        <is>
          <t>**Job Description**
 If you enjoy shaping the future of product innovation as a core leader, driving value for customers, guiding successful launches, and exceeding expectations than this is the role and team for you! Join our dynamic team and make a meaningful impact by delivering high\-quality products that resonate with clients.
 As a Product Manager on the Investment Funding product team, you are an integral part of the team that innovates new product offerings and leads the end\-to\-end product life cycle. You will lead product innovation, promote customer value, and guide successful market launches and .own the end\-to\-end product lifecycle for solutions that mitigate risk, enhance operational efficiency, and deliver exceptional client experiences. Your expertise will help shape our strategy to stay ahead of emerging threats while ensuring our products are scalable, resilient, and stable. You will collaborate closely with cross\-functional teams to deliver high\-quality products that exceed customer expectations.
**Job Responsibilities**
* Develops a product strategy and product vision that delivers value to customers
* Lead discovery efforts and market research to uncover client pain points and industry trends, and integrating these insights into the product roadmap.
* Own, maintain, and develop a product backlog focused on features and enhancements that support our check deposit and fraud risk strategy.
* Build frameworks and track key success metrics such as fraud loss reduction, operational efficiency, feature adoption, and reliability.
* Define OKRs in partnership with cross\-functional leaders, with a focus on fraud risk mitigation and compliance.
* Proactively analyze data—including fraud trends, competitor solutions, regulatory changes, and user behavior—to uncover insights that drive business value and inform product decisions. Leverage data\-driven experimentation and measurement frameworks to ensure key results are on track.
* Lead the product development lifecycle by writing detailed requirements that capture functional, design, and control/regulatory features. Conduct discovery sessions to clarify and prioritize requirements. Work with Tech Development to ensure the output delivered meets expectations. Be the main decision maker in determining trade\-offs based on known considerations. Collaborate with Quality Assurance to deliver a functional end\-to\-end product and experience across all channels (web, mobile). Drive the prioritization of any defects found and work with technology on the resolution.
**Required Qualifications, Capabilities, And Skills**
* 5\+ years of experience or equivalent expertise in product management or relevant domain area
* Experience in Payments, cash/asset transfers, check processing, or fraud risk management
* Advanced knowledge of the product development life cycle, design, and data analytics, with a focus on risk and controls
* Proven ability to lead product life cycle activities including discovery, ideation, strategic development, requirements definition, and value management for risk\-related products
* Experience working closely with user experience designers and software engineers
**Preferred Qualifications, Capabilities, And Skills**
* Demonstrated prior experience working in a highly matrixed, complex organization
* Experience with Adobe Analytics or any web analytics tool is a plus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55">
      <c r="A55" t="inlineStr">
        <is>
          <t>li-4370346120</t>
        </is>
      </c>
      <c r="B55" t="inlineStr">
        <is>
          <t>Program Manager, Student Engagement &amp;amp; Outreach in the Office of Global Education</t>
        </is>
      </c>
      <c r="C55" t="inlineStr">
        <is>
          <t>Inside Higher Ed</t>
        </is>
      </c>
      <c r="D55" t="inlineStr">
        <is>
          <t>linkedin</t>
        </is>
      </c>
      <c r="E55" t="inlineStr"/>
      <c r="F55" t="inlineStr"/>
      <c r="G55" t="inlineStr">
        <is>
          <t>Kennesaw, GA</t>
        </is>
      </c>
      <c r="H55" t="inlineStr"/>
      <c r="I55" t="inlineStr">
        <is>
          <t>*Job Title:* 
 Program Manager, Student Engagement \&amp; Outreach in the Office of Global Education
*Location:* 
 Kennesaw, Georgia
*Regular/Temporary:* 
 Regular
*Full/Part Time:* 
 Full\-Time
*Job ID:* 
 293687
**About Us**
 Are you ready to transform lives through academic excellence, innovative research, strong community partnerships and economic opportunity?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**(Primary Location for Job Responsibilities)** 
 Our Kennesaw campus is located at 1000 Chastain Road NW, Kennesaw, GA 30144\.
 Our Marietta campus is located at 1100 South Marietta Parkway, Marietta, GA 30060\.
**Job Summary**
 Develops, organizes and implements comprehensive programs in the assigned college, department and/or unit. Responsible for preparing and organizing programs and activities. Promotes programs internal and external to the university and evaluates effectiveness. Ensures programs comply with university and USG policies and procedures.
**Responsibilities**
**DEPARTMENT\-SPECIFIC TASKS AND RESPONSIBILITIES:**
* Works collaboratively with affiliated faculty and staff to assess, pursue, and manage the following: external grant opportunities, international partnerships, agreements, and grants sponsored programs in support of Global Education.
* Works collaboratively with KSU Office of Research staff and contract grant writers to address
 pre\- and post\-award development and reporting requirements for both new and existing grant
 programs.
* Manages program logistics for department initiatives, including contract negotiations with
 service providers and manages program budgets when applicable.
* Conducts research on key program elements, including cultural components and program
 participants and guests, prior to program implementation to positively impact the success rate.
* Oversees the student Global Ambassador program, in collaboration with Global Education
 program staff.
**Required Qualifications**
**Educational Requirements**
 Bachelor's degree from an accredited institution of higher education in related field
**Required Experience**
 Three (3\) years of related work experience
**Preferred Qualifications**
**Preferred Educational Qualifications**
 An advanced degree from an accredited institution of higher education in a related field
**Knowledge, Skills, \&amp; Abilities**
**DEPARTMENT\-SPECIFIC KNOWLEDGE, SKILLS, AND ABILITIES\*:**
 Knowledge and skills of the grant development process, including pre\-and post\-award development and reporting requirements for both new and existing grant programs
 Hands\-on experience with budgeting, planning, and scheduling
 Able to think strategically and creatively
 Knowledge of international programming and international education initiatives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This is a supervisory position.
 This position has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56">
      <c r="A56" t="inlineStr">
        <is>
          <t>li-4278308501</t>
        </is>
      </c>
      <c r="B56" t="inlineStr">
        <is>
          <t>Senior Program Manager</t>
        </is>
      </c>
      <c r="C56" t="inlineStr">
        <is>
          <t>Benchmark</t>
        </is>
      </c>
      <c r="D56" t="inlineStr">
        <is>
          <t>linkedin</t>
        </is>
      </c>
      <c r="E56" t="inlineStr"/>
      <c r="F56" t="inlineStr"/>
      <c r="G56" t="inlineStr">
        <is>
          <t>Rochester, MN</t>
        </is>
      </c>
      <c r="H56" t="inlineStr"/>
      <c r="I56" t="inlineStr">
        <is>
          <t>At Benchmark, we are driven by our purpose: to innovate for a healthier, safer, and better\-connected world to create a brighter future. When you join us, you become part of a team passionate about making a meaningful impact across various sectors, including commercial aerospace, defense, advanced computing, next\-generation communications, complex industrials, medical, and semiconductor capital equipment. We prioritize career growth, fostering a culture that ensures you reach your full potential. At Benchmark, your work is purpose\-driven, enabling you to create a positive impact on the world and make your career truly meaningful. You’ll be part of a collaborative, diverse, and inclusive team that values your ideas and contributions.
 Summary:
 The program manager is responsible for the execution of customer strategies related to one or more customers including all products/programs from new product introduction through volume production. He/she is responsible for achieving high customer satisfaction, driving profitable business relationships and sales growth and providing strong leadership to the customer focus teams to ensure achievement of customer commitments.
 Responsibilities:
* Leader of the customer focus team (CFT). Prioritize and monitors all CFT activities.
* Acts as primary day\-to\-day customer point of contact and functions as the primary Customer contact in resolution management and responsible for the overall health of the customer relationship.
* Ensures successful new product introduction:
* Executes to NPI standard process
* Understands and monitors S\&amp;OP
* Identifies and secures skills needed for effective transitions
* Sets appropriate expectations with customers
* Manages pricing and ECO prioritization during the process
* Understands and maintains customer product knowledge and roadmap
* Gains understanding of customer market and competition
* Establishes and monitors KPI’s related to E\&amp;O, PPV and inventory turns
* Manages recurring pricing activities. Uses contract, pricing model and updated costs to present new pricing to customers. Negotiates to successful completion.
* Monitors and investigates technical, scheduling, financial and quality metrics, which deviate from established requirements; determines cause, and, takes corrective action.
* Schedules Executive Business Reviews (EBR) and Quarterly Business Reviews (QBR)
* Ensures appropriate attendees are well prepared for meeting, understanding data and issues
* Sets meeting objectives, develops agendas and tools to accomplish objective
* Prepares internal teams for meeting
* Aligns topics and presentations with customer prior to meeting
* Provides timely notification to GMs and global program managers of critical problems encountered, action taken, and anticipated effect on project objectives;
* Accountable for driving objectives related to continuous improvements
* Accountable to ensure the build and delivery schedules by working with the customer, internal supply chain, and operations.
* Works with SCA to ensure resolution of excess and obsolete inventory issues.
* Ensures the recovery for costs related to ECO activity, Non\-Recurring Expenses (NRE) and other miscellaneous.
* Meets and manages customer demand in accordance with contract, site inventory objectives, equipment and personnel capacity
* Ensures customer demand (PO and Forecast) is managed and well understood by CFT members
* Communicates updated data to close gap between customer request and Benchmark commitment (manage expectations)
* Tracks, trends and reports On\-Time Delivery to customer request and Benchmark commitment
* Monitors customer revenue plan through demand outlook
* Understands contractual obligations of the contract related to:
* Flexibility allowances and manages requests for pull\-ins and push\-outs or cancellations
* Payment terms and invoicing
* Any potential penalties from customer
* Cost reduction obligations/targets and communicates to organization
* Excess and obsolete terms, recovery and escalation path as required
* Warranty terms, recall and epidemic failure qualifiers
* Ensures execution to contract terms and conditions to meet Benchmark’s obligations.
* Communicates contract requirements internally.
* Conducts monthly Program Reviews utilizing Benchmark standard process.
* Executes customer quotation requests
* Assesses risk utilizing and the Risk/Liability Tool
* Ensures accuracy of quotations to protect gross margin
* Validates the establishment of quotes to actuals costs comparisons
* Coordinates with procurement organization to develop supply chain strategy which aligns with customer contract and site goals
* Identifies risk of inventory exposure, coordinates reserve with site controller
* Manages inventory days of sales
* Establish standard cost for parts based on customer’s influence, material, labor standard changes or inventory days
* Ensures Positive Price Variances alignment to site goals at the point of sale
* Reviews Supply Chain data related to component lead\-time, MOQ, and impacts to total inventory exposure
* Responsible to determine if customer will be responsible for negative PPV and or associated procurement costs and if so, collect money from customer
* Develops an understanding of DFx philosophy including Design for manufacturing, Design for Test, and Design for BOM or Cost and promotes with the customer and coordinates with the appropriate Benchmark function.
* Accountable for and ensures receipt and distribution of customer documentation packages.
* Coordinates collection and distribution of customer quality data.
* Ensures ECO process and impacts are captured and reported to customer.
* Monitors customer DPPM, DPU or DPMO with customer focus team to ensure quality measurements are within contract and customer required limits
* Monitors customer escapes events and lead customer focus team to root cause and corrective action driving closer of issues
* Monitors customer COPQ and works with CFT to reduce
* Participates in MRB activities to drive rapid resolution of issues
* Embraces change and adapts quickly to a new way of working.
* Actively uses analytical skills to solve problems by gathering data, analyzing it and drawing concise solutions.
* Actively uses, applies and promotes problem solving tools (root cause, 8D, 5 Why's, 6Ms, etc.) in daily activities to recognize and define problems, analyze data, develop and implement solutions, and evaluate outcome.
* Possess sound negotiating ability. Effectively explores alternatives and positions to reach mutually beneficial sales agreements that gain customers’ acceptance and commitment. Effectively explores alternatives to reach mutually beneficial agreements that gain customers’ acceptance and commitment.
* Exhibits solid understanding of the concepts and how to positively impact OI and RONA levers.
* Where applicable, recruits, interviews and hires team members. Continuously assesses individual and team strengths and development needs. Coaches and mentor subordinates. Creates and manages succession plans.
* Establishes clear measurable goals and objectives by which to assess individual and team results (i.e. metrics, results against project timelines, training documentation, knowledge of roles and responsibilities, personal development goals). Drives individuals and teams to continuously improve in key metrics and the achievement of organizational goals. Ensures that the responsibilities, authorities, and accountability of all direct subordinates are defined and understood.
* Drives a lean culture. Identifies creative ways to reduce cost by streamlining processes and systems (i.e. modification of responsibilities or consolidation of tasks, elimination of non\-value\-added processes, or complete re\-engineering of processes and systems).
 Other information:
 Customer Complexity:
 Manages the most complex customer relationships at Benchmark without supervision, which may include multiple divisions, multiple customer site locations, a large number of SKUs, and/or products that undergo a high frequency of design changes or schedule/forecast changes. Manages difficult customer relationships independently and resolves most customer issues with minimal GM/Executive involvement.
 Discretion:
 Erroneous decisions or failure to achieve results will jeopardize the sites or multiple sites’ longer term revenue or operating income.
 Interaction:
 Regularly interacts with senior management or executive levels on matters concerning several customers. Requires the ability to change the thinking of, or gain acceptance from, others in sensitive situations, without damage to the relationship.
 Supervision:
 May have direct reports and is a mentor to other Program Managers.
 Qualifications:
* Excellent written and verbal communication skills
* Effective interpersonal skills
* Effective multitasking skills and the ability to take on additional responsibilities as required
* Effective organization and prioritization skills
* Demonstrate high attention to detail
* Ability to work with diverse groups
* Demonstrates discretion, confidentiality, independent judgment and professionalism.
* Ability to work with minimal supervision and guidance, exercising discretion and independent judgment.
* Understanding of and ability to use continuous improvement tools.
* Strong customer service and client focus
* Working knowledge of productivity tools, including Microsoft Office products and Teams conferencing software
* Demonstrated leadership and people management skills including ability to effectively coach and mentor employees at all levels.
* Enthusiastic and motivational communicator with multi\-cultural experience.
* Demonstrates effective customer interface skills.
* Excellent interpersonal skills with the ability to interact and influence individuals, internally and externally, across all levels, functions and geographies.
* Use of discretion with the ability to gain trust of business leaders and others to discuss and respond to sensitive and business critical issues.
* Effective negotiation and problem\-solving skills.
* Effective analytical, planning and organizational skills.
* Collaborate and influence cross functional peer leaders in order to obtain support for process improvements
* Solid financial understanding, risk analysis ability, relationship building and project management.
 Additional Specific Qualifications for this position:
* 4\-year degree in engineering discipline or business
* Ability to work collaboratively with suppliers, customers and internally
* Proven ability to take on project leadership/ownership and complete projects in a timely manner
* Ability to support a global business operation as required
* Demonstrates discretion, confidentiality, independent judgment and professionalism
* Excellent written and verbal communication as well as presentation skills
* Manage, understand and present data for monthly program reviews
* Understanding of and ability to use continuous improvement tools
* Ability to drive solutions to complex planning issues with limited supervision
* Demonstrate teamwork and the ability to operate on diverse project teams with minimal direction
* Solid financial understanding, risk analysis ability, relationship building and project management
* Available for travel up to 25% of the time, including day, overnight and internationally, as required
* 8\+ years of program management experience, 5\+ years in a leadership role
* Experience with more complex and larger customer accounts
 Education: 4\-year degree in engineering discipline or business
 Geographical Location: Minnesota:Rochester
 Physical Location: Rochester, MN
 Shift: Shift 1
 Work Schedule: M\-F 0800\-1700
 Full Time
 Compensation Range:
 **$114,331\.00 to $142,913\.00 USD** 
 Many factors are considered in compensation decisions, including but not limited to skills, certifications, licensures, experience, training, incumbent data, and other business needs.
 Benefits and Other Compensation: Benchmark provides a comprehensive benefits package, including a Bonus Plan, 401(k), Paid Time Off, and Health, Dental, and Vision Insurance, all based on scheduled hours. Benchmark complies with applicable state and local employee leave laws.
 Application Deadline: This job posting will remain open until filled.
 Additional Notices: Benchmark adheres to applicable state and local laws regarding employee leave benefits. This includes, but is not limited to, providing time off pursuant to the Colorado Healthy Families and Workplaces Act, in accordance with its plans and policies. Candidates applying for remote work based in Washington state, may obtain PTO eligibility for this position by emailing careers@bench.com .
 Export Control: This job position may include access to controlled information or technology covered under applicable U.S. export control laws. As such, employment for this job position may be contingent on either verification that an applicant falls under the definition of a “U.S. Person” (which includes U.S. citizens, U.S. lawful permanent residents, and those granted U.S. asylum or refugee status) or on the Company timely obtaining any necessary export license required under federal laws. The Company evaluates such export license situations on a case\-by\-case basis and may decline to proceed with a job applicant in its sole discretion since export license applications can take many weeks to be processed.
 In our innovative environment, you'll work with cutting\-edge technology, leading the way in engineering design and delivering world\-class manufacturing services for products that make a real difference in the lives of others. At Benchmark, your career is more than just a job. It’s an opportunity to be part of something bigger, where your work matters and helps shape a brighter future for everyone. Together, we will achieve extraordinary things.
 Benchmark is an equal opportunity employer. We are bringing together a diverse workforce with unique talents, life experiences, cultures, and perspectives to promote an innovative, collaborative, and creative place to work. If you need assistance or an accommodation due to a disability, please email us at careers@bench.com .</t>
        </is>
      </c>
    </row>
    <row r="57">
      <c r="A57" t="inlineStr">
        <is>
          <t>li-4273296886</t>
        </is>
      </c>
      <c r="B57" t="inlineStr">
        <is>
          <t>Senior Program Manager</t>
        </is>
      </c>
      <c r="C57" t="inlineStr">
        <is>
          <t>Westinghouse Electric Company</t>
        </is>
      </c>
      <c r="D57" t="inlineStr">
        <is>
          <t>linkedin</t>
        </is>
      </c>
      <c r="E57" t="inlineStr"/>
      <c r="F57" t="inlineStr"/>
      <c r="G57" t="inlineStr">
        <is>
          <t>Norwell, MA</t>
        </is>
      </c>
      <c r="H57" t="inlineStr"/>
      <c r="I57"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**Program Manager** 
 supporting our Nuclear Power Plant Uprate team, you will be technical responsible for all aspects of Uprate projects at Nuclear Power Plants, with a focus on Balance of Plant License Basis and physical plant modifications. You will coordinate evaluation of required modifications needed to support uprate power levels (i.e. replacement of important components such as pumps, motors, heat exchangers). A working knowledge of the thermal cycle at a power plant is required. Previous experience on uprate or similar large\-scale projects.
 You will report to the Manager of Projects. This is a remote position and may require being onsite at plants during projects. Periodic travel to client sites will also be required.
**Key Responsibilities**
* Technically Responsible for entire project scope for assigned projects. Due to the technical leadership expected, we expect that you will support a limited number of projects or focus solely on a single plant uprate
* Oversee and provide input to development of cost estimates and offers for associated projects and support customer negotiations and be an advocate for Westinghouse value\-added opportunities at customer sites.
* Support the project manager in driving safe and event\-free, first\-time quality project delivery including maintaining the schedule, tracking and projecting financials, logging all project details, and active management with internal and external communications. Develop and implement recovery plans when projects are off\-track.
* You will be an important technical contact with clients, suppliers, sub\-vendors, and our teams, including senior Westinghouse leadership for all project related communications
* Coordinate development of technical responses to issues. Manage teams of engineers to prioritize and evaluate technical challenges and design solutions to issues.
* Cultivate relationships with team members, customers, and other partners (e.g., internal management) in a matrix environment to facilitate successful project completion and identify opportunities for additional business growth.
* You will implement mitigating actions for risks throughout entire project lifecycle and look for cost\-sharing opportunities with clients.
* Present monthly project review meetings with Westinghouse executive management.
* Present scheduled client status meetings (quarterly) with senior leadership representation from Westinghouse and the client.
**Qualifications:**
* Bachelor's degree required in the fields of: Engineering, Science, or Construction Management.
* 5 years of experience with large high\-complexity projects at Nuclear Power Plants is required. 10\+ years is preferred.
* Specific experience preferred in the area of nuclear power plant integrated systems operation with a focus on balance of plant (thermal cycle) design and operation. Previously licensed nuclear power plant operators are welcome.
* Experience providing technical leadership on large high\-value field\-based projects at Nuclear plants. Outage support and experience complying with nuclear Appendix B quality assurance programs is desired.
 We are committed to transparency and equity in all of our people practices. The base salary range for this position, which is dependent upon experience, qualifications, and skills, is estimated to be ($144,000 to $180,000\)
**Why Westinghouse?**
**Benefits**
**Westinghouse offers competitive benefits to all our employees around the globe to keep them healthy and enhance their well\-being. In the U.S. the following are representative of what we offer:**
* Competitive Salary
* Comprehensive Health, Wellness and Income Protection Benefits
* Employee Assistance Program: confidential counseling and resources for employees, eligible dependents, and household members
* 401(k) Savings Plan with Company Match
* Paid Vacations and Holidays
* Opportunities for Flexible Work Arrangements
* Educational Reimbursement Program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58">
      <c r="A58" t="inlineStr">
        <is>
          <t>li-4207657923</t>
        </is>
      </c>
      <c r="B58" t="inlineStr">
        <is>
          <t>Program Manager</t>
        </is>
      </c>
      <c r="C58" t="inlineStr">
        <is>
          <t>Curtiss-Wright Corporation</t>
        </is>
      </c>
      <c r="D58" t="inlineStr">
        <is>
          <t>linkedin</t>
        </is>
      </c>
      <c r="E58" t="inlineStr"/>
      <c r="F58" t="inlineStr"/>
      <c r="G58" t="inlineStr">
        <is>
          <t>Bethlehem, PA</t>
        </is>
      </c>
      <c r="H58" t="inlineStr"/>
      <c r="I58" t="inlineStr">
        <is>
          <t>You will be responsible for managing customer programs with the objective to deliver pumps to their respective contract delivery dates. You will work with and across all departments at Engineered Pump Division (such as Contracts, Finance, Quality, Sourcing, Engineering and Operations) as well as with other divisions at Curtiss\-Wright.
 You possess strong leadership and problem\-solving skills, excellent communication skills with proven competencies leading teams to successfully manage programs or projects. You have experience with ERP systems and other computer software (e.g., Oracle and Microsoft Office software such as Excel, Word, PowerPoint, Outlook, and Project.) is preferred.
**Location:** 
 Bethlehem, PA
**Salary: $113,900 to $151,800**
*Please note that the salary range information provided is a general guideline only, reflecting a position based in PA.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Responsible for all aspects of customer programs
* Prepares periodic reviews for customers on the status of programs/projects
* Oversees management of project schedules, open issues, and financial performance to budgeted plans and performance to the contract
* Coordinates resolution of issues and expected to make recommendation to senior management
* Manages direct reports (project managers and planners)
* Provides backup department management of the Program Management Office for the Sr. Manager/Director of the Program Management Office
* Other duties as necessary
**What You Bring**
* Must be a U.S. Citizen with the ability to obtain and maintain security clearances
* Bachelor’s Degree in or equivalent
* Minimum of 5 years of production, engineering, project, or program management experience or equivalent
* Prior experience working in the Defense Industry is preferred
* Knowledge or experience with Government contracting projects
* Understanding of Supply Chain Management operational concepts surrounding planning, scheduling, purchasing, supplier selection, inventory control, and logistics
* Having worked in project teams
* Strategic sourcing experience/skills
* Lean and/or Six\-Sigma experience and knowledge is preferred
* Excellent communication and interpersonal skills with the ability to build and develop effective working relationships
* Self\-starter, highly motivated, action\-oriented, proactive, collaborative, and results\-driven
**Who We Are**
 Our Values
 Environmental, Social and Governance
**Curtiss\-Wright Engineered Pump Division (EPD)** 
 and its predecessor companies have been providing naval and maritime technological expertise since 1847\. EPD's pumps go to the heart of the systems that enable the Navy's ships and submarines to protect our nation. Today, EPD is the leading supplier of mission\-critical pumps for the U.S. Navy's Ford \&amp; Nimitz Class aircraft carriers and Virginia Class submarines, as well as the Navy's next generation Columbia Class submarine. EPD also supports the entire naval fleet with various innovative pumping solutions such as composite pumps and parts, and provides complete overhaul, upgrade and field service capabilities.
 For more information, please visit us at https://www.cw\-ems.com/epd/default.aspx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59">
      <c r="A59" t="inlineStr">
        <is>
          <t>li-4364017287</t>
        </is>
      </c>
      <c r="B59" t="inlineStr">
        <is>
          <t>Senior Product Manager, Cloud Software Defined Networking (SDN)</t>
        </is>
      </c>
      <c r="C59" t="inlineStr">
        <is>
          <t>Capital One</t>
        </is>
      </c>
      <c r="D59" t="inlineStr">
        <is>
          <t>linkedin</t>
        </is>
      </c>
      <c r="E59" t="inlineStr"/>
      <c r="F59" t="inlineStr"/>
      <c r="G59" t="inlineStr">
        <is>
          <t>Plano, TX</t>
        </is>
      </c>
      <c r="H59" t="inlineStr"/>
      <c r="I59"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Cloud Enablement Product team sits at the heart of our Cloud Operations Resilience Engineering (CORE) organization with a mission to help Capital One thrive on and with the public cloud. We are on a journey to ensure data privacy, operational excellence, and strategic growth for a well\-managed and governed cloud. We are driving foundational capabilities that power secure, scalable, and resilient cloud operations. We help Capital One by bringing automation, invention, and customer enablement to how we build software, operate software, and elevate developers.
 In this role, you will lead Cloud Software Defined Network (abstracted network management) to enable secure application connectivity of and around the public cloud for Capital One applications. We are a team that values collaboration over silos, and we back that up with a culture of open communication, inclusive problem solving, and frequent knowledge sharing. We believe work should be both impactful and enjoyable, and we cultivate an environment where curiosity, laughter, and ambitious goals coexist. This is a rare opportunity to lead a multi\-disciplinary team that touches security, delightful developer experience, and platform engineering.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li-4315997167</t>
        </is>
      </c>
      <c r="B60" t="inlineStr">
        <is>
          <t>Principal Strategic Sourcing Program Manager</t>
        </is>
      </c>
      <c r="C60" t="inlineStr">
        <is>
          <t>Oracle</t>
        </is>
      </c>
      <c r="D60" t="inlineStr">
        <is>
          <t>linkedin</t>
        </is>
      </c>
      <c r="E60" t="inlineStr"/>
      <c r="F60" t="inlineStr"/>
      <c r="G60" t="inlineStr">
        <is>
          <t>Santa Clara, CA</t>
        </is>
      </c>
      <c r="H60" t="inlineStr"/>
      <c r="I60" t="inlineStr">
        <is>
          <t>**Job Description**
 Strategic Sourcing Manager for Oracle Cloud Infrastructure to help us expand and scale the next generation of Oracle Cloud services. Our Global Strategic Sourcing Group is responsible for strategic decisions that impact supplier's cost, technical capabilities, and supply availability to deliver products to our customers. As a Strategic Sourcing Manager, you must blend of business knowledge and technical requirements that enables sound decisions for our customers and products. The ideal candidate will use their industry knowledge to negotiate the best supplier deals that meet and support our future growth.
 This Strategic sourcing role must have experience in sourcing Memory, Storage or Silicon based component or products, and demonstrated experience in Supplier Relationship Management, best\-in\-class Cost, sourcing category subject matter expertise, supplier negotiation to gain competitive advantage, and should cost modeling. You will be expected to develop strategic sourcing category plans and communicate those plans internally for cross functional alignment. A Strategic Sourcing Manager should have strong written and verbal communication skills and the ability to represent Oracle Cloud to senior leaders and executives at our suppliers.
 Ideal candidate will have 5\-10 years of Sourcing experience.
**Responsibilities**
 Provides direction and specialist knowledge in supply chain strategies for continuous cost improvement through partner negotiations. Creates supply chain standards and communicates product standards/specifications to suppliers. Conducts competitive analysis of suppliers, cost models, market analysis and supply chain alternatives. Evaluates submitted proposals/quotes against Oracle standards. Recommend and qualify new suppliers that meet both stakeholder, competitive cost and product standards. Negotiates and executes supplier contractual agreements while sustaining product competitiveness. Provide supplier performance feedback to ensure Oracle standards are achieved. Creates and implements supply chain initiatives and improvements to drive efficiencies and best practices. Develops constructive stakeholder relationships which involve direct interaction with different Oracle lines of business and Oracle suppliers. Influences product selection with stakeholders based on continuity of supply, cost, and technology.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li-4370069546</t>
        </is>
      </c>
      <c r="B61" t="inlineStr">
        <is>
          <t>Sr. Screening Program Manager</t>
        </is>
      </c>
      <c r="C61" t="inlineStr">
        <is>
          <t>RemoteHunter</t>
        </is>
      </c>
      <c r="D61" t="inlineStr">
        <is>
          <t>linkedin</t>
        </is>
      </c>
      <c r="E61" t="inlineStr"/>
      <c r="F61" t="inlineStr"/>
      <c r="G61" t="inlineStr"/>
      <c r="H61" t="inlineStr"/>
      <c r="I61" t="inlineStr">
        <is>
          <t>About the Opportunity:
 This fully remote role reports to the Chief Sanctions Officer (CSO) and is critical within the Global Sanctions Compliance function. The Sanctions Screening Program Manager is responsible for designing, executing, and continuously enhancing the global sanctions screening program, including name screening, transaction screening, geo\-controls, evasion detection, and related technical controls across the organization and its global subsidiaries. This individual contributor role requires leadership experience in communication, documentation, partnership, strategy, and time management. The role demands deep expertise in global sanctions regulations, screening technologies, data\-driven risk management, and the ability to operate effectively in a fast\-paced, highly regulated, and evolving environment. Strong ownership, strategic thinking, and independent execution skills are essential.
 Responsibilities:
 • Own and manage the global sanctions screening program, including name screening, transaction monitoring, geo\-blocking, evasion detection, and related technical controls
 • Maintain and enhance screening frameworks to meet global regulatory expectations while ensuring scalability and efficiency
 • Design and execute screening strategies to support regulatory compliance, business growth, product launches, and global expansion
 • Partner with Compliance, Risk, and Engineering teams to lead tuning efforts for sanctions screening tools and controls
 • Collaborate with Engineering to develop, prioritize, and execute the sanctions screening roadmap, including vendor management and system enhancements
 • Participate in annual and ad\-hoc enterprise, product, and sanctions risk assessments focused on screening\-related risks
 • Identify emerging sanctions risks, control gaps, data quality issues, perform root cause analyses, and recommend corrective actions
 • Work with Product, Engineering, Legal, Client Engagement, and Finance teams to embed sanctions screening requirements into new and existing products
 • Assist Sanctions peers in completing Product Risk Assessments related to sanctions controls and risk mitigation
 • Lead business requirements documentation (BRDs) for sanctions screening initiatives and translate compliance needs to technical teams
 • Support regulatory exams, audits, testing, and inquiries related to sanctions screening controls and systems
 • Provide sanctions screening advisory and guidance to leadership, regional compliance partners, and cross\-functional stakeholders
 • Drive process improvements, documentation quality, and program maturity across all sanctions screening functions
 Requirements:
 • Minimum 5 years of experience in sanctions compliance, with a focus on screening systems and controls, or equivalent experience as a data scientist
 • Knowledge of global sanctions regimes including OFAC, EU, UK, UN, and other jurisdictions
 • Expert knowledge of sanctions screening technologies and controls, including name screening, transaction screening, IP/geo controls, evasion detection, and blockchain analytics
 • Proven experience managing sanctions screening programs for a global organization
 • Ability to author detailed business requirements and collaborate effectively with engineering and technology teams
 • Strong analytical skills with experience in SQL, Python, or similar tools for ad\-hoc analysis and investigations
 • Experience supporting regulatory exams, audits, and enforcement inquiries
 • Excellent written and verbal communication skills; ability to communicate across all organizational levels
 • Strong organizational skills with the ability to manage multiple priorities in a fast\-paced environment
 • High integrity, discretion, and ability to handle confidential information
 • Comfortable with ambiguity, context switching, and evolving regulatory expectations
 • Bachelor’s degree or equivalent practical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2">
      <c r="A62" t="inlineStr">
        <is>
          <t>li-4370090933</t>
        </is>
      </c>
      <c r="B62" t="inlineStr">
        <is>
          <t>Technical AI Product Manager
Global/Remote</t>
        </is>
      </c>
      <c r="C62" t="inlineStr">
        <is>
          <t>CryptoCurrency ICO/Airdrop</t>
        </is>
      </c>
      <c r="D62" t="inlineStr">
        <is>
          <t>linkedin</t>
        </is>
      </c>
      <c r="E62" t="inlineStr"/>
      <c r="F62" t="inlineStr"/>
      <c r="G62" t="inlineStr"/>
      <c r="H62" t="inlineStr"/>
      <c r="I62"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63">
      <c r="A63" t="inlineStr">
        <is>
          <t>li-4370352859</t>
        </is>
      </c>
      <c r="B63" t="inlineStr">
        <is>
          <t>Product Manager</t>
        </is>
      </c>
      <c r="C63" t="inlineStr">
        <is>
          <t>Stelvio Inc.</t>
        </is>
      </c>
      <c r="D63" t="inlineStr">
        <is>
          <t>linkedin</t>
        </is>
      </c>
      <c r="E63" t="inlineStr"/>
      <c r="F63" t="inlineStr"/>
      <c r="G63" t="inlineStr">
        <is>
          <t>Phoenix, AZ</t>
        </is>
      </c>
      <c r="H63" t="inlineStr"/>
      <c r="I63" t="inlineStr">
        <is>
          <t>Product Owner – e\-Clearance
 Hybrid \| Downtown Phoenix, AZ
 Stelvio is working with a client operating at scale in the
 **transportation and mobility technology** 
 space. This is a product\-led organisation solving complex, high\-impact problems where software is used in live, mission\-critical environments.
 The Role
 We’re looking for an experienced
 **Product Owner** 
 to take ownership of development for an
 **e\-Clearance product area** 
 . You’ll work in a fast\-moving, highly collaborative environment, partnering closely with Product Management, Engineering, Design, QA, and business stakeholders.
 Your focus will be translating product vision and business objectives into clear, actionable backlog items and ensuring the team is consistently delivering value to customers. This role requires strong judgement, comfort working with complex systems, and the ability to operate effectively where priorities evolve.
 What You’ll Do
* Own, prioritise, and maintain the product backlog in line with business and product goals
* Develop a strong understanding of customer operations and how the product delivers operational value
* Prioritise features and user stories within sprints to maximise customer impact
* Ensure backlog items are well defined, understood, and appropriately estimated
* Lead sprint planning, backlog refinement, and discovery activities
* Translate requirements into clear, actionable user stories for development teams
* Review product performance and use insights to propose improvements to customer experience
* Act as a product domain expert and key point of contact for internal and external stakeholders
* Work closely with engineering, design, and QA to maintain quality and consistency
* Identify opportunities to improve processes, delivery, and outcomes
* Stay current with Agile best practices and relevant industry trends
 You
* Bachelor’s degree or equivalent practical experience
* 5\+ years’ experience as a Product Owner or in a closely related role
* Strong background in business process and requirements analysis
* Experience working with complex, interconnected systems
* Solid understanding of Agile methodologies, particularly Scrum
* Hands\-on experience with backlog management tools such as Jira or Azure DevOps
* Strong communication, decision\-making, and organisational skills
* Familiarity with user\-centred design principles
* Comfortable influencing cross\-functional teams without formal authority
* Willingness to travel occasionally
 Benefits
* Medical, dental, and vision coverage from day one
* Paid time off including vacation, sick time, holidays, and floating holidays
* 401(k) with employer match
* Company\-funded lifestyle allowance supporting physical and mental wellbeing
* Tuition reimbursement
* Access to voluntary benefits such as legal and pet programs
* Employee Assistance Program at no cost
* Strong focus on employee wellbeing, development, and community involvement</t>
        </is>
      </c>
    </row>
    <row r="64">
      <c r="A64" t="inlineStr">
        <is>
          <t>li-4361831511</t>
        </is>
      </c>
      <c r="B64" t="inlineStr">
        <is>
          <t>Senior Product Manager</t>
        </is>
      </c>
      <c r="C64" t="inlineStr">
        <is>
          <t>Commerce</t>
        </is>
      </c>
      <c r="D64" t="inlineStr">
        <is>
          <t>linkedin</t>
        </is>
      </c>
      <c r="E64" t="inlineStr"/>
      <c r="F64" t="inlineStr"/>
      <c r="G64" t="inlineStr">
        <is>
          <t>Austin, TX</t>
        </is>
      </c>
      <c r="H64" t="inlineStr"/>
      <c r="I64"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Product Manager, B2B** 
 to build the future of B2B ecommerce. This person will own and deliver critical product capabilities that enable Commerce to become the leading B2B commerce platform. This role will be responsible for defining product strategy and execution for key B2B domains, working cross\-functionally to deliver customer value, improve operational efficiency, and drive commercial outcomes.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**What You’ll Do**
* Product Strategy \&amp; Discovery
+ Own product strategy and roadmap for one or more core B2B capability areas (e.g. pricing, customer hierarchies, ordering workflows, quotes, integrations, permissions, storefront experiences)
+ Translate the broader B2B vision and ICP into clear problem statements, opportunities, and executable plans
+ Develop deep empathy for B2B merchants and buyers through customer interviews, data analysis, field engagement, and partner feedback
+ Assess competitive and adjacent market solutions to inform product differentiation and prioritization
* Execution \&amp; Delivery
+ Define product requirements, success metrics, and trade\-offs in partnership with Engineering
+ Lead cross\-functional delivery from discovery through launch, iteration, and scale
+ Balance customer needs, technical constraints, and business impact to drive high\-quality outcomes
+ Ensure solutions scale across customer size, complexity, and verticals
* Business Impact \&amp; Growth
+ Own success metrics for your product areas, including adoption, engagement, performance, and contribution to retention, expansion and revenue
+ Partner with Sales, PMM, and Solutions teams to ensure features are usable, sellable, and clearly differentiated
+ Support pricing, packaging, and monetization initiatives by providing product insight and impact analysis
+ Identify opportunities to reduce friction, improve time\-to\-value, and increase customer lifetime value
* Cross\-Functional Leadership
+ Act as a subject matter expert for your B2B domains internally, and externally with partners and customers
+ Collaborate closely with GTM, Support, and Partner teams to ensure feedback loops inform roadmap decisions
**Who You Are**
* 5–8\+ years of product management experience, including ownership of complex, customer\-facing products
* Strong understanding of B2B commerce, SaaS, and enterprise workflows (e.g. manufacturers, distributors, ERP\-adjacent systems)
* Demonstrated ability to translate ambiguous problems into shipped, measurable product and revenue outcomes
* Experience working cross\-functionally with engineering, design, and go\-to\-market teams
* Strong analytical and communication skills, with the ability to influence without authority
* Comfort operating in fast\-moving, evolving environments
**Work Where You Thrive**
 For candidates based in the Austin, Texas metro area, this role follows a hybrid work model, with three days per week in the office to balance focused individual work and meaningful in\-person collaboration.
**(Pay Transparency Range: $100,000\-$169,000\)**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65">
      <c r="A65" t="inlineStr">
        <is>
          <t>li-4370355509</t>
        </is>
      </c>
      <c r="B65" t="inlineStr">
        <is>
          <t>Product Manager</t>
        </is>
      </c>
      <c r="C65" t="inlineStr">
        <is>
          <t>Trend Capital Holdings, Inc.</t>
        </is>
      </c>
      <c r="D65" t="inlineStr">
        <is>
          <t>linkedin</t>
        </is>
      </c>
      <c r="E65" t="inlineStr"/>
      <c r="F65" t="inlineStr"/>
      <c r="G65" t="inlineStr">
        <is>
          <t>Naples, FL</t>
        </is>
      </c>
      <c r="H65" t="inlineStr"/>
      <c r="I65" t="inlineStr">
        <is>
          <t>**About This Job**
 As a Product Manager, you will play a creative role for our Power Fox Media division. You will be responsible for end\-to\-end processes and flows centering on conversion rate optimization (CRO). Tasks such as scriptwriting, designing, testing, analyzing, automating, and optimizing funnels will be the focus, aiming to continuously improve efficiency and performance.
 This position is ideal for those who thrive in fast\-paced environments, enjoy owning processes from start to finish, and find satisfaction in discovering, developing, and managing optimizations. The right candidate brings success in performance marketing, initiative, and a highly competitive spirit, ready to take charge and drive our next steps forward.
**Responsibilities**
* Own conversion rate optimization (CRO) across funnels, landing pages, and user journeys.
* Lead end\-to\-end testing: ideation, build, launch, analysis, and iteration.
* Write and optimize high\-performing scripts and messaging, landing pages.
* Design and build flows for marketing, sales (including automations).
* Collaborate with tech, creative teams to turn ideas into scalable live systems.
* Analyze performance data to identify bottlenecks and prioritize high\-impact improvements.
* Document learnings and build repeatable CRO \+ creative frameworks.
**Required Knowledge \&amp; Skill**
* Bachelor’s degree preferred (Marketing, Economics, Statistics, Data Science, or related field).
* 5\+ years experience in performance marketing.
* Proven experience with CRO, funnel optimization, and experimentation.
* Strong copywriting and creative strategy skills (VSLs, ads, landing pages, lifecycle).
* Analytical mindset, comfortable using data to guide decisions and creative direction.
* Ability to think end\-to\-end: message \&gt; experience \&gt; conversion.
* Comfortable moving fast, testing often, and iterating quickly in performance environments.
* Experience in startups, growth teams, or performance marketing organizations preferred.
 Our company offers great benefits: full healthcare package (medical, dental, vision, life), 401k with a company match, catered lunch, coffee, tea and snacks, paid parking, competitive pay, and much more! Anyone who joins our team will have great potential for career and personal growth.
 For more information about our company please visit https://trend.inc/.</t>
        </is>
      </c>
    </row>
    <row r="66">
      <c r="A66" t="inlineStr">
        <is>
          <t>li-4370086855</t>
        </is>
      </c>
      <c r="B66" t="inlineStr">
        <is>
          <t>AI Product Manager - Remote</t>
        </is>
      </c>
      <c r="C66" t="inlineStr">
        <is>
          <t>RemoteHunter</t>
        </is>
      </c>
      <c r="D66" t="inlineStr">
        <is>
          <t>linkedin</t>
        </is>
      </c>
      <c r="E66" t="inlineStr"/>
      <c r="F66" t="inlineStr"/>
      <c r="G66" t="inlineStr"/>
      <c r="H66" t="inlineStr"/>
      <c r="I66"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7">
      <c r="A67" t="inlineStr">
        <is>
          <t>li-4370359327</t>
        </is>
      </c>
      <c r="B67" t="inlineStr">
        <is>
          <t>Product Manager</t>
        </is>
      </c>
      <c r="C67" t="inlineStr">
        <is>
          <t>FNP</t>
        </is>
      </c>
      <c r="D67" t="inlineStr">
        <is>
          <t>linkedin</t>
        </is>
      </c>
      <c r="E67" t="inlineStr"/>
      <c r="F67" t="inlineStr"/>
      <c r="G67" t="inlineStr">
        <is>
          <t>Stone Head, IN</t>
        </is>
      </c>
      <c r="H67" t="inlineStr"/>
      <c r="I67"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68">
      <c r="A68" t="inlineStr">
        <is>
          <t>li-4370094272</t>
        </is>
      </c>
      <c r="B68" t="inlineStr">
        <is>
          <t>Senior Product Manager - Agentic Commerce</t>
        </is>
      </c>
      <c r="C68" t="inlineStr">
        <is>
          <t>hackajob</t>
        </is>
      </c>
      <c r="D68" t="inlineStr">
        <is>
          <t>linkedin</t>
        </is>
      </c>
      <c r="E68" t="inlineStr"/>
      <c r="F68" t="inlineStr"/>
      <c r="G68" t="inlineStr">
        <is>
          <t>New York, NY</t>
        </is>
      </c>
      <c r="H68" t="inlineStr"/>
      <c r="I68"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Amex Digital Labs team drives innovation at American Express by originating, incubating, and managing products and platforms that are essential to our customers’ digital lives. We are a fast\-paced team that levers emerging technologies to develop digital payment and financial services products and engaging membership experiences for Card Members. We often collaborate with technology companies and strategic partners to bring products to market.
 We are seeking a Senior Product Manager to drive the development and delivery of Agentic Commerce capabilities for our Card Members. This Senior Product Manager will focus on the strategy and execution of the frameworks, features, and services that enable seamless, secure transactions across various channels. This person will build a strong command of emerging agentic commerce protocols, existing card payments infrastructure, and new interaction models. Partnering closely with Engineering, Product, and cross\-functional teams, this Product Manager will shape intuitive and delightful commerce journeys powered by AI agents.
**Primary Responsibilities**
* Partner deeply with engineering teams to understand and develop a perspective on how to apply evolving technologies (Agent\-to\-Agent Protocol, Agentic Payments Protocol, x402, Web Bot Auth, Trusted Agent Protocol, Model Context Protocol, and others) for AI agent\-facilitated payments
* Balance the needs of customers, internal stakeholders, leadership, and external partners while working with engineers and solutions architects to identify technical solutions, define specs, shape product requirements, and deliver platform capabilities that continually advance Agentic Commerce experiences
* Partner closely with Fraud and Servicing to define strategies for fraud prevention, disputes management, and call or chat handling related to agentic transactions
* Partner closely with Network and Product teams to define and champion industry standards and protocols for agentic payments
* Partner with internal stakeholders such as Legal, Compliance, and Risk teams to develop and adhere to data governance principles and payments regulation to ensure compliant and secure payment experiences
* Work cross functionally to define requirements and specifications for data sharing across and integrations with merchants, PSPs, and AI/LLM partners to support fraud, servicing, and cardmember experience
* Partner closely with UX research, design, Web and Mobile Application teams to design, build, and launch delightful self\-service dashboards and experiences
* Work with Business Development teams to evaluate, influence and operationalize partner requirements, and with Product Enablement teams on go\-to\-market strategies
* Keep a pulse on industry trends, balancing the near\-term execution priorities with long term strategy to support the overall product vision
**Minimum Qualifications**
* 5\+ years of experience in product development/management, or similar role.
* Experience with issuer payments including digital payments, fraud prevention, disputes, and payment processing.
* Enthusiasm for exceptional products and services, deep customer empathy, keen product intuition, and skilled at articulation of product functionality
* Curiosity and hunger to know how things work and ability to use that knowledge to make connections and find opportunities with the tenacity to push innovation agenda inside a large company
* Understanding of tech and product development processes, with the ability to communicate with and influence both technical and non\-technical partners
* Ability to reconcile competing needs across customers, stakeholders, and partners, making effective decisions and gaining buy in
* Detail oriented, able to identify key questions, and assess how pieces of the puzzle interact and affect the overall project.
* Ability to recognize issues quickly and determine how to get a resolution through creative and efficient problem solving.
* Skilled at balancing big picture strategy and tactical details
* Team player, comfortable with ambiguity, adaptable, accountable, and highly organized
* Excellent communication skills across cross functional teams with the ability to engage, influence, and inspire partners to drive collaboration and alignment.
* Willingness to be creative within the bounds of the highly regulated financial services environment
**Preferred Qualifications**
* Experience with LLMs/AI models a plus.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69">
      <c r="A69" t="inlineStr">
        <is>
          <t>li-4354941904</t>
        </is>
      </c>
      <c r="B69" t="inlineStr">
        <is>
          <t>Product Manager, Business Messenger AI</t>
        </is>
      </c>
      <c r="C69" t="inlineStr">
        <is>
          <t>TikTok</t>
        </is>
      </c>
      <c r="D69" t="inlineStr">
        <is>
          <t>linkedin</t>
        </is>
      </c>
      <c r="E69" t="inlineStr"/>
      <c r="F69" t="inlineStr"/>
      <c r="G69" t="inlineStr">
        <is>
          <t>San Jose, CA</t>
        </is>
      </c>
      <c r="H69" t="inlineStr"/>
      <c r="I69" t="inlineStr">
        <is>
          <t>**Responsibilities**
 TikTok’s Content and Services Ads team is part of the TikTok Monetization Product organization and is responsible for building lead generation solutions that enable businesses to create seamless interactions with their customers while ensuring our community feels comfortable and safe on the platform. This team aims to provide intuitive, simplified solutions that grow advertiser activation, retention and ARPA via enhanced delivery experience, performance and higher ROI.
 We're looking for an experienced Product Manager to build highly scalable AI products that determine what ads billions of TikTok users see and engage with. You will be responsible for helping 'millions' of advertisers improve their return on ad spend, growing overall monetization efficiency, and protecting the experience of our users, creators, and community through an industry\-leading recommendation system.
 Responsibilities:
 1\. Responsible for providing AI products for TikTok For Business customers, undertaking corresponding product planning and specific product design work
 2\. Collaborate closely with cross\-functional teams to define AI product requirements, prioritize modules, and deliver high\-quality products that meet user needs and drive business goals;
 3\. In\-depth understanding of the international advertising ecosystem and advertisers' needs, develop innovative advertising products based on AI generation through industry understanding;
 4\. Collaborate closely with design and R\&amp;D teams to deliver high quality products that meet user needs and exceed business goals;
 5\. Collaborate closely with business development team and sales team to drive advertisers' adoption of new products and features, and explore and drive new business revenue growth;
 6\. Continuously track and analyze key product metrics to provide insights and iteration basis for product decisions through data\-driven;
 7\. To keep abreast of industry trends and emerging technologies, to drive business innovation, and to continuously maintain the competitiveness of internationalized products in the advertising field.
**Qualifications**
 Minimum Qualifications:
 1\. 5\+ years of product management experience in marketing, advertising or creative related products and tools direction and experience working on AI products
 2\. Have a deep understanding of the online advertising industry and advertisers' needs, including experience in creative development, media buying and ad optimization;
 3\. Possess strong AI technology and application ability in the field of advertising;
 Preferred Qualifications:
 1\. Possess excellent analytical skills to influence product design and continuous iteration
 2\. Excellent cross\-team collaboration skills to work efficiently with R\&amp;D, design, data science and business development teams;
 3\. Excellent communication skills, able to clearly articulate complex product concepts to technical and non\-technical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0">
      <c r="A70" t="inlineStr">
        <is>
          <t>li-4370096171</t>
        </is>
      </c>
      <c r="B70" t="inlineStr">
        <is>
          <t>Technical Product Manager, FlashArray Foundation</t>
        </is>
      </c>
      <c r="C70" t="inlineStr">
        <is>
          <t>Pure Storage</t>
        </is>
      </c>
      <c r="D70" t="inlineStr">
        <is>
          <t>linkedin</t>
        </is>
      </c>
      <c r="E70" t="inlineStr"/>
      <c r="F70" t="inlineStr"/>
      <c r="G70" t="inlineStr">
        <is>
          <t>Santa Clara, CA</t>
        </is>
      </c>
      <c r="H70" t="inlineStr"/>
      <c r="I70"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Product Manager for the FlashArray Foundation team, you will drive the core software architectural roadmap for our flagship storage platform, ensuring industry\-leading performance and reliability. You will own the technical specification and prioritization of foundational features, collaborating with the CTO office and Engineering to solve complex data management challenges. Your mission is to translate emerging trends in NVMe, high\-speed networking, and security protocols into a scalable, sustainable product strategy that redefines enterprise storage.
**What You'll Do**
* Architect Foundation Roadmaps: Direct the technical requirements and feature tradeoffs for FlashArray software, prioritizing high\-availability, performance, and core storage services to meet rigorous enterprise SLAs.
* Define Technical Specifications: Translate complex needs in storage OS, Data Reduction, QoS, High Availability, networking (FC/iSCSI/NVMe\-oF), and SaaS integration into actionable PRDs that guide Engineering through the development lifecycle.
* Lead Competitive Benchmarking: Conduct deep\-dive technical analysis of the storage landscape to identify gaps and opportunities, ensuring FlashArray maintains its lead in IOPS, latency, and data reduction efficiency.
* Drive Cross\-Functional Engineering Alignment: Act as the primary interface between the CTO’s vision and Engineering execution, ensuring that foundational codebases support long\-term scalability and hardware\-software synergy.
* Scale Technical Enablement: Empower SEs and specialized sales teams by developing deep\-dive technical documentation, architectural whitepapers, and customer\-facing materials that articulate Pure’s underlying technical advantages.
**What You Bring**
* Storage Stack Expertise: A robust technical foundation in enterprise storage protocols, flash management, and data protection architectures, with the ability to navigate the nuances of storage\-class memory and high\-performance networking.
* Technical Product Lifecycle Management: A proven ability to manage complex software release milestones from concept to GA, with specific experience navigating the trade\-offs inherent in large\-scale distributed systems.
* Analytical Problem Solving: The ability to parse telemetry and market data to identify performance bottlenecks or feature gaps, converting data\-driven insights into a prioritized technical backlog.
* Collaborative Technical Influence: Strong capability to lead through influence, gaining buy\-in from senior architects and developers while maintaining a clear vision for the product’s technical evolution.
* Location: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71">
      <c r="A71" t="inlineStr">
        <is>
          <t>li-4370086857</t>
        </is>
      </c>
      <c r="B71" t="inlineStr">
        <is>
          <t>Lead Product Manager</t>
        </is>
      </c>
      <c r="C71" t="inlineStr">
        <is>
          <t>RemoteHunter</t>
        </is>
      </c>
      <c r="D71" t="inlineStr">
        <is>
          <t>linkedin</t>
        </is>
      </c>
      <c r="E71" t="inlineStr"/>
      <c r="F71" t="inlineStr"/>
      <c r="G71" t="inlineStr"/>
      <c r="H71" t="inlineStr"/>
      <c r="I71" t="inlineStr">
        <is>
          <t>About the Opportunity:
 The organization is dedicated to helping businesses earn and prove trust by continuously monitoring and verifying security. The Lead Product Manager/Product Owner for Business Systems is responsible for owning the Salesforce and Go\-to\-Market (GTM) ecosystem. This role bridges core stakeholders—including Revenue Operations, Finance, Deal Desk, Product, Sales, Marketing, and Legal—and the technology powering the GTM motion. The focus is on defining and executing product strategy to build, maintain, and optimize products and processes for effective and scalable growth.
 Responsibilities:
 • Lead, manage, and coach a team of 3\-5 Product Managers and Business Systems Analysts, driving performance, career development, and strategic hiring.
 • Define, own, and communicate the multi\-quarter Business Systems roadmap focused on Salesforce and GTM ecosystem.
 • Assess opportunities, technical feasibility, and business impact to prioritize work across Sales Cloud, Service Cloud, CPQ, and integrated GTM tools.
 • Partner with stakeholders to gather and translate business needs into clear product requirements and process designs.
 • Identify risks and areas for improvement, driving proactive solutions beyond request fulfillment.
 • Act as Scrum Master, leading agile ceremonies to maintain delivery cadence and coordinate team resources based on capacity and priorities.
 • Communicate strategy, value, progress, and impact of Business Systems initiatives to executives and cross\-functional partners.
 • Report on system performance, utilization, ROI, and business impact regularly.
 • Oversee product and process lifecycle within Salesforce, ensuring maintainability, scalability, and user experience.
 • Establish and maintain governance frameworks including security roles, permissions, compliance, and data quality protocols.
 • Drive change management initiatives to ensure high user adoption, satisfaction, and effective training.
 • Partner with enablement teams to deliver onboarding and ongoing support.
 • Oversee integrations between Salesforce and GTM tech stack tools ensuring data flow, API management, and reliability.
 • Establish and track KPIs measuring system performance, business impact, and team effectiveness; use data to guide decisions.
 Requirements:
 • 5\+ years in product management, business systems, or revenue operations with experience in B2B SaaS environments.
 • 2\+ years managing product managers or business systems analysts, including hiring and talent development.
 • Deep hands\-on Salesforce experience including flows, validation rules, custom objects, process automation, and data modeling; relevant Salesforce certifications preferred.
 • Strong knowledge of Salesforce modules (Sales Cloud, CPQ) and Quote\-to\-Cash, Contract Lifecycle Management, Entitlement Management, SaaS/Subscription models.
 • Experience owning and communicating multi\-quarter product roadmaps to senior and executive leadership.
 • Hands\-on agile leadership experience including sprint planning, backlog refinement, and retrospectives.
 • Proven experience with GTM tools like Outreach, LeanData, Gong, Clari, HubSpot, Marketo, Gainsight and managing system integrations.
 • Strong data and analytics skills to establish KPIs, create reports, and drive decisions.
 • Ability to balance priorities, make trade\-offs, and align cross\-functional teams.
 • Excellent communication with ability to translate complex system work into clear business outcomes and influence without direct authority.
 • Demonstrated success in driving change management and high user adoption.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2">
      <c r="A72" t="inlineStr">
        <is>
          <t>li-4370096198</t>
        </is>
      </c>
      <c r="B72" t="inlineStr">
        <is>
          <t>TikTok Shop - Product Manager, Customer Growth</t>
        </is>
      </c>
      <c r="C72" t="inlineStr">
        <is>
          <t>TikTok</t>
        </is>
      </c>
      <c r="D72" t="inlineStr">
        <is>
          <t>linkedin</t>
        </is>
      </c>
      <c r="E72" t="inlineStr"/>
      <c r="F72" t="inlineStr"/>
      <c r="G72" t="inlineStr">
        <is>
          <t>San Jose, CA</t>
        </is>
      </c>
      <c r="H72" t="inlineStr"/>
      <c r="I72"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3">
      <c r="A73" t="inlineStr">
        <is>
          <t>li-4370092277</t>
        </is>
      </c>
      <c r="B73" t="inlineStr">
        <is>
          <t>PRoduct Manager, Data Analytics</t>
        </is>
      </c>
      <c r="C73" t="inlineStr">
        <is>
          <t>Equity Residential</t>
        </is>
      </c>
      <c r="D73" t="inlineStr">
        <is>
          <t>linkedin</t>
        </is>
      </c>
      <c r="E73" t="inlineStr"/>
      <c r="F73" t="inlineStr"/>
      <c r="G73" t="inlineStr">
        <is>
          <t>Chicago, IL</t>
        </is>
      </c>
      <c r="H73" t="inlineStr"/>
      <c r="I73" t="inlineStr">
        <is>
          <t>Reporting to the Senior Manager, Data Analytics, the candidate will be responsible for defining, delivering and continuously enhancing Equity Residential’s analytics and machine\-learning–enabled products. This role sits at the intersection of data science, software engineering, and business strategy, translating analytical insights into scalable systems and partnering with technical teams to operationalize ML models into production\-grade applications. The ideal candidate brings a blend of product management discipline, technical fluency in machine learning and data pipelines, and strong program management skills. This role collaborates closely with the Senior Software Engineer, data scientists, and business partners to build intuitive, reliable products that drive measurable impact on pricing, forecasting, and operational decision\-making.
***PLEASE NOTE:***
*Our current onsite work schedule requires attendance from Monday through Thursday each week, with remote work permitted on Fridays.* 
**WHAT YOU’LL DO:**
* Collaborates with business, analytics, and engineering teams to define the vision, strategy, and long\-term roadmap for data and machine learning products.
* Translates complex pricing, forecasting, and operational needs into clear product requirements, user stories, and acceptance criteria.
* Leads prioritization across competing business and technical needs, managing backlogs and release plans.
* Serves as product spokesperson and subject matter expert for analytics capabilities across the enterprise.
* Works directly with data scientists to understand and refine model outputs, feature relevance, performance metrics, and constraints.
* Applies strong technical knowledge of machine learning workflows, pipelines, APIs, and model monitoring to guide product direction and evaluate trade\-offs.
* Partners with the Senior Software Engineer – Data \&amp; Analytics Products to operationalize models into user\-facing applications and enterprise systems.
* Ensures all ML\-driven product features emphasize explainability, compliance, and reliability.
* Defines and tracks key KPIs (e.g., model accuracy, revenue lift, adoption, system reliability) to measure product performance and business impact.
* Establishes a structured cadence for reviewing KPIs with cross\-functional partners and initiating corrective actions or enhancements.
* Drives successful delivery of milestones across pilots, MVP releases, and product iterations.
* Leads retrospectives and drives continuous improvement of analytics workflows, model governance, and product execution processes.
* Acts as the bridge between data scientists, software engineers, IT, Pricing, and Operations teams.
* Facilitates workshops, demos, feedback sessions, and cross\-functional updates to maintain alignment and transparency.
* Communicates complex analytical concepts in a clear, business\-relevant manner for stakeholders at all levels.
* Supports change management, training, and adoption for new analytics capabilities across the organization.
**REQUIREMENTS
 :** 
* Bachelor’s degree required; degree in Business, Computer Science, Engineering, Analytics, Economics, or related field preferred.
* 5\+ years of experience in Product Management, Technical Program Management, or Engineering, with a focus on data, analytics, or platform development.
* Strong technical working knowledge of machine learning models, data pipelines, model deployment workflows, and APIs—with hands\-on experience partnering with data scientists and engineers.
* Demonstrated ability to integrate ML\-driven features into end\-to\-end production systems and evaluate model performance.
* Proficiency with SQL, analytics environments, and BI tools (Power BI, Tableau, etc.).
* Proven experience with Agile methodologies, backlog management, sprint execution, and iterative product delivery.
* Experience defining and managing program\-level KPIs, establishing review cadences, and leading data\-driven decision processes.
* Preferred: Experience in Revenue Management, pricing optimization, forecasting, yield management, or similar analytical domains (real estate, hospitality, travel, etc.).
* Excellent verbal and written communication skills with ability to translate between technical and non\-technical stakeholders.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$106,228\-$132,785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74">
      <c r="A74" t="inlineStr">
        <is>
          <t>li-4370099125</t>
        </is>
      </c>
      <c r="B74" t="inlineStr">
        <is>
          <t>Technical Product Manager, Data Protection</t>
        </is>
      </c>
      <c r="C74" t="inlineStr">
        <is>
          <t>Pure Storage</t>
        </is>
      </c>
      <c r="D74" t="inlineStr">
        <is>
          <t>linkedin</t>
        </is>
      </c>
      <c r="E74" t="inlineStr"/>
      <c r="F74" t="inlineStr"/>
      <c r="G74" t="inlineStr">
        <is>
          <t>Santa Clara, CA</t>
        </is>
      </c>
      <c r="H74" t="inlineStr"/>
      <c r="I74"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Technical Product Manager for Data Protection, you will lead the evolution of FlashArray and FlashBlade’s backup and recovery ecosystem to ensure Pure’s customers never lose a second of data. You will bridge the gap between complex enterprise workloads and our cutting\-edge storage snapshots, replication, and cloud\-integrated protection strategies. By collaborating with elite engineering teams and global technology partners, you will define a technical roadmap that turns data resilience into a seamless, high\-performance competitive advantage.
**What You'll Do**
* Architect the Data Protection Roadmap: Own the end\-to\-end technical strategy for data protection features, prioritizing feature tradeoffs and requirements that align with modern RPO/RTO demands across hybrid cloud environments.
* Master the Backup Ecosystem: Influence the product roadmaps of strategic technology partners (such as Veeam, Commvault, and Cohesity) to ensure deep, performant integration with Pure’s native protection capabilities.
* Drive Technical Market Intelligence: Conduct deep\-dive analysis of data protection workload characteristics and competitive sizing to ensure FlashArray remains the industry benchmark for recovery speed and efficiency.
* Enable Field Engineering Success: Transform complex technical specifications into high\-impact SE/Sales enablement tools, architectural guides, and customer\-facing presentations that simplify the "Pure story" for global enterprises.
* Lead Cross\-Functional Execution: Collaborate with executive leadership to define the scope of multi\-year projects, overseeing the full product lifecycle from inception through strategic product line transitions.
**What You Bring**
* Deep Data Protection Domain Expertise: Expert\-level understanding of the enterprise backup landscape, including hands\-on experience with major applications (Cohesity, Rubrik, Veeam, etc.) and their interaction with cloud\-native storage protocols.
* Strategic Technical Leadership: A proven track record of owning product lifecycles and driving results, with the ability to navigate complex release milestones and product line transitions in an agile environment.
* Full\-Stack Datacenter Fluency: Broad technical depth across storage solutions, networking, and security, with a specific focus on how data protection workloads impact infrastructure sizing and performance.
* Executive Communication \&amp; Influence: Strong executive presence with the ability to synthesize complex technical data into a clear vision, strategy, and execution plan for both engineering teams and customer stakeholders.
* Location: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75">
      <c r="A75" t="inlineStr">
        <is>
          <t>li-4369431356</t>
        </is>
      </c>
      <c r="B75" t="inlineStr">
        <is>
          <t>Principal Inbound Product Manager - MoveWorks</t>
        </is>
      </c>
      <c r="C75" t="inlineStr">
        <is>
          <t>ServiceNow</t>
        </is>
      </c>
      <c r="D75" t="inlineStr">
        <is>
          <t>linkedin</t>
        </is>
      </c>
      <c r="E75" t="inlineStr"/>
      <c r="F75" t="inlineStr"/>
      <c r="G75" t="inlineStr">
        <is>
          <t>Santa Clara, CA</t>
        </is>
      </c>
      <c r="H75" t="inlineStr"/>
      <c r="I7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Build alignment across cross\-functional partners by clearly communicating product vision, roadmaps, and outcomes.
**Qualifications**
* End\-to\-end product management experience (typically 15\+ years overall)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 You lead with both empathy and urgency. Startup DNA — you thrive in fast\-paced environments, are energized by ambiguity, and naturally bring structure, prioritization, and momentum to everything you touch.
 For positions in this location, we offer a base pay of $221,200 \- $387,100,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76">
      <c r="A76" t="inlineStr">
        <is>
          <t>li-4336231601</t>
        </is>
      </c>
      <c r="B76" t="inlineStr">
        <is>
          <t>Sr. Product Manager II, VR Device Management</t>
        </is>
      </c>
      <c r="C76" t="inlineStr">
        <is>
          <t>Axon</t>
        </is>
      </c>
      <c r="D76" t="inlineStr">
        <is>
          <t>linkedin</t>
        </is>
      </c>
      <c r="E76" t="inlineStr"/>
      <c r="F76" t="inlineStr"/>
      <c r="G76" t="inlineStr">
        <is>
          <t>Seattle, WA</t>
        </is>
      </c>
      <c r="H76" t="inlineStr"/>
      <c r="I76"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Senior Product Manager II, VR Device Management, you will define and drive the vision for how agencies deploy, organize, and manage their VR hardware fleets through scalable software systems. Your work will focus on enabling customers to oversee large numbers of VR devices with ease, confidence, and precision, ensuring that training is always ready to happen when it matters most.
 You will create the foundation for a modern device management experience that connects Axon’s immersive training hardware with intuitive web\-based tools. This will include defining the roadmap for how agencies manage devices, content, and settings within the VR Web App, as well as how those tools integrate into Axon’s broader ecosystem of products and services. Your leadership will shape how agencies monitor fleet health, configure devices, download new content, and customize their training environments at scale.
 In this role, you will work closely with engineering, design, and operations teams to build systems that balance simplicity and power, turning complex operational workflows into clear, actionable experiences. You will define the metrics and standards that measure fleet performance, and you will guide the product toward continuous improvement as adoption grows.
 You will collaborate directly with customers and internal stakeholders to uncover the daily challenges of running VR training programs across multiple sites and hundreds of devices. Through this partnership, you will design solutions that reduce administrative burden, improve reliability, and enhance readiness, so agencies can focus more time on training outcomes and less on operational logistics.
 Your work will be critical in scaling Axon’s VR platform from an individual training experience to a truly enterprise\-level ecosystem. By providing the tools that make management effortless, transparent, and reliable, you will help agencies expand access to immersive training and accelerate Axon’s mission to protect life through innovation and preparedness.
**What You’ll Do**
* Lead the Fleet Management Tools for Agencies initiative, delivering measurable improvements in how agencies deploy, organize, and manage VR devices at scale.
* Define and launch the Device and Fleet Management UI within the VR Web App, creating a centralized interface to oversee headsets and tablets that scales with agency growth and integrates into Axon’s broader ecosystem.
* Develop a customer\-facing Content Management System (CMS) that allows agencies to manage which training modules are installed or removed across their fleets, simplifying operations and aligning content with mission goals.
* Design an Agency Device Settings System that preserves preferences across users, devices, and sessions, balancing agency\-level policies with user\-level flexibility through cascading, real\-time settings.
* Establish key metrics and baselines for fleet performance, adoption, and reliability to track progress and guide prioritization.
* Partner with engineering, UX, and data science to turn complex operational needs into simple, intuitive user experiences.
* Collaborate across Axon hardware and software teams to ensure VR device management aligns with the company’s identity, deployment, and security frameworks.
* Engage directly with customers and field stakeholders to validate designs, identify emerging pain points, and ensure solutions meet real\-world operational needs.
* Support future CMS development by preparing the foundation for third\-party content uploads, workflow automation, and integration with additional VR applications.
**Location** 
 :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Sr Director, VR Hardware/Operations/Labs
**Direct Reports:** 
 None
**What You Bring**
* Bachelor's degree or equivalent in computer science, game design, engineering or related field of study.
* 8\+ years of Product Management experience, including platform or enterprise\-scale system ownership.
* Strong understanding of device lifecycle management, including provisioning, configuration, updates, and telemetry.
* Ability to translate complex operational workflows into clear and intuitive software experiences.
* Data\-driven mindset with skill in setting KPIs, tracking adoption, and making informed prioritization decisions.
* Strong collaboration skills and a record of partnering effectively across engineering, design, and business teams.
* Comfort working in fast\-paced environments with a high degree of autonomy and accountability.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77">
      <c r="A77" t="inlineStr">
        <is>
          <t>li-4365350984</t>
        </is>
      </c>
      <c r="B77" t="inlineStr">
        <is>
          <t>Product Manager - Public API</t>
        </is>
      </c>
      <c r="C77" t="inlineStr">
        <is>
          <t>State Street</t>
        </is>
      </c>
      <c r="D77" t="inlineStr">
        <is>
          <t>linkedin</t>
        </is>
      </c>
      <c r="E77" t="inlineStr"/>
      <c r="F77" t="inlineStr"/>
      <c r="G77" t="inlineStr">
        <is>
          <t>Burlington, MA</t>
        </is>
      </c>
      <c r="H77" t="inlineStr"/>
      <c r="I77" t="inlineStr">
        <is>
          <t>****Who We Are Looking For****
 We are seeking a Product Manager to lead our integration technology products for Charles River Development (“CRD”), focused on ETL and Public API product/strategies. The ideal candidate possesses exceptional communication skills, can translate complex technical concepts for both technical and non\-technical audiences, and excels at collaborating with cross\-functional teams. They are tech\-savvy, highly organized, and have a proven track record of building and executing detailed roadmaps in fast\-paced environments and establishing a suite of standard data integration protocols on the platform. This role will work side\-by\-side with Engineering Team Leads, Architecture, Relationship Managers, other Product owners and Clients to oversee the build, execution, and delivery of initiatives that enhance the Charles River integration platform.
****What You Will Be Responsible For****
* Help establish strategic roadmap for public APIs and ETL integrations for consistent data integration methodologies at platform level
* Drive innovation and expansion of CRD’s Public API offerings, ensuring solutions align with market trends and client needs.
* Expand and innovate CRD ETL capabilities and tools for various application technology backends
* Gather and prioritize customer, market and internal requirement
* Produce and oversee high quality APIs and ETL feeds as well as data domain documentation
* Collaborate with engineering, architecture, and client\-facing teams to define detailed product specifications and guide delivery efforts.
* Define product specifications and lead engineering teams
* Analyze competitor offerings and trends
* Represent the Platform Product team across the organization and externally with clients and vendors
* Ensure API and ETL performance, scalability, and security best practices are embedded throughout the API lifecycle.
* 
* Proven experience in leading product management, business analysis, and software engineering teams to deliver high\-impact solutions.
* Hands on experience in building API and/or ETL products as well as data modeling
* Strong technical background with experience in cloud platforms (AWS, Azure, GCP) and microservices architecture, particularly in designing and scaling API services.
* Strong technical background with experience in various ETL technologies and vendors
* Deep understanding of API standards such as Open API and REST, as well as experience with webhooks, ETL processes, and real\-time data integration.
* Experience with API management platforms (e.g., Azure API, Kong) and API security best practices, including OAuth, rate limiting, and encryption.
* Experience integrating APIs and ETL tools into CI/CD pipelines, with an understanding of DevOps tools and principles (e.g., Jenkins, GitLab, Docker, Kubernetes).
* Expertise in monitoring, scaling, and optimizing API and ETL performance, including latency reduction and throughput optimization.
* Experience in managing data integration, including knowledge of data formats (JSON, XML) and data consistency models in distributed systems.
* Proven experience working within Agile development frameworks (e.g., Scrum, Kanban), leading sprints, and using tools like Jira or Trello.
* Familiarity with API analytics and monitoring tools (e.g., Postman, Swagger, Datadog) to track performance, usage, and error rates.
* Experience in user\-centric API design and improving developer experience, including creating well\-documented and user\-friendly API portals.
* Experience in building exception management functionality for ETL tools
* Proven leadership in cross\-functional team settings, fostering collaboration between engineering, product, and external stakeholders.
* Knowledge of regulatory requirements (e.g., GDPR, CCPA, PSD2\) and compliance considerations for API and ETL development in financial services.
* Experience managing via influence
* Experience in Financial Services is preferred
* Minimum 5\+ years managing software development projects
 The position is based in Burlington, MA.
**Why this role is important to us**
 You will join the Charles River Investment Management Solution (CRIMS) and State Street Alpha team, playing a key role in building a cutting\-edge, end\-to\-end investment management platform that serves the global financial community. Your contributions will directly shape the future of our public API and ETL strategies, enabling seamless integration across front, middle, and back\-office systems.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 We make all efforts to create a great work environment. Our benefits packages are competitive and comprehensive. Details vary in location,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****Salary Range:****
 $115,000 \- $190,000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R\-773163</t>
        </is>
      </c>
    </row>
    <row r="78">
      <c r="A78" t="inlineStr">
        <is>
          <t>li-4370098162</t>
        </is>
      </c>
      <c r="B78" t="inlineStr">
        <is>
          <t>Product Owner, Investments</t>
        </is>
      </c>
      <c r="C78" t="inlineStr">
        <is>
          <t>Equity Residential</t>
        </is>
      </c>
      <c r="D78" t="inlineStr">
        <is>
          <t>linkedin</t>
        </is>
      </c>
      <c r="E78" t="inlineStr"/>
      <c r="F78" t="inlineStr"/>
      <c r="G78" t="inlineStr">
        <is>
          <t>Chicago, IL</t>
        </is>
      </c>
      <c r="H78" t="inlineStr"/>
      <c r="I78" t="inlineStr">
        <is>
          <t>Reporting to the Senior Director IT Strategy \&amp; Portfolio Information, the candidate will be responsible for applications and end\-to\-end technology platforms for their assigned organization department. This includes the overall strategy, architecture, operations and management of applications and technology platforms for the assigned business area. The Product Owner acts as a bridge between the technical team and the assigned business area and is responsible for driving execution, growth and transformation of technology, inclusive of the ongoing continuous improvement and digital evolution. The Product Owners are Agile practitioners, possess strong problem\-solving skills, collaborate effectively with cross\-functional teams, and are dedicated to establishing a culture of innovation and operational excellence.
***PLEASE NOTE:***
*Our current onsite work schedule requires attendance from Monday through Thursday each week, with remote work permitted on Fridays.* 
**WHAT YOU’LL DO:**
* Collaborates, influences and partners with leadership across Investments to align business strategy, technology priorities and roadmap, both near and long\-term.
* Serves as hybrid team member, effectively positioned in both IT and with their assigned team(s) as a key technical and business domain team member.
* Leads the planning and execution of key technology projects across all domains of Investments; including Transactions, Development, Strategy and Research, Portfolio and Asset Management, Sustainability, and Capital Planning.
* Serves as the ultimate single\-point\-of\-contact and/or escalation point to major technology related priorities for Investments. Helps to navigate questions or concerns for assigned business area(s) across IT domains (infrastructure, hardware, etc.).
* Delivers on the technology roadmap. Executes on projects. Accountable for project charter, deliverables, and overall project delivery and success.
* Drives an innovation mindset. Stays current on what’s new for the landscape of the assigned business area(s).
* Research, evaluate and pilot new technologies.
* Owns the application suite for the assigned business area(s), along with key business and vendor relationships.
* Develops RFPs and negotiates contracts, in partnership with legal and procurement.
* Has budget accountability for
 technology operating costs and projects (capital and operating) within assigned business area(s).
* Manages (either directly or indirectly) the team responsible for delivery of technology capabilities, including project team members and development resources.
* Partners with internal technical experts to ensure sound architectural and integration principles in place and data models in place for proposed solutions.
* Adheres to corporate IT standards for projects, governance, architecture, security and infrastructure.
* Defines, tracks, and communicates Program KPIs to measure performance and other key metrics.
* Influences vendor features and roadmap. External influencer. Advocate for our needs and build strong relationships with our software partners and vendors to improve performance and generate maximum value
* Establishes and implements continuous improvements for the applications and end\-to\-end technology platforms for Investments.
* Represents the Company in a professional manner at all times. Consistently maintains a professional courteous attitude when dealing with residents, coworkers and the general public.
* Performs other duties as necessary.
**REQUIREMENTS
 :** 
* Bachelor's degree or equivalent work experience required.
* 8\+ years of experience in technology project management or similar IT management roles.
* 5\+ years of experience in Program or Product Management with experience working across cross\-functional teams and managing project timelines and deliverables to successful completion.
* Expert knowledge across the Real Estate investment lifecycle from acquisition through disposition, market research, and investment tooling.
* Knowledge and experience building a centralized data model and reporting ecosystem to monitor and measure operational KPIs and make strategic investment decisions.
* Proven work experience with Agile methodologies and tools, with a demonstrated ability to manage multiple projects and adapt to changing priorities in large, complex organizations.
* Experience with industry leading tools and concepts.
* Capable people manager with a track record of successfully hiring and leading high performing teams and growing individuals.
* Influential change agent that can influence across all levels of organization to achieve needed outcomes.
* Excellent communication and collaboration skills, with the ability to create clear and concise documentation.
* Strong analytical and problem\-solving skills and abilities with experience developing innovative solutions and making data\-driven decisions.
* Demonstrated ability to identify, assess, and mitigate risks associated with projects for assigned business area(s) to ensure they remain on track and within scope.
* Must be available for overnight travel to EQR markets, industry or technology related events, etc. (up to 10% annually).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$135,000 to $170,000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79">
      <c r="A79" t="inlineStr">
        <is>
          <t>li-4370087790</t>
        </is>
      </c>
      <c r="B79" t="inlineStr">
        <is>
          <t>Product Manager, Sales &amp; Customer Experience</t>
        </is>
      </c>
      <c r="C79" t="inlineStr">
        <is>
          <t>Equity Residential</t>
        </is>
      </c>
      <c r="D79" t="inlineStr">
        <is>
          <t>linkedin</t>
        </is>
      </c>
      <c r="E79" t="inlineStr"/>
      <c r="F79" t="inlineStr"/>
      <c r="G79" t="inlineStr">
        <is>
          <t>Chicago, IL</t>
        </is>
      </c>
      <c r="H79" t="inlineStr"/>
      <c r="I79" t="inlineStr">
        <is>
          <t>Reporting to the Senior Director IT Strategy \&amp; Portfolio Information, the candidate will be responsible for managing the product lifecycle for key functions or one or more technology platforms in their assigned business department. This role partners with the Product Owner to translate business needs into product strategies and executable plans, ensuring delivery of customer and business value. This role focuses on defining product goals and success metrics while working closely with Product Owners, Associate Product Managers, and cross\-functional partners. Product Managers drive execution excellence by guiding teams in prioritization, feature development, and alignment to business objectives.
***PLEASE NOTE:***
*Our current onsite work schedule requires attendance from Monday through Thursday each week, with remote work permitted on Fridays.* 
**WHAT YOU’LL DO:**
* Collaborates and partners across all Sales, Marketing and Customer Experience focused teams to formulate and execute technology priorities.
* Own areas or domains within the product suite, initiative execution from end\-to\-end, and execution of governance standards across delivery.
* Maintain product roadmaps and drive prioritization backlog grooming efforts.
* Create business cases and recommendations for new initiatives.
* Develop project charters and project plans for priority strategic initiatives.
* Drive consistency and standards across user stories, success criteria, and feature requirements.
* Oversee, plan and manage application/integration testing, user acceptance testing, and quality assurance standards.
* Oversee team documentation standards and continuous improvement to product delivery and testing processes.
* Troubleshoot high priority issues and escalations from business partners.
* Partner with and lead cross functional teams (including but not limited to Architecture, Engineering, Infrastructure, Cyber Security, and various business departments) to prioritize and execute with excellence.
* Support and own relationships across key business departments.
* Serves as hybrid team member, effectively positioned in both IT and with their assigned team(s) as a key technical and business domain team member.
* Support compliance, audit, and business continuity needs for application ecosystem
* Support vendor/product evaluations and RFPs.
* Accountable for project level financials and ROI measurement.
* Establish and track key performance indicators (KPIs) to measure product success and adoption.
* Identify opportunities to pilot new capabilities and share emerging market trends.
* Make recommendations for new products that align with strategic priorities.
* Provide day\-to\-day coaching, support, and people leadership for Associate Product Managers.
* Represents the Company in a professional manner at all times. Consistently maintains a professional courteous attitude when dealing with residents, coworkers and the general public.
* Performs other duties as necessary.
**REQUIREMENTS
 :** 
* Bachelor’s degree in Business, Computer Science, Information Systems, or related field; MBA or advanced degree a plus.
* 5 plus years of experience (Product Manager) in product management or equivalent role, with proven success in leading product lifecycles.
* Proven ability to define product vision, strategy, and business cases for application domains.
* Strong experience with Agile methodologies (Scrum, Kanban, SAFe) and portfolio/backlog management tools (e.g., JIRA, Confluence).
* Experience managing cross\-functional teams and aligning business, engineering, architecture, and vendor partners.
* Demonstrated ability to make trade\-offs, prioritize, and deliver measurable outcomes.
* Strong analytical and problem\-solving skills with ability to use KPIs and data\-driven insights to shape decisions.
* Familiarity with application ecosystems, integrations, vendor solutions, and lifecycle management.
* Knowledge across a variety of marketing and sales solutions including digital experience platforms, sales and marketing enablement technologies for B2C websites, portals, mobile applications, social, marketing automation, relationship management/CRM, web and social analytics platforms.
* Familiarity with leading website and mobile app development platforms such as Adobe Experience Manager, Salesforce Commerce Cloud, Sitecore, Appian, Ionic, Flutter, etc.
* Excellent communication and stakeholder management skills, including executive\-level presentations.
* Experience in real estate, hospitality, and/or multi\-family is a plus.
* Must be available for overnight travel to EQR markets, industry or technology related events, etc. (up to 10% annually).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$135,000\-$170,000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80">
      <c r="A80" t="inlineStr">
        <is>
          <t>li-4361831525</t>
        </is>
      </c>
      <c r="B80" t="inlineStr">
        <is>
          <t>Principal Product Manager - Performance Solutions Delivery Architecture</t>
        </is>
      </c>
      <c r="C80" t="inlineStr">
        <is>
          <t>FactSet</t>
        </is>
      </c>
      <c r="D80" t="inlineStr">
        <is>
          <t>linkedin</t>
        </is>
      </c>
      <c r="E80" t="inlineStr"/>
      <c r="F80" t="inlineStr"/>
      <c r="G80" t="inlineStr"/>
      <c r="H80" t="inlineStr"/>
      <c r="I8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1">
      <c r="A81" t="inlineStr">
        <is>
          <t>li-4346401160</t>
        </is>
      </c>
      <c r="B81" t="inlineStr">
        <is>
          <t>Staff Product Manager, LiveOps Services and Runtime Data</t>
        </is>
      </c>
      <c r="C81" t="inlineStr">
        <is>
          <t>Unity</t>
        </is>
      </c>
      <c r="D81" t="inlineStr">
        <is>
          <t>linkedin</t>
        </is>
      </c>
      <c r="E81" t="inlineStr"/>
      <c r="F81" t="inlineStr"/>
      <c r="G81" t="inlineStr">
        <is>
          <t>San Francisco, CA</t>
        </is>
      </c>
      <c r="H81" t="inlineStr"/>
      <c r="I81"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82">
      <c r="A82" t="inlineStr">
        <is>
          <t>li-4299770416</t>
        </is>
      </c>
      <c r="B82" t="inlineStr">
        <is>
          <t>Senior Product Manager (Bangkok-based)</t>
        </is>
      </c>
      <c r="C82" t="inlineStr">
        <is>
          <t>Agoda</t>
        </is>
      </c>
      <c r="D82" t="inlineStr">
        <is>
          <t>linkedin</t>
        </is>
      </c>
      <c r="E82" t="inlineStr"/>
      <c r="F82" t="inlineStr"/>
      <c r="G82" t="inlineStr">
        <is>
          <t>New York, NY</t>
        </is>
      </c>
      <c r="H82" t="inlineStr"/>
      <c r="I8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3">
      <c r="A83" t="inlineStr">
        <is>
          <t>li-4368774102</t>
        </is>
      </c>
      <c r="B83" t="inlineStr">
        <is>
          <t>Technical Product Owner - Charlotte, NC (Hybrid)</t>
        </is>
      </c>
      <c r="C83" t="inlineStr">
        <is>
          <t>Jobs via Dice</t>
        </is>
      </c>
      <c r="D83" t="inlineStr">
        <is>
          <t>linkedin</t>
        </is>
      </c>
      <c r="E83" t="inlineStr"/>
      <c r="F83" t="inlineStr"/>
      <c r="G83" t="inlineStr">
        <is>
          <t>Charlotte, NC</t>
        </is>
      </c>
      <c r="H83" t="inlineStr"/>
      <c r="I83" t="inlineStr">
        <is>
          <t>**Role : Technical Product Owner
 Location : Charlotte, NC (Hybrid)**
**Contract
 "Must be legally authorized to work in US without need for employer sponsorship now or at any time in the future.**
**Overview**
 Lead GPU/TPU monitoring and optimization initiatives for a large global bank's core technology unit. Drive performance improvements, cost reduction, and resource efficiency across AI/ML infrastructure through technical expertise and product ownership.
**Key Responsibilities**
 Own product roadmap for GPU/TPU monitoring solutions aligned with AI infrastructure strategy
 Define monitoring strategies covering utilization, performance, power, memory, and thermal metrics
 Analyze accelerator usage patterns and identify optimization opportunities to improve efficiency
 Collaborate with ML engineers to tune workloads and reduce training/inference latency
 Implement cost optimization strategies targeting 20\-30% reduction through better resource allocation
 Manage product backlog, write user stories, and lead agile development cycles
 Partner with stakeholders across data science, infrastructure, and business units
 Ensure solutions meet banking security, compliance, and governance requirements
 Report on KPIs: utilization rates, cost savings, performance improvements, and SLA adherence
**Required Qualifications**
 5\+ years experience with GPU/TPU infrastructure for AI/ML workloads
 Deep knowledge of NVIDIA GPUs (A100, H100\) and Google TPUs
 Proficiency with monitoring tools: DCGM, nvidia\-smi, Prometheus, Grafana
 Strong understanding of CUDA, PyTorch, TensorFlow, and distributed training
 3\+ years as Product Owner/Manager, preferably in infrastructure/platform products
 Experience with Kubernetes, containerization, and cloud platforms (Google Cloud Platform)
 Background in regulated industries (banking/financial services preferred)
 Excellent communication skills with ability to bridge technical and business stakeholders
**Preferred Qualifications**
 Advanced degree in Computer Science or related field
 Cloud/ML certifications (Google Cloud Platform ML Engineer, NVIDIA DLI)
 MLOps platform experience (MLflow, Kubeflow)
 FinOps and cost management expertise
 LLM training/inference optimization knowledge</t>
        </is>
      </c>
    </row>
    <row r="84">
      <c r="A84" t="inlineStr">
        <is>
          <t>li-4299776166</t>
        </is>
      </c>
      <c r="B84" t="inlineStr">
        <is>
          <t>Senior Product Manager (Bangkok-based)</t>
        </is>
      </c>
      <c r="C84" t="inlineStr">
        <is>
          <t>Agoda</t>
        </is>
      </c>
      <c r="D84" t="inlineStr">
        <is>
          <t>linkedin</t>
        </is>
      </c>
      <c r="E84" t="inlineStr"/>
      <c r="F84" t="inlineStr"/>
      <c r="G84" t="inlineStr">
        <is>
          <t>Boston, MA</t>
        </is>
      </c>
      <c r="H84" t="inlineStr"/>
      <c r="I8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5">
      <c r="A85" t="inlineStr">
        <is>
          <t>li-4299775184</t>
        </is>
      </c>
      <c r="B85" t="inlineStr">
        <is>
          <t>Senior Product Manager (Bangkok-based)</t>
        </is>
      </c>
      <c r="C85" t="inlineStr">
        <is>
          <t>Agoda</t>
        </is>
      </c>
      <c r="D85" t="inlineStr">
        <is>
          <t>linkedin</t>
        </is>
      </c>
      <c r="E85" t="inlineStr"/>
      <c r="F85" t="inlineStr"/>
      <c r="G85" t="inlineStr">
        <is>
          <t>Austin, TX</t>
        </is>
      </c>
      <c r="H85" t="inlineStr"/>
      <c r="I8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6">
      <c r="A86" t="inlineStr">
        <is>
          <t>li-4370346821</t>
        </is>
      </c>
      <c r="B86" t="inlineStr">
        <is>
          <t>Program Manager</t>
        </is>
      </c>
      <c r="C86" t="inlineStr">
        <is>
          <t>Sokol New York</t>
        </is>
      </c>
      <c r="D86" t="inlineStr">
        <is>
          <t>linkedin</t>
        </is>
      </c>
      <c r="E86" t="inlineStr"/>
      <c r="F86" t="inlineStr"/>
      <c r="G86" t="inlineStr">
        <is>
          <t>New York, NY</t>
        </is>
      </c>
      <c r="H86" t="inlineStr"/>
      <c r="I86" t="inlineStr">
        <is>
          <t>Program/General Manager \- Youth and Adult Fitness Programs
 Position Overview
 Sokol New York is seeking an energetic, organized, experienced and self\-motivated individual looking for a challenging opportunity to help rebuild and lead our programs. This role is perfect for someone passionate about physical fitness for youth and adults and enjoys community engagement. Programs at Sokol New York have included gymnastics, rhythmics, acrobatics, aerial, general fitness for adults and children, sports, marching, cheer, volleyball, dance, martial arts. The Program Manager oversees daily program operations, teaches classes, recruits and coordinates staff and volunteers. The manager shall ensure a safe, fun, and inclusive environment where students can thrive physically, socially, and emotionally.
 Responsibilities
 Program Leadership
 \- Develop, implement, and evaluate class offerings (gymnastics, sports, group exercise, dance and fitness).
 \- Research and develop ways to expand existing programs or implement new offerings.
 \- Maintain and build enrollment through in person communication, event attendance, and advertising (including direct mail advertising and digital marketing).
 \- Ensure programming aligns with Sokol's organizational goals and best practices.
 Staff \&amp; Volunteer Management
 \- Recruit new instructors and volunteers.
 \- Orient, train and supervise instructors, coaches, and volunteers.
 \- Conduct background checks and ensure all required safety training is completed.
 \- Maintain documentation of performance and related evaluations.
 \- Provide ongoing training and support to ensure professional development of instructors, coaches, and volunteers.
 Operations \&amp; Administration
 \- Develop and manage program schedules and enrollment.
 \- Ensure instructor coverage for each class.
 \- Conduct continuous evaluation of classes, instructors, and volunteers.
 \- Continuously monitor and develop weekly reporting on attendance and financial metrics of classes and related programs for program management and leadership reporting.
 \- Maintain a safe environment for operations of all programs.
 \- Ensure compliance with safety, health, and child protection policies.
 \- Conduct routine equipment checks to ensure safety timely repairs or replacement.
 \- Track program outcomes and participant progress.
 Community \&amp; Family Engagement
 \- Build strong relationships with parents, schools, and community partners.
 \- Communicate program updates or changes.
 \- Organize special events such as exhibitions, recitals, open houses, and family class events.
 Qualifications
 \- Bachelor's degree in Education, Recreation, Sports Management, Public Health, or related field (or equivalent experience).
 \- 3\-6 years of experience in youth programming, fitness, or recreation management.
 \- Strong leadership, organizational, and communication skills.
 \- Ability to each children's fitness skills (gymnastic experience preferred).
 \- Ability to lift and set up equipment safely.
 \- CPR/First Aid certification (or willingness to obtain).
 \- Current certifications for SafeSport and USG.
 \- Passion for youth development, fitness, and community wellness.
 Preferred Skills
 \- Experience working with diverse communities.
 \- Knowledge of child development and positive behavior management.
 \- Ability to design creative, inclusive, and engaging fitness activities.
 \- Ability to design creative social media and advertising/marketing campaigns.
 \- Microsoft Office and database skills.
 Why Join Us?
 Sokol New York is a member of American Sokol and part of the Global Sokol Organization. At Sokol New York, you can make a direct impact on the health and well\-being of young people. Help rebuild a program focused on the importance of being physically fit, whose mission is to provide physical, cultural and social programs for all.
 salary estimate 65\-75k</t>
        </is>
      </c>
    </row>
    <row r="87">
      <c r="A87" t="inlineStr">
        <is>
          <t>li-4370179145</t>
        </is>
      </c>
      <c r="B87" t="inlineStr">
        <is>
          <t>Associate Manager, Enterprise Platform Product Owner - Office of the Chief Information Officer</t>
        </is>
      </c>
      <c r="C87" t="inlineStr">
        <is>
          <t>BioSpace</t>
        </is>
      </c>
      <c r="D87" t="inlineStr">
        <is>
          <t>linkedin</t>
        </is>
      </c>
      <c r="E87" t="inlineStr"/>
      <c r="F87" t="inlineStr"/>
      <c r="G87" t="inlineStr">
        <is>
          <t>Sleepy Hollow, NY</t>
        </is>
      </c>
      <c r="H87" t="inlineStr"/>
      <c r="I87" t="inlineStr">
        <is>
          <t>Are you passionate about driving enterprise platform strategies and delivering impactful solutions in the biotech industry? This role is designed for an experienced product owner with relevant pharmaceutical/biotech experience in disciplines including Project Portfolio Management (PPM), Technology Business Management (TBM), financial\-based systems, and enterprise architecture. The candidate should also possess a proven ability to lead cross\-functional teams, manage technical upgrades, oversee financial and resource management, collaborate with stakeholders, and craft compelling narratives for senior executives to realize business outcomes from digital technology platforms and investments.
**A Typical Day Might Include The Following**
* Define and maintain the product vision, strategy, and roadmap for enterprise platforms, with a focus on PPM, TBM, and financial\-based systems.
* Lead the creation of product roadmap presentations for steering committees and senior leadership, ensuring alignment with organizational goals.
* Collaborate with business stakeholders to understand their needs, prioritize features, and ensure platform capabilities deliver measurable value.
* Act as the primary liaison between business teams, IT teams, vendors, third\-party and internal helpdesks to gather requirements and ensure alignment.
* Facilitate workshops, discovery sessions, and regular communication with stakeholders to prioritize features and resolve challenges.
* Leverage expertise in PPM tools (e.g., Planview, Jira, Project Place, MS Project and others) to optimize project and portfolio management processes.
* Oversee the implementation and integration of TBM frameworks (e.g., Apptio, ServiceNow, Oracle) to enhance IT financial management, cost transparency, and value optimization.
* Ensure financial\-based systems (e.g., Oracle ERP, budgeting, forecasting) are seamlessly integrated with PPM and TBM platforms to enable comprehensive reporting and analytics.
* Ensure platform design and architecture align with enterprise standards, scalability, and security requirements.
* Lead the development of architecture documents for review and approval by enterprise architecture and governance teams.
* Provide oversight of platform services through the helpdesk, ensuring timely resolution of issues and optimal user satisfaction.
* Manage service\-related contracts, ensuring compliance, performance, and alignment with organizational goals.
* Track and analyze day\-to\-day metrics to monitor platform performance and identify areas for improvement.
* Manage and oversee technical upgrades for enterprise platforms, ensuring minimal disruption to business operations.
* Work closely with finance partners to articulate the financial impact of platform investments and ensure alignment with business objectives.
**This Role Might Be For You If You**
* Strong knowledge of PPM tools (e.g., Planview, Project Place, Jira, Microsoft Project) and TBM solutions (e.g., Apptio, ServiceNow TBM).
* Experience with enterprise architecture principles and system integration strategies.
* Knowledge of financial\-based systems (e.g., Oracle, Workday) and their integration with TBM frameworks.
* Proven ability to manage complex, cross\-functional projects and deliver results in a fast\-paced environment.
* Strong analytical skills, with the ability to translate business needs into technical requirements.
* Exceptional storytelling and interpersonal skills, with experience preparing executive\-level presentations that are clear, concise, and impactful.
* Experience in data governance, financial reporting, and compliance
**To Be Considered For This Role, You Must Have**
* Bachelors degree in Computer Science, Information Systems, Business Administration, or a related field (Masters degree preferred).
* 7\+ years of experience in product ownership or management roles, with a focus on enterprise platforms, PPM tools, TBM frameworks, and financial\-based systems.
* Product Owner (CSPO) or similar Agile certification (preferred)
* TBM certifications (e.g., Apptio TBM Unified Certification) are highly desirable.
* PMP, SAFe Agile, or ITIL certifications are a plus.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$114,800\.00 \- $187,400\.00</t>
        </is>
      </c>
    </row>
    <row r="88">
      <c r="A88" t="inlineStr">
        <is>
          <t>li-4370093172</t>
        </is>
      </c>
      <c r="B88" t="inlineStr">
        <is>
          <t>Program Manager</t>
        </is>
      </c>
      <c r="C88" t="inlineStr">
        <is>
          <t>RemoteHunter</t>
        </is>
      </c>
      <c r="D88" t="inlineStr">
        <is>
          <t>linkedin</t>
        </is>
      </c>
      <c r="E88" t="inlineStr"/>
      <c r="F88" t="inlineStr"/>
      <c r="G88" t="inlineStr"/>
      <c r="H88" t="inlineStr"/>
      <c r="I88" t="inlineStr">
        <is>
          <t>About the Opportunity:
 An experienced Program Manager is sought to lead new product initiatives from development through launch. The role connects engineering, product, and go\-to\-market teams to ensure critical programs deliver impact on time and with quality.
 Responsibilities:
 • Drive programs from kickoff through launch, ensuring delivery against timelines and quality standards
 • Establish and maintain program plans including scope, milestones, resources, and critical path activities
 • Partner with teams to assess capacity, manage trade\-offs, and sequence work for business impact and velocity
 • Identify, document, and manage cross\-team dependencies to prevent blockers and ensure seamless handoffs
 • Ensure teams have tools, information, and resources; escalate blockers and secure decisions as needed
 • Define, track, and report on program KPIs and health metrics; investigate variances and deploy countermeasures
 • Build and maintain dashboards and status reports for visibility into progress, risks, and blockers
 • Conduct risk assessments, maintain risk registers, and develop mitigation and contingency plans
 • Drive post\-launch retrospectives and continuous improvement initiatives, capturing lessons learned
 Requirements:
 • 5\+ years of program or project management experience in a corporate environment
 • Proven success managing programs from development through adoption
 • Experience with agile methodologies and software development lifecycle
 • Expertise in dependency mapping and managing risk registers
 • Track record of early identification of off\-track programs and implementing countermeasures
 • Strong analytical skills with ability to define, track, and act on KPIs
 • Excellent cross\-functional collaboration and stakeholder management skills
 • Proficiency with program management tools such as Jira, Asana, or similar platforms
 • Demonstrated impact using a structured business system methodology
 Nice to Have:
 • Technical background or degree in a related field
 • PMP, PgMP, or similar program management certification
 About the Organization:
 The organization is a global industrial technology innovator driving transformation across environmental, health and safety compliance, industrial monitoring, product design, and healthcare safety solutions. The team leverages software\-powered workflow solutions, data intelligence, and AI automation to address challenges globally, with a focus on workplace safety and sustainability. The organization embraces a dynamic, inclusive culture promoting learning, growth, and continuous improvement through a proven business system.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li-4370343800</t>
        </is>
      </c>
      <c r="B89" t="inlineStr">
        <is>
          <t>Healthcare Program Manager - Chicago, il</t>
        </is>
      </c>
      <c r="C89" t="inlineStr">
        <is>
          <t>Global Business Ser. 4u</t>
        </is>
      </c>
      <c r="D89" t="inlineStr">
        <is>
          <t>linkedin</t>
        </is>
      </c>
      <c r="E89" t="inlineStr"/>
      <c r="F89" t="inlineStr"/>
      <c r="G89" t="inlineStr">
        <is>
          <t>Chicago, IL</t>
        </is>
      </c>
      <c r="H89" t="inlineStr"/>
      <c r="I89" t="inlineStr">
        <is>
          <t>Title : Program Manager \- ( Healthcare ) Location : Chicago, IL Project : Contract
**Required Qualifications**
* PMP certification (required).
* 10\+ years of experience in healthcare project or program management.
* Strong background in health insurance, pharmacy benefits, or provider systems.
* Demonstrated expertise working with medical and pharmacy claims data.
* Advanced analytical skills with ability to interpret data trends and financial outcomes.
* Proven experience creating business cases, managing budgets, and delivering ROI driven results.
* Experience managing data integrations, data platforms, or large\-scale analytics initiatives.
* Excellent communication, leadership, and stakeholder management skills.</t>
        </is>
      </c>
    </row>
    <row r="90">
      <c r="A90" t="inlineStr">
        <is>
          <t>li-4370358193</t>
        </is>
      </c>
      <c r="B90" t="inlineStr">
        <is>
          <t>Deputy Program Manager</t>
        </is>
      </c>
      <c r="C90" t="inlineStr">
        <is>
          <t>Unissant</t>
        </is>
      </c>
      <c r="D90" t="inlineStr">
        <is>
          <t>linkedin</t>
        </is>
      </c>
      <c r="E90" t="inlineStr"/>
      <c r="F90" t="inlineStr"/>
      <c r="G90" t="inlineStr">
        <is>
          <t>Ashburn, VA</t>
        </is>
      </c>
      <c r="H90" t="inlineStr"/>
      <c r="I90" t="inlineStr">
        <is>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
 **Deputy Program Manager (DPM)** 
 to join our team and support our National Security client. The DPM will support our DHS Program Manager and program, as well as contribute to the growth of our National Security portfolio.
 The ideal candidate will be a direct customer interface for all Vetting program related projects and understand the technical scope and status of each. The candidate will be responsible for reporting of relevant projects, and support the PM with program oversight, resource management, risk management, financial management, service delivery, customer relationship management, service operations, and incident management.
**Essential Duties And Responsibilities**
* Provide direct support to Program Manager and management of the overall program.
* Provide business and technical leadership and reporting, interfacing directly with technical teams and customer stakeholders.
* Develop trusted technical relationships with appropriate government program and contracts leadership and stakeholders, Unissant teammates, and Unissant partners.
* Build and maintain knowledge repository of full business and technical scope of the program and associated projects and systems, including interdependent programs, teams, and systems.
* Identify critical success factors at onset and throughout program lifecycle and ensure removal of barriers to success.
* Monitor metrics and key performance indicators, effectively communicate, and keep Unissant program leadership and client stakeholders aware of project status, budget utilization, issues, risks, and successes. Escalate critical items appropriately.
* Support defining of staffing requirements and evaluating new candidates.
* Support P\&amp;L, budgets and forecast through financial controls.
* Support growth of contract and directly interface with Unissant corporate technical and growth teams to enhance delivery on the program.
* Identify and champion opportunities to expand the business benefits of the program beyond current scope by developing business cases that qualify and quantify the anticipated return on additional client investment.
* Provide corporate growth support, across DHS, and within other Government agencies as required.
* Advocate and communicate the program's value and accomplishments to internal and external stakeholders.
**Work Experience**
* Must have 8 years of experience leading within large IT development and systems environments and programs, including experience managing both new development \&amp; Operations and Maintenance (O\&amp;M) and related systems supporting National Security agencies.
* Must have at least 8 years of experience interfacing with clients at the program management level.
* Demonstrated success meeting and exceeding client expectations for deliverables and service quality.
* Must have experience and finesse dealing with all levels of senior management including C\-level management.
* Must have demonstrated strengths in organizational skills required in selecting, motivating, and developing staff.
* A track record of continuous improvement and the identification of potential operational and process risks and formulate/implement effective mitigation plans.
* Experience in IT project/program management with specific emphasis in application/software development and sustainment, encompassing large scale multi\-applications/systems environments.
* A track record of program growth and development.
* Experience in developing and maintaining plans such as Program Management Plan and weekly status reports,
* Experience managing public sector cloud implementations (AWS preferred)
**Job Skills**
* Strong understanding of government contracting and procurement, processes, stakeholders, and professional services.
* Enthusiastic, proactive, positive attitude with great listening skills and high integrity
* Ability to teach, grow and coach a team.
* Excellent organizational skills, strong attention to detail and ability to effectively manage programs supporting multiple businesses.
* Strong desire to mentor, coach team members while providing oversight for all aspects of relevant Program(s).
* Ability to think and act strategically and proactively approach projects and issues.
* Able to work under pressure and to be flexible with changing priorities.
* Able to find innovative ways to solve problems.
* A genuine interest in looking for opportunities to add value and grow your area of responsibility.
**Education**
* Bachelor's Degree is required. Preferred field of study in Computer Science, Information Technology, Information Systems, Operations Management, or related field of study.
* MBA/Master's Degree in a relevant field of study preferred.
**Certificates, Licenses And Registrations**
* Project Management Professional Certification (PMP) required.
* ITIL v.3/4 Foundations, Intermediate or Advanced preferred.
* AWS Cloud Practitioner certification preferred.
* Agile certification(s) preferred
* Other technical certifications will be considered also.
**Communication Skills**
* Excellent verbal and written skills, ability to present proposals and performance data, comfortable interfacing all levels of organization.
* Ability to write clear and concise creative content in a highly confidential manner.
**Clearance Requirements**
* Ability to obtain and maintain a DHS Public Trust clearance is required.
**Travel**
* Willingness to travel regularly to customer site in the Washington DC metro and corporate office in Herndon, VA.
* Willing to travel to other locations occasionally as needed (up to 10%).
**Environmental Requirements**
* Mainly a routine office environment.
* May be required to lift up to ten (10\) pounds
*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
***Job Posted by ApplicantPro***</t>
        </is>
      </c>
    </row>
    <row r="91">
      <c r="A91" t="inlineStr">
        <is>
          <t>li-4370348682</t>
        </is>
      </c>
      <c r="B91" t="inlineStr">
        <is>
          <t>Early Education Program Manager</t>
        </is>
      </c>
      <c r="C91" t="inlineStr">
        <is>
          <t>United Way of Southern Nevada</t>
        </is>
      </c>
      <c r="D91" t="inlineStr">
        <is>
          <t>linkedin</t>
        </is>
      </c>
      <c r="E91" t="inlineStr"/>
      <c r="F91" t="inlineStr"/>
      <c r="G91" t="inlineStr">
        <is>
          <t>Las Vegas, NV</t>
        </is>
      </c>
      <c r="H91" t="inlineStr"/>
      <c r="I91" t="inlineStr">
        <is>
          <t>**Primary Responsibilities**
 Assist the Program Director with the implementation of the Nevada Ready! State Pre\-K Program and related early education programs for United Way of Southern Nevada's Community Impact initiatives. The Early Education Program Manager is also responsible for supervising the Early Education Program Specialist, and is expected to create a customer\-focused service approach that builds relationships and develops high\-quality early education programs with measurable results. The Manager is responsible for providing training, technical assistance, coaching, and support to ensure all participating centers meet program and funding requirements.
**Essential Duties**
* Manages day\-to\-day and week\-to\-week activities and assignments and ensures completion of timely reports and work products.
* Plans scopes of work with community partners and manages Early Education team to ensure program goals and objectives are met by required deadlines.
* Creates and edits a variety of written documents, correspondence, speeches and reports.
* Responsible for planning, managing and implementation of high\-quality Early Education programs in a variety of settings within Southern Nevada (i.e. center\-based, home\-based, etc.)
* Works with clients to engage and support input into projects and events.
* Develops and facilitates trainings to directors, teachers, and staff to incorporate best practices for Early Education partners.
* Interacts and works with Early Education community partners to build collaboration and improve service delivery systems.
* Adapts program content, materials and locations to meet the identified needs of participants.
* Provides accurate and timely data collection/input and reports to meet funding requirements in the following areas: professional development, curriculum, program evaluation, individualized support, school readiness, transition to Kindergarten, health and safety, family engagement, and comprehensive services for families.
* Tracks and monitors performance measures and goals of the program providers.
* Maintains current knowledge base of policies, standards and issues affecting the childcare and early childhood education industries, and K \- 12 education standards and policies on the local and national levels.
* Researches and stays up to date on best practices related to Early Childhood Education.
* Provides presentations at local and national conference and workshops if needed.
* Directs and facilitates the work of independent contractors and other project participants to develop plans and projects
* Other duties as requested or assigned.
**Position Requirements**
* Demonstrated ability to work and engage with early education providers, local/state government and community partners.
* Working knowledge of early childhood education, childcare standards, K\- 12 standards and/or best practices in the education continuum.
* Strong analytical skills, project management and process improvement experience.
* Ability to build strong, productive relationships and motivate individuals to obtain results.
* Ability to build relationships and maintain ongoing contact with diverse groups at all levels both internally and externally to the organization.
* Demonstrated ability to proactively manage multiple tasks effectively.
* Results driven and detail\-oriented.
* Strong organizational skills and attention to detail are critical.
* Demonstrated leadership abilities with exceptional written/oral communication and presentation skills.
* Ability to approach projects with an innovative and collaborative technique.
* Ability to be a team player and collaborate with internal colleagues, external partners, agencies and volunteers.
* Strong computer skills.
* A professional appearance and demeanor.
* Ability to work a flexible schedule, including evenings and weekends, as needed.
* Valid Nevada Driver's license, proof of auto insurance coverage and daily access to a personal vehicle for site visits, meetings and projects.
* Prior CLASS/ECERS/SPED skills and nonprofit experience is preferred
* Bilingual in Spanish is preferred
* Diverse candidates encouraged to apply
* Performs all other duties as assigned.
 These requirements are met by a bachelor's degree in Early Education or a related field or active educational plan, and a minimum of four years of experience working (or two years managing a team) in an early childhood setting, or an equivalent combination of education and experience.
**Environment**
 The environment for this position is an open office area that is clean and comfortable. It may include some minor annoyances such as noise, odors, drafts, etc. The incumbent is in a non\-confined office\-type setting in which he or she is free to move about at will. Also, the incumbent will travel to client sites, workplace events, meetings, etc.
**Physical Activity**
 In the course of performing this work, the incumbent:
* Will spend substantial time standing, sitting, speaking, and listening
* Must regularly lift and/or move up to 10 pounds and occasionally lift and/or move up to 30 pounds
* Reasonable accommodations may be made to enable individuals with disabilities to perform the essential functions of the job
**Equipment And Software Operation**
 The incumbent in this position may operate any/all of the following equipment:
* Computer, printer, copy machine, audio\-visual equipment, personal automobile
**Computer Software May Include Any Or All The Following**
* Microsoft Office
* Internet Explorer/Google Chrome</t>
        </is>
      </c>
    </row>
    <row r="92">
      <c r="A92" t="inlineStr">
        <is>
          <t>li-4370341934</t>
        </is>
      </c>
      <c r="B92" t="inlineStr">
        <is>
          <t>eDiscovery Program Manager (Top Secret Clearance Required)</t>
        </is>
      </c>
      <c r="C92" t="inlineStr">
        <is>
          <t>CGS Federal (Contact Government Services)</t>
        </is>
      </c>
      <c r="D92" t="inlineStr">
        <is>
          <t>linkedin</t>
        </is>
      </c>
      <c r="E92" t="inlineStr"/>
      <c r="F92" t="inlineStr"/>
      <c r="G92" t="inlineStr">
        <is>
          <t>Baltimore, MD</t>
        </is>
      </c>
      <c r="H92" t="inlineStr"/>
      <c r="I92" t="inlineStr">
        <is>
          <t>**eDiscovery Program Manager** 
 Employment Type: Full\-Time, Executive\-LevelDepartment: Legal CGS is seeking a dedicated eDiscovery Program Manager to join a fast\-paced and hard\-working team to assist with any legal accounts. As an eDiscovery Program Manager, you will play a key role in supporting various aspects of the company's portfolio.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success:The Contractor shall provide the following services to include but not limited to: \- The Contractor shall provide Discovery Program contractor staff management support to include, but not limited to the following activities: \- Contractor shall oversee all administrative logistical support for the contract to include, notifying the Government of schedule changes, work assignments and coverage, documenting daily tasks, and work location changes; \- Contractor shall insure that daily time entry is recorded by all contract staff; \- Contractor shall coordinate all administrative activities associated with the arrival of new contract staff with the appropriate FBI security, IT, and other administrative units; \- Contractor shall mentor and assist new team members to perform daily tasks; \- Contractor shall promptly and thoroughly address any performance or personnel issues that arise within the contracted staff; \- Contractor shall manage client expectations and deliverables and clearly and timely communicate with clients;\- Contractor shall initiate process improvement initiatives; \- Quotes shall facilitate communication, planning, recommendations, and resource management across internal and external stakeholders; \- Contractor shall provide technical and eDiscovery subject matter expertise to support the full life cycle management of the resources assigned to the program and contract; \- Contractor shall participate in teleconferences or meetings to review, educate, and support program objectives; \- Contractor shall assist in managing the Legal Clerical mailbox and tasks; \- Contractor shall develop and track clerical and IT project schedules, milestones, and deliverables; \- Contractor shall assist with providing information sought by client that are relevant to support Change Requests and Contract Modifications; \- Contractor shall oversee and monitor all scheduled system maintenances in accordance with established policies and procedures; \- Contractor shall review system and application logs and related reports to verify completion of scheduled jobs such as backups; \- Contractor shall review and report technical assessments to include required tasks, estimated time frames, and effort for any scope project; \- Contractor shall oversee and monitor Veritas eDiscovery version 10 or industry recognized review platform processes; \- Contractor shall oversee and monitor the system administration of Microsoft Exchange \- 2019 and 2022; \- Contractor shall oversee and monitor the administration and support of Microsoft Windows server 2016/2019/2022 in a large physical and virtual infrastructure; \- Contractor shall oversee and monitor the performance of DNS, WINS, DHCP, and LDAP compliant directories; \- Contractor shall oversee and monitor Discovery’s IT infrastructure, cloud technologies (Microsoft Azure/Amazon AWS) and network architecture; \- Contractor shall comply with contract terms and conditions; work collaboratively with the COR to define and execute all reports and other deliverables; \- Contractor shall ensure operational coverage for all critical areas to meet 24 hours, 7 days a week, 365\-day requirements and priorities as identified by OGC Leadership; \- Contractor shall formulate and enforce work standards; assign contractor schedules; \- Contractor shall present and communicate instructions, and in writing reports or documents that convey the findings/results of analysis to non\-technical audiences; \- Contractor shall work collaboratively with the COR and OGC Government Leads to define and execute all reports and other deliverables; \- Contractor shall provide the Task Lead(s) and COR with cost and staffing estimates relative to the completion of existing tasks, as well as the possible addition of future\- Contractor shall plan, organize, direct and support all activities identified in the contract; \- Contractor shall ensure conformance with RFQ schedules and costs; \- Contractor shall monitor employee performance and productivity; \- Contractor shall develop and implement training programs and remedial actions as necessary; \- Contractor shall review work discrepancies; \- Contractor shall prepare, review and submit required reports and communicating policies, purpose and goals of the organization to subordinates; \- Contractor shall be responsible for the overall RFQ performance and quality assurance; \- Contractor shall provide timekeeping and invoicing for labor hours, travel and ODCs, if any; \- Contractor shall ensure that program/project schedule, performance and deliverables are met; \- Contractor shall maintain a qualified and certified, as appropriate, Contractor work force to meet the Government’s needs under this RFQ; \- Contractor shall provide direct supervision, program control, scheduling and management of the Contractor personnel consistent with priorities and assignments by the OGC program; \- Contractor shall develop and implement training programs and remedial actions as necessary; \- Contractor shall assist in all project management task performance; \- Contractor shall prepare, review and submit required reports and communicating policies, purpose and goals of the organization to subordinates; \- Contractor shall resolve problems, issues or conflicts, as required; \- Contractor shall prioritize tasks and assignments to Contractor work force based on Government’s direction and best practices;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innovation!Explore additional job opportunities with CGS on our Job Board:https://cgsfederal.com/join\-our\-team/For more information about CGS please visit: https://www.cgsfederal.com or contact:Phone: \+1 (888\) 680\-5916Email: \[email protected] \#CJ $156,986\.20 \- $213,052\.70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3">
      <c r="A93" t="inlineStr">
        <is>
          <t>li-4370207006</t>
        </is>
      </c>
      <c r="B93" t="inlineStr">
        <is>
          <t>CRA Service Program Manager</t>
        </is>
      </c>
      <c r="C93" t="inlineStr">
        <is>
          <t>hackajob</t>
        </is>
      </c>
      <c r="D93" t="inlineStr">
        <is>
          <t>linkedin</t>
        </is>
      </c>
      <c r="E93" t="inlineStr"/>
      <c r="F93" t="inlineStr"/>
      <c r="G93" t="inlineStr">
        <is>
          <t>Sandy, UT</t>
        </is>
      </c>
      <c r="H93" t="inlineStr"/>
      <c r="I93"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Through its Center for Community Development (CCD), American Express National Bank’s overarching goal is to maintain a leadership position in financing, investing, and facilitating community development activities within our assessment area and beyond.
 CCD is hiring a
 **CRA Service Program Manager** 
 . This role offers a dynamic opportunity to lead the strategy, execution, and evaluation of American Express National Bank’s Community Reinvestment Act (CRA) service initiatives. The position is responsible for advancing the Bank’s CRA service goals through strategic planning, cross\-functional coordination, regulatory alignment, and community engagement.
 The successful candidate will own the full lifecycle of the CRA service program — from program design and volunteer engagement to documentation and regulatory examination readiness. The CRA Service Program Manager will report to the Director of Community Development and provide leadership in developing service strategies that drive measurable community impact and regulatory performance.
* Lead and own the AENB CRA Service Program, including strategic planning, development, and execution of service initiatives that align with CRA requirements and Bank priorities.
* Serve as a subject matter expert (SME) on CRA service eligibility and regulatory expectations, ensuring activities meet the technical standards for qualified community development service.
* Develop and maintain relationships with nonprofit and community\-based organizations to identify high\-impact service opportunities and strengthen community partnerships.
* Oversee and guide board and committee placements to ensure alignment with CRA goals, while supporting colleague engagement and leadership development.
* Manage the CRA service data lifecycle, including intake, validation, analysis, and reporting of volunteer service activities to ensure regulatory accuracy and audit readiness.
* Lead preparation of documentation materials for CRA examinations, Presentation at CRA Committee meetings, and senior management reviews.
* Oversee third\-party vendors and technology platforms supporting service reporting and community engagement, ensuring timely and high\-quality outcomes.
* Advise leadership on emerging CRA trends, regulatory updates, and strategic opportunities to enhance service performance and community impact.
* Contribute to the overall operations of the Center for Community Development, including participation in compliance testing, audits, and strategic planning initiatives.
* Support and coordinate management of CRA Grant Program.
**Minimum Qualifications**
* Demonstrated experience managing or leading community engagement or CRA\-related programs, preferably in a financial institution or regulatory environment.
* Strong understanding of CRA regulatory frameworks and technical requirements for qualified community development services.
* Expertise in program design, data management, and performance reporting.
* Proven ability to collaborate cross\-functionally with business units, senior leaders, and external partners.
* Strong project management, and organizational skills, with a focus on measurable results and continuous improvement.
* Experience with volunteer management systems, reporting tools, and employee engagement platforms.
**Preferred Qualifications**
* Bachelor’s degree (preferred) in a relevant field.
* Excellent communication and presentation skills, with the ability to convey complex CRA concepts to diverse audiences.
* Previous experience with CRA examinations or regulatory reviews.
* Experience managing partnerships or service programs with community\-based organizations.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94">
      <c r="A94" t="inlineStr">
        <is>
          <t>li-4368772156</t>
        </is>
      </c>
      <c r="B94" t="inlineStr">
        <is>
          <t>Senior Program Manager IV</t>
        </is>
      </c>
      <c r="C94" t="inlineStr">
        <is>
          <t>Jobs via Dice</t>
        </is>
      </c>
      <c r="D94" t="inlineStr">
        <is>
          <t>linkedin</t>
        </is>
      </c>
      <c r="E94" t="inlineStr"/>
      <c r="F94" t="inlineStr"/>
      <c r="G94" t="inlineStr">
        <is>
          <t>Silver Spring, MD</t>
        </is>
      </c>
      <c r="H94" t="inlineStr"/>
      <c r="I94" t="inlineStr">
        <is>
          <t>**Job Title:** 
 Senior Program Manager IV
**Location:** 
 Silver Spring, MD (On Site)
**Clearance Required:** 
 Public Trust Eligible
**Salary Range:** 
 $120K\-$140K
**Application Deadline** 
 : February 28, 2025
**To apply,** 
 please follow these steps:
* Visit .
* Select the position you are interested in.
* Review the job details, then click Apply Now.
* Complete and submit your application.
**Description:**
 IBSS Corporation is seeking an experienced and strategic Senior Program Manager IV to lead efforts in support of the Automated Surface Observing System (ASOS) Service Life Extension Program (SLEP). This key role provides programmatic leadership, business process guidance, technical oversight, and lifecycle management in close coordination with Government stakeholders. The Senior Program Manager will work across technical domains—systems engineering, deployment, telecom, and budgeting—to modernize and sustain ASOS nationwide. This position is contingent upon successful award of the contract.
**Key Responsibilities:**
**Program Leadership \&amp; Strategy**
* Serve as the lead contractor program interface with the Government ASOS Program Management Office (PMO).
* Support the modernization and evolution of ASOS systems in accordance with NOAA/NWS policies, directives, and life cycle processes.
* Provide expert\-level guidance in the planning, integration, testing, deployment, and sustainment of ASOS SLEP components.
**Business Process Development \&amp; Oversight**
* Develop and refine business process analysis and improvement plans to increase program efficiency and transparency.
* Lead efforts to define, track, and manage communications between production contractors and Government teams.
* Support the Government in managing warranty claims, system deployment logistics, and transition planning under the EIS contract vehicle.
**Technology Research \&amp; Risk Management**
* Perform market research and technology assessments to support acquisition decisions and combat component obsolescence.
* Conduct and support security planning and risk assessments to meet federal standards and ensure system integrity.
**Program Planning \&amp; Execution**
* Develop and maintain a resource\-loaded Integrated Master Schedule (IMS) to align activities across engineering, field deployment, and program reporting.
* Oversee program planning, procurement, budgeting, invoice reconciliation, and financial forecasting efforts.
* Provide administrative and strategic support for the preparation of status briefings, milestone reviews, and program documentation.
**Stakeholder Coordination**
* Work closely with engineers, analysts, deployment managers, and web developers to ensure integrated program delivery.
* Facilitate coordination between cross\-functional contractor teams and NOAA/NWS technical leads.
**Required Skills \&amp; Qualifications:**
* Bachelor's degree in Communications or Electronics Engineering
* 10 years related experience
* Demonstrated experience managing large\-scale federal programs, preferably in meteorological systems, aviation, or telecommunications
* Experience manager $10M\+ in Dollar value
* Experience managing a team of 10\+ direct reports
* Proven expertise in lifecycle planning, schedule and risk management, and systems integration
* Strong understanding of government acquisition and program management principles
* Excellent verbal and written communication skills; ability to lead cross\-disciplinary teams and present to senior stakeholders
* Proficient in Microsoft Project, Office Suite, and related scheduling and budgeting tools
* Electrical and/or Mechanical Engineering or Computer Engineering background.
* Experience with hardware and software engineering principles, (understanding of how the scientific instruments and the data\-processing units integrate together and disseminate the data after processing).
**Preferred Qualifications:**
* Master's degree in Engineering, Systems Management, or related field
* PMP certification
* Agile and Hybrid Project Management Framework Experience
* Familiarity with NOAA, FAA, or NWS systems and procedures
* Experience managing geographically dispersed deployments and multi\-vendor integration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exceptional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that includes medical, dental, vision, and prescription drug coverage with a company\-paid deductible, paid time off, federal holidays, a matching 401K plan, tuition/professional development reimbursement, and Flex\-Spending (FSA)/Dependent Care Account (DCA) options.
 IBSS is an affirmative action and equal opportunity employer. All qualified applicants will be considered for employment without regard to race, color, religion, sex, disability, age, sexual orientation, gender identity, national origin, veteran status, or genetic information. Click to see that the EEO is the law. Please direct any inquiries to the HR department email at
 If you require reasonable accommodation in completing this application, interviewing, completing any pre\-employment testing, or otherwise participating in the employee selection process, please direct your inquiries to the Talent Acquisition Department at</t>
        </is>
      </c>
    </row>
    <row r="95">
      <c r="A95" t="inlineStr">
        <is>
          <t>li-4370355615</t>
        </is>
      </c>
      <c r="B95" t="inlineStr">
        <is>
          <t>Float Program Manager - ARCHES - Home Youth Services</t>
        </is>
      </c>
      <c r="C95" t="inlineStr">
        <is>
          <t>Mid-Willamette Valley Community Action Agency</t>
        </is>
      </c>
      <c r="D95" t="inlineStr">
        <is>
          <t>linkedin</t>
        </is>
      </c>
      <c r="E95" t="inlineStr"/>
      <c r="F95" t="inlineStr"/>
      <c r="G95" t="inlineStr">
        <is>
          <t>Salem, OR</t>
        </is>
      </c>
      <c r="H95" t="inlineStr"/>
      <c r="I95" t="inlineStr">
        <is>
          <t>**General Description**
 The Float Program Manager for the Community Resource Program and Home Youth Services Sheltering departments will be responsible for administering programming aimed at providing a safe, warm place with vital services for the area's homeless population. The person in this position will provide direct supervision of program staff, oversee project operations, and develop program policies for 24/7 shelters. This position will monitor multiple grants allocated to CRP and HYS by community partners. This position requires the ability to work days, nights, weekends and/or holidays.
 MINIMUM QUALIFICATIONS The requirements listed below are representative of the knowledge, skills, and/or abilities required.
 EDUCATION and/or EXPERIENCE
* Two or more years of social services experience and a minimum of 1 year of managing or coordinating in a social service field. An equivalent combination of relevant education and experience may be accepted.
* A preference will be given to those with shelter experience, and experience managing/coordinating programs working with vulnerable or at\-risk populations, including people experiencing homelessness or at\-risk of homelessness.
**CERTIFICATES, LICENSES, REGISTRATIONS**
* Candidate must pass Oregon Department of Human Services criminal background check and MWVCAA agency background check.
* Candidate must pass pre\-employment and random drug/alcohol screens.
* Driver qualification status required for this position. Driver License, insured vehicle available for use on the job and satisfactory drive record for previous three years required.
* Basic Life Support/First Aid Certification is required within first 30 days of hire.
**Knowledge, Skills, And Abilites**
* Posses intermediate to advanced computer skills. Proficient in Microsoft Word, Excel and Outlook, database software, online tools, and video conference platforms.
* Ability to read, analyze and articulate technical procedures, legally binding contracts, and governmental regulations.
* Must posses excellent planning, organization and time management skills.
* Ability to effectively communicate in both orally and in written form.
* Ability to work evenings, weekends, early morning hours as part of standard shifts.
* Demonstrates tact, diplomacy and empathy when communicating formally and informally with clients, staff and program partners.
* Ability to effectively de\-escalate heightened interactions.
**ESSENTIAL DUTIES AND RESPONSIBILITIES** 
 This job description is not intended to be all\-inclusive. Employee will also perform other reasonably related business duties as assigned by immediate supervisor and other management as required.
* Manages the day\-to\-day operations of ARCHES/HYS sheltering services.
* Provides support to staff when client interactions escalate.
* Establishes and maintains an active working relationship with law enforcement, neighbors, and city officials.
* Builds and maintains relationships with volunteers and provides training for a growing volunteer base.
* Participates in internal and external meetings, trainings, and other compliance events.
* Applies for shelter and basic needs services funding to expand service opportunities.
* Adheres to program policies in order to protect staff, client and volunteer safety.
* Demonstrates evidence of excellence in prioritization tools, Homeless Management Information System (HMIS), and other data\-driven protocols.
* Embraces the mission and best practice philosophies of Trauma Informed Care, Motivational Interviewing, recovery, client\-centered services, and Harm Reduction strategies.
* Completes spend down of all grant allocations, while providing the highest level of client service possible. Provides low barrier client\-centered process to services.
* Maintains full compliance with all federal, state, and grant funding requirements, setting high standards for data quality and compliance performance, remaining in compliance with the regulations of all funding streams.
* Models full compliance with MWVCAA Safety Policy.
* Displays commitment to community\-based projects and needs that are not covered by current grant structures (i.e., finding ways to solve homelessness beyond grant administration).
* Displays commitment and cooperation with co\-located agency partners.
* Attends and participates in annual trainings.
* Consistent on\-site attendance and punctuality.
* Able to respond quickly when situations arise that require a manager to attend on\-site.
* May be assigned other responsibilities that further program goals and objectives.
**Supervisory Responsibilities**
 Directly supervises approximately 5 employees over multiple shifts. Responsibilities include interviewing, hiring, and training employees; planning, assigning, and directing work; appraising performance; rewarding and disciplining employees; addressing complaints and resolving problems.
**PHYSICAL AND MENTAL DEMANDS** 
 Reasonable accommodations may be made to enable individuals with disabilities to perform the essential duties and responsibilities.
* Maintains calm dispositions and regulates emotions when clients, staff, or others may become escalated.
* Regulates emotions and handles pressure of frequent demands for attention, time and work tasks.
* Attends and engages in required annual trainings.
* Working evenings and weekends when necessary.
* Specific vision abilities are required of this position. Frequently required to hear and speak.
* Regularly lift and/or move 20 pounds and occasionally lift and/or move up to 50 pounds.
* Manual dexterity for handling office equipment.
**WORK ENVIRONMENT**
 ▪ This position requires on\-site work and is not eligible for remote work.
 ▪ Works in conjunction with ARCHES and community partner programs serving client population experiencing homelessness, substance use disorders, and/or severe and persistent mental illness, and/or unpredictable behavior.
 ▪ Indoor work environment with frequent interruptions and demands.
 ▪ Working with customers/clients over the phone and in\-person.
 ▪ Occasional remote work from home.
 ▪ Occasional driving in all weather conditions. Occasionally exposed to outside weather conditions.
 ▪ Variable and flexible work hours.
 MWVCAA is proud to be an Equal Opportunity Employer. We do not discriminate based upon race, religion, color, national origin, sex, sexual orientation, gender expression, age, veterans, and people with disabilities or any other protected category. We welcome all people to join us in achieving our Mission. If you require any assistance in the application process, or reasonable accommodations to perform the essential duties of the position, please notify a member of our team at (503\) 585\-6232\.
 Child Care Division Central Background Registration and pre\-employment drug screening is required.
***Job Posted by ApplicantPro***</t>
        </is>
      </c>
    </row>
    <row r="96">
      <c r="A96" t="inlineStr">
        <is>
          <t>li-4370204057</t>
        </is>
      </c>
      <c r="B96" t="inlineStr">
        <is>
          <t>Sr. Screening Program Manager</t>
        </is>
      </c>
      <c r="C96" t="inlineStr">
        <is>
          <t>RemoteHunter</t>
        </is>
      </c>
      <c r="D96" t="inlineStr">
        <is>
          <t>linkedin</t>
        </is>
      </c>
      <c r="E96" t="inlineStr"/>
      <c r="F96" t="inlineStr"/>
      <c r="G96" t="inlineStr"/>
      <c r="H96" t="inlineStr"/>
      <c r="I96" t="inlineStr">
        <is>
          <t>About the Opportunity:
 This fully remote role reports to the Chief Sanctions Officer (CSO) and is critical within the Global Sanctions Compliance function. The Sanctions Screening Program Manager is responsible for designing, executing, and continuously enhancing the global sanctions screening program, including name screening, transaction screening, geo\-controls, evasion detection, and related technical controls across the organization and its global subsidiaries. This individual contributor role requires leadership experience in communication, documentation, partnership, strategy, and time management. The role demands deep expertise in global sanctions regulations, screening technologies, data\-driven risk management, and the ability to operate effectively in a fast\-paced, highly regulated, and evolving environment. Strong ownership, strategic thinking, and independent execution skills are essential.
 Responsibilities:
 • Own and manage the global sanctions screening program, including name screening, transaction monitoring, geo\-blocking, evasion detection, and related technical controls
 • Maintain and enhance screening frameworks to meet global regulatory expectations while ensuring scalability and efficiency
 • Design and execute screening strategies to support regulatory compliance, business growth, product launches, and global expansion
 • Partner with Compliance, Risk, and Engineering teams to lead tuning efforts for sanctions screening tools and controls
 • Collaborate with Engineering to develop, prioritize, and execute the sanctions screening roadmap, including vendor management and system enhancements
 • Participate in annual and ad\-hoc enterprise, product, and sanctions risk assessments focused on screening\-related risks
 • Identify emerging sanctions risks, control gaps, data quality issues, perform root cause analyses, and recommend corrective actions
 • Work with Product, Engineering, Legal, Client Engagement, and Finance teams to embed sanctions screening requirements into new and existing products
 • Assist Sanctions peers in completing Product Risk Assessments related to sanctions controls and risk mitigation
 • Lead business requirements documentation (BRDs) for sanctions screening initiatives and translate compliance needs to technical teams
 • Support regulatory exams, audits, testing, and inquiries related to sanctions screening controls and systems
 • Provide sanctions screening advisory and guidance to leadership, regional compliance partners, and cross\-functional stakeholders
 • Drive process improvements, documentation quality, and program maturity across all sanctions screening functions
 Requirements:
 • Minimum 5 years of experience in sanctions compliance, with a focus on screening systems and controls, or equivalent experience as a data scientist
 • Knowledge of global sanctions regimes including OFAC, EU, UK, UN, and other jurisdictions
 • Expert knowledge of sanctions screening technologies and controls, including name screening, transaction screening, IP/geo controls, evasion detection, and blockchain analytics
 • Proven experience managing sanctions screening programs for a global organization
 • Ability to author detailed business requirements and collaborate effectively with engineering and technology teams
 • Strong analytical skills with experience in SQL, Python, or similar tools for ad\-hoc analysis and investigations
 • Experience supporting regulatory exams, audits, and enforcement inquiries
 • Excellent written and verbal communication skills; ability to communicate across all organizational levels
 • Strong organizational skills with the ability to manage multiple priorities in a fast\-paced environment
 • High integrity, discretion, and ability to handle confidential information
 • Comfortable with ambiguity, context switching, and evolving regulatory expectations
 • Bachelor’s degree or equivalent practical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li-4370090933</t>
        </is>
      </c>
      <c r="B97" t="inlineStr">
        <is>
          <t>Technical AI Product Manager
Global/Remote</t>
        </is>
      </c>
      <c r="C97" t="inlineStr">
        <is>
          <t>CryptoCurrency ICO/Airdrop</t>
        </is>
      </c>
      <c r="D97" t="inlineStr">
        <is>
          <t>linkedin</t>
        </is>
      </c>
      <c r="E97">
        <f>HYPERLINK("https://www.linkedin.com/jobs/view/4370090933", "https://www.linkedin.com/jobs/view/4370090933")</f>
        <v/>
      </c>
      <c r="F97" t="inlineStr"/>
      <c r="G97" t="inlineStr"/>
      <c r="H97" t="inlineStr"/>
      <c r="I97"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98">
      <c r="A98" t="inlineStr">
        <is>
          <t>li-4370352859</t>
        </is>
      </c>
      <c r="B98" t="inlineStr">
        <is>
          <t>Product Manager</t>
        </is>
      </c>
      <c r="C98" t="inlineStr">
        <is>
          <t>Stelvio Inc.</t>
        </is>
      </c>
      <c r="D98" t="inlineStr">
        <is>
          <t>linkedin</t>
        </is>
      </c>
      <c r="E98">
        <f>HYPERLINK("https://www.linkedin.com/jobs/view/4370352859", "https://www.linkedin.com/jobs/view/4370352859")</f>
        <v/>
      </c>
      <c r="F98" t="inlineStr"/>
      <c r="G98" t="inlineStr">
        <is>
          <t>Phoenix, AZ</t>
        </is>
      </c>
      <c r="H98" t="inlineStr"/>
      <c r="I98" t="inlineStr">
        <is>
          <t>Product Owner – e\-Clearance
 Hybrid \| Downtown Phoenix, AZ
 Stelvio is working with a client operating at scale in the
 **transportation and mobility technology** 
 space. This is a product\-led organisation solving complex, high\-impact problems where software is used in live, mission\-critical environments.
 The Role
 We’re looking for an experienced
 **Product Owner** 
 to take ownership of development for an
 **e\-Clearance product area** 
 . You’ll work in a fast\-moving, highly collaborative environment, partnering closely with Product Management, Engineering, Design, QA, and business stakeholders.
 Your focus will be translating product vision and business objectives into clear, actionable backlog items and ensuring the team is consistently delivering value to customers. This role requires strong judgement, comfort working with complex systems, and the ability to operate effectively where priorities evolve.
 What You’ll Do
* Own, prioritise, and maintain the product backlog in line with business and product goals
* Develop a strong understanding of customer operations and how the product delivers operational value
* Prioritise features and user stories within sprints to maximise customer impact
* Ensure backlog items are well defined, understood, and appropriately estimated
* Lead sprint planning, backlog refinement, and discovery activities
* Translate requirements into clear, actionable user stories for development teams
* Review product performance and use insights to propose improvements to customer experience
* Act as a product domain expert and key point of contact for internal and external stakeholders
* Work closely with engineering, design, and QA to maintain quality and consistency
* Identify opportunities to improve processes, delivery, and outcomes
* Stay current with Agile best practices and relevant industry trends
 You
* Bachelor’s degree or equivalent practical experience
* 5\+ years’ experience as a Product Owner or in a closely related role
* Strong background in business process and requirements analysis
* Experience working with complex, interconnected systems
* Solid understanding of Agile methodologies, particularly Scrum
* Hands\-on experience with backlog management tools such as Jira or Azure DevOps
* Strong communication, decision\-making, and organisational skills
* Familiarity with user\-centred design principles
* Comfortable influencing cross\-functional teams without formal authority
* Willingness to travel occasionally
 Benefits
* Medical, dental, and vision coverage from day one
* Paid time off including vacation, sick time, holidays, and floating holidays
* 401(k) with employer match
* Company\-funded lifestyle allowance supporting physical and mental wellbeing
* Tuition reimbursement
* Access to voluntary benefits such as legal and pet programs
* Employee Assistance Program at no cost
* Strong focus on employee wellbeing, development, and community involvement</t>
        </is>
      </c>
    </row>
    <row r="99">
      <c r="A99" t="inlineStr">
        <is>
          <t>li-4361831511</t>
        </is>
      </c>
      <c r="B99" t="inlineStr">
        <is>
          <t>Senior Product Manager</t>
        </is>
      </c>
      <c r="C99" t="inlineStr">
        <is>
          <t>Commerce</t>
        </is>
      </c>
      <c r="D99" t="inlineStr">
        <is>
          <t>linkedin</t>
        </is>
      </c>
      <c r="E99">
        <f>HYPERLINK("https://www.linkedin.com/jobs/view/4361831511", "https://www.linkedin.com/jobs/view/4361831511")</f>
        <v/>
      </c>
      <c r="F99" t="inlineStr"/>
      <c r="G99" t="inlineStr">
        <is>
          <t>Austin, TX</t>
        </is>
      </c>
      <c r="H99" t="inlineStr"/>
      <c r="I99"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seeking a
 **Senior Product Manager, B2B** 
 to build the future of B2B ecommerce. This person will own and deliver critical product capabilities that enable Commerce to become the leading B2B commerce platform. This role will be responsible for defining product strategy and execution for key B2B domains, working cross\-functionally to deliver customer value, improve operational efficiency, and drive commercial outcomes.
 BigCommerce, part of the Commerce brand family, helps merchants increase sales at every stage of their growth. From small startups to mid\-market businesses and large enterprises, we provide the leading e\-commerce platform. Our customers can then concentrate on what's most important: growing their businesses. We enable our customers to build, innovate, and grow, collectively reshaping the e\-commerce industry.
**What You’ll Do**
* Product Strategy \&amp; Discovery
+ Own product strategy and roadmap for one or more core B2B capability areas (e.g. pricing, customer hierarchies, ordering workflows, quotes, integrations, permissions, storefront experiences)
+ Translate the broader B2B vision and ICP into clear problem statements, opportunities, and executable plans
+ Develop deep empathy for B2B merchants and buyers through customer interviews, data analysis, field engagement, and partner feedback
+ Assess competitive and adjacent market solutions to inform product differentiation and prioritization
* Execution \&amp; Delivery
+ Define product requirements, success metrics, and trade\-offs in partnership with Engineering
+ Lead cross\-functional delivery from discovery through launch, iteration, and scale
+ Balance customer needs, technical constraints, and business impact to drive high\-quality outcomes
+ Ensure solutions scale across customer size, complexity, and verticals
* Business Impact \&amp; Growth
+ Own success metrics for your product areas, including adoption, engagement, performance, and contribution to retention, expansion and revenue
+ Partner with Sales, PMM, and Solutions teams to ensure features are usable, sellable, and clearly differentiated
+ Support pricing, packaging, and monetization initiatives by providing product insight and impact analysis
+ Identify opportunities to reduce friction, improve time\-to\-value, and increase customer lifetime value
* Cross\-Functional Leadership
+ Act as a subject matter expert for your B2B domains internally, and externally with partners and customers
+ Collaborate closely with GTM, Support, and Partner teams to ensure feedback loops inform roadmap decisions
**Who You Are**
* 5–8\+ years of product management experience, including ownership of complex, customer\-facing products
* Strong understanding of B2B commerce, SaaS, and enterprise workflows (e.g. manufacturers, distributors, ERP\-adjacent systems)
* Demonstrated ability to translate ambiguous problems into shipped, measurable product and revenue outcomes
* Experience working cross\-functionally with engineering, design, and go\-to\-market teams
* Strong analytical and communication skills, with the ability to influence without authority
* Comfort operating in fast\-moving, evolving environments
**Work Where You Thrive**
 For candidates based in the Austin, Texas metro area, this role follows a hybrid work model, with three days per week in the office to balance focused individual work and meaningful in\-person collaboration.
**(Pay Transparency Range: $100,000\-$169,000\)**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100">
      <c r="A100" t="inlineStr">
        <is>
          <t>li-4370355509</t>
        </is>
      </c>
      <c r="B100" t="inlineStr">
        <is>
          <t>Product Manager</t>
        </is>
      </c>
      <c r="C100" t="inlineStr">
        <is>
          <t>Trend Capital Holdings, Inc.</t>
        </is>
      </c>
      <c r="D100" t="inlineStr">
        <is>
          <t>linkedin</t>
        </is>
      </c>
      <c r="E100">
        <f>HYPERLINK("https://www.linkedin.com/jobs/view/4370355509", "https://www.linkedin.com/jobs/view/4370355509")</f>
        <v/>
      </c>
      <c r="F100">
        <f>HYPERLINK("https://www.adzuna.com/details/5619542320?v=1F2E4130ED591601D8AD62D304A7F8C4174F45CA&amp;ccd=96cfcb90fe4750ad5a501838b83f9ffa&amp;r=21225287&amp;frd=69360f26f2895eb2b0454d5d1b2061e3&amp;utm_source=linkedin7&amp;utm_medium=organic&amp;chnlid=1931&amp;title=Product%20Manager&amp;a=e&amp;urlHash=CCrm", "https://www.adzuna.com/details/5619542320?v=1F2E4130ED591601D8AD62D304A7F8C4174F45CA&amp;ccd=96cfcb90fe4750ad5a501838b83f9ffa&amp;r=21225287&amp;frd=69360f26f2895eb2b0454d5d1b2061e3&amp;utm_source=linkedin7&amp;utm_medium=organic&amp;chnlid=1931&amp;title=Product%20Manager&amp;a=e&amp;urlHash=CCrm")</f>
        <v/>
      </c>
      <c r="G100" t="inlineStr">
        <is>
          <t>Naples, FL</t>
        </is>
      </c>
      <c r="H100" t="inlineStr"/>
      <c r="I100" t="inlineStr">
        <is>
          <t>**About This Job**
 As a Product Manager, you will play a creative role for our Power Fox Media division. You will be responsible for end\-to\-end processes and flows centering on conversion rate optimization (CRO). Tasks such as scriptwriting, designing, testing, analyzing, automating, and optimizing funnels will be the focus, aiming to continuously improve efficiency and performance.
 This position is ideal for those who thrive in fast\-paced environments, enjoy owning processes from start to finish, and find satisfaction in discovering, developing, and managing optimizations. The right candidate brings success in performance marketing, initiative, and a highly competitive spirit, ready to take charge and drive our next steps forward.
**Responsibilities**
* Own conversion rate optimization (CRO) across funnels, landing pages, and user journeys.
* Lead end\-to\-end testing: ideation, build, launch, analysis, and iteration.
* Write and optimize high\-performing scripts and messaging, landing pages.
* Design and build flows for marketing, sales (including automations).
* Collaborate with tech, creative teams to turn ideas into scalable live systems.
* Analyze performance data to identify bottlenecks and prioritize high\-impact improvements.
* Document learnings and build repeatable CRO \+ creative frameworks.
**Required Knowledge \&amp; Skill**
* Bachelor’s degree preferred (Marketing, Economics, Statistics, Data Science, or related field).
* 5\+ years experience in performance marketing.
* Proven experience with CRO, funnel optimization, and experimentation.
* Strong copywriting and creative strategy skills (VSLs, ads, landing pages, lifecycle).
* Analytical mindset, comfortable using data to guide decisions and creative direction.
* Ability to think end\-to\-end: message \&gt; experience \&gt; conversion.
* Comfortable moving fast, testing often, and iterating quickly in performance environments.
* Experience in startups, growth teams, or performance marketing organizations preferred.
 Our company offers great benefits: full healthcare package (medical, dental, vision, life), 401k with a company match, catered lunch, coffee, tea and snacks, paid parking, competitive pay, and much more! Anyone who joins our team will have great potential for career and personal growth.
 For more information about our company please visit https://trend.inc/.</t>
        </is>
      </c>
    </row>
    <row r="101">
      <c r="A101" t="inlineStr">
        <is>
          <t>li-4370086855</t>
        </is>
      </c>
      <c r="B101" t="inlineStr">
        <is>
          <t>AI Product Manager - Remote</t>
        </is>
      </c>
      <c r="C101" t="inlineStr">
        <is>
          <t>RemoteHunter</t>
        </is>
      </c>
      <c r="D101" t="inlineStr">
        <is>
          <t>linkedin</t>
        </is>
      </c>
      <c r="E101">
        <f>HYPERLINK("https://www.linkedin.com/jobs/view/4370086855", "https://www.linkedin.com/jobs/view/4370086855")</f>
        <v/>
      </c>
      <c r="F101" t="inlineStr"/>
      <c r="G101" t="inlineStr"/>
      <c r="H101" t="inlineStr"/>
      <c r="I101"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2">
      <c r="A102" t="inlineStr">
        <is>
          <t>li-4370359327</t>
        </is>
      </c>
      <c r="B102" t="inlineStr">
        <is>
          <t>Product Manager</t>
        </is>
      </c>
      <c r="C102" t="inlineStr">
        <is>
          <t>FNP</t>
        </is>
      </c>
      <c r="D102" t="inlineStr">
        <is>
          <t>linkedin</t>
        </is>
      </c>
      <c r="E102">
        <f>HYPERLINK("https://www.linkedin.com/jobs/view/4370359327", "https://www.linkedin.com/jobs/view/4370359327")</f>
        <v/>
      </c>
      <c r="F102" t="inlineStr"/>
      <c r="G102" t="inlineStr">
        <is>
          <t>Stone Head, IN</t>
        </is>
      </c>
      <c r="H102" t="inlineStr"/>
      <c r="I102"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103">
      <c r="A103" t="inlineStr">
        <is>
          <t>li-4370094272</t>
        </is>
      </c>
      <c r="B103" t="inlineStr">
        <is>
          <t>Senior Product Manager - Agentic Commerce</t>
        </is>
      </c>
      <c r="C103" t="inlineStr">
        <is>
          <t>hackajob</t>
        </is>
      </c>
      <c r="D103" t="inlineStr">
        <is>
          <t>linkedin</t>
        </is>
      </c>
      <c r="E103">
        <f>HYPERLINK("https://www.linkedin.com/jobs/view/4370094272", "https://www.linkedin.com/jobs/view/4370094272")</f>
        <v/>
      </c>
      <c r="F103" t="inlineStr"/>
      <c r="G103" t="inlineStr">
        <is>
          <t>New York, NY</t>
        </is>
      </c>
      <c r="H103" t="inlineStr"/>
      <c r="I103"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Amex Digital Labs team drives innovation at American Express by originating, incubating, and managing products and platforms that are essential to our customers’ digital lives. We are a fast\-paced team that levers emerging technologies to develop digital payment and financial services products and engaging membership experiences for Card Members. We often collaborate with technology companies and strategic partners to bring products to market.
 We are seeking a Senior Product Manager to drive the development and delivery of Agentic Commerce capabilities for our Card Members. This Senior Product Manager will focus on the strategy and execution of the frameworks, features, and services that enable seamless, secure transactions across various channels. This person will build a strong command of emerging agentic commerce protocols, existing card payments infrastructure, and new interaction models. Partnering closely with Engineering, Product, and cross\-functional teams, this Product Manager will shape intuitive and delightful commerce journeys powered by AI agents.
**Primary Responsibilities**
* Partner deeply with engineering teams to understand and develop a perspective on how to apply evolving technologies (Agent\-to\-Agent Protocol, Agentic Payments Protocol, x402, Web Bot Auth, Trusted Agent Protocol, Model Context Protocol, and others) for AI agent\-facilitated payments
* Balance the needs of customers, internal stakeholders, leadership, and external partners while working with engineers and solutions architects to identify technical solutions, define specs, shape product requirements, and deliver platform capabilities that continually advance Agentic Commerce experiences
* Partner closely with Fraud and Servicing to define strategies for fraud prevention, disputes management, and call or chat handling related to agentic transactions
* Partner closely with Network and Product teams to define and champion industry standards and protocols for agentic payments
* Partner with internal stakeholders such as Legal, Compliance, and Risk teams to develop and adhere to data governance principles and payments regulation to ensure compliant and secure payment experiences
* Work cross functionally to define requirements and specifications for data sharing across and integrations with merchants, PSPs, and AI/LLM partners to support fraud, servicing, and cardmember experience
* Partner closely with UX research, design, Web and Mobile Application teams to design, build, and launch delightful self\-service dashboards and experiences
* Work with Business Development teams to evaluate, influence and operationalize partner requirements, and with Product Enablement teams on go\-to\-market strategies
* Keep a pulse on industry trends, balancing the near\-term execution priorities with long term strategy to support the overall product vision
**Minimum Qualifications**
* 5\+ years of experience in product development/management, or similar role.
* Experience with issuer payments including digital payments, fraud prevention, disputes, and payment processing.
* Enthusiasm for exceptional products and services, deep customer empathy, keen product intuition, and skilled at articulation of product functionality
* Curiosity and hunger to know how things work and ability to use that knowledge to make connections and find opportunities with the tenacity to push innovation agenda inside a large company
* Understanding of tech and product development processes, with the ability to communicate with and influence both technical and non\-technical partners
* Ability to reconcile competing needs across customers, stakeholders, and partners, making effective decisions and gaining buy in
* Detail oriented, able to identify key questions, and assess how pieces of the puzzle interact and affect the overall project.
* Ability to recognize issues quickly and determine how to get a resolution through creative and efficient problem solving.
* Skilled at balancing big picture strategy and tactical details
* Team player, comfortable with ambiguity, adaptable, accountable, and highly organized
* Excellent communication skills across cross functional teams with the ability to engage, influence, and inspire partners to drive collaboration and alignment.
* Willingness to be creative within the bounds of the highly regulated financial services environment
**Preferred Qualifications**
* Experience with LLMs/AI models a plus.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104">
      <c r="A104" t="inlineStr">
        <is>
          <t>li-4354941904</t>
        </is>
      </c>
      <c r="B104" t="inlineStr">
        <is>
          <t>Product Manager, Business Messenger AI</t>
        </is>
      </c>
      <c r="C104" t="inlineStr">
        <is>
          <t>TikTok</t>
        </is>
      </c>
      <c r="D104" t="inlineStr">
        <is>
          <t>linkedin</t>
        </is>
      </c>
      <c r="E104">
        <f>HYPERLINK("https://www.linkedin.com/jobs/view/4354941904", "https://www.linkedin.com/jobs/view/4354941904")</f>
        <v/>
      </c>
      <c r="F104" t="inlineStr"/>
      <c r="G104" t="inlineStr">
        <is>
          <t>San Jose, CA</t>
        </is>
      </c>
      <c r="H104" t="inlineStr"/>
      <c r="I104" t="inlineStr">
        <is>
          <t>**Responsibilities**
 TikTok’s Content and Services Ads team is part of the TikTok Monetization Product organization and is responsible for building lead generation solutions that enable businesses to create seamless interactions with their customers while ensuring our community feels comfortable and safe on the platform. This team aims to provide intuitive, simplified solutions that grow advertiser activation, retention and ARPA via enhanced delivery experience, performance and higher ROI.
 We're looking for an experienced Product Manager to build highly scalable AI products that determine what ads billions of TikTok users see and engage with. You will be responsible for helping 'millions' of advertisers improve their return on ad spend, growing overall monetization efficiency, and protecting the experience of our users, creators, and community through an industry\-leading recommendation system.
 Responsibilities:
 1\. Responsible for providing AI products for TikTok For Business customers, undertaking corresponding product planning and specific product design work
 2\. Collaborate closely with cross\-functional teams to define AI product requirements, prioritize modules, and deliver high\-quality products that meet user needs and drive business goals;
 3\. In\-depth understanding of the international advertising ecosystem and advertisers' needs, develop innovative advertising products based on AI generation through industry understanding;
 4\. Collaborate closely with design and R\&amp;D teams to deliver high quality products that meet user needs and exceed business goals;
 5\. Collaborate closely with business development team and sales team to drive advertisers' adoption of new products and features, and explore and drive new business revenue growth;
 6\. Continuously track and analyze key product metrics to provide insights and iteration basis for product decisions through data\-driven;
 7\. To keep abreast of industry trends and emerging technologies, to drive business innovation, and to continuously maintain the competitiveness of internationalized products in the advertising field.
**Qualifications**
 Minimum Qualifications:
 1\. 5\+ years of product management experience in marketing, advertising or creative related products and tools direction and experience working on AI products
 2\. Have a deep understanding of the online advertising industry and advertisers' needs, including experience in creative development, media buying and ad optimization;
 3\. Possess strong AI technology and application ability in the field of advertising;
 Preferred Qualifications:
 1\. Possess excellent analytical skills to influence product design and continuous iteration
 2\. Excellent cross\-team collaboration skills to work efficiently with R\&amp;D, design, data science and business development teams;
 3\. Excellent communication skills, able to clearly articulate complex product concepts to technical and non\-technical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05">
      <c r="A105" t="inlineStr">
        <is>
          <t>li-4370096171</t>
        </is>
      </c>
      <c r="B105" t="inlineStr">
        <is>
          <t>Technical Product Manager, FlashArray Foundation</t>
        </is>
      </c>
      <c r="C105" t="inlineStr">
        <is>
          <t>Pure Storage</t>
        </is>
      </c>
      <c r="D105" t="inlineStr">
        <is>
          <t>linkedin</t>
        </is>
      </c>
      <c r="E105">
        <f>HYPERLINK("https://www.linkedin.com/jobs/view/4370096171", "https://www.linkedin.com/jobs/view/4370096171")</f>
        <v/>
      </c>
      <c r="F105" t="inlineStr"/>
      <c r="G105" t="inlineStr">
        <is>
          <t>Santa Clara, CA</t>
        </is>
      </c>
      <c r="H105" t="inlineStr"/>
      <c r="I10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Product Manager for the FlashArray Foundation team, you will drive the core software architectural roadmap for our flagship storage platform, ensuring industry\-leading performance and reliability. You will own the technical specification and prioritization of foundational features, collaborating with the CTO office and Engineering to solve complex data management challenges. Your mission is to translate emerging trends in NVMe, high\-speed networking, and security protocols into a scalable, sustainable product strategy that redefines enterprise storage.
**What You'll Do**
* Architect Foundation Roadmaps: Direct the technical requirements and feature tradeoffs for FlashArray software, prioritizing high\-availability, performance, and core storage services to meet rigorous enterprise SLAs.
* Define Technical Specifications: Translate complex needs in storage OS, Data Reduction, QoS, High Availability, networking (FC/iSCSI/NVMe\-oF), and SaaS integration into actionable PRDs that guide Engineering through the development lifecycle.
* Lead Competitive Benchmarking: Conduct deep\-dive technical analysis of the storage landscape to identify gaps and opportunities, ensuring FlashArray maintains its lead in IOPS, latency, and data reduction efficiency.
* Drive Cross\-Functional Engineering Alignment: Act as the primary interface between the CTO’s vision and Engineering execution, ensuring that foundational codebases support long\-term scalability and hardware\-software synergy.
* Scale Technical Enablement: Empower SEs and specialized sales teams by developing deep\-dive technical documentation, architectural whitepapers, and customer\-facing materials that articulate Pure’s underlying technical advantages.
**What You Bring**
* Storage Stack Expertise: A robust technical foundation in enterprise storage protocols, flash management, and data protection architectures, with the ability to navigate the nuances of storage\-class memory and high\-performance networking.
* Technical Product Lifecycle Management: A proven ability to manage complex software release milestones from concept to GA, with specific experience navigating the trade\-offs inherent in large\-scale distributed systems.
* Analytical Problem Solving: The ability to parse telemetry and market data to identify performance bottlenecks or feature gaps, converting data\-driven insights into a prioritized technical backlog.
* Collaborative Technical Influence: Strong capability to lead through influence, gaining buy\-in from senior architects and developers while maintaining a clear vision for the product’s technical evolution.
* Location: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06">
      <c r="A106" t="inlineStr">
        <is>
          <t>li-4370086857</t>
        </is>
      </c>
      <c r="B106" t="inlineStr">
        <is>
          <t>Lead Product Manager</t>
        </is>
      </c>
      <c r="C106" t="inlineStr">
        <is>
          <t>RemoteHunter</t>
        </is>
      </c>
      <c r="D106" t="inlineStr">
        <is>
          <t>linkedin</t>
        </is>
      </c>
      <c r="E106">
        <f>HYPERLINK("https://www.linkedin.com/jobs/view/4370086857", "https://www.linkedin.com/jobs/view/4370086857")</f>
        <v/>
      </c>
      <c r="F106" t="inlineStr"/>
      <c r="G106" t="inlineStr"/>
      <c r="H106" t="inlineStr"/>
      <c r="I106" t="inlineStr">
        <is>
          <t>About the Opportunity:
 The organization is dedicated to helping businesses earn and prove trust by continuously monitoring and verifying security. The Lead Product Manager/Product Owner for Business Systems is responsible for owning the Salesforce and Go\-to\-Market (GTM) ecosystem. This role bridges core stakeholders—including Revenue Operations, Finance, Deal Desk, Product, Sales, Marketing, and Legal—and the technology powering the GTM motion. The focus is on defining and executing product strategy to build, maintain, and optimize products and processes for effective and scalable growth.
 Responsibilities:
 • Lead, manage, and coach a team of 3\-5 Product Managers and Business Systems Analysts, driving performance, career development, and strategic hiring.
 • Define, own, and communicate the multi\-quarter Business Systems roadmap focused on Salesforce and GTM ecosystem.
 • Assess opportunities, technical feasibility, and business impact to prioritize work across Sales Cloud, Service Cloud, CPQ, and integrated GTM tools.
 • Partner with stakeholders to gather and translate business needs into clear product requirements and process designs.
 • Identify risks and areas for improvement, driving proactive solutions beyond request fulfillment.
 • Act as Scrum Master, leading agile ceremonies to maintain delivery cadence and coordinate team resources based on capacity and priorities.
 • Communicate strategy, value, progress, and impact of Business Systems initiatives to executives and cross\-functional partners.
 • Report on system performance, utilization, ROI, and business impact regularly.
 • Oversee product and process lifecycle within Salesforce, ensuring maintainability, scalability, and user experience.
 • Establish and maintain governance frameworks including security roles, permissions, compliance, and data quality protocols.
 • Drive change management initiatives to ensure high user adoption, satisfaction, and effective training.
 • Partner with enablement teams to deliver onboarding and ongoing support.
 • Oversee integrations between Salesforce and GTM tech stack tools ensuring data flow, API management, and reliability.
 • Establish and track KPIs measuring system performance, business impact, and team effectiveness; use data to guide decisions.
 Requirements:
 • 5\+ years in product management, business systems, or revenue operations with experience in B2B SaaS environments.
 • 2\+ years managing product managers or business systems analysts, including hiring and talent development.
 • Deep hands\-on Salesforce experience including flows, validation rules, custom objects, process automation, and data modeling; relevant Salesforce certifications preferred.
 • Strong knowledge of Salesforce modules (Sales Cloud, CPQ) and Quote\-to\-Cash, Contract Lifecycle Management, Entitlement Management, SaaS/Subscription models.
 • Experience owning and communicating multi\-quarter product roadmaps to senior and executive leadership.
 • Hands\-on agile leadership experience including sprint planning, backlog refinement, and retrospectives.
 • Proven experience with GTM tools like Outreach, LeanData, Gong, Clari, HubSpot, Marketo, Gainsight and managing system integrations.
 • Strong data and analytics skills to establish KPIs, create reports, and drive decisions.
 • Ability to balance priorities, make trade\-offs, and align cross\-functional teams.
 • Excellent communication with ability to translate complex system work into clear business outcomes and influence without direct authority.
 • Demonstrated success in driving change management and high user adoption.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7">
      <c r="A107" t="inlineStr">
        <is>
          <t>li-4370096198</t>
        </is>
      </c>
      <c r="B107" t="inlineStr">
        <is>
          <t>TikTok Shop - Product Manager, Customer Growth</t>
        </is>
      </c>
      <c r="C107" t="inlineStr">
        <is>
          <t>TikTok</t>
        </is>
      </c>
      <c r="D107" t="inlineStr">
        <is>
          <t>linkedin</t>
        </is>
      </c>
      <c r="E107">
        <f>HYPERLINK("https://www.linkedin.com/jobs/view/4370096198", "https://www.linkedin.com/jobs/view/4370096198")</f>
        <v/>
      </c>
      <c r="F107" t="inlineStr"/>
      <c r="G107" t="inlineStr">
        <is>
          <t>San Jose, CA</t>
        </is>
      </c>
      <c r="H107" t="inlineStr"/>
      <c r="I107"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08">
      <c r="A108" t="inlineStr">
        <is>
          <t>li-4370092277</t>
        </is>
      </c>
      <c r="B108" t="inlineStr">
        <is>
          <t>PRoduct Manager, Data Analytics</t>
        </is>
      </c>
      <c r="C108" t="inlineStr">
        <is>
          <t>Equity Residential</t>
        </is>
      </c>
      <c r="D108" t="inlineStr">
        <is>
          <t>linkedin</t>
        </is>
      </c>
      <c r="E108">
        <f>HYPERLINK("https://www.linkedin.com/jobs/view/4370092277", "https://www.linkedin.com/jobs/view/4370092277")</f>
        <v/>
      </c>
      <c r="F108" t="inlineStr"/>
      <c r="G108" t="inlineStr">
        <is>
          <t>Chicago, IL</t>
        </is>
      </c>
      <c r="H108" t="inlineStr"/>
      <c r="I108" t="inlineStr">
        <is>
          <t>Reporting to the Senior Manager, Data Analytics, the candidate will be responsible for defining, delivering and continuously enhancing Equity Residential’s analytics and machine\-learning–enabled products. This role sits at the intersection of data science, software engineering, and business strategy, translating analytical insights into scalable systems and partnering with technical teams to operationalize ML models into production\-grade applications. The ideal candidate brings a blend of product management discipline, technical fluency in machine learning and data pipelines, and strong program management skills. This role collaborates closely with the Senior Software Engineer, data scientists, and business partners to build intuitive, reliable products that drive measurable impact on pricing, forecasting, and operational decision\-making.
***PLEASE NOTE:***
*Our current onsite work schedule requires attendance from Monday through Thursday each week, with remote work permitted on Fridays.* 
**WHAT YOU’LL DO:**
* Collaborates with business, analytics, and engineering teams to define the vision, strategy, and long\-term roadmap for data and machine learning products.
* Translates complex pricing, forecasting, and operational needs into clear product requirements, user stories, and acceptance criteria.
* Leads prioritization across competing business and technical needs, managing backlogs and release plans.
* Serves as product spokesperson and subject matter expert for analytics capabilities across the enterprise.
* Works directly with data scientists to understand and refine model outputs, feature relevance, performance metrics, and constraints.
* Applies strong technical knowledge of machine learning workflows, pipelines, APIs, and model monitoring to guide product direction and evaluate trade\-offs.
* Partners with the Senior Software Engineer – Data \&amp; Analytics Products to operationalize models into user\-facing applications and enterprise systems.
* Ensures all ML\-driven product features emphasize explainability, compliance, and reliability.
* Defines and tracks key KPIs (e.g., model accuracy, revenue lift, adoption, system reliability) to measure product performance and business impact.
* Establishes a structured cadence for reviewing KPIs with cross\-functional partners and initiating corrective actions or enhancements.
* Drives successful delivery of milestones across pilots, MVP releases, and product iterations.
* Leads retrospectives and drives continuous improvement of analytics workflows, model governance, and product execution processes.
* Acts as the bridge between data scientists, software engineers, IT, Pricing, and Operations teams.
* Facilitates workshops, demos, feedback sessions, and cross\-functional updates to maintain alignment and transparency.
* Communicates complex analytical concepts in a clear, business\-relevant manner for stakeholders at all levels.
* Supports change management, training, and adoption for new analytics capabilities across the organization.
**REQUIREMENTS
 :** 
* Bachelor’s degree required; degree in Business, Computer Science, Engineering, Analytics, Economics, or related field preferred.
* 5\+ years of experience in Product Management, Technical Program Management, or Engineering, with a focus on data, analytics, or platform development.
* Strong technical working knowledge of machine learning models, data pipelines, model deployment workflows, and APIs—with hands\-on experience partnering with data scientists and engineers.
* Demonstrated ability to integrate ML\-driven features into end\-to\-end production systems and evaluate model performance.
* Proficiency with SQL, analytics environments, and BI tools (Power BI, Tableau, etc.).
* Proven experience with Agile methodologies, backlog management, sprint execution, and iterative product delivery.
* Experience defining and managing program\-level KPIs, establishing review cadences, and leading data\-driven decision processes.
* Preferred: Experience in Revenue Management, pricing optimization, forecasting, yield management, or similar analytical domains (real estate, hospitality, travel, etc.).
* Excellent verbal and written communication skills with ability to translate between technical and non\-technical stakeholders.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$106,228\-$132,785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109">
      <c r="A109" t="inlineStr">
        <is>
          <t>li-4370099125</t>
        </is>
      </c>
      <c r="B109" t="inlineStr">
        <is>
          <t>Technical Product Manager, Data Protection</t>
        </is>
      </c>
      <c r="C109" t="inlineStr">
        <is>
          <t>Pure Storage</t>
        </is>
      </c>
      <c r="D109" t="inlineStr">
        <is>
          <t>linkedin</t>
        </is>
      </c>
      <c r="E109">
        <f>HYPERLINK("https://www.linkedin.com/jobs/view/4370099125", "https://www.linkedin.com/jobs/view/4370099125")</f>
        <v/>
      </c>
      <c r="F109" t="inlineStr"/>
      <c r="G109" t="inlineStr">
        <is>
          <t>Santa Clara, CA</t>
        </is>
      </c>
      <c r="H109" t="inlineStr"/>
      <c r="I109"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Technical Product Manager for Data Protection, you will lead the evolution of FlashArray and FlashBlade’s backup and recovery ecosystem to ensure Pure’s customers never lose a second of data. You will bridge the gap between complex enterprise workloads and our cutting\-edge storage snapshots, replication, and cloud\-integrated protection strategies. By collaborating with elite engineering teams and global technology partners, you will define a technical roadmap that turns data resilience into a seamless, high\-performance competitive advantage.
**What You'll Do**
* Architect the Data Protection Roadmap: Own the end\-to\-end technical strategy for data protection features, prioritizing feature tradeoffs and requirements that align with modern RPO/RTO demands across hybrid cloud environments.
* Master the Backup Ecosystem: Influence the product roadmaps of strategic technology partners (such as Veeam, Commvault, and Cohesity) to ensure deep, performant integration with Pure’s native protection capabilities.
* Drive Technical Market Intelligence: Conduct deep\-dive analysis of data protection workload characteristics and competitive sizing to ensure FlashArray remains the industry benchmark for recovery speed and efficiency.
* Enable Field Engineering Success: Transform complex technical specifications into high\-impact SE/Sales enablement tools, architectural guides, and customer\-facing presentations that simplify the "Pure story" for global enterprises.
* Lead Cross\-Functional Execution: Collaborate with executive leadership to define the scope of multi\-year projects, overseeing the full product lifecycle from inception through strategic product line transitions.
**What You Bring**
* Deep Data Protection Domain Expertise: Expert\-level understanding of the enterprise backup landscape, including hands\-on experience with major applications (Cohesity, Rubrik, Veeam, etc.) and their interaction with cloud\-native storage protocols.
* Strategic Technical Leadership: A proven track record of owning product lifecycles and driving results, with the ability to navigate complex release milestones and product line transitions in an agile environment.
* Full\-Stack Datacenter Fluency: Broad technical depth across storage solutions, networking, and security, with a specific focus on how data protection workloads impact infrastructure sizing and performance.
* Executive Communication \&amp; Influence: Strong executive presence with the ability to synthesize complex technical data into a clear vision, strategy, and execution plan for both engineering teams and customer stakeholders.
* Location: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$150,000—$272,000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10">
      <c r="A110" t="inlineStr">
        <is>
          <t>li-4369431356</t>
        </is>
      </c>
      <c r="B110" t="inlineStr">
        <is>
          <t>Principal Inbound Product Manager - MoveWorks</t>
        </is>
      </c>
      <c r="C110" t="inlineStr">
        <is>
          <t>ServiceNow</t>
        </is>
      </c>
      <c r="D110" t="inlineStr">
        <is>
          <t>linkedin</t>
        </is>
      </c>
      <c r="E110">
        <f>HYPERLINK("https://www.linkedin.com/jobs/view/4369431356", "https://www.linkedin.com/jobs/view/4369431356")</f>
        <v/>
      </c>
      <c r="F110" t="inlineStr"/>
      <c r="G110" t="inlineStr">
        <is>
          <t>Santa Clara, CA</t>
        </is>
      </c>
      <c r="H110" t="inlineStr"/>
      <c r="I11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Build alignment across cross\-functional partners by clearly communicating product vision, roadmaps, and outcomes.
**Qualifications**
* End\-to\-end product management experience (typically 15\+ years overall)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 You lead with both empathy and urgency. Startup DNA — you thrive in fast\-paced environments, are energized by ambiguity, and naturally bring structure, prioritization, and momentum to everything you touch.
 For positions in this location, we offer a base pay of $221,200 \- $387,100,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11">
      <c r="A111" t="inlineStr">
        <is>
          <t>li-4336231601</t>
        </is>
      </c>
      <c r="B111" t="inlineStr">
        <is>
          <t>Sr. Product Manager II, VR Device Management</t>
        </is>
      </c>
      <c r="C111" t="inlineStr">
        <is>
          <t>Axon</t>
        </is>
      </c>
      <c r="D111" t="inlineStr">
        <is>
          <t>linkedin</t>
        </is>
      </c>
      <c r="E111">
        <f>HYPERLINK("https://www.linkedin.com/jobs/view/4336231601", "https://www.linkedin.com/jobs/view/4336231601")</f>
        <v/>
      </c>
      <c r="F111" t="inlineStr"/>
      <c r="G111" t="inlineStr">
        <is>
          <t>Seattle, WA</t>
        </is>
      </c>
      <c r="H111" t="inlineStr"/>
      <c r="I11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Senior Product Manager II, VR Device Management, you will define and drive the vision for how agencies deploy, organize, and manage their VR hardware fleets through scalable software systems. Your work will focus on enabling customers to oversee large numbers of VR devices with ease, confidence, and precision, ensuring that training is always ready to happen when it matters most.
 You will create the foundation for a modern device management experience that connects Axon’s immersive training hardware with intuitive web\-based tools. This will include defining the roadmap for how agencies manage devices, content, and settings within the VR Web App, as well as how those tools integrate into Axon’s broader ecosystem of products and services. Your leadership will shape how agencies monitor fleet health, configure devices, download new content, and customize their training environments at scale.
 In this role, you will work closely with engineering, design, and operations teams to build systems that balance simplicity and power, turning complex operational workflows into clear, actionable experiences. You will define the metrics and standards that measure fleet performance, and you will guide the product toward continuous improvement as adoption grows.
 You will collaborate directly with customers and internal stakeholders to uncover the daily challenges of running VR training programs across multiple sites and hundreds of devices. Through this partnership, you will design solutions that reduce administrative burden, improve reliability, and enhance readiness, so agencies can focus more time on training outcomes and less on operational logistics.
 Your work will be critical in scaling Axon’s VR platform from an individual training experience to a truly enterprise\-level ecosystem. By providing the tools that make management effortless, transparent, and reliable, you will help agencies expand access to immersive training and accelerate Axon’s mission to protect life through innovation and preparedness.
**What You’ll Do**
* Lead the Fleet Management Tools for Agencies initiative, delivering measurable improvements in how agencies deploy, organize, and manage VR devices at scale.
* Define and launch the Device and Fleet Management UI within the VR Web App, creating a centralized interface to oversee headsets and tablets that scales with agency growth and integrates into Axon’s broader ecosystem.
* Develop a customer\-facing Content Management System (CMS) that allows agencies to manage which training modules are installed or removed across their fleets, simplifying operations and aligning content with mission goals.
* Design an Agency Device Settings System that preserves preferences across users, devices, and sessions, balancing agency\-level policies with user\-level flexibility through cascading, real\-time settings.
* Establish key metrics and baselines for fleet performance, adoption, and reliability to track progress and guide prioritization.
* Partner with engineering, UX, and data science to turn complex operational needs into simple, intuitive user experiences.
* Collaborate across Axon hardware and software teams to ensure VR device management aligns with the company’s identity, deployment, and security frameworks.
* Engage directly with customers and field stakeholders to validate designs, identify emerging pain points, and ensure solutions meet real\-world operational needs.
* Support future CMS development by preparing the foundation for third\-party content uploads, workflow automation, and integration with additional VR applications.
**Location** 
 :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Sr Director, VR Hardware/Operations/Labs
**Direct Reports:** 
 None
**What You Bring**
* Bachelor's degree or equivalent in computer science, game design, engineering or related field of study.
* 8\+ years of Product Management experience, including platform or enterprise\-scale system ownership.
* Strong understanding of device lifecycle management, including provisioning, configuration, updates, and telemetry.
* Ability to translate complex operational workflows into clear and intuitive software experiences.
* Data\-driven mindset with skill in setting KPIs, tracking adoption, and making informed prioritization decisions.
* Strong collaboration skills and a record of partnering effectively across engineering, design, and business teams.
* Comfort working in fast\-paced environments with a high degree of autonomy and accountability.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12">
      <c r="A112" t="inlineStr">
        <is>
          <t>li-4365350984</t>
        </is>
      </c>
      <c r="B112" t="inlineStr">
        <is>
          <t>Product Manager - Public API</t>
        </is>
      </c>
      <c r="C112" t="inlineStr">
        <is>
          <t>State Street</t>
        </is>
      </c>
      <c r="D112" t="inlineStr">
        <is>
          <t>linkedin</t>
        </is>
      </c>
      <c r="E112">
        <f>HYPERLINK("https://www.linkedin.com/jobs/view/4365350984", "https://www.linkedin.com/jobs/view/4365350984")</f>
        <v/>
      </c>
      <c r="F112">
        <f>HYPERLINK("https://statestreet.wd1.myworkdayjobs.com/Global/job/Burlington-Massachusetts/Product-Manager\u002d\u002d-Public-API_R-773163?source=APPLICANT_SOURCE-LINKEDIN&amp;urlHash=AhZE", "https://statestreet.wd1.myworkdayjobs.com/Global/job/Burlington-Massachusetts/Product-Manager\u002d\u002d-Public-API_R-773163?source=APPLICANT_SOURCE-LINKEDIN&amp;urlHash=AhZE")</f>
        <v/>
      </c>
      <c r="G112" t="inlineStr">
        <is>
          <t>Burlington, MA</t>
        </is>
      </c>
      <c r="H112" t="inlineStr"/>
      <c r="I112" t="inlineStr">
        <is>
          <t>****Who We Are Looking For****
 We are seeking a Product Manager to lead our integration technology products for Charles River Development (“CRD”), focused on ETL and Public API product/strategies. The ideal candidate possesses exceptional communication skills, can translate complex technical concepts for both technical and non\-technical audiences, and excels at collaborating with cross\-functional teams. They are tech\-savvy, highly organized, and have a proven track record of building and executing detailed roadmaps in fast\-paced environments and establishing a suite of standard data integration protocols on the platform. This role will work side\-by\-side with Engineering Team Leads, Architecture, Relationship Managers, other Product owners and Clients to oversee the build, execution, and delivery of initiatives that enhance the Charles River integration platform.
****What You Will Be Responsible For****
* Help establish strategic roadmap for public APIs and ETL integrations for consistent data integration methodologies at platform level
* Drive innovation and expansion of CRD’s Public API offerings, ensuring solutions align with market trends and client needs.
* Expand and innovate CRD ETL capabilities and tools for various application technology backends
* Gather and prioritize customer, market and internal requirement
* Produce and oversee high quality APIs and ETL feeds as well as data domain documentation
* Collaborate with engineering, architecture, and client\-facing teams to define detailed product specifications and guide delivery efforts.
* Define product specifications and lead engineering teams
* Analyze competitor offerings and trends
* Represent the Platform Product team across the organization and externally with clients and vendors
* Ensure API and ETL performance, scalability, and security best practices are embedded throughout the API lifecycle.
* 
* Proven experience in leading product management, business analysis, and software engineering teams to deliver high\-impact solutions.
* Hands on experience in building API and/or ETL products as well as data modeling
* Strong technical background with experience in cloud platforms (AWS, Azure, GCP) and microservices architecture, particularly in designing and scaling API services.
* Strong technical background with experience in various ETL technologies and vendors
* Deep understanding of API standards such as Open API and REST, as well as experience with webhooks, ETL processes, and real\-time data integration.
* Experience with API management platforms (e.g., Azure API, Kong) and API security best practices, including OAuth, rate limiting, and encryption.
* Experience integrating APIs and ETL tools into CI/CD pipelines, with an understanding of DevOps tools and principles (e.g., Jenkins, GitLab, Docker, Kubernetes).
* Expertise in monitoring, scaling, and optimizing API and ETL performance, including latency reduction and throughput optimization.
* Experience in managing data integration, including knowledge of data formats (JSON, XML) and data consistency models in distributed systems.
* Proven experience working within Agile development frameworks (e.g., Scrum, Kanban), leading sprints, and using tools like Jira or Trello.
* Familiarity with API analytics and monitoring tools (e.g., Postman, Swagger, Datadog) to track performance, usage, and error rates.
* Experience in user\-centric API design and improving developer experience, including creating well\-documented and user\-friendly API portals.
* Experience in building exception management functionality for ETL tools
* Proven leadership in cross\-functional team settings, fostering collaboration between engineering, product, and external stakeholders.
* Knowledge of regulatory requirements (e.g., GDPR, CCPA, PSD2\) and compliance considerations for API and ETL development in financial services.
* Experience managing via influence
* Experience in Financial Services is preferred
* Minimum 5\+ years managing software development projects
 The position is based in Burlington, MA.
**Why this role is important to us**
 You will join the Charles River Investment Management Solution (CRIMS) and State Street Alpha team, playing a key role in building a cutting\-edge, end\-to\-end investment management platform that serves the global financial community. Your contributions will directly shape the future of our public API and ETL strategies, enabling seamless integration across front, middle, and back\-office systems.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 We make all efforts to create a great work environment. Our benefits packages are competitive and comprehensive. Details vary in location,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****Salary Range:****
 $115,000 \- $190,000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R\-773163</t>
        </is>
      </c>
    </row>
    <row r="113">
      <c r="A113" t="inlineStr">
        <is>
          <t>li-4370098162</t>
        </is>
      </c>
      <c r="B113" t="inlineStr">
        <is>
          <t>Product Owner, Investments</t>
        </is>
      </c>
      <c r="C113" t="inlineStr">
        <is>
          <t>Equity Residential</t>
        </is>
      </c>
      <c r="D113" t="inlineStr">
        <is>
          <t>linkedin</t>
        </is>
      </c>
      <c r="E113">
        <f>HYPERLINK("https://www.linkedin.com/jobs/view/4370098162", "https://www.linkedin.com/jobs/view/4370098162")</f>
        <v/>
      </c>
      <c r="F113" t="inlineStr"/>
      <c r="G113" t="inlineStr">
        <is>
          <t>Chicago, IL</t>
        </is>
      </c>
      <c r="H113" t="inlineStr"/>
      <c r="I113" t="inlineStr">
        <is>
          <t>Reporting to the Senior Director IT Strategy \&amp; Portfolio Information, the candidate will be responsible for applications and end\-to\-end technology platforms for their assigned organization department. This includes the overall strategy, architecture, operations and management of applications and technology platforms for the assigned business area. The Product Owner acts as a bridge between the technical team and the assigned business area and is responsible for driving execution, growth and transformation of technology, inclusive of the ongoing continuous improvement and digital evolution. The Product Owners are Agile practitioners, possess strong problem\-solving skills, collaborate effectively with cross\-functional teams, and are dedicated to establishing a culture of innovation and operational excellence.
***PLEASE NOTE:***
*Our current onsite work schedule requires attendance from Monday through Thursday each week, with remote work permitted on Fridays.* 
**WHAT YOU’LL DO:**
* Collaborates, influences and partners with leadership across Investments to align business strategy, technology priorities and roadmap, both near and long\-term.
* Serves as hybrid team member, effectively positioned in both IT and with their assigned team(s) as a key technical and business domain team member.
* Leads the planning and execution of key technology projects across all domains of Investments; including Transactions, Development, Strategy and Research, Portfolio and Asset Management, Sustainability, and Capital Planning.
* Serves as the ultimate single\-point\-of\-contact and/or escalation point to major technology related priorities for Investments. Helps to navigate questions or concerns for assigned business area(s) across IT domains (infrastructure, hardware, etc.).
* Delivers on the technology roadmap. Executes on projects. Accountable for project charter, deliverables, and overall project delivery and success.
* Drives an innovation mindset. Stays current on what’s new for the landscape of the assigned business area(s).
* Research, evaluate and pilot new technologies.
* Owns the application suite for the assigned business area(s), along with key business and vendor relationships.
* Develops RFPs and negotiates contracts, in partnership with legal and procurement.
* Has budget accountability for
 technology operating costs and projects (capital and operating) within assigned business area(s).
* Manages (either directly or indirectly) the team responsible for delivery of technology capabilities, including project team members and development resources.
* Partners with internal technical experts to ensure sound architectural and integration principles in place and data models in place for proposed solutions.
* Adheres to corporate IT standards for projects, governance, architecture, security and infrastructure.
* Defines, tracks, and communicates Program KPIs to measure performance and other key metrics.
* Influences vendor features and roadmap. External influencer. Advocate for our needs and build strong relationships with our software partners and vendors to improve performance and generate maximum value
* Establishes and implements continuous improvements for the applications and end\-to\-end technology platforms for Investments.
* Represents the Company in a professional manner at all times. Consistently maintains a professional courteous attitude when dealing with residents, coworkers and the general public.
* Performs other duties as necessary.
**REQUIREMENTS
 :** 
* Bachelor's degree or equivalent work experience required.
* 8\+ years of experience in technology project management or similar IT management roles.
* 5\+ years of experience in Program or Product Management with experience working across cross\-functional teams and managing project timelines and deliverables to successful completion.
* Expert knowledge across the Real Estate investment lifecycle from acquisition through disposition, market research, and investment tooling.
* Knowledge and experience building a centralized data model and reporting ecosystem to monitor and measure operational KPIs and make strategic investment decisions.
* Proven work experience with Agile methodologies and tools, with a demonstrated ability to manage multiple projects and adapt to changing priorities in large, complex organizations.
* Experience with industry leading tools and concepts.
* Capable people manager with a track record of successfully hiring and leading high performing teams and growing individuals.
* Influential change agent that can influence across all levels of organization to achieve needed outcomes.
* Excellent communication and collaboration skills, with the ability to create clear and concise documentation.
* Strong analytical and problem\-solving skills and abilities with experience developing innovative solutions and making data\-driven decisions.
* Demonstrated ability to identify, assess, and mitigate risks associated with projects for assigned business area(s) to ensure they remain on track and within scope.
* Must be available for overnight travel to EQR markets, industry or technology related events, etc. (up to 10% annually).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$135,000 to $170,000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114">
      <c r="A114" t="inlineStr">
        <is>
          <t>li-4370087790</t>
        </is>
      </c>
      <c r="B114" t="inlineStr">
        <is>
          <t>Product Manager, Sales &amp; Customer Experience</t>
        </is>
      </c>
      <c r="C114" t="inlineStr">
        <is>
          <t>Equity Residential</t>
        </is>
      </c>
      <c r="D114" t="inlineStr">
        <is>
          <t>linkedin</t>
        </is>
      </c>
      <c r="E114">
        <f>HYPERLINK("https://www.linkedin.com/jobs/view/4370087790", "https://www.linkedin.com/jobs/view/4370087790")</f>
        <v/>
      </c>
      <c r="F114" t="inlineStr"/>
      <c r="G114" t="inlineStr">
        <is>
          <t>Chicago, IL</t>
        </is>
      </c>
      <c r="H114" t="inlineStr"/>
      <c r="I114" t="inlineStr">
        <is>
          <t>Reporting to the Senior Director IT Strategy \&amp; Portfolio Information, the candidate will be responsible for managing the product lifecycle for key functions or one or more technology platforms in their assigned business department. This role partners with the Product Owner to translate business needs into product strategies and executable plans, ensuring delivery of customer and business value. This role focuses on defining product goals and success metrics while working closely with Product Owners, Associate Product Managers, and cross\-functional partners. Product Managers drive execution excellence by guiding teams in prioritization, feature development, and alignment to business objectives.
***PLEASE NOTE:***
*Our current onsite work schedule requires attendance from Monday through Thursday each week, with remote work permitted on Fridays.* 
**WHAT YOU’LL DO:**
* Collaborates and partners across all Sales, Marketing and Customer Experience focused teams to formulate and execute technology priorities.
* Own areas or domains within the product suite, initiative execution from end\-to\-end, and execution of governance standards across delivery.
* Maintain product roadmaps and drive prioritization backlog grooming efforts.
* Create business cases and recommendations for new initiatives.
* Develop project charters and project plans for priority strategic initiatives.
* Drive consistency and standards across user stories, success criteria, and feature requirements.
* Oversee, plan and manage application/integration testing, user acceptance testing, and quality assurance standards.
* Oversee team documentation standards and continuous improvement to product delivery and testing processes.
* Troubleshoot high priority issues and escalations from business partners.
* Partner with and lead cross functional teams (including but not limited to Architecture, Engineering, Infrastructure, Cyber Security, and various business departments) to prioritize and execute with excellence.
* Support and own relationships across key business departments.
* Serves as hybrid team member, effectively positioned in both IT and with their assigned team(s) as a key technical and business domain team member.
* Support compliance, audit, and business continuity needs for application ecosystem
* Support vendor/product evaluations and RFPs.
* Accountable for project level financials and ROI measurement.
* Establish and track key performance indicators (KPIs) to measure product success and adoption.
* Identify opportunities to pilot new capabilities and share emerging market trends.
* Make recommendations for new products that align with strategic priorities.
* Provide day\-to\-day coaching, support, and people leadership for Associate Product Managers.
* Represents the Company in a professional manner at all times. Consistently maintains a professional courteous attitude when dealing with residents, coworkers and the general public.
* Performs other duties as necessary.
**REQUIREMENTS
 :** 
* Bachelor’s degree in Business, Computer Science, Information Systems, or related field; MBA or advanced degree a plus.
* 5 plus years of experience (Product Manager) in product management or equivalent role, with proven success in leading product lifecycles.
* Proven ability to define product vision, strategy, and business cases for application domains.
* Strong experience with Agile methodologies (Scrum, Kanban, SAFe) and portfolio/backlog management tools (e.g., JIRA, Confluence).
* Experience managing cross\-functional teams and aligning business, engineering, architecture, and vendor partners.
* Demonstrated ability to make trade\-offs, prioritize, and deliver measurable outcomes.
* Strong analytical and problem\-solving skills with ability to use KPIs and data\-driven insights to shape decisions.
* Familiarity with application ecosystems, integrations, vendor solutions, and lifecycle management.
* Knowledge across a variety of marketing and sales solutions including digital experience platforms, sales and marketing enablement technologies for B2C websites, portals, mobile applications, social, marketing automation, relationship management/CRM, web and social analytics platforms.
* Familiarity with leading website and mobile app development platforms such as Adobe Experience Manager, Salesforce Commerce Cloud, Sitecore, Appian, Ionic, Flutter, etc.
* Excellent communication and stakeholder management skills, including executive\-level presentations.
* Experience in real estate, hospitality, and/or multi\-family is a plus.
* Must be available for overnight travel to EQR markets, industry or technology related events, etc. (up to 10% annually).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$135,000\-$170,000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115">
      <c r="A115" t="inlineStr">
        <is>
          <t>li-4361831525</t>
        </is>
      </c>
      <c r="B115" t="inlineStr">
        <is>
          <t>Principal Product Manager - Performance Solutions Delivery Architecture</t>
        </is>
      </c>
      <c r="C115" t="inlineStr">
        <is>
          <t>FactSet</t>
        </is>
      </c>
      <c r="D115" t="inlineStr">
        <is>
          <t>linkedin</t>
        </is>
      </c>
      <c r="E115">
        <f>HYPERLINK("https://www.linkedin.com/jobs/view/4361831525", "https://www.linkedin.com/jobs/view/4361831525")</f>
        <v/>
      </c>
      <c r="F115">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115" t="inlineStr"/>
      <c r="H115" t="inlineStr"/>
      <c r="I11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16">
      <c r="A116" t="inlineStr">
        <is>
          <t>li-4346401160</t>
        </is>
      </c>
      <c r="B116" t="inlineStr">
        <is>
          <t>Staff Product Manager, LiveOps Services and Runtime Data</t>
        </is>
      </c>
      <c r="C116" t="inlineStr">
        <is>
          <t>Unity</t>
        </is>
      </c>
      <c r="D116" t="inlineStr">
        <is>
          <t>linkedin</t>
        </is>
      </c>
      <c r="E116">
        <f>HYPERLINK("https://www.linkedin.com/jobs/view/4346401160", "https://www.linkedin.com/jobs/view/4346401160")</f>
        <v/>
      </c>
      <c r="F116">
        <f>HYPERLINK("https://unity.com/careers/positions/7492086?gh_jid=7492086&amp;gh_src=ilfw6o&amp;urlHash=FM1B", "https://unity.com/careers/positions/7492086?gh_jid=7492086&amp;gh_src=ilfw6o&amp;urlHash=FM1B")</f>
        <v/>
      </c>
      <c r="G116" t="inlineStr">
        <is>
          <t>San Francisco, CA</t>
        </is>
      </c>
      <c r="H116" t="inlineStr"/>
      <c r="I116"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117">
      <c r="A117" t="inlineStr">
        <is>
          <t>li-4299770416</t>
        </is>
      </c>
      <c r="B117" t="inlineStr">
        <is>
          <t>Senior Product Manager (Bangkok-based)</t>
        </is>
      </c>
      <c r="C117" t="inlineStr">
        <is>
          <t>Agoda</t>
        </is>
      </c>
      <c r="D117" t="inlineStr">
        <is>
          <t>linkedin</t>
        </is>
      </c>
      <c r="E117">
        <f>HYPERLINK("https://www.linkedin.com/jobs/view/4299770416", "https://www.linkedin.com/jobs/view/4299770416")</f>
        <v/>
      </c>
      <c r="F117" t="inlineStr"/>
      <c r="G117" t="inlineStr">
        <is>
          <t>New York, NY</t>
        </is>
      </c>
      <c r="H117" t="inlineStr"/>
      <c r="I11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18">
      <c r="A118" t="inlineStr">
        <is>
          <t>li-4368774102</t>
        </is>
      </c>
      <c r="B118" t="inlineStr">
        <is>
          <t>Technical Product Owner - Charlotte, NC (Hybrid)</t>
        </is>
      </c>
      <c r="C118" t="inlineStr">
        <is>
          <t>Jobs via Dice</t>
        </is>
      </c>
      <c r="D118" t="inlineStr">
        <is>
          <t>linkedin</t>
        </is>
      </c>
      <c r="E118">
        <f>HYPERLINK("https://www.linkedin.com/jobs/view/4368774102", "https://www.linkedin.com/jobs/view/4368774102")</f>
        <v/>
      </c>
      <c r="F118" t="inlineStr"/>
      <c r="G118" t="inlineStr">
        <is>
          <t>Charlotte, NC</t>
        </is>
      </c>
      <c r="H118" t="inlineStr"/>
      <c r="I118" t="inlineStr">
        <is>
          <t>**Role : Technical Product Owner
 Location : Charlotte, NC (Hybrid)**
**Contract
 "Must be legally authorized to work in US without need for employer sponsorship now or at any time in the future.**
**Overview**
 Lead GPU/TPU monitoring and optimization initiatives for a large global bank's core technology unit. Drive performance improvements, cost reduction, and resource efficiency across AI/ML infrastructure through technical expertise and product ownership.
**Key Responsibilities**
 Own product roadmap for GPU/TPU monitoring solutions aligned with AI infrastructure strategy
 Define monitoring strategies covering utilization, performance, power, memory, and thermal metrics
 Analyze accelerator usage patterns and identify optimization opportunities to improve efficiency
 Collaborate with ML engineers to tune workloads and reduce training/inference latency
 Implement cost optimization strategies targeting 20\-30% reduction through better resource allocation
 Manage product backlog, write user stories, and lead agile development cycles
 Partner with stakeholders across data science, infrastructure, and business units
 Ensure solutions meet banking security, compliance, and governance requirements
 Report on KPIs: utilization rates, cost savings, performance improvements, and SLA adherence
**Required Qualifications**
 5\+ years experience with GPU/TPU infrastructure for AI/ML workloads
 Deep knowledge of NVIDIA GPUs (A100, H100\) and Google TPUs
 Proficiency with monitoring tools: DCGM, nvidia\-smi, Prometheus, Grafana
 Strong understanding of CUDA, PyTorch, TensorFlow, and distributed training
 3\+ years as Product Owner/Manager, preferably in infrastructure/platform products
 Experience with Kubernetes, containerization, and cloud platforms (Google Cloud Platform)
 Background in regulated industries (banking/financial services preferred)
 Excellent communication skills with ability to bridge technical and business stakeholders
**Preferred Qualifications**
 Advanced degree in Computer Science or related field
 Cloud/ML certifications (Google Cloud Platform ML Engineer, NVIDIA DLI)
 MLOps platform experience (MLflow, Kubeflow)
 FinOps and cost management expertise
 LLM training/inference optimization knowledge</t>
        </is>
      </c>
    </row>
    <row r="119">
      <c r="A119" t="inlineStr">
        <is>
          <t>li-4299776166</t>
        </is>
      </c>
      <c r="B119" t="inlineStr">
        <is>
          <t>Senior Product Manager (Bangkok-based)</t>
        </is>
      </c>
      <c r="C119" t="inlineStr">
        <is>
          <t>Agoda</t>
        </is>
      </c>
      <c r="D119" t="inlineStr">
        <is>
          <t>linkedin</t>
        </is>
      </c>
      <c r="E119">
        <f>HYPERLINK("https://www.linkedin.com/jobs/view/4299776166", "https://www.linkedin.com/jobs/view/4299776166")</f>
        <v/>
      </c>
      <c r="F119" t="inlineStr"/>
      <c r="G119" t="inlineStr">
        <is>
          <t>Boston, MA</t>
        </is>
      </c>
      <c r="H119" t="inlineStr"/>
      <c r="I11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20">
      <c r="A120" t="inlineStr">
        <is>
          <t>li-4299775184</t>
        </is>
      </c>
      <c r="B120" t="inlineStr">
        <is>
          <t>Senior Product Manager (Bangkok-based)</t>
        </is>
      </c>
      <c r="C120" t="inlineStr">
        <is>
          <t>Agoda</t>
        </is>
      </c>
      <c r="D120" t="inlineStr">
        <is>
          <t>linkedin</t>
        </is>
      </c>
      <c r="E120">
        <f>HYPERLINK("https://www.linkedin.com/jobs/view/4299775184", "https://www.linkedin.com/jobs/view/4299775184")</f>
        <v/>
      </c>
      <c r="F120" t="inlineStr"/>
      <c r="G120" t="inlineStr">
        <is>
          <t>Austin, TX</t>
        </is>
      </c>
      <c r="H120" t="inlineStr"/>
      <c r="I12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21">
      <c r="A121" t="inlineStr">
        <is>
          <t>li-4370346821</t>
        </is>
      </c>
      <c r="B121" t="inlineStr">
        <is>
          <t>Program Manager</t>
        </is>
      </c>
      <c r="C121" t="inlineStr">
        <is>
          <t>Sokol New York</t>
        </is>
      </c>
      <c r="D121" t="inlineStr">
        <is>
          <t>linkedin</t>
        </is>
      </c>
      <c r="E121">
        <f>HYPERLINK("https://www.linkedin.com/jobs/view/4370346821", "https://www.linkedin.com/jobs/view/4370346821")</f>
        <v/>
      </c>
      <c r="F121" t="inlineStr"/>
      <c r="G121" t="inlineStr">
        <is>
          <t>New York, NY</t>
        </is>
      </c>
      <c r="H121" t="inlineStr"/>
      <c r="I121" t="inlineStr">
        <is>
          <t>Program/General Manager \- Youth and Adult Fitness Programs
 Position Overview
 Sokol New York is seeking an energetic, organized, experienced and self\-motivated individual looking for a challenging opportunity to help rebuild and lead our programs. This role is perfect for someone passionate about physical fitness for youth and adults and enjoys community engagement. Programs at Sokol New York have included gymnastics, rhythmics, acrobatics, aerial, general fitness for adults and children, sports, marching, cheer, volleyball, dance, martial arts. The Program Manager oversees daily program operations, teaches classes, recruits and coordinates staff and volunteers. The manager shall ensure a safe, fun, and inclusive environment where students can thrive physically, socially, and emotionally.
 Responsibilities
 Program Leadership
 \- Develop, implement, and evaluate class offerings (gymnastics, sports, group exercise, dance and fitness).
 \- Research and develop ways to expand existing programs or implement new offerings.
 \- Maintain and build enrollment through in person communication, event attendance, and advertising (including direct mail advertising and digital marketing).
 \- Ensure programming aligns with Sokol's organizational goals and best practices.
 Staff \&amp; Volunteer Management
 \- Recruit new instructors and volunteers.
 \- Orient, train and supervise instructors, coaches, and volunteers.
 \- Conduct background checks and ensure all required safety training is completed.
 \- Maintain documentation of performance and related evaluations.
 \- Provide ongoing training and support to ensure professional development of instructors, coaches, and volunteers.
 Operations \&amp; Administration
 \- Develop and manage program schedules and enrollment.
 \- Ensure instructor coverage for each class.
 \- Conduct continuous evaluation of classes, instructors, and volunteers.
 \- Continuously monitor and develop weekly reporting on attendance and financial metrics of classes and related programs for program management and leadership reporting.
 \- Maintain a safe environment for operations of all programs.
 \- Ensure compliance with safety, health, and child protection policies.
 \- Conduct routine equipment checks to ensure safety timely repairs or replacement.
 \- Track program outcomes and participant progress.
 Community \&amp; Family Engagement
 \- Build strong relationships with parents, schools, and community partners.
 \- Communicate program updates or changes.
 \- Organize special events such as exhibitions, recitals, open houses, and family class events.
 Qualifications
 \- Bachelor's degree in Education, Recreation, Sports Management, Public Health, or related field (or equivalent experience).
 \- 3\-6 years of experience in youth programming, fitness, or recreation management.
 \- Strong leadership, organizational, and communication skills.
 \- Ability to each children's fitness skills (gymnastic experience preferred).
 \- Ability to lift and set up equipment safely.
 \- CPR/First Aid certification (or willingness to obtain).
 \- Current certifications for SafeSport and USG.
 \- Passion for youth development, fitness, and community wellness.
 Preferred Skills
 \- Experience working with diverse communities.
 \- Knowledge of child development and positive behavior management.
 \- Ability to design creative, inclusive, and engaging fitness activities.
 \- Ability to design creative social media and advertising/marketing campaigns.
 \- Microsoft Office and database skills.
 Why Join Us?
 Sokol New York is a member of American Sokol and part of the Global Sokol Organization. At Sokol New York, you can make a direct impact on the health and well\-being of young people. Help rebuild a program focused on the importance of being physically fit, whose mission is to provide physical, cultural and social programs for all.
 salary estimate 65\-75k</t>
        </is>
      </c>
    </row>
    <row r="122">
      <c r="A122" t="inlineStr">
        <is>
          <t>li-4370179145</t>
        </is>
      </c>
      <c r="B122" t="inlineStr">
        <is>
          <t>Associate Manager, Enterprise Platform Product Owner - Office of the Chief Information Officer</t>
        </is>
      </c>
      <c r="C122" t="inlineStr">
        <is>
          <t>BioSpace</t>
        </is>
      </c>
      <c r="D122" t="inlineStr">
        <is>
          <t>linkedin</t>
        </is>
      </c>
      <c r="E122">
        <f>HYPERLINK("https://www.linkedin.com/jobs/view/4370179145", "https://www.linkedin.com/jobs/view/4370179145")</f>
        <v/>
      </c>
      <c r="F122" t="inlineStr"/>
      <c r="G122" t="inlineStr">
        <is>
          <t>Sleepy Hollow, NY</t>
        </is>
      </c>
      <c r="H122" t="inlineStr"/>
      <c r="I122" t="inlineStr">
        <is>
          <t>Are you passionate about driving enterprise platform strategies and delivering impactful solutions in the biotech industry? This role is designed for an experienced product owner with relevant pharmaceutical/biotech experience in disciplines including Project Portfolio Management (PPM), Technology Business Management (TBM), financial\-based systems, and enterprise architecture. The candidate should also possess a proven ability to lead cross\-functional teams, manage technical upgrades, oversee financial and resource management, collaborate with stakeholders, and craft compelling narratives for senior executives to realize business outcomes from digital technology platforms and investments.
**A Typical Day Might Include The Following**
* Define and maintain the product vision, strategy, and roadmap for enterprise platforms, with a focus on PPM, TBM, and financial\-based systems.
* Lead the creation of product roadmap presentations for steering committees and senior leadership, ensuring alignment with organizational goals.
* Collaborate with business stakeholders to understand their needs, prioritize features, and ensure platform capabilities deliver measurable value.
* Act as the primary liaison between business teams, IT teams, vendors, third\-party and internal helpdesks to gather requirements and ensure alignment.
* Facilitate workshops, discovery sessions, and regular communication with stakeholders to prioritize features and resolve challenges.
* Leverage expertise in PPM tools (e.g., Planview, Jira, Project Place, MS Project and others) to optimize project and portfolio management processes.
* Oversee the implementation and integration of TBM frameworks (e.g., Apptio, ServiceNow, Oracle) to enhance IT financial management, cost transparency, and value optimization.
* Ensure financial\-based systems (e.g., Oracle ERP, budgeting, forecasting) are seamlessly integrated with PPM and TBM platforms to enable comprehensive reporting and analytics.
* Ensure platform design and architecture align with enterprise standards, scalability, and security requirements.
* Lead the development of architecture documents for review and approval by enterprise architecture and governance teams.
* Provide oversight of platform services through the helpdesk, ensuring timely resolution of issues and optimal user satisfaction.
* Manage service\-related contracts, ensuring compliance, performance, and alignment with organizational goals.
* Track and analyze day\-to\-day metrics to monitor platform performance and identify areas for improvement.
* Manage and oversee technical upgrades for enterprise platforms, ensuring minimal disruption to business operations.
* Work closely with finance partners to articulate the financial impact of platform investments and ensure alignment with business objectives.
**This Role Might Be For You If You**
* Strong knowledge of PPM tools (e.g., Planview, Project Place, Jira, Microsoft Project) and TBM solutions (e.g., Apptio, ServiceNow TBM).
* Experience with enterprise architecture principles and system integration strategies.
* Knowledge of financial\-based systems (e.g., Oracle, Workday) and their integration with TBM frameworks.
* Proven ability to manage complex, cross\-functional projects and deliver results in a fast\-paced environment.
* Strong analytical skills, with the ability to translate business needs into technical requirements.
* Exceptional storytelling and interpersonal skills, with experience preparing executive\-level presentations that are clear, concise, and impactful.
* Experience in data governance, financial reporting, and compliance
**To Be Considered For This Role, You Must Have**
* Bachelors degree in Computer Science, Information Systems, Business Administration, or a related field (Masters degree preferred).
* 7\+ years of experience in product ownership or management roles, with a focus on enterprise platforms, PPM tools, TBM frameworks, and financial\-based systems.
* Product Owner (CSPO) or similar Agile certification (preferred)
* TBM certifications (e.g., Apptio TBM Unified Certification) are highly desirable.
* PMP, SAFe Agile, or ITIL certifications are a plus.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$114,800\.00 \- $187,400\.00</t>
        </is>
      </c>
    </row>
    <row r="123">
      <c r="A123" t="inlineStr">
        <is>
          <t>li-4370093172</t>
        </is>
      </c>
      <c r="B123" t="inlineStr">
        <is>
          <t>Program Manager</t>
        </is>
      </c>
      <c r="C123" t="inlineStr">
        <is>
          <t>RemoteHunter</t>
        </is>
      </c>
      <c r="D123" t="inlineStr">
        <is>
          <t>linkedin</t>
        </is>
      </c>
      <c r="E123">
        <f>HYPERLINK("https://www.linkedin.com/jobs/view/4370093172", "https://www.linkedin.com/jobs/view/4370093172")</f>
        <v/>
      </c>
      <c r="F123" t="inlineStr"/>
      <c r="G123" t="inlineStr"/>
      <c r="H123" t="inlineStr"/>
      <c r="I123" t="inlineStr">
        <is>
          <t>About the Opportunity:
 An experienced Program Manager is sought to lead new product initiatives from development through launch. The role connects engineering, product, and go\-to\-market teams to ensure critical programs deliver impact on time and with quality.
 Responsibilities:
 • Drive programs from kickoff through launch, ensuring delivery against timelines and quality standards
 • Establish and maintain program plans including scope, milestones, resources, and critical path activities
 • Partner with teams to assess capacity, manage trade\-offs, and sequence work for business impact and velocity
 • Identify, document, and manage cross\-team dependencies to prevent blockers and ensure seamless handoffs
 • Ensure teams have tools, information, and resources; escalate blockers and secure decisions as needed
 • Define, track, and report on program KPIs and health metrics; investigate variances and deploy countermeasures
 • Build and maintain dashboards and status reports for visibility into progress, risks, and blockers
 • Conduct risk assessments, maintain risk registers, and develop mitigation and contingency plans
 • Drive post\-launch retrospectives and continuous improvement initiatives, capturing lessons learned
 Requirements:
 • 5\+ years of program or project management experience in a corporate environment
 • Proven success managing programs from development through adoption
 • Experience with agile methodologies and software development lifecycle
 • Expertise in dependency mapping and managing risk registers
 • Track record of early identification of off\-track programs and implementing countermeasures
 • Strong analytical skills with ability to define, track, and act on KPIs
 • Excellent cross\-functional collaboration and stakeholder management skills
 • Proficiency with program management tools such as Jira, Asana, or similar platforms
 • Demonstrated impact using a structured business system methodology
 Nice to Have:
 • Technical background or degree in a related field
 • PMP, PgMP, or similar program management certification
 About the Organization:
 The organization is a global industrial technology innovator driving transformation across environmental, health and safety compliance, industrial monitoring, product design, and healthcare safety solutions. The team leverages software\-powered workflow solutions, data intelligence, and AI automation to address challenges globally, with a focus on workplace safety and sustainability. The organization embraces a dynamic, inclusive culture promoting learning, growth, and continuous improvement through a proven business system.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4">
      <c r="A124" t="inlineStr">
        <is>
          <t>li-4370343800</t>
        </is>
      </c>
      <c r="B124" t="inlineStr">
        <is>
          <t>Healthcare Program Manager - Chicago, il</t>
        </is>
      </c>
      <c r="C124" t="inlineStr">
        <is>
          <t>Global Business Ser. 4u</t>
        </is>
      </c>
      <c r="D124" t="inlineStr">
        <is>
          <t>linkedin</t>
        </is>
      </c>
      <c r="E124">
        <f>HYPERLINK("https://www.linkedin.com/jobs/view/4370343800", "https://www.linkedin.com/jobs/view/4370343800")</f>
        <v/>
      </c>
      <c r="F124">
        <f>HYPERLINK("https://www.adzuna.com/details/5616247502?v=1F62E7F9A359F65F56E93A914D620CE1800EACE5&amp;frd=e07358ca5920556e3d87e219136c44c1&amp;ccd=5e728bd2de0a2ddfba83c9fc2d92f9dc&amp;r=21225287&amp;utm_source=linkedin7&amp;utm_medium=organic&amp;chnlid=1931&amp;title=Healthcare%20Program%20Manager%20-%20Chicago%2C%20il&amp;a=e&amp;urlHash=OtVT", "https://www.adzuna.com/details/5616247502?v=1F62E7F9A359F65F56E93A914D620CE1800EACE5&amp;frd=e07358ca5920556e3d87e219136c44c1&amp;ccd=5e728bd2de0a2ddfba83c9fc2d92f9dc&amp;r=21225287&amp;utm_source=linkedin7&amp;utm_medium=organic&amp;chnlid=1931&amp;title=Healthcare%20Program%20Manager%20-%20Chicago%2C%20il&amp;a=e&amp;urlHash=OtVT")</f>
        <v/>
      </c>
      <c r="G124" t="inlineStr">
        <is>
          <t>Chicago, IL</t>
        </is>
      </c>
      <c r="H124" t="inlineStr"/>
      <c r="I124" t="inlineStr">
        <is>
          <t>Title : Program Manager \- ( Healthcare ) Location : Chicago, IL Project : Contract
**Required Qualifications**
* PMP certification (required).
* 10\+ years of experience in healthcare project or program management.
* Strong background in health insurance, pharmacy benefits, or provider systems.
* Demonstrated expertise working with medical and pharmacy claims data.
* Advanced analytical skills with ability to interpret data trends and financial outcomes.
* Proven experience creating business cases, managing budgets, and delivering ROI driven results.
* Experience managing data integrations, data platforms, or large\-scale analytics initiatives.
* Excellent communication, leadership, and stakeholder management skills.</t>
        </is>
      </c>
    </row>
    <row r="125">
      <c r="A125" t="inlineStr">
        <is>
          <t>li-4370358193</t>
        </is>
      </c>
      <c r="B125" t="inlineStr">
        <is>
          <t>Deputy Program Manager</t>
        </is>
      </c>
      <c r="C125" t="inlineStr">
        <is>
          <t>Unissant</t>
        </is>
      </c>
      <c r="D125" t="inlineStr">
        <is>
          <t>linkedin</t>
        </is>
      </c>
      <c r="E125">
        <f>HYPERLINK("https://www.linkedin.com/jobs/view/4370358193", "https://www.linkedin.com/jobs/view/4370358193")</f>
        <v/>
      </c>
      <c r="F125" t="inlineStr"/>
      <c r="G125" t="inlineStr">
        <is>
          <t>Ashburn, VA</t>
        </is>
      </c>
      <c r="H125" t="inlineStr"/>
      <c r="I125" t="inlineStr">
        <is>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
 **Deputy Program Manager (DPM)** 
 to join our team and support our National Security client. The DPM will support our DHS Program Manager and program, as well as contribute to the growth of our National Security portfolio.
 The ideal candidate will be a direct customer interface for all Vetting program related projects and understand the technical scope and status of each. The candidate will be responsible for reporting of relevant projects, and support the PM with program oversight, resource management, risk management, financial management, service delivery, customer relationship management, service operations, and incident management.
**Essential Duties And Responsibilities**
* Provide direct support to Program Manager and management of the overall program.
* Provide business and technical leadership and reporting, interfacing directly with technical teams and customer stakeholders.
* Develop trusted technical relationships with appropriate government program and contracts leadership and stakeholders, Unissant teammates, and Unissant partners.
* Build and maintain knowledge repository of full business and technical scope of the program and associated projects and systems, including interdependent programs, teams, and systems.
* Identify critical success factors at onset and throughout program lifecycle and ensure removal of barriers to success.
* Monitor metrics and key performance indicators, effectively communicate, and keep Unissant program leadership and client stakeholders aware of project status, budget utilization, issues, risks, and successes. Escalate critical items appropriately.
* Support defining of staffing requirements and evaluating new candidates.
* Support P\&amp;L, budgets and forecast through financial controls.
* Support growth of contract and directly interface with Unissant corporate technical and growth teams to enhance delivery on the program.
* Identify and champion opportunities to expand the business benefits of the program beyond current scope by developing business cases that qualify and quantify the anticipated return on additional client investment.
* Provide corporate growth support, across DHS, and within other Government agencies as required.
* Advocate and communicate the program's value and accomplishments to internal and external stakeholders.
**Work Experience**
* Must have 8 years of experience leading within large IT development and systems environments and programs, including experience managing both new development \&amp; Operations and Maintenance (O\&amp;M) and related systems supporting National Security agencies.
* Must have at least 8 years of experience interfacing with clients at the program management level.
* Demonstrated success meeting and exceeding client expectations for deliverables and service quality.
* Must have experience and finesse dealing with all levels of senior management including C\-level management.
* Must have demonstrated strengths in organizational skills required in selecting, motivating, and developing staff.
* A track record of continuous improvement and the identification of potential operational and process risks and formulate/implement effective mitigation plans.
* Experience in IT project/program management with specific emphasis in application/software development and sustainment, encompassing large scale multi\-applications/systems environments.
* A track record of program growth and development.
* Experience in developing and maintaining plans such as Program Management Plan and weekly status reports,
* Experience managing public sector cloud implementations (AWS preferred)
**Job Skills**
* Strong understanding of government contracting and procurement, processes, stakeholders, and professional services.
* Enthusiastic, proactive, positive attitude with great listening skills and high integrity
* Ability to teach, grow and coach a team.
* Excellent organizational skills, strong attention to detail and ability to effectively manage programs supporting multiple businesses.
* Strong desire to mentor, coach team members while providing oversight for all aspects of relevant Program(s).
* Ability to think and act strategically and proactively approach projects and issues.
* Able to work under pressure and to be flexible with changing priorities.
* Able to find innovative ways to solve problems.
* A genuine interest in looking for opportunities to add value and grow your area of responsibility.
**Education**
* Bachelor's Degree is required. Preferred field of study in Computer Science, Information Technology, Information Systems, Operations Management, or related field of study.
* MBA/Master's Degree in a relevant field of study preferred.
**Certificates, Licenses And Registrations**
* Project Management Professional Certification (PMP) required.
* ITIL v.3/4 Foundations, Intermediate or Advanced preferred.
* AWS Cloud Practitioner certification preferred.
* Agile certification(s) preferred
* Other technical certifications will be considered also.
**Communication Skills**
* Excellent verbal and written skills, ability to present proposals and performance data, comfortable interfacing all levels of organization.
* Ability to write clear and concise creative content in a highly confidential manner.
**Clearance Requirements**
* Ability to obtain and maintain a DHS Public Trust clearance is required.
**Travel**
* Willingness to travel regularly to customer site in the Washington DC metro and corporate office in Herndon, VA.
* Willing to travel to other locations occasionally as needed (up to 10%).
**Environmental Requirements**
* Mainly a routine office environment.
* May be required to lift up to ten (10\) pounds
*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
***Job Posted by ApplicantPro***</t>
        </is>
      </c>
    </row>
    <row r="126">
      <c r="A126" t="inlineStr">
        <is>
          <t>li-4370348682</t>
        </is>
      </c>
      <c r="B126" t="inlineStr">
        <is>
          <t>Early Education Program Manager</t>
        </is>
      </c>
      <c r="C126" t="inlineStr">
        <is>
          <t>United Way of Southern Nevada</t>
        </is>
      </c>
      <c r="D126" t="inlineStr">
        <is>
          <t>linkedin</t>
        </is>
      </c>
      <c r="E126">
        <f>HYPERLINK("https://www.linkedin.com/jobs/view/4370348682", "https://www.linkedin.com/jobs/view/4370348682")</f>
        <v/>
      </c>
      <c r="F126" t="inlineStr"/>
      <c r="G126" t="inlineStr">
        <is>
          <t>Las Vegas, NV</t>
        </is>
      </c>
      <c r="H126" t="inlineStr"/>
      <c r="I126" t="inlineStr">
        <is>
          <t>**Primary Responsibilities**
 Assist the Program Director with the implementation of the Nevada Ready! State Pre\-K Program and related early education programs for United Way of Southern Nevada's Community Impact initiatives. The Early Education Program Manager is also responsible for supervising the Early Education Program Specialist, and is expected to create a customer\-focused service approach that builds relationships and develops high\-quality early education programs with measurable results. The Manager is responsible for providing training, technical assistance, coaching, and support to ensure all participating centers meet program and funding requirements.
**Essential Duties**
* Manages day\-to\-day and week\-to\-week activities and assignments and ensures completion of timely reports and work products.
* Plans scopes of work with community partners and manages Early Education team to ensure program goals and objectives are met by required deadlines.
* Creates and edits a variety of written documents, correspondence, speeches and reports.
* Responsible for planning, managing and implementation of high\-quality Early Education programs in a variety of settings within Southern Nevada (i.e. center\-based, home\-based, etc.)
* Works with clients to engage and support input into projects and events.
* Develops and facilitates trainings to directors, teachers, and staff to incorporate best practices for Early Education partners.
* Interacts and works with Early Education community partners to build collaboration and improve service delivery systems.
* Adapts program content, materials and locations to meet the identified needs of participants.
* Provides accurate and timely data collection/input and reports to meet funding requirements in the following areas: professional development, curriculum, program evaluation, individualized support, school readiness, transition to Kindergarten, health and safety, family engagement, and comprehensive services for families.
* Tracks and monitors performance measures and goals of the program providers.
* Maintains current knowledge base of policies, standards and issues affecting the childcare and early childhood education industries, and K \- 12 education standards and policies on the local and national levels.
* Researches and stays up to date on best practices related to Early Childhood Education.
* Provides presentations at local and national conference and workshops if needed.
* Directs and facilitates the work of independent contractors and other project participants to develop plans and projects
* Other duties as requested or assigned.
**Position Requirements**
* Demonstrated ability to work and engage with early education providers, local/state government and community partners.
* Working knowledge of early childhood education, childcare standards, K\- 12 standards and/or best practices in the education continuum.
* Strong analytical skills, project management and process improvement experience.
* Ability to build strong, productive relationships and motivate individuals to obtain results.
* Ability to build relationships and maintain ongoing contact with diverse groups at all levels both internally and externally to the organization.
* Demonstrated ability to proactively manage multiple tasks effectively.
* Results driven and detail\-oriented.
* Strong organizational skills and attention to detail are critical.
* Demonstrated leadership abilities with exceptional written/oral communication and presentation skills.
* Ability to approach projects with an innovative and collaborative technique.
* Ability to be a team player and collaborate with internal colleagues, external partners, agencies and volunteers.
* Strong computer skills.
* A professional appearance and demeanor.
* Ability to work a flexible schedule, including evenings and weekends, as needed.
* Valid Nevada Driver's license, proof of auto insurance coverage and daily access to a personal vehicle for site visits, meetings and projects.
* Prior CLASS/ECERS/SPED skills and nonprofit experience is preferred
* Bilingual in Spanish is preferred
* Diverse candidates encouraged to apply
* Performs all other duties as assigned.
 These requirements are met by a bachelor's degree in Early Education or a related field or active educational plan, and a minimum of four years of experience working (or two years managing a team) in an early childhood setting, or an equivalent combination of education and experience.
**Environment**
 The environment for this position is an open office area that is clean and comfortable. It may include some minor annoyances such as noise, odors, drafts, etc. The incumbent is in a non\-confined office\-type setting in which he or she is free to move about at will. Also, the incumbent will travel to client sites, workplace events, meetings, etc.
**Physical Activity**
 In the course of performing this work, the incumbent:
* Will spend substantial time standing, sitting, speaking, and listening
* Must regularly lift and/or move up to 10 pounds and occasionally lift and/or move up to 30 pounds
* Reasonable accommodations may be made to enable individuals with disabilities to perform the essential functions of the job
**Equipment And Software Operation**
 The incumbent in this position may operate any/all of the following equipment:
* Computer, printer, copy machine, audio\-visual equipment, personal automobile
**Computer Software May Include Any Or All The Following**
* Microsoft Office
* Internet Explorer/Google Chrome</t>
        </is>
      </c>
    </row>
    <row r="127">
      <c r="A127" t="inlineStr">
        <is>
          <t>li-4370341934</t>
        </is>
      </c>
      <c r="B127" t="inlineStr">
        <is>
          <t>eDiscovery Program Manager (Top Secret Clearance Required)</t>
        </is>
      </c>
      <c r="C127" t="inlineStr">
        <is>
          <t>CGS Federal (Contact Government Services)</t>
        </is>
      </c>
      <c r="D127" t="inlineStr">
        <is>
          <t>linkedin</t>
        </is>
      </c>
      <c r="E127">
        <f>HYPERLINK("https://www.linkedin.com/jobs/view/4370341934", "https://www.linkedin.com/jobs/view/4370341934")</f>
        <v/>
      </c>
      <c r="F127" t="inlineStr"/>
      <c r="G127" t="inlineStr">
        <is>
          <t>Baltimore, MD</t>
        </is>
      </c>
      <c r="H127" t="inlineStr"/>
      <c r="I127" t="inlineStr">
        <is>
          <t>**eDiscovery Program Manager** 
 Employment Type: Full\-Time, Executive\-LevelDepartment: Legal CGS is seeking a dedicated eDiscovery Program Manager to join a fast\-paced and hard\-working team to assist with any legal accounts. As an eDiscovery Program Manager, you will play a key role in supporting various aspects of the company's portfolio.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success:The Contractor shall provide the following services to include but not limited to: \- The Contractor shall provide Discovery Program contractor staff management support to include, but not limited to the following activities: \- Contractor shall oversee all administrative logistical support for the contract to include, notifying the Government of schedule changes, work assignments and coverage, documenting daily tasks, and work location changes; \- Contractor shall insure that daily time entry is recorded by all contract staff; \- Contractor shall coordinate all administrative activities associated with the arrival of new contract staff with the appropriate FBI security, IT, and other administrative units; \- Contractor shall mentor and assist new team members to perform daily tasks; \- Contractor shall promptly and thoroughly address any performance or personnel issues that arise within the contracted staff; \- Contractor shall manage client expectations and deliverables and clearly and timely communicate with clients;\- Contractor shall initiate process improvement initiatives; \- Quotes shall facilitate communication, planning, recommendations, and resource management across internal and external stakeholders; \- Contractor shall provide technical and eDiscovery subject matter expertise to support the full life cycle management of the resources assigned to the program and contract; \- Contractor shall participate in teleconferences or meetings to review, educate, and support program objectives; \- Contractor shall assist in managing the Legal Clerical mailbox and tasks; \- Contractor shall develop and track clerical and IT project schedules, milestones, and deliverables; \- Contractor shall assist with providing information sought by client that are relevant to support Change Requests and Contract Modifications; \- Contractor shall oversee and monitor all scheduled system maintenances in accordance with established policies and procedures; \- Contractor shall review system and application logs and related reports to verify completion of scheduled jobs such as backups; \- Contractor shall review and report technical assessments to include required tasks, estimated time frames, and effort for any scope project; \- Contractor shall oversee and monitor Veritas eDiscovery version 10 or industry recognized review platform processes; \- Contractor shall oversee and monitor the system administration of Microsoft Exchange \- 2019 and 2022; \- Contractor shall oversee and monitor the administration and support of Microsoft Windows server 2016/2019/2022 in a large physical and virtual infrastructure; \- Contractor shall oversee and monitor the performance of DNS, WINS, DHCP, and LDAP compliant directories; \- Contractor shall oversee and monitor Discovery’s IT infrastructure, cloud technologies (Microsoft Azure/Amazon AWS) and network architecture; \- Contractor shall comply with contract terms and conditions; work collaboratively with the COR to define and execute all reports and other deliverables; \- Contractor shall ensure operational coverage for all critical areas to meet 24 hours, 7 days a week, 365\-day requirements and priorities as identified by OGC Leadership; \- Contractor shall formulate and enforce work standards; assign contractor schedules; \- Contractor shall present and communicate instructions, and in writing reports or documents that convey the findings/results of analysis to non\-technical audiences; \- Contractor shall work collaboratively with the COR and OGC Government Leads to define and execute all reports and other deliverables; \- Contractor shall provide the Task Lead(s) and COR with cost and staffing estimates relative to the completion of existing tasks, as well as the possible addition of future\- Contractor shall plan, organize, direct and support all activities identified in the contract; \- Contractor shall ensure conformance with RFQ schedules and costs; \- Contractor shall monitor employee performance and productivity; \- Contractor shall develop and implement training programs and remedial actions as necessary; \- Contractor shall review work discrepancies; \- Contractor shall prepare, review and submit required reports and communicating policies, purpose and goals of the organization to subordinates; \- Contractor shall be responsible for the overall RFQ performance and quality assurance; \- Contractor shall provide timekeeping and invoicing for labor hours, travel and ODCs, if any; \- Contractor shall ensure that program/project schedule, performance and deliverables are met; \- Contractor shall maintain a qualified and certified, as appropriate, Contractor work force to meet the Government’s needs under this RFQ; \- Contractor shall provide direct supervision, program control, scheduling and management of the Contractor personnel consistent with priorities and assignments by the OGC program; \- Contractor shall develop and implement training programs and remedial actions as necessary; \- Contractor shall assist in all project management task performance; \- Contractor shall prepare, review and submit required reports and communicating policies, purpose and goals of the organization to subordinates; \- Contractor shall resolve problems, issues or conflicts, as required; \- Contractor shall prioritize tasks and assignments to Contractor work force based on Government’s direction and best practices;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innovation!Explore additional job opportunities with CGS on our Job Board:https://cgsfederal.com/join\-our\-team/For more information about CGS please visit: https://www.cgsfederal.com or contact:Phone: \+1 (888\) 680\-5916Email: \[email protected] \#CJ $156,986\.20 \- $213,052\.70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li-4370207006</t>
        </is>
      </c>
      <c r="B128" t="inlineStr">
        <is>
          <t>CRA Service Program Manager</t>
        </is>
      </c>
      <c r="C128" t="inlineStr">
        <is>
          <t>hackajob</t>
        </is>
      </c>
      <c r="D128" t="inlineStr">
        <is>
          <t>linkedin</t>
        </is>
      </c>
      <c r="E128">
        <f>HYPERLINK("https://www.linkedin.com/jobs/view/4370207006", "https://www.linkedin.com/jobs/view/4370207006")</f>
        <v/>
      </c>
      <c r="F128">
        <f>HYPERLINK("https://www.hackajob.com/job/40f9a1a4-0426-11f1-b544-0a05e249917d-cra-service-program-manager?utm_source=LinkedIn&amp;utm_medium=JobAds&amp;utm_term=Automated&amp;utm_campaign=american-express-cra-service-program-manager&amp;job_name=cra-service-program-manager&amp;company=american-express&amp;workplace_type=hybrid&amp;city=sandy&amp;country=united-states&amp;urlHash=Oa1E", "https://www.hackajob.com/job/40f9a1a4-0426-11f1-b544-0a05e249917d-cra-service-program-manager?utm_source=LinkedIn&amp;utm_medium=JobAds&amp;utm_term=Automated&amp;utm_campaign=american-express-cra-service-program-manager&amp;job_name=cra-service-program-manager&amp;company=american-express&amp;workplace_type=hybrid&amp;city=sandy&amp;country=united-states&amp;urlHash=Oa1E")</f>
        <v/>
      </c>
      <c r="G128" t="inlineStr">
        <is>
          <t>Sandy, UT</t>
        </is>
      </c>
      <c r="H128" t="inlineStr"/>
      <c r="I128"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Through its Center for Community Development (CCD), American Express National Bank’s overarching goal is to maintain a leadership position in financing, investing, and facilitating community development activities within our assessment area and beyond.
 CCD is hiring a
 **CRA Service Program Manager** 
 . This role offers a dynamic opportunity to lead the strategy, execution, and evaluation of American Express National Bank’s Community Reinvestment Act (CRA) service initiatives. The position is responsible for advancing the Bank’s CRA service goals through strategic planning, cross\-functional coordination, regulatory alignment, and community engagement.
 The successful candidate will own the full lifecycle of the CRA service program — from program design and volunteer engagement to documentation and regulatory examination readiness. The CRA Service Program Manager will report to the Director of Community Development and provide leadership in developing service strategies that drive measurable community impact and regulatory performance.
* Lead and own the AENB CRA Service Program, including strategic planning, development, and execution of service initiatives that align with CRA requirements and Bank priorities.
* Serve as a subject matter expert (SME) on CRA service eligibility and regulatory expectations, ensuring activities meet the technical standards for qualified community development service.
* Develop and maintain relationships with nonprofit and community\-based organizations to identify high\-impact service opportunities and strengthen community partnerships.
* Oversee and guide board and committee placements to ensure alignment with CRA goals, while supporting colleague engagement and leadership development.
* Manage the CRA service data lifecycle, including intake, validation, analysis, and reporting of volunteer service activities to ensure regulatory accuracy and audit readiness.
* Lead preparation of documentation materials for CRA examinations, Presentation at CRA Committee meetings, and senior management reviews.
* Oversee third\-party vendors and technology platforms supporting service reporting and community engagement, ensuring timely and high\-quality outcomes.
* Advise leadership on emerging CRA trends, regulatory updates, and strategic opportunities to enhance service performance and community impact.
* Contribute to the overall operations of the Center for Community Development, including participation in compliance testing, audits, and strategic planning initiatives.
* Support and coordinate management of CRA Grant Program.
**Minimum Qualifications**
* Demonstrated experience managing or leading community engagement or CRA\-related programs, preferably in a financial institution or regulatory environment.
* Strong understanding of CRA regulatory frameworks and technical requirements for qualified community development services.
* Expertise in program design, data management, and performance reporting.
* Proven ability to collaborate cross\-functionally with business units, senior leaders, and external partners.
* Strong project management, and organizational skills, with a focus on measurable results and continuous improvement.
* Experience with volunteer management systems, reporting tools, and employee engagement platforms.
**Preferred Qualifications**
* Bachelor’s degree (preferred) in a relevant field.
* Excellent communication and presentation skills, with the ability to convey complex CRA concepts to diverse audiences.
* Previous experience with CRA examinations or regulatory reviews.
* Experience managing partnerships or service programs with community\-based organizations.
 Salary Range: $89,250\.00 to $150,250\.00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129">
      <c r="A129" t="inlineStr">
        <is>
          <t>li-4368772156</t>
        </is>
      </c>
      <c r="B129" t="inlineStr">
        <is>
          <t>Senior Program Manager IV</t>
        </is>
      </c>
      <c r="C129" t="inlineStr">
        <is>
          <t>Jobs via Dice</t>
        </is>
      </c>
      <c r="D129" t="inlineStr">
        <is>
          <t>linkedin</t>
        </is>
      </c>
      <c r="E129">
        <f>HYPERLINK("https://www.linkedin.com/jobs/view/4368772156", "https://www.linkedin.com/jobs/view/4368772156")</f>
        <v/>
      </c>
      <c r="F129" t="inlineStr"/>
      <c r="G129" t="inlineStr">
        <is>
          <t>Silver Spring, MD</t>
        </is>
      </c>
      <c r="H129" t="inlineStr"/>
      <c r="I129" t="inlineStr">
        <is>
          <t>**Job Title:** 
 Senior Program Manager IV
**Location:** 
 Silver Spring, MD (On Site)
**Clearance Required:** 
 Public Trust Eligible
**Salary Range:** 
 $120K\-$140K
**Application Deadline** 
 : February 28, 2025
**To apply,** 
 please follow these steps:
* Visit .
* Select the position you are interested in.
* Review the job details, then click Apply Now.
* Complete and submit your application.
**Description:**
 IBSS Corporation is seeking an experienced and strategic Senior Program Manager IV to lead efforts in support of the Automated Surface Observing System (ASOS) Service Life Extension Program (SLEP). This key role provides programmatic leadership, business process guidance, technical oversight, and lifecycle management in close coordination with Government stakeholders. The Senior Program Manager will work across technical domains—systems engineering, deployment, telecom, and budgeting—to modernize and sustain ASOS nationwide. This position is contingent upon successful award of the contract.
**Key Responsibilities:**
**Program Leadership \&amp; Strategy**
* Serve as the lead contractor program interface with the Government ASOS Program Management Office (PMO).
* Support the modernization and evolution of ASOS systems in accordance with NOAA/NWS policies, directives, and life cycle processes.
* Provide expert\-level guidance in the planning, integration, testing, deployment, and sustainment of ASOS SLEP components.
**Business Process Development \&amp; Oversight**
* Develop and refine business process analysis and improvement plans to increase program efficiency and transparency.
* Lead efforts to define, track, and manage communications between production contractors and Government teams.
* Support the Government in managing warranty claims, system deployment logistics, and transition planning under the EIS contract vehicle.
**Technology Research \&amp; Risk Management**
* Perform market research and technology assessments to support acquisition decisions and combat component obsolescence.
* Conduct and support security planning and risk assessments to meet federal standards and ensure system integrity.
**Program Planning \&amp; Execution**
* Develop and maintain a resource\-loaded Integrated Master Schedule (IMS) to align activities across engineering, field deployment, and program reporting.
* Oversee program planning, procurement, budgeting, invoice reconciliation, and financial forecasting efforts.
* Provide administrative and strategic support for the preparation of status briefings, milestone reviews, and program documentation.
**Stakeholder Coordination**
* Work closely with engineers, analysts, deployment managers, and web developers to ensure integrated program delivery.
* Facilitate coordination between cross\-functional contractor teams and NOAA/NWS technical leads.
**Required Skills \&amp; Qualifications:**
* Bachelor's degree in Communications or Electronics Engineering
* 10 years related experience
* Demonstrated experience managing large\-scale federal programs, preferably in meteorological systems, aviation, or telecommunications
* Experience manager $10M\+ in Dollar value
* Experience managing a team of 10\+ direct reports
* Proven expertise in lifecycle planning, schedule and risk management, and systems integration
* Strong understanding of government acquisition and program management principles
* Excellent verbal and written communication skills; ability to lead cross\-disciplinary teams and present to senior stakeholders
* Proficient in Microsoft Project, Office Suite, and related scheduling and budgeting tools
* Electrical and/or Mechanical Engineering or Computer Engineering background.
* Experience with hardware and software engineering principles, (understanding of how the scientific instruments and the data\-processing units integrate together and disseminate the data after processing).
**Preferred Qualifications:**
* Master's degree in Engineering, Systems Management, or related field
* PMP certification
* Agile and Hybrid Project Management Framework Experience
* Familiarity with NOAA, FAA, or NWS systems and procedures
* Experience managing geographically dispersed deployments and multi\-vendor integration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exceptional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that includes medical, dental, vision, and prescription drug coverage with a company\-paid deductible, paid time off, federal holidays, a matching 401K plan, tuition/professional development reimbursement, and Flex\-Spending (FSA)/Dependent Care Account (DCA) options.
 IBSS is an affirmative action and equal opportunity employer. All qualified applicants will be considered for employment without regard to race, color, religion, sex, disability, age, sexual orientation, gender identity, national origin, veteran status, or genetic information. Click to see that the EEO is the law. Please direct any inquiries to the HR department email at
 If you require reasonable accommodation in completing this application, interviewing, completing any pre\-employment testing, or otherwise participating in the employee selection process, please direct your inquiries to the Talent Acquisition Department at</t>
        </is>
      </c>
    </row>
    <row r="130">
      <c r="A130" t="inlineStr">
        <is>
          <t>li-4370355615</t>
        </is>
      </c>
      <c r="B130" t="inlineStr">
        <is>
          <t>Float Program Manager - ARCHES - Home Youth Services</t>
        </is>
      </c>
      <c r="C130" t="inlineStr">
        <is>
          <t>Mid-Willamette Valley Community Action Agency</t>
        </is>
      </c>
      <c r="D130" t="inlineStr">
        <is>
          <t>linkedin</t>
        </is>
      </c>
      <c r="E130">
        <f>HYPERLINK("https://www.linkedin.com/jobs/view/4370355615", "https://www.linkedin.com/jobs/view/4370355615")</f>
        <v/>
      </c>
      <c r="F130" t="inlineStr"/>
      <c r="G130" t="inlineStr">
        <is>
          <t>Salem, OR</t>
        </is>
      </c>
      <c r="H130" t="inlineStr"/>
      <c r="I130" t="inlineStr">
        <is>
          <t>**General Description**
 The Float Program Manager for the Community Resource Program and Home Youth Services Sheltering departments will be responsible for administering programming aimed at providing a safe, warm place with vital services for the area's homeless population. The person in this position will provide direct supervision of program staff, oversee project operations, and develop program policies for 24/7 shelters. This position will monitor multiple grants allocated to CRP and HYS by community partners. This position requires the ability to work days, nights, weekends and/or holidays.
 MINIMUM QUALIFICATIONS The requirements listed below are representative of the knowledge, skills, and/or abilities required.
 EDUCATION and/or EXPERIENCE
* Two or more years of social services experience and a minimum of 1 year of managing or coordinating in a social service field. An equivalent combination of relevant education and experience may be accepted.
* A preference will be given to those with shelter experience, and experience managing/coordinating programs working with vulnerable or at\-risk populations, including people experiencing homelessness or at\-risk of homelessness.
**CERTIFICATES, LICENSES, REGISTRATIONS**
* Candidate must pass Oregon Department of Human Services criminal background check and MWVCAA agency background check.
* Candidate must pass pre\-employment and random drug/alcohol screens.
* Driver qualification status required for this position. Driver License, insured vehicle available for use on the job and satisfactory drive record for previous three years required.
* Basic Life Support/First Aid Certification is required within first 30 days of hire.
**Knowledge, Skills, And Abilites**
* Posses intermediate to advanced computer skills. Proficient in Microsoft Word, Excel and Outlook, database software, online tools, and video conference platforms.
* Ability to read, analyze and articulate technical procedures, legally binding contracts, and governmental regulations.
* Must posses excellent planning, organization and time management skills.
* Ability to effectively communicate in both orally and in written form.
* Ability to work evenings, weekends, early morning hours as part of standard shifts.
* Demonstrates tact, diplomacy and empathy when communicating formally and informally with clients, staff and program partners.
* Ability to effectively de\-escalate heightened interactions.
**ESSENTIAL DUTIES AND RESPONSIBILITIES** 
 This job description is not intended to be all\-inclusive. Employee will also perform other reasonably related business duties as assigned by immediate supervisor and other management as required.
* Manages the day\-to\-day operations of ARCHES/HYS sheltering services.
* Provides support to staff when client interactions escalate.
* Establishes and maintains an active working relationship with law enforcement, neighbors, and city officials.
* Builds and maintains relationships with volunteers and provides training for a growing volunteer base.
* Participates in internal and external meetings, trainings, and other compliance events.
* Applies for shelter and basic needs services funding to expand service opportunities.
* Adheres to program policies in order to protect staff, client and volunteer safety.
* Demonstrates evidence of excellence in prioritization tools, Homeless Management Information System (HMIS), and other data\-driven protocols.
* Embraces the mission and best practice philosophies of Trauma Informed Care, Motivational Interviewing, recovery, client\-centered services, and Harm Reduction strategies.
* Completes spend down of all grant allocations, while providing the highest level of client service possible. Provides low barrier client\-centered process to services.
* Maintains full compliance with all federal, state, and grant funding requirements, setting high standards for data quality and compliance performance, remaining in compliance with the regulations of all funding streams.
* Models full compliance with MWVCAA Safety Policy.
* Displays commitment to community\-based projects and needs that are not covered by current grant structures (i.e., finding ways to solve homelessness beyond grant administration).
* Displays commitment and cooperation with co\-located agency partners.
* Attends and participates in annual trainings.
* Consistent on\-site attendance and punctuality.
* Able to respond quickly when situations arise that require a manager to attend on\-site.
* May be assigned other responsibilities that further program goals and objectives.
**Supervisory Responsibilities**
 Directly supervises approximately 5 employees over multiple shifts. Responsibilities include interviewing, hiring, and training employees; planning, assigning, and directing work; appraising performance; rewarding and disciplining employees; addressing complaints and resolving problems.
**PHYSICAL AND MENTAL DEMANDS** 
 Reasonable accommodations may be made to enable individuals with disabilities to perform the essential duties and responsibilities.
* Maintains calm dispositions and regulates emotions when clients, staff, or others may become escalated.
* Regulates emotions and handles pressure of frequent demands for attention, time and work tasks.
* Attends and engages in required annual trainings.
* Working evenings and weekends when necessary.
* Specific vision abilities are required of this position. Frequently required to hear and speak.
* Regularly lift and/or move 20 pounds and occasionally lift and/or move up to 50 pounds.
* Manual dexterity for handling office equipment.
**WORK ENVIRONMENT**
 ▪ This position requires on\-site work and is not eligible for remote work.
 ▪ Works in conjunction with ARCHES and community partner programs serving client population experiencing homelessness, substance use disorders, and/or severe and persistent mental illness, and/or unpredictable behavior.
 ▪ Indoor work environment with frequent interruptions and demands.
 ▪ Working with customers/clients over the phone and in\-person.
 ▪ Occasional remote work from home.
 ▪ Occasional driving in all weather conditions. Occasionally exposed to outside weather conditions.
 ▪ Variable and flexible work hours.
 MWVCAA is proud to be an Equal Opportunity Employer. We do not discriminate based upon race, religion, color, national origin, sex, sexual orientation, gender expression, age, veterans, and people with disabilities or any other protected category. We welcome all people to join us in achieving our Mission. If you require any assistance in the application process, or reasonable accommodations to perform the essential duties of the position, please notify a member of our team at (503\) 585\-6232\.
 Child Care Division Central Background Registration and pre\-employment drug screening is required.
***Job Posted by ApplicantPro***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2026-02-09T00:34:43Z</dcterms:created>
  <dcterms:modified xsi:type="dcterms:W3CDTF">2026-02-09T00:34:43Z</dcterms:modified>
</cp:coreProperties>
</file>