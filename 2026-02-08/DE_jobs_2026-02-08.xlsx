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in-274f77d215c0933c</t>
        </is>
      </c>
      <c r="B2" t="inlineStr">
        <is>
          <t>Healthcare Data Engineer</t>
        </is>
      </c>
      <c r="C2" t="inlineStr">
        <is>
          <t>Rapideagle</t>
        </is>
      </c>
      <c r="D2" t="inlineStr">
        <is>
          <t>indeed</t>
        </is>
      </c>
      <c r="E2" t="inlineStr"/>
      <c r="F2" t="inlineStr"/>
      <c r="G2" t="inlineStr">
        <is>
          <t>Remote, US</t>
        </is>
      </c>
      <c r="H2" s="2" t="n">
        <v>46061</v>
      </c>
      <c r="I2" t="inlineStr">
        <is>
          <t>**Healthcare Data Engineer**
**100% Remote**
**Immediate Interview**
**Skills:\-**
**Key Responsibilities:**
? Lead the migration of AWS\-hosted PostgreSQL workloads to Databricks Lakehouse architecture.
? Design and implement scalable ETL/ELT pipelines using Databricks (PySpark, SQL, Delta Lake) in AWS ecosystem
? Work with complex healthcare data formats, including X12 837 claims, EBCDIC files, and other structured/unstructured formats.
? Implement data masking, profiling, and governance solutions to ensure HIPAA\-compliant data handling across ingestion, transformation, and consumption layers.
? Optimize data pipelines for performance, reliability, and cost\-efficiency within the AWS ecosystem.
? Collaborate with data architects, analysts, and compliance teams to enforce data security best practices.
? Drive data quality monitoring and reconciliation processes in high\-volume, sensitive data environments.
**Must\-Have Qualifications:**
? 8\+ years of hands\-on data engineering experience with strong focus on AWS \+ Databricks environments.
? Proven track record of migrating PostgreSQL workloads from AWS to modern lakehouse platforms.
? Databricks Certified Data Engineer (Associate or Professional).
? Experience with healthcare data and regulatory formats including X12 837, HL7, EBCDIC files, etc.
? Deep expertise in data masking, governance frameworks, and working in HIPAA\-regulated environments.
? Familiarity and working knowledge in adhering to CI/CD processes and practices in a cloud ecosystem.
? Proficiency in PySpark, SQL, Delta Lake, and data transformation in Databricks.
? Solid understanding of data ingestion from AWS (S3, Glue, Lambda) into Databricks.
**Preferred Skills:**
? Familiarity with FHIR, X12 837, HL7, or other clinical data standards.
? Experience with Unity Catalog and Lakehouse governance frameworks.
? Knowledge of Agile methodologies and CI/CD practices for data pipelines.
? This role is healthcare domain\-focused, and prior experience working with payers, providers, or healthcare clearinghouses is highly desirable.
Pay: $55\.00 \- $80\.00 per hour
Benefits:
* Flexible schedule
* Health insurance
* Tuition reimbursement
* Vision insurance
Work Location: Remote</t>
        </is>
      </c>
    </row>
    <row r="3">
      <c r="A3" t="inlineStr">
        <is>
          <t>in-dd96cd8f07a6f987</t>
        </is>
      </c>
      <c r="B3" t="inlineStr">
        <is>
          <t>Data Engineer, Denied Party Screening, AWS Compliance &amp; Security Assurance</t>
        </is>
      </c>
      <c r="C3" t="inlineStr">
        <is>
          <t>Amazon.com</t>
        </is>
      </c>
      <c r="D3" t="inlineStr">
        <is>
          <t>indeed</t>
        </is>
      </c>
      <c r="E3" t="inlineStr"/>
      <c r="F3" t="inlineStr"/>
      <c r="G3" t="inlineStr">
        <is>
          <t>Seattle, WA, US</t>
        </is>
      </c>
      <c r="H3" s="2" t="n">
        <v>46029</v>
      </c>
      <c r="I3"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4">
      <c r="A4" t="inlineStr">
        <is>
          <t>in-28f69eda26af0c72</t>
        </is>
      </c>
      <c r="B4" t="inlineStr">
        <is>
          <t>Data Engineer, Denied Party Screening, AWS Compliance &amp; Security Assurance</t>
        </is>
      </c>
      <c r="C4" t="inlineStr">
        <is>
          <t>Amazon.com</t>
        </is>
      </c>
      <c r="D4" t="inlineStr">
        <is>
          <t>indeed</t>
        </is>
      </c>
      <c r="E4" t="inlineStr"/>
      <c r="F4" t="inlineStr"/>
      <c r="G4" t="inlineStr">
        <is>
          <t>Dallas, TX, US</t>
        </is>
      </c>
      <c r="H4" s="2" t="n">
        <v>46029</v>
      </c>
      <c r="I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5">
      <c r="A5" t="inlineStr">
        <is>
          <t>in-9afdd228bbabefb4</t>
        </is>
      </c>
      <c r="B5" t="inlineStr">
        <is>
          <t>Data Engineer</t>
        </is>
      </c>
      <c r="C5" t="inlineStr">
        <is>
          <t>Amazon.com</t>
        </is>
      </c>
      <c r="D5" t="inlineStr">
        <is>
          <t>indeed</t>
        </is>
      </c>
      <c r="E5" t="inlineStr"/>
      <c r="F5" t="inlineStr"/>
      <c r="G5" t="inlineStr">
        <is>
          <t>San Francisco, CA, US</t>
        </is>
      </c>
      <c r="H5" s="2" t="n">
        <v>46001</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in-f05c27ae8edd54cf</t>
        </is>
      </c>
      <c r="B6" t="inlineStr">
        <is>
          <t>Data Engineer</t>
        </is>
      </c>
      <c r="C6" t="inlineStr">
        <is>
          <t>Amazon.com</t>
        </is>
      </c>
      <c r="D6" t="inlineStr">
        <is>
          <t>indeed</t>
        </is>
      </c>
      <c r="E6" t="inlineStr"/>
      <c r="F6" t="inlineStr"/>
      <c r="G6" t="inlineStr">
        <is>
          <t>Seattle, WA, US</t>
        </is>
      </c>
      <c r="H6" s="2" t="n">
        <v>46001</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in-727b2084b2c0acc2</t>
        </is>
      </c>
      <c r="B7" t="inlineStr">
        <is>
          <t>Delivery Consultant - Data Engineer, Data and Machine Learning, WWPS US Federal</t>
        </is>
      </c>
      <c r="C7" t="inlineStr">
        <is>
          <t>Amazon Web Services</t>
        </is>
      </c>
      <c r="D7" t="inlineStr">
        <is>
          <t>indeed</t>
        </is>
      </c>
      <c r="E7" t="inlineStr"/>
      <c r="F7" t="inlineStr"/>
      <c r="G7" t="inlineStr">
        <is>
          <t>Arlington, VA, US</t>
        </is>
      </c>
      <c r="H7" s="2" t="n">
        <v>45991</v>
      </c>
      <c r="I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in-5f5776f8f6b8bf9e</t>
        </is>
      </c>
      <c r="B8" t="inlineStr">
        <is>
          <t>Delivery Consultant - Data Engineer, Data and Machine Learning, WWPS US Federal</t>
        </is>
      </c>
      <c r="C8" t="inlineStr">
        <is>
          <t>Amazon Web Services</t>
        </is>
      </c>
      <c r="D8" t="inlineStr">
        <is>
          <t>indeed</t>
        </is>
      </c>
      <c r="E8" t="inlineStr"/>
      <c r="F8" t="inlineStr"/>
      <c r="G8" t="inlineStr">
        <is>
          <t>Herndon, VA, US</t>
        </is>
      </c>
      <c r="H8" s="2" t="n">
        <v>45991</v>
      </c>
      <c r="I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in-274f77d215c0933c</t>
        </is>
      </c>
      <c r="B9" t="inlineStr">
        <is>
          <t>Healthcare Data Engineer</t>
        </is>
      </c>
      <c r="C9" t="inlineStr">
        <is>
          <t>Rapideagle</t>
        </is>
      </c>
      <c r="D9" t="inlineStr">
        <is>
          <t>indeed</t>
        </is>
      </c>
      <c r="E9">
        <f>HYPERLINK("https://www.indeed.com/viewjob?jk=274f77d215c0933c", "https://www.indeed.com/viewjob?jk=274f77d215c0933c")</f>
        <v/>
      </c>
      <c r="F9">
        <f>HYPERLINK("http://www.indeed.com/job/healthcare-data-engineer-274f77d215c0933c", "http://www.indeed.com/job/healthcare-data-engineer-274f77d215c0933c")</f>
        <v/>
      </c>
      <c r="G9" t="inlineStr">
        <is>
          <t>Remote, US</t>
        </is>
      </c>
      <c r="H9" s="3" t="n">
        <v>46061</v>
      </c>
      <c r="I9" t="inlineStr">
        <is>
          <t>**Healthcare Data Engineer**
**100% Remote**
**Immediate Interview**
**Skills:\-**
**Key Responsibilities:**
? Lead the migration of AWS\-hosted PostgreSQL workloads to Databricks Lakehouse architecture.
? Design and implement scalable ETL/ELT pipelines using Databricks (PySpark, SQL, Delta Lake) in AWS ecosystem
? Work with complex healthcare data formats, including X12 837 claims, EBCDIC files, and other structured/unstructured formats.
? Implement data masking, profiling, and governance solutions to ensure HIPAA\-compliant data handling across ingestion, transformation, and consumption layers.
? Optimize data pipelines for performance, reliability, and cost\-efficiency within the AWS ecosystem.
? Collaborate with data architects, analysts, and compliance teams to enforce data security best practices.
? Drive data quality monitoring and reconciliation processes in high\-volume, sensitive data environments.
**Must\-Have Qualifications:**
? 8\+ years of hands\-on data engineering experience with strong focus on AWS \+ Databricks environments.
? Proven track record of migrating PostgreSQL workloads from AWS to modern lakehouse platforms.
? Databricks Certified Data Engineer (Associate or Professional).
? Experience with healthcare data and regulatory formats including X12 837, HL7, EBCDIC files, etc.
? Deep expertise in data masking, governance frameworks, and working in HIPAA\-regulated environments.
? Familiarity and working knowledge in adhering to CI/CD processes and practices in a cloud ecosystem.
? Proficiency in PySpark, SQL, Delta Lake, and data transformation in Databricks.
? Solid understanding of data ingestion from AWS (S3, Glue, Lambda) into Databricks.
**Preferred Skills:**
? Familiarity with FHIR, X12 837, HL7, or other clinical data standards.
? Experience with Unity Catalog and Lakehouse governance frameworks.
? Knowledge of Agile methodologies and CI/CD practices for data pipelines.
? This role is healthcare domain\-focused, and prior experience working with payers, providers, or healthcare clearinghouses is highly desirable.
Pay: $55\.00 \- $80\.00 per hour
Benefits:
* Flexible schedule
* Health insurance
* Tuition reimbursement
* Vision insurance
Work Location: Remote</t>
        </is>
      </c>
    </row>
    <row r="10">
      <c r="A10" t="inlineStr">
        <is>
          <t>in-dd96cd8f07a6f987</t>
        </is>
      </c>
      <c r="B10" t="inlineStr">
        <is>
          <t>Data Engineer, Denied Party Screening, AWS Compliance &amp; Security Assurance</t>
        </is>
      </c>
      <c r="C10" t="inlineStr">
        <is>
          <t>Amazon.com</t>
        </is>
      </c>
      <c r="D10" t="inlineStr">
        <is>
          <t>indeed</t>
        </is>
      </c>
      <c r="E10">
        <f>HYPERLINK("https://www.indeed.com/viewjob?jk=dd96cd8f07a6f987", "https://www.indeed.com/viewjob?jk=dd96cd8f07a6f987")</f>
        <v/>
      </c>
      <c r="F10">
        <f>HYPERLINK("https://www.amazon.jobs/jobs/3160403/data-engineer-denied-party-screening-aws-compliance--security-assurance?cmpid=DA_INAD200785B", "https://www.amazon.jobs/jobs/3160403/data-engineer-denied-party-screening-aws-compliance--security-assurance?cmpid=DA_INAD200785B")</f>
        <v/>
      </c>
      <c r="G10" t="inlineStr">
        <is>
          <t>Seattle, WA, US</t>
        </is>
      </c>
      <c r="H10" s="3" t="n">
        <v>46029</v>
      </c>
      <c r="I10"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1">
      <c r="A11" t="inlineStr">
        <is>
          <t>in-28f69eda26af0c72</t>
        </is>
      </c>
      <c r="B11" t="inlineStr">
        <is>
          <t>Data Engineer, Denied Party Screening, AWS Compliance &amp; Security Assurance</t>
        </is>
      </c>
      <c r="C11" t="inlineStr">
        <is>
          <t>Amazon.com</t>
        </is>
      </c>
      <c r="D11" t="inlineStr">
        <is>
          <t>indeed</t>
        </is>
      </c>
      <c r="E11">
        <f>HYPERLINK("https://www.indeed.com/viewjob?jk=28f69eda26af0c72", "https://www.indeed.com/viewjob?jk=28f69eda26af0c72")</f>
        <v/>
      </c>
      <c r="F11">
        <f>HYPERLINK("https://www.amazon.jobs/jobs/3160403/data-engineer-denied-party-screening-aws-compliance--security-assurance?cmpid=DA_INAD200785B", "https://www.amazon.jobs/jobs/3160403/data-engineer-denied-party-screening-aws-compliance--security-assurance?cmpid=DA_INAD200785B")</f>
        <v/>
      </c>
      <c r="G11" t="inlineStr">
        <is>
          <t>Dallas, TX, US</t>
        </is>
      </c>
      <c r="H11" s="3" t="n">
        <v>46029</v>
      </c>
      <c r="I1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2">
      <c r="A12" t="inlineStr">
        <is>
          <t>in-9afdd228bbabefb4</t>
        </is>
      </c>
      <c r="B12" t="inlineStr">
        <is>
          <t>Data Engineer</t>
        </is>
      </c>
      <c r="C12" t="inlineStr">
        <is>
          <t>Amazon.com</t>
        </is>
      </c>
      <c r="D12" t="inlineStr">
        <is>
          <t>indeed</t>
        </is>
      </c>
      <c r="E12">
        <f>HYPERLINK("https://www.indeed.com/viewjob?jk=9afdd228bbabefb4", "https://www.indeed.com/viewjob?jk=9afdd228bbabefb4")</f>
        <v/>
      </c>
      <c r="F12">
        <f>HYPERLINK("https://www.amazon.jobs/jobs/3141339/data-engineer?cmpid=DA_INAD200785B", "https://www.amazon.jobs/jobs/3141339/data-engineer?cmpid=DA_INAD200785B")</f>
        <v/>
      </c>
      <c r="G12" t="inlineStr">
        <is>
          <t>San Francisco, CA, US</t>
        </is>
      </c>
      <c r="H12" s="3" t="n">
        <v>46001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in-f05c27ae8edd54cf</t>
        </is>
      </c>
      <c r="B13" t="inlineStr">
        <is>
          <t>Data Engineer</t>
        </is>
      </c>
      <c r="C13" t="inlineStr">
        <is>
          <t>Amazon.com</t>
        </is>
      </c>
      <c r="D13" t="inlineStr">
        <is>
          <t>indeed</t>
        </is>
      </c>
      <c r="E13">
        <f>HYPERLINK("https://www.indeed.com/viewjob?jk=f05c27ae8edd54cf", "https://www.indeed.com/viewjob?jk=f05c27ae8edd54cf")</f>
        <v/>
      </c>
      <c r="F13">
        <f>HYPERLINK("https://www.amazon.jobs/jobs/3141339/data-engineer?cmpid=DA_INAD200785B", "https://www.amazon.jobs/jobs/3141339/data-engineer?cmpid=DA_INAD200785B")</f>
        <v/>
      </c>
      <c r="G13" t="inlineStr">
        <is>
          <t>Seattle, WA, US</t>
        </is>
      </c>
      <c r="H13" s="3" t="n">
        <v>46001</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in-727b2084b2c0acc2</t>
        </is>
      </c>
      <c r="B14" t="inlineStr">
        <is>
          <t>Delivery Consultant - Data Engineer, Data and Machine Learning, WWPS US Federal</t>
        </is>
      </c>
      <c r="C14" t="inlineStr">
        <is>
          <t>Amazon Web Services</t>
        </is>
      </c>
      <c r="D14" t="inlineStr">
        <is>
          <t>indeed</t>
        </is>
      </c>
      <c r="E14">
        <f>HYPERLINK("https://www.indeed.com/viewjob?jk=727b2084b2c0acc2", "https://www.indeed.com/viewjob?jk=727b2084b2c0acc2")</f>
        <v/>
      </c>
      <c r="F14">
        <f>HYPERLINK("https://www.amazon.jobs/jobs/3134583/delivery-consultant--data-engineer-data-and-machine-learning-wwps-us-federal?cmpid=DA_INAD200785B", "https://www.amazon.jobs/jobs/3134583/delivery-consultant--data-engineer-data-and-machine-learning-wwps-us-federal?cmpid=DA_INAD200785B")</f>
        <v/>
      </c>
      <c r="G14" t="inlineStr">
        <is>
          <t>Arlington, VA, US</t>
        </is>
      </c>
      <c r="H14" s="3" t="n">
        <v>45991</v>
      </c>
      <c r="I1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in-5f5776f8f6b8bf9e</t>
        </is>
      </c>
      <c r="B15" t="inlineStr">
        <is>
          <t>Delivery Consultant - Data Engineer, Data and Machine Learning, WWPS US Federal</t>
        </is>
      </c>
      <c r="C15" t="inlineStr">
        <is>
          <t>Amazon Web Services</t>
        </is>
      </c>
      <c r="D15" t="inlineStr">
        <is>
          <t>indeed</t>
        </is>
      </c>
      <c r="E15">
        <f>HYPERLINK("https://www.indeed.com/viewjob?jk=5f5776f8f6b8bf9e", "https://www.indeed.com/viewjob?jk=5f5776f8f6b8bf9e")</f>
        <v/>
      </c>
      <c r="F15">
        <f>HYPERLINK("https://www.amazon.jobs/jobs/3134583/delivery-consultant--data-engineer-data-and-machine-learning-wwps-us-federal?cmpid=DA_INAD200785B", "https://www.amazon.jobs/jobs/3134583/delivery-consultant--data-engineer-data-and-machine-learning-wwps-us-federal?cmpid=DA_INAD200785B")</f>
        <v/>
      </c>
      <c r="G15" t="inlineStr">
        <is>
          <t>Herndon, VA, US</t>
        </is>
      </c>
      <c r="H15" s="3" t="n">
        <v>45991</v>
      </c>
      <c r="I1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li-4297753022</t>
        </is>
      </c>
      <c r="B2" t="inlineStr">
        <is>
          <t>Sr. Product Manager, Data Engineering</t>
        </is>
      </c>
      <c r="C2" t="inlineStr">
        <is>
          <t>Databricks</t>
        </is>
      </c>
      <c r="D2" t="inlineStr">
        <is>
          <t>linkedin</t>
        </is>
      </c>
      <c r="E2" t="inlineStr"/>
      <c r="F2" t="inlineStr"/>
      <c r="G2" t="inlineStr">
        <is>
          <t>San Francisco, CA</t>
        </is>
      </c>
      <c r="H2" t="inlineStr"/>
      <c r="I2" t="inlineStr">
        <is>
          <t>P\-8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Data Engineering is foundational and among the largest scale workloads on the Databrick Data Intelligence Platform. We are reinventing Data Engineering with Lakeflow \- a unified product and experience for simple data ingestion, declarative data transformation, and real\-time streaming. In this role, you will lead product management for a core Lakeflow product area. You will own and drive all aspects of product management including vision, strategy, roadmap, execution, and go\-to\-marketing. In addition, you will partner closely with various Databricks product teams to enable Data Engineering for the overall Databrick product portfolio including data science, data warehousing, business intelligence, and machine learning products.
**The impact you will have**
* Lead product management for one of the fastest growing products and businesses at Databricks
* Make company wide impact by driving Data Engineering across the Databricks product portfolio
* Develop and deepen understanding of and expertise in Data Engineering, a foundational domain in the data and AI industry
* Define, shape, and drive the future of data processing, data applications, and data pipelines
* Own the full life cycle of product development from ideation to requirements, development, pricing, launch, and go\-to\-market.
**What We Look For**
* 5\+ years of product management and related experience with enterprise or SaaS products.
* Educational or professional background in computer science or related engineering fields.
* Ability to partner with senior technical leaders from Engineering, while going deep on technical concepts.
* Track record of delivering products with cross\-functional teams common to enterprise software industry (field engineering, sales, marketing, partnerships, etc.)
* Analytical skills to make data\-driven decisions (e.g. analyze product usage)
* Excellent communication skills to clearly and concisely communicate complex topics to diverse stakeholders (engineers, customers, etc.) in written and verbal form
* A background in Data Engineering is a plus but not required.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$115,400—$204,200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3">
      <c r="A3" t="inlineStr">
        <is>
          <t>li-4298414251</t>
        </is>
      </c>
      <c r="B3" t="inlineStr">
        <is>
          <t>Analytics Engineer II</t>
        </is>
      </c>
      <c r="C3" t="inlineStr">
        <is>
          <t>StubHub</t>
        </is>
      </c>
      <c r="D3" t="inlineStr">
        <is>
          <t>linkedin</t>
        </is>
      </c>
      <c r="E3" t="inlineStr"/>
      <c r="F3" t="inlineStr"/>
      <c r="G3" t="inlineStr">
        <is>
          <t>New York, NY</t>
        </is>
      </c>
      <c r="H3" t="inlineStr"/>
      <c r="I3"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 are seeking talented
 **Analytics Engineer** 
 from mid to senior levels to join StubHub’s Data Engineering \&amp; Analytics organization. In this role you will be responsible for scaling both analytic products (data assets, dashboards, tools/services) and analytic frameworks (decision frameworks, metrics, analytical models). You will be a “force multiplier” who significantly improves and speeds up StubHub’s ability to make great data\-informed decisions.
**Location: Hybrid (3 days in office/2 days remote) – New York, NY or* 
*Century City* 
*, CA**
**About The Team**
 The Analytics Engineering team exists to enable robust data\-informed decision making that steers our business growth goals, through the creation of high\-quality data products and scaled insights. Analytics Engineering helps solve the scale problems and common data access patterns encountered by analysts, data scientists, and other business data consumers. All data modules and tools owned by AE are then leveraged not only by members of that business domain, but also data consumers from across the company. We are looking for the right person who can operate and translate across all parts of the business.
**What You'll Do**
* Manage cross\-functional analytical data models, metric frameworks and implementations, and self\-serve dashboards/tools
* Specialize in one or more business domains, building deep expertise and anticipating the needs of that business vertical
* Collaborate cross functionally with business and product teams while simultaneously "speaking the language” of engineering teams, oftentimes acting as proxy for one or the other
**What You've Done**
* 3\-5 years of relevant analytics engineering, data engineering, or business intelligence experience in a fast paced, high growth environment
* Proficiency with transforming and analyzing large scale data with modern cloud computing platforms (e.g. SparkSQL, BigQuery, Snowflake, Databricks)
* High proficiency with SQL and experience with one or more programming languages (e.g. Python, Java) and markup/configuration languages (e.g. YAML)
* Proficiency in building data models and pipelines using orchestration software (e.g. Airflow, dbt)
* Experience building reports/dashboards with business intelligence (BI) tools, such as Tableau and Looker
* Exposure to both batch data processing and real\-time streaming technologies
* Familiarity with data cataloging and metadata management tools
* Passionate about working with non\-technical stakeholders to understand, anticipate, and deliver on their data needs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$150,000—$200,000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4">
      <c r="A4" t="inlineStr">
        <is>
          <t>li-4299048610</t>
        </is>
      </c>
      <c r="B4" t="inlineStr">
        <is>
          <t>Analytics Engineer, Product Analytics</t>
        </is>
      </c>
      <c r="C4" t="inlineStr">
        <is>
          <t>Airtable</t>
        </is>
      </c>
      <c r="D4" t="inlineStr">
        <is>
          <t>linkedin</t>
        </is>
      </c>
      <c r="E4" t="inlineStr"/>
      <c r="F4" t="inlineStr"/>
      <c r="G4" t="inlineStr"/>
      <c r="H4" t="inlineStr"/>
      <c r="I4" t="inlineStr">
        <is>
          <t>Airtable is the no\-code app platform that empowers people closest to the work to accelerate their most critical business processes. More than 500,000 organizations, including 80% of the Fortune 100, rely on Airtable to transform how work gets done.
 As an Analytics Engineer at Airtable, you’ll play a pivotal role in shaping our product strategy through data. You’ll design, implement, and maintain robust data pipelines and analytics tools that empower our teams to make informed decisions. This is a unique opportunity to own critical analytics infrastructure, collaborate with cross\-functional partners, and directly influence the direction of our product. If you’re passionate about transforming data into actionable insights and want to make a tangible impact at scale, we’d love to meet you.
**What You'll Do**
* Own and maintain core product data pipelines across tools such as dbt, Databricks, Looker, and Omni Analytics, ensuring reliability and scalability
* Build and refine dashboards that deliver self\-serve, real\-time insights for high\-priority product areas
* Partner with product and engineering teams to define tracking requirements, implement instrumentation, validate data, and deliver launch\-specific dashboards or reports
* Establish trusted partnerships with product managers, engineers, analysts, and leadership, serving as the go\-to resource for product data insights and technical guidance
* Lead analytics engineering efforts for high\-impact product launches, including documentation of tracking plans, launch pipelines, and post\-launch reporting
* Participate in or lead cross\-functional projects where analytics engineering contributions directly influence product strategy decisions
**Who You Are**
* Bachelor’s degree in computer science, data science, mathematics/statistics, or a related field (or related experience)
* 3–5 years of experience working with data, with at least 1 year partnering with product stakeholders
* Curiosity and fluency with AI/LLM tools (ChatGPT, Claude, Cursor, etc.) applying them to accelerate data exploration, automate workflows, and enhance analytics productivity
* Experience in SaaS, consumer tech, or data\-driven product environments
* Proficiency with SQL and data modeling best practices (e.g., dbt, Databricks, Snowflake, BigQuery)
* Experience with BI tools and BI modeling best practices (e.g., Looker, Omni Analytics, Tableau, Mode, Hex)
* Understanding of user funnels, retention metrics, and growth analytics
* Strong ability to ensure data accuracy, reliability, and consistency
* Ability to translate business questions into analytical approaches, interpret results, and communicate actionable insights
* Knowledge of product analytics tracking frameworks (e.g., Segment, Amplitude, Mixpanel, GA4\) and event taxonomy design
* Familiarity with A/B testing design, execution, and analysis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$143,600 \- $177,200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5">
      <c r="A5" t="inlineStr">
        <is>
          <t>li-4120825575</t>
        </is>
      </c>
      <c r="B5" t="inlineStr">
        <is>
          <t>Data Engineer, Product Analytics</t>
        </is>
      </c>
      <c r="C5" t="inlineStr">
        <is>
          <t>Meta</t>
        </is>
      </c>
      <c r="D5" t="inlineStr">
        <is>
          <t>linkedin</t>
        </is>
      </c>
      <c r="E5" t="inlineStr"/>
      <c r="F5" t="inlineStr"/>
      <c r="G5" t="inlineStr">
        <is>
          <t>Burlingame, CA</t>
        </is>
      </c>
      <c r="H5" t="inlineStr"/>
      <c r="I5"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li-4120824577</t>
        </is>
      </c>
      <c r="B6" t="inlineStr">
        <is>
          <t>Data Engineer, Product Analytics</t>
        </is>
      </c>
      <c r="C6" t="inlineStr">
        <is>
          <t>Meta</t>
        </is>
      </c>
      <c r="D6" t="inlineStr">
        <is>
          <t>linkedin</t>
        </is>
      </c>
      <c r="E6" t="inlineStr"/>
      <c r="F6" t="inlineStr"/>
      <c r="G6" t="inlineStr">
        <is>
          <t>San Francisco, CA</t>
        </is>
      </c>
      <c r="H6" t="inlineStr"/>
      <c r="I6"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li-4323930224</t>
        </is>
      </c>
      <c r="B7" t="inlineStr">
        <is>
          <t>Data Engineer II - QuantumBlack, AI by McKinsey (Critical Industries)</t>
        </is>
      </c>
      <c r="C7" t="inlineStr">
        <is>
          <t>QuantumBlack, AI by McKinsey</t>
        </is>
      </c>
      <c r="D7" t="inlineStr">
        <is>
          <t>linkedin</t>
        </is>
      </c>
      <c r="E7" t="inlineStr"/>
      <c r="F7" t="inlineStr"/>
      <c r="G7" t="inlineStr">
        <is>
          <t>New York, NY</t>
        </is>
      </c>
      <c r="H7" t="inlineStr"/>
      <c r="I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Data Engineer II, you will design, build, and optimize modern data platforms that power advanced analytics and AI solutions.
 You’ll collaborate with clients and interdisciplinary teams to architect scalable pipelines, manage secure and compliant data environments, and unlock the value of complex datasets across industries. You’ll sharpen your expertise by working on innovative projects, contributing to R\&amp;D, and learning from top\-tier talent in a dynamic, global environment.
 Your work will drive lasting impact. By ensuring data is accurate, accessible, and production\-ready, you’ll enable clients to accelerate digital transformations, adopt AI responsibly, and achieve measurable business outcomes. Here’s how you might contribute in a given year:
* Develop a streaming data platform to integrate telemetry for predictive maintenance in aerospace systems
* Implement secure data pipelines that reduce time\-to\-insight for a Fortune 500 utility company
* Optimize large\-scale batch and streaming workflows for a global financial services client, cutting infrastructure costs while improving performance.
* Develop pipelines for embeddings and vector databases to enable retrieval\-augmented generation (RAG) for a global defense client.
 You’ll work in cross\-functional Agile teams with Data Scientists, Machine Learning Engineers, Designers, and domain experts to deliver high\-quality analytics solutions. Partnering closely with clients—from data owners to C\-level executives—you’ll shape data ecosystems that drive innovation and long\-term resilience.
 You should expect this role to include at least some work in critical industries (Government, Defense, Aerospace, Utilities, Oil and Gas), but you will have the ability to serve other industries as well.
 This role offers an exceptional environment to grow as a technologist and collaborator. You’ll develop expertise at the intersection of technology and business by tackling diverse challenges while collaborating with some of the best technical and business talent in the world.
 There is flexibility to hire at the Engineer I/II or Senior Engineer level, depending on your experience
**Your Qualifications and Skills**
* U.S. Citizenship is required for this role (you must be able to be staffed on Critical Industries work which includes Government, Defense, Aerospace, Utilities, etc.)
* Degree in Computer Science, Business Analytics, Engineering, Mathematics, or related field
* 2\+ years of professional experience in data engineering, software engineering, or adjacent technical roles
* Proficiency in Python, Scala, or Java for production\-grade pipelines, with strong skills in SQL and PySpark
* Hands\-on experience with cloud platforms such as (AWS, GCP, Azure, Oracle) and modern data storage/warehouse solutions such as Snowflake, BigQuery, Redshift, and Delta Lake
* Practical experience with Databricks, AWS Glue, and transformation frameworks like dbt, Dataform, or Databricks Asset Bundles
* Knowledge of distributed systems such as (Spark, Dask, Flink) and streaming platforms (Kafka, Kinesis, Pulsar) for real\-time and batch processing
* Familiarity with workflow orchestration tools such as (Airflow, Dagster, Prefect), CI/CD for data workflows, and infrastructure\-as\-code (Terraform, CloudFormation)
* Understanding of DataOps principles including pipeline monitoring, testing, and automation, with exposure to observability tools such as Datadog, Prometheus, and Great Expectations
* Exposure to ML platforms such as (Databricks, SageMaker, Vertex AI), MLOps best practices, and GenAI toolkits (LangChain, LlamaIndex, Hugging Face)
* Willingness to travel as required
* Strong communication, time management, and resilience, with the ability to align technical solutions to business value</t>
        </is>
      </c>
    </row>
    <row r="8">
      <c r="A8" t="inlineStr">
        <is>
          <t>li-4317153184</t>
        </is>
      </c>
      <c r="B8" t="inlineStr">
        <is>
          <t>DATA ENGINEER</t>
        </is>
      </c>
      <c r="C8" t="inlineStr">
        <is>
          <t>Greater Nevada Credit Union</t>
        </is>
      </c>
      <c r="D8" t="inlineStr">
        <is>
          <t>linkedin</t>
        </is>
      </c>
      <c r="E8" t="inlineStr"/>
      <c r="F8" t="inlineStr"/>
      <c r="G8" t="inlineStr">
        <is>
          <t>Nevada, United States</t>
        </is>
      </c>
      <c r="H8" t="inlineStr"/>
      <c r="I8" t="inlineStr">
        <is>
          <t>At Greater Nevada, our passion is helping more people Live Greater, including our members, communities, and each other.
 With pride, we strive to make a difference in the lives of our members and the communities they live in through financial inclusion, education, and empowerment. Why? Simply because we believe that together, we Live Greater.
**To Do This, We Practice C.A.R.E. With Our Values**
* We Care Genuinely.
* We build relationships because we know that we are Greater Together.
* We Stay Trustworthy as we serve our communities.
* "Be Bright" rings in our ears as we find custom solutions that meet our members' needs.
* We Inspire One Another, our members, and our communities to re\-imagine what Living Greater can be.
* In every moment, we Enjoy the Experience. It's what has made the last 70 years greater and what we carry into the future as we continue to serve.
 These values have guided us to become the largest Nevada\-based credit union to touch the lives of more than 88,500 members and thousands upon thousands of people through our community and philanthropic work.
 If you’re enthusiastic, collaborative, and ready to make an impact, we’d love to meet you!
**About The Position**
 The Data Engineer is responsible for the design, development, and management of all of Greater Nevada’s data architecture, pipelines, and monitoring of data. The data engineer acts as a technical resource for all data\-related initiatives, serves as the liaison between the technical teams and the business, along with the business intelligence (BI) team, and is responsible for executing data quality/data integrity initiatives across the enterprise.
**What You'll Be Doing**
* Architect, manage, and improve GNCU’s data lake, data warehouse and data marts. Responsible for ETL (Extract, Transform, Load) of data. This includes creation and sustainment of data pipelines.
* Responsible for all data collection, processing, storing, etc. Responsible for creating, maintaining, and executing scripts and programs to ensure standards across all platforms and to automate data operations.
* Is the owner and authority for troubleshooting actions when issues occur, identifies and documents root cause, devises and implements processes to ensure the overall integrity of data.
* Owns and maintains the data dictionaries, Wiki’s, Knowledge Bases for all data and integrations.
* Available after hours should an emergency situation arise.
**Qualifications**
* Python and/or T\-SQL: 5\+ years experience required
* SQL, Oracle and/or Snowflake: 5\+ years experience preferred
* Familiarity with PowerBI and Crystal reports required
* Data Engineer: 3\+ years experience preferred
* Information Technology: 8\+ years experience preferred
**Skills \&amp; Competencies**
* Highly proficient with SQL, Snowflake and Oracle.
* Advanced knowledge with programming languages, database management and data warehousing technologies.
* Motivated to stay current with emerging technologies, trends, and methodologies.
* Adept at change management process in support of infrastructure solutions and operational changes.
* Detail oriented with excellent documentation skills.
**Physical Demands**
* While performing the duties of your job, you may regularly be required to sit and use a keyboard, multiple monitors, mouse, and telephone (including repetitive motions with hands, fingers, arms, etc.) for extended periods of time. You may also frequently be required to stand, walk, and reach with hands and arms, bend, and kneel.
* You may occasionally be required to lift and/or move up to 40 pounds. Anything above 40 pounds requires a team lift.
* Location and Travel Requirements
 The Data Engineer can be Remote on the West Coast (excluding California), or at one of our office locations in Reno or Carson City, Nevada.
**Compensation \&amp; Benefits**
* $105,000\.00\-$150,000 per year
* Compensation is dependent on experience
* Medical, dental, and vision plans, where we cover 90% of employee costs and about 75% of the costs for their dependents
* Health Savings Account contributions
* Supplemental insurance and life insurance plans
* Paid time off, including vacation and sick time, 12 annual paid holidays, 2 floating holidays, 1 floating wellness day and sabbatical leave after every seven years of employment
* Paid time to volunteer and make a contribution to the community
* Employee product and service discounts
**Greater Nevada is an Equal Opportunity Employer**
 Employment at Greater Nevada is based solely on a person's merit and qualifications directly related to professional competence. Greater Nevada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9">
      <c r="A9" t="inlineStr">
        <is>
          <t>li-4370331533</t>
        </is>
      </c>
      <c r="B9" t="inlineStr">
        <is>
          <t>Data Engineer, Sr.</t>
        </is>
      </c>
      <c r="C9" t="inlineStr">
        <is>
          <t>Wiraa</t>
        </is>
      </c>
      <c r="D9" t="inlineStr">
        <is>
          <t>linkedin</t>
        </is>
      </c>
      <c r="E9" t="inlineStr"/>
      <c r="F9" t="inlineStr"/>
      <c r="G9" t="inlineStr"/>
      <c r="H9" t="inlineStr"/>
      <c r="I9" t="inlineStr">
        <is>
          <t>**About The Company**
 FutureFit AI is a leading organization dedicated to leveraging advanced data solutions to transform workforce development and talent management. Committed to innovation and excellence, the company specializes in creating scalable data platforms that enable organizations to make data\-driven decisions. With a focus on diversity, inclusion, and technological advancement, FutureFit AI fosters a collaborative environment where employees are empowered to contribute to impactful projects that shape the future of workforce analytics and development.
**About The Role**
 We are seeking a highly skilled Sr. Data Engineer to join our dynamic team. In this role, you will be responsible for building and maintaining robust data infrastructure, including data pipelines, warehousing solutions, and machine learning platforms. You will collaborate closely with data scientists and cross\-functional teams to develop scalable data solutions that support our product offerings and business objectives. Your expertise will ensure data quality, governance, and seamless integration across various platforms, enabling the company to derive actionable insights and drive strategic decisions. This position offers an exciting opportunity to work with cutting\-edge technologies and contribute to innovative projects in a remote setting within Canada or the USA.
**Qualifications**
* Bachelor’s degree in Computer Science, Data Science, or a related field
* Proven experience in data engineering or related roles
* Strong proficiency in SQL and Python for data analysis and pipeline development
* Experience building and maintaining data pipelines, warehouses, and infrastructure
* Familiarity with visualization tools such as Looker, Power BI, or Tableau
* Knowledge of structured and unstructured data, including NoSQL databases like MongoDB
* Understanding of data governance and quality best practices
* Excellent communication skills to convey technical insights to diverse stakeholders
* Ability to translate ambiguous business problems into clear, actionable insights
* Experience with data orchestration tools such as Airflow and DBT is preferred
* Experience with machine learning platforms like AWS SageMaker is a plus
* Knowledge of AWS services including S3, Lambda, Glue, and Redshift
* Open\-minded, impact\-driven, and collaborative approach to work
**Responsibilities**
* Build and maintain scalable data infrastructure, including pipelines, data warehouses, and machine learning platforms
* Develop data solutions in collaboration with data scientists to support product scaling and quality
* Ensure adherence to data governance and quality standards across all systems
* Integrate cross\-platform data to address product, engineering, and go\-to\-market needs
* Continuously evolve core data models by incorporating new high\-value data sources
* Contribute to the onboarding process by understanding core data entities and contributing to pipelines within the first 30 days
* Work with data scientists to streamline workflows and maintain data catalog metrics, dimensions, and lineage by 60 days
* Automate reporting workflows from data ingestion to dashboards, providing insights to stakeholders by 90 days
* Translate complex business problems into technical solutions and insights
* Maintain and optimize data infrastructure to ensure accuracy, reliability, and alignment with business goals
* Communicate technical concepts effectively to both technical and non\-technical audiences
**Benefits**
* Competitive base salary ranging from $150,000 to $180,000 (local currency)
* Remote work flexibility within Canada or the USA
* Travel opportunities up to once per quarter
* Access to cutting\-edge tools and technologies
* Professional development and growth opportunities
* Collaborative and inclusive work environment
* Confidential benefits package disclosed during the interview process
 Equal Opportunity
 FutureFit AI is an equal opportunity workplace. We celebrate diversity and are committed to creating an inclusive environment for all employees. We do not discriminate based on race, gender, age, disability, or any other protected characteristic. We encourage individuals from all backgrounds to apply and participate fully in our hiring process.</t>
        </is>
      </c>
    </row>
    <row r="10">
      <c r="A10" t="inlineStr">
        <is>
          <t>li-4353690702</t>
        </is>
      </c>
      <c r="B10" t="inlineStr">
        <is>
          <t>Analytics Engineer 5 - Corporate Finance</t>
        </is>
      </c>
      <c r="C10" t="inlineStr">
        <is>
          <t>Netflix</t>
        </is>
      </c>
      <c r="D10" t="inlineStr">
        <is>
          <t>linkedin</t>
        </is>
      </c>
      <c r="E10" t="inlineStr"/>
      <c r="F10" t="inlineStr"/>
      <c r="G10" t="inlineStr"/>
      <c r="H10" t="inlineStr"/>
      <c r="I10"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Our Corporate Finance team, part of Finance Data Science and Engineering (DSE), brings this same innovative approach to our financial operations. As trusted partners to our finance stakeholders, we analyze key metrics, surface actionable insights, and drive value for the business. As Netflix continues to grow, the need for advanced analytics in Finance is greater than ever – leveraging cutting\-edge techniques to uncover deeper insights and identify new opportunities for impact.
 You’ll play a key role in shaping the future of how our team builds business\-critical revenue data products within Corporate Finance at Netflix, helping unlock new value and drive strategic decision\-making through data. Learn more from our blog on how Finance AEs are driving the business forward through data.
**In This Role, You Will**
* Champion a “data as a product” mindset: Set the standard for robust documentation, testing, and data model design – making revenue data products easy to understand, trust, and extend.
* Mentor and uplevel the team: Share best practices in analytics engineering, code quality, and documentation; coach others to adopt product\-minded approaches and raise AE standards across the org.
* Partner cross\-functionally with Finance, Data Science, Data Engineering, and Revenue stakeholders to define the future vision for key revenue data products, surfacing opportunities for innovation and improved business impact.
* Continuously improve business\-critical analytics workflows for revenue that power Investor Relations reporting and all downstream revenue consumers, ensuring reliability, scalability, and transparency.
* Drive root\-cause analysis and ask “why” to deeply understand the drivers of revenue data issues, proactively identifying improvements to workflows, code, and models.
* Implement and advocate for orchestration best practices to ensure the reliability and timeliness of revenue data pipelines.
* Leverage AI tools (e.g., Claude Code, Cursor, MCP servers) to boost developer productivity and workflow efficiency, and share learnings with the team.
* Contribute to the adoption of modern AE standards (e.g., WAP—Write Audit Publish) and help define best practices for documentation, testing, and code review.
* Work with modern data infrastructure (Iceberg, SQL, orchestration tools), with opportunities to influence adoption of new tools (e.g., DBT, Pandas).
**Technical Skills**
* Demonstrated ability to write clean, readable, and impactful SQL code.
* Advanced SQL skills for analytics data processing (orchestration, metrics creation, documentation).
* Familiarity with DBT or other semantic data modeling tools for strong data foundations.
* Experience with AI tools for automation (e.g., Cursor, Claude, Commands, Rules) is a plus.
* Experience with Python Pandas framework is a plus.
**What Sets You Apart**
* 8\+ years in analytics/data engineering, ideally in high\-stakes, business\-critical data environments.
* Data\-as\-a\-product mentality and ability to influence and drive cross\-functional change from specification, planning, implementation, and beyond launch.
* Deep sense of ownership, curiosity, and a drive to get at the “why” behind data and workflow design.
* Proven ability to mentor, influence, and raise the bar for technical and product standards within a team.
* Excellent communication skills for both technical and non\-technical audiences.
* Collaborative, innovative, and comfortable navigating ambiguity in a fast\-moving environment.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$330,000\.00 \- $566,000\.00\.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1">
      <c r="A11" t="inlineStr">
        <is>
          <t>li-4336163653</t>
        </is>
      </c>
      <c r="B11" t="inlineStr">
        <is>
          <t>Sr. Data Engineer</t>
        </is>
      </c>
      <c r="C11" t="inlineStr">
        <is>
          <t>MFS Investment Management</t>
        </is>
      </c>
      <c r="D11" t="inlineStr">
        <is>
          <t>linkedin</t>
        </is>
      </c>
      <c r="E11" t="inlineStr"/>
      <c r="F11" t="inlineStr"/>
      <c r="G11" t="inlineStr">
        <is>
          <t>Boston, MA</t>
        </is>
      </c>
      <c r="H11" t="inlineStr"/>
      <c r="I11"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The Sr. Data Engineer will play a critical role in enhancing and maintaining a data platform for execution and operations research within the trading department. The candidate will be working as a part of a team of Quantitative Trading Strategists to store new data sets, ensure reliability of data pipelines, build out additional capabilities across multiple asset classes. The Sr. Data Engineer will work across vendors and internal teams to ensure seamless, scalable data flows are built in an accessible way throughout the trading ecosystem.
**What You Will Do**
* Design, build, and maintain scalable data pipelines to ingest data from numerous sources.
* Proactively and independently work to enhance reliability of data capture.
* Collaborate with team to develop processes to transform raw data into more usable data sets.
* Find and action opportunities for automation in analytics production.
* Implement robust data quality checks and enhance monitoring for data pipelines.
* Partner with Quantitative Trading Strategists to improve current platform capabilities and performance.
**What We Are Looking For**
* Bachelor’s degree in Computer Science or Engineering, with a focus on software engineering. Knowledge of data science or statistics is beneficial.
* Minimum of three to five years of experience in a data intensive field.
* Experience with Python, KDB/Q or other programming languages with a focus on interfacing with high volume data.
* Experience working with large data sets, structured and unstructured
* Experience with data visualization and concepts around display of data
* Equity and fixed income quantitative background, market structure knowledge, plus experience with trading processes and/or transaction cost analysis (TCA).
* Ability to work independently and proactively generate project ideas.
* Strong interpersonal and communication skills.
* Some international travel.
 Base Salary Range: $95,500 \- $137,500
 This position is eligible for competitive incentive bonus.
**Education**
 At MFS, we believe in fair and transparent compensation. For that reason, we’re including the salary range for this position. This range reflects our good\-faith expectation for what we’ll pay depending on the candidate’s experience, training and education. In addition to the salary, we also offer significant and competitive incentive compensation based on both individual and company performance. Other components of our Total Rewards Package include:
* MFS contributes an amount equal to 15% of your base salary to your retirement account that is separate from the company \-sponsored 401(k)
* Education Assistance: MFS contributes $100 monthly up to $10,000 lifetime maximum directly to loan provider
* Education Assistance: Tuition reimbursement up to $8,000 annually
* Education Assistance: Access to discounted tutors and college coaches
* Generous time off and fully paid leaves including 20\-weeks for maternity, 12\-weeks for parental and caregiver leaves
* Choice of medical and dental plans and an and an employer contribution into the Health Savings Account
* Tax deferred commuter benefits \&amp; flexible spending accounts (medical \&amp; dependent care)
* Wellness Programs: Robust wellness webinars, employee assistance program with a focus on mental health, subsidized fitness benefit via Wellhub (formerly Gympass), where you can workout at gyms, studios and boutique fitness locations near you, join virtual personal training sessions and access a wide variety of well\-being apps
 Our compensation philosophy is to pay competitively for talent while ensuring equity across employees performing comparable work. We are committed to transparency – if you have questions about how we arrived at this range or what additional benefits and bonus opportunities come with the role, we’ll be happy to discuss them
 At MFS, we are dedicated to building a diverse, inclusive and authentic workplace. If you are excited about this role but your past experience doesn't align perfectly, we encourage you to apply \- you might be just the right candidate for this role or others.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linked for your reference.*</t>
        </is>
      </c>
    </row>
    <row r="12">
      <c r="A12" t="inlineStr">
        <is>
          <t>li-4370334168</t>
        </is>
      </c>
      <c r="B12" t="inlineStr">
        <is>
          <t>Data Engineer - 100% Remote</t>
        </is>
      </c>
      <c r="C12" t="inlineStr">
        <is>
          <t>ExecutivePlacements.com</t>
        </is>
      </c>
      <c r="D12" t="inlineStr">
        <is>
          <t>linkedin</t>
        </is>
      </c>
      <c r="E12" t="inlineStr"/>
      <c r="F12" t="inlineStr"/>
      <c r="G12" t="inlineStr">
        <is>
          <t>Spokane, WA</t>
        </is>
      </c>
      <c r="H12" t="inlineStr"/>
      <c r="I12" t="inlineStr">
        <is>
          <t>**Job Title**
 Data Engineer 100% Remote Duration 6 to 12 Months Rate DOE US Citizens and those authorized to work in the are encouraged to apply. We are unable to sponsor at this time. This is a hands on Technical Data Modeler/Engineer role Overall IT 12\+ years; healthcare 5 to 10 years Good understanding of Healthcare Business and Data flows Good logical/physical Data ...</t>
        </is>
      </c>
    </row>
    <row r="13">
      <c r="A13" t="inlineStr">
        <is>
          <t>li-4370330704</t>
        </is>
      </c>
      <c r="B13" t="inlineStr">
        <is>
          <t>Data Engineer</t>
        </is>
      </c>
      <c r="C13" t="inlineStr">
        <is>
          <t>Calyptus</t>
        </is>
      </c>
      <c r="D13" t="inlineStr">
        <is>
          <t>linkedin</t>
        </is>
      </c>
      <c r="E13" t="inlineStr"/>
      <c r="F13" t="inlineStr"/>
      <c r="G13" t="inlineStr">
        <is>
          <t>New York, United States</t>
        </is>
      </c>
      <c r="H13" t="inlineStr"/>
      <c r="I13"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14">
      <c r="A14" t="inlineStr">
        <is>
          <t>li-4370322742</t>
        </is>
      </c>
      <c r="B14" t="inlineStr">
        <is>
          <t>Data Engineer</t>
        </is>
      </c>
      <c r="C14" t="inlineStr">
        <is>
          <t>Intuitive Machines</t>
        </is>
      </c>
      <c r="D14" t="inlineStr">
        <is>
          <t>linkedin</t>
        </is>
      </c>
      <c r="E14" t="inlineStr"/>
      <c r="F14" t="inlineStr"/>
      <c r="G14" t="inlineStr"/>
      <c r="H14" t="inlineStr"/>
      <c r="I14" t="inlineStr">
        <is>
          <t>**About The Company**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on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 This pivotal role involves unifying data from critical manufacturing systems such as CREO, TeamCenter, Solumina, SAP, and IFS to enable advanced analytics, reporting, and operational insights that drive manufacturing excellence for spacecraft production. The successful candidate will design and implement robust data pipelines, establish database operational standards, optimize system performance, and ensure data integrity across our manufacturing ecosystem. Deep expertise in PLM, MES, and ERP systems, along with a strong background in database administration and data engineering, is essential for this role.
**Qualifications**
* Must be a US Citizen or US Permanent Resident (ITAR requirement)
* Bachelor’s Degree in Computer Science, Data Engineering, Information Systems, or related field (or four additional years of relevant experience)
* Minimum of 5 years of hands‑on experience in data engineering or database administration roles
* Experience with PLM systems (TeamCenter, Windchill, or similar) and understanding of CAD data structures
* Experience with MES platforms (Solumina, 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**Responsibilities**
* Design and implement data aggregation pipelines from CREO, TeamCenter, Solumina, SAP, and IFS into centralized data repositories
* Establish data integration standards, processes, and documentation for enterprise manufacturing systems
* Develop ETL/ELT workflows to enable real‑time and batch data synchronization across platforms
* Administer and optimize databases supporting TeamCenter, Solumina, SAP, and IFS environments
* Manage database performance tuning, backup and recovery procedures, and disaster recovery planning
* Monitor database health, implement security controls, and ensure high availability of manufacturing systems
* Serve as technical DBA for PLM (TeamCenter), MES (Solumina), and ERP (SAP, IFS) platforms
* Configure and maintain database connections, user access controls, and system integrations
* Collaborate with application administrators to support system upgrades, patches, and migrations
* Design data models and schemas supporting manufacturing analytics and business intelligence initiatives
* Establish data quality standards, validation rules, and master data management practices
* Implement data governance aligned with aerospace manufacturing compliance requirements (AS9100, ITAR, etc.)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 Implement monitoring and alerting for data pipeline health and database performance
* Continuously evaluate data infrastructure for modernization, automation, and scalability improvements
* Document technical procedures, runbooks, and system architecture diagrams
**Benefits**
* Competitive salary and comprehensive benefits package
* Opportunities for professional development and career growth
* Engagement in innovative space projects supporting NASA and private missions
* Work with a world\-class team of experts in aerospace and manufacturing technology
* Flexible remote work options within the US
* Health insurance, retirement plans, and paid time off
 Equal Opportunity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5">
      <c r="A15" t="inlineStr">
        <is>
          <t>li-4370086624</t>
        </is>
      </c>
      <c r="B15" t="inlineStr">
        <is>
          <t>Real-Time Data Engineer</t>
        </is>
      </c>
      <c r="C15" t="inlineStr">
        <is>
          <t>Bright Vision Technologies</t>
        </is>
      </c>
      <c r="D15" t="inlineStr">
        <is>
          <t>linkedin</t>
        </is>
      </c>
      <c r="E15" t="inlineStr"/>
      <c r="F15" t="inlineStr"/>
      <c r="G15" t="inlineStr">
        <is>
          <t>Dallas, TX</t>
        </is>
      </c>
      <c r="H15" t="inlineStr"/>
      <c r="I15" t="inlineStr">
        <is>
          <t>Bright Vision Technologies is a forward\-thinking software development company dedicated to building innovative solutions that help businesses automate and optimize their operations.
 We leverage cutting\-edge real\-time data processing technologies to build scalable, low\-latency, and fault\-tolerant streaming platforms. As we continue to grow, we’re looking for a skilled
 **Real\-Time Data Engineer (Flink / Spark Streaming)**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Real\-Time Data Engineer (Flink / Spark Streaming)
**Job Location:** 
 Dallas, TX
**Onsite/Hybrid:** 
 Remote
**FULL\-TIME ROLE WITH BRIGHT VISION**
**Environment**
**Job Description:**
 Apache Flink, Spark Streaming, Apache Kafka, Event\-Driven Architecture, Real\-Time Data Pipelines, Java / Scala / Python, Windowing \&amp; State Management, Stream Processing Semantics, SQL, NoSQL Databases, Cloud Platforms (AWS / Azure / GCP), Docker, Linux, CI/CD pipelines, Monitoring \&amp; Alerting, Git,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
 **Real\-Time Data Engineer (Flink / Spark Streaming)** 
 with the above skills and are looking for an
 **H\-1 B sponsorship** 
 this year, please send your resume immediately to Sreedhar
 **@bvteck.com**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t>
        </is>
      </c>
    </row>
    <row r="16">
      <c r="A16" t="inlineStr">
        <is>
          <t>li-4336235346</t>
        </is>
      </c>
      <c r="B16" t="inlineStr">
        <is>
          <t>Senior Data Engineer - GPSC Insights Engineering</t>
        </is>
      </c>
      <c r="C16" t="inlineStr">
        <is>
          <t>General Motors</t>
        </is>
      </c>
      <c r="D16" t="inlineStr">
        <is>
          <t>linkedin</t>
        </is>
      </c>
      <c r="E16" t="inlineStr"/>
      <c r="F16" t="inlineStr"/>
      <c r="G16" t="inlineStr">
        <is>
          <t>Austin, TX</t>
        </is>
      </c>
      <c r="H16" t="inlineStr"/>
      <c r="I16" t="inlineStr">
        <is>
          <t>**Job Description**
**This role is categorized as hybrid. This means the successful candidate is expected to report to Austin, TX three times per week, at minimum \[or other frequency dictated by the business if more than 3 days].**
**The Role**
 Join our GPSC Insight Engineering team, responsible for ideating, incubating, and delivering new data solutions for global purchasing supply chain (GPSC) and our partners.
 As a Senior Data Engineer, you will design, build, and optimize industrialized data assets and data pipelines in support of Business Intelligence and Advanced Analytics objectives. In this role within the GPSC Insights Engineering organization under the Data organization, you will deliver high\-quality, scalable solutions that meet both functional and non\-functional business requirements. You will contribute to projects across databases, streaming technology, CI/CD, and cloud platforms.
 This is a senior\-level role that blends strong data engineering skills with modern software engineering practices. You will help lead and deliver innovative, scalable, and maintainable data\-driven solutions—writing high\-quality, tested, production\-ready code that meets customer needs and scales without rework. You will work in a collaborative, cross\-disciplinary environment, handle complex challenges, contribute to architectural discussions, and help shape solutions that improve performance, scalability, and maintainability, while also ensuring alignment with business priorities.
**What You’ll Do**
* Assemble large, complex data sets that meet functional and non\-functional business requirements.
* Identify, design, and implement process improvements, including automation, data delivery optimization, and infrastructure redesign for scalability.
* Lead and deliver data\-driven solutions across multiple languages, tools, and technologies.
* Contribute to architecture discussions, solution design, and strategic technology adoption.
* Build and optimize highly scalable data pipelines incorporating complex transformations and efficient code.
* Design and develop new source system integrations from varied formats (files, database extracts, APIs).
* Design and implement solutions for delivering data that meets SLA requirements.
* Work with operations teams to resolve production issues related to the platform.
* Apply best practices such as Agile methodologies, design thinking, and continuous deployment.
* Develop tooling and automation to make deployments and production monitoring more repeatable.
* Collaborate with business and technology partners, providing leadership, best practices, and coaching.
* Mentor peers and junior engineers; educate colleagues on emerging industry trends and technologies.
**Your Skills \&amp; Abilities (Required Qualifications)**
* Bachelor’s degree in Computer Science, Software Engineering, or related field, or equivalent experience
* 7\+ years of data engineering/development experience, including Python or Scala, SQL, and relational/non\-relational data storage. (ETL frameworks, big data processing, NoSQL)
* 3\+ years of experience in distributed data processing (Spark) and container orchestration (Kubernetes)
* Proficiency in data streaming in Kubernetes and Kafka
* Experience with cloud platforms – Azure preferred; AWS or GCP also considered.
* Solid understanding of CI/CD principles and tools
* Familiarity with big data technologies such as Hadoop, Hive, HBase, Object Storage (ADLS/S3\), Event Queues.
* Strong understanding of performance optimization techniques such as partitioning, clustering, and caching
* Proficiency with SQL, key\-value datastores, and document stores
* Familiarity with data architecture and modeling concepts to support efficient data consumption
* Strong collaboration and communication skills; ability to work across multiple teams and disciplines.
**What Can Give You a Competitive Advantage (Preferred Qualifications)**
* Master’s degree in Computer Science, Software Engineering, or related field
* Knowledge of data governance, metadata management, or data quality/observability
* Familiarity with schema design and data contracts
* Experience handling various file formats (video, audio, image)
* Experience with Databricks, Snowflake, or similar platforms
* Experience designing and implementing robust data ingestion frameworks for heterogeneous data sources (structured/unstructured files, external suppliers, supplier chain systems).
 This job may be eligible for relocation benefits.
 Compensation:
* The expected base compensation for this role is: $134,000 \- $219,400\.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7">
      <c r="A17" t="inlineStr">
        <is>
          <t>li-4322430222</t>
        </is>
      </c>
      <c r="B17" t="inlineStr">
        <is>
          <t>Data Engineer</t>
        </is>
      </c>
      <c r="C17" t="inlineStr">
        <is>
          <t>Hamilton Lane</t>
        </is>
      </c>
      <c r="D17" t="inlineStr">
        <is>
          <t>linkedin</t>
        </is>
      </c>
      <c r="E17" t="inlineStr"/>
      <c r="F17" t="inlineStr"/>
      <c r="G17" t="inlineStr">
        <is>
          <t>Conshohocken, PA</t>
        </is>
      </c>
      <c r="H17" t="inlineStr"/>
      <c r="I17" t="inlineStr">
        <is>
          <t>Hamilton Lane is looking to expand our team to satisfy the needs of our growing client base. Hamilton Lane is built on collaboration, teamwork and integrity. Our employees pursue excellence and always strive to do the right thing. We invest in our employees, clients and partner relationships, as well as, in the technology and resources necessary to remain competitive, working in a competitive environment that inspires innovation.
**What We Do**
 As a recognized leader in providing Private Markets Solutions to clients across the globe, we manage approximately $140\.9 billion in discretionary assets and have oversight of an additional $845\.3 in non\-discretionary assets as of June 30, 2025\.
**The Opportunity**
 We are seeking a talented ETL Data Engineer with strong experience in Python and Azure Synapse Analytics to join our dynamic team.
 As an ETL Data Engineer, you will play a critical role in our expanding data engineering team. You will be responsible for designing, developing, and maintaining ETL data integration processes primarily using Python (PySpark), Azure Synapse Analytics Pipelines, and other Azure Synapse Analytics resources, ensuring the accuracy and availability of data for our analytical need. You will work closely with data scientists, analysts, and other stakeholders to deliver high\-quality, well\-organized data for insights and decision\-making.
 If you are passionate about data, have a strong background in ETL processes, and are eager to work with state\-of\-the art Azure data solutions, we’d love to hear from you!
**Your Responsibilities Will Be To**
* ETL Data Engineering: Develop and maintain ETL data engineering processes using Python (PySpark) within Azure Synapse Analytics Notebooks, and/or Azure Synapse Analytics Pipelines, to ensure efficient data extractions, transformation, and loading.
* Data Warehousing: Apply your expertise in data warehousing, understanding star schemas, facts, and dimensions, to design and build effective data storage structures in a Massively Parallel Processing (MPP) SWL Pool.
* Data Source Expertise: Extract data from various sources, including REST APIs, SWL database tables, and CSV files.
* Azure Synapse Analytics Expertise: Utilize your deep knowledge of Azure Synapse Analytics to design and optimize data notebooks/pipelines for scalability and performance.
* Data Fabric Concepts: Contribute to the implementation and understanding of other Data Fabric concepts, such as data lakes, lakehouses, delta lakes, and data cataloging, to enhance data management capabilities.
* Data Modeling: Collaborate with data architects to create data models and schemas that align with business requirements.
* Data Quality: Implement data quality checks and validation processes to maintain data accuracy and consistency.
* Performance Tuning: Identify and resolve performance bottlenecks and optimize ETL data notebooks/pipelines to meet SLAs.
* Monitoring and Troubleshooting: Monitoring ETL jobs, diagnose issues, and implement solutions to ensure data pipeline reliability.
* Documentation: Maintain comprehensive documentation of ETL data engineering processes, data flows, and data transformations.
* Collaboration: Work closely with cross\-functional teams to understand data requirements and provide support for data\-related initiatives.
* Security and Compliance: Ensure data security and compliance with data governance and privacy standards.
**Your Background Will Include**
* Bachelor’s degree in Computer Science, Information Technology, or a related field; or equivalent work experience, with certifications related to data engineering or data science (e.g. Azure Data Engineer) being a plus.
* Proven experience in ETL data engineering with significant expertise in using Python (PySpark) to perform data extraction, transformation, and loading from REST APIs, SQL database tables, and CSV files.
* Proficiency in using Azure Synapse Analytics resources including Notebooks, Pipelines, Linked Services, and Azure Key Vault.
* Demonstrated ability to write complex SQL queries, optimize query performance, and work with both SparkSQL and MS SQL to effectively extract, transform, and load data.
* Knowledge of data integration best practices and tools.
* Experience with version control systems, such as Git (Azure DevOps).
* Strong problem\-solving and analytical skills, with a keen attention to detail.
* Excellent communication skills, both verbal and written, with the ability to work collaboratively in a team environment with shifting priorities.
* Familiarity with big data technologies, machine learning, and data analysis preferred.
* Experience with data visualization tools (e.g. Power BI, Tableau) and Agile Methodologies a plus.
**Benefits**
 At Hamilton Lane, our benefits philosophy is simple: to provide our employees with a competitive suite of benefits and services to help navigate through the complexities and challenges of working, living, raising a family, and eventually retiring.
**To Do This, Hamilton Lane Offers The Following Benefits**
**Enhancing Your Physical and Emotional Health**
 Employees have access to healthcare coverage, mental health resources, health \&amp; fitness reimbursement program, and Wellness Rewards Program.
**Developing Your Career**
 Tuition and certification reimbursement programs are available, along with continual education and development trainings for you to grow with Hamilton Lane.
**Supporting Your Family \&amp; Community**
 For our communities, Hamilton Lane provides paid time off to volunteer and compensates for referring qualified candidates that join our team.
 For growing family, we offer an adoption reimbursement program, paid time off for new parents and newlyweds, and provide travel support for nursing parents.
**Safeguarding Your Financial Wellbeing**
 Hamilton Lane contributes to retirement programs and offers an employee stock purchasing plan.
 We offer a competitive salary, annual discretionary bonus and a comprehensive benefits package which includes: Medical, Prescription, Dental, Paid Time Off, 401k plan, Life and Disability Insurances, Tuition Reimbursement, Employee Stock Purchase Program, Health Club Reimbursement and Flexible Spending Accounts.
 Hamilton Lane is an affirmative action\-equal opportunity employer. All qualified applicants will be considered for employment without regard to their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classification prohibited by applicable law.
 If you need a reasonable accommodation to complete your application, please contact Human Resources at humanresources@hamiltonlane.com.
 Hamilton Lane is not accepting unsolicited assistance from search firms for this employment opportunity. Please, no phone calls or emails. All resumes submitted by search firms to any employee at Hamilton Lane via\-email, the Internet or in any form and/or method without a valid written search agreement in place for this position will be deemed the sole property of Hamilton Lane. No fee shall be paid in the event the candidate is hired by Hamilton Lane as a result of the referral or through other means.</t>
        </is>
      </c>
    </row>
    <row r="18">
      <c r="A18" t="inlineStr">
        <is>
          <t>li-4368293333</t>
        </is>
      </c>
      <c r="B18" t="inlineStr">
        <is>
          <t>Data Engineer</t>
        </is>
      </c>
      <c r="C18" t="inlineStr">
        <is>
          <t>Randstad Digital Americas</t>
        </is>
      </c>
      <c r="D18" t="inlineStr">
        <is>
          <t>linkedin</t>
        </is>
      </c>
      <c r="E18" t="inlineStr"/>
      <c r="F18" t="inlineStr"/>
      <c r="G18" t="inlineStr">
        <is>
          <t>Sacramento, CA</t>
        </is>
      </c>
      <c r="H18" t="inlineStr"/>
      <c r="I18" t="inlineStr">
        <is>
          <t>**Job Summary**
 We have a 3\-6 month contract opportunity for a Data Engineer in Sacramento, CA. This position is hybrid and will work 3 days onsite, 2 days remote. This role may become permanent.
 Key Skills for this position: Fabric, Azure cloud experience, very strong SQL skills as well as Python/Pyspark and great communication skills.
 location: Sacramento, California
 job type: Contract
 salary: $67 \- 72 per hour
 work hours: 8am to 5pm
 education: Bachelors
**Responsibilities**
 ROLE
 As a Data Engineer, you will play a critical role in designing,
 building, and maintaining data
 pipelines and infrastructure to support our organization's analytics and reporting needs by converting raw data into
 usable information. You will work closely with
 business data lead, bi engineers and business stakeholders to ensure data quality, consistency, security, accessibility
 and solution performance.
**Essential**
 RESPONSIBILITIES
**Data Pipeline Development**
* Outstanding analytical and programming skills.
* Design and implement scalable complex data
 pipelines to extract, transform, and load (ETL) data
 from various sources (e.g., databases, APIs, files).
* Optimize data pipelines for performance and
 efficiency.
* Develop automated data ingestion, mock data
 generation and validation processes.
* Maintain source control hygiene (branch protection,
 git\-flow)
* CI/CD that includes build, test and automated deployment (like
 Jenkins, Travis, DevOps)
**Database Design And Tuning**
* Ensure referential integrity and query
 optimization. Design and implement scalable complex
 data pipelines to extract, transform, and load (ETL) data from various sources (e.g., databases, APIs,
 files).
* Optimize data pipelines for performance and
 efficiency.
**Data Infrastructure Management**
* Manage and maintain data warehouses, data lakes,
 and other data storage solutions.
* Ensure data security, privacy, and compliance
 with relevant regulations.
* Monitor system performance and troubleshoot
 issues.
**Data Modeling**
* Create and maintain data models that accurately
 represent the organization's business processes
 and data entities.
* Implement data governance policies and standards.
 Data Quality
**Assurance**
* Develop and implement data quality checks and
 validation procedures.
* Identify and resolve data quality issues.
**Tool Selection And Implementation**
* Evaluate and select appropriate data engineering
 tools and technologies.
* Implement and manage data engineering platforms.
**Collaboration**
* Collaborate with business data lead, project
 managers and business stakeholders to
 understand their data requirements.
* Provide technical guidance and support for
 data\-driven initiatives.
* Participating in agile software planning and development
 activities including daily standups, user story and task organization and
 grooming activities, and effort estimation
* Analyze business and technical requirements to develop
 documentation, designs, code and tests
* Willingness to jump in where needed, learn new tech, and work
 effectively across full stack
**Qualifications**
* Preferred
 Azure Fabric experience and Azure cloud expertise. \- Significant experience working
 with relational database technologies such as Oracle \&amp; SQL Server and
 No\-SQL databases.
* Advanced working SQL knowledge and
 experience working with relational databases, query authoring (SQL) as
 well as working familiarity with a variety of databases
* Experience in performance tuning
 of data pipelines and queries. \- Experience
 working with common languages and frameworks such as python and pyspark.
* In\-depth understanding of modern
 application design principles, DevOps \&amp; microservices
* Strong
 analytical, quantitative and problem\-solving abilities \- Strong written and verbal
 communication skills including ability to convey proposed solutions
 through natural language, diagrams, and design patterns \- High school diploma or GED
 required.
* Bachelor's
 degree preferred.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Qualified applicants in San Francisco with criminal histories will be considered for employment in accordance with the San Francisco Fair Chance Ordinance.
 Qualified applicants with arrest or conviction records will be considered for employment in accordance with the Los Angeles County Fair Chance Ordinance for Employers and the California Fair Chance Act.
 We will consider for employment all qualified Applicants, including those with criminal histories, in a manner consistent with the requirements of applicable state and local laws, including the City of Los Angeles' Fair Chance Initiative for Hiring Ordinance.</t>
        </is>
      </c>
    </row>
    <row r="19">
      <c r="A19" t="inlineStr">
        <is>
          <t>li-4348379322</t>
        </is>
      </c>
      <c r="B19" t="inlineStr">
        <is>
          <t>Sr. Analytics Engineer</t>
        </is>
      </c>
      <c r="C19" t="inlineStr">
        <is>
          <t>Bamboo Health</t>
        </is>
      </c>
      <c r="D19" t="inlineStr">
        <is>
          <t>linkedin</t>
        </is>
      </c>
      <c r="E19" t="inlineStr"/>
      <c r="F19" t="inlineStr"/>
      <c r="G19" t="inlineStr"/>
      <c r="H19" t="inlineStr"/>
      <c r="I19" t="inlineStr">
        <is>
          <t>Bamboo Health is the leader in Real\-Time Care Intelligence™ solutions aimed at improving lives for everyone experiencing physical and behavioral health challenges. We are driven by our mission to empower clients to deliver seamless, high\-quality and cost\-effective care during pivotal moments to improve health outcomes. From coast to coast, Bamboo Health partners with all major retail pharmacy chains, 52 states and territories, 100% of the top 10 best hospitals and more than half of the country’s largest health plans to improve more than 1 billion patient encounters annually. Join us in improving lives during pivotal care moments!
**Summary**
 We’re seeking a Sr. Analytics Engineer to design, implement and optimize scalable, reliable, and high\-performance data systems that power Bamboo Health’s analytics and care coordination products. As Sr. Analytics Engineer, you will bridge data engineering, analytics, product and business strategy to deliver insights that directly influence product direction, operational efficiency, and customer outcomes. Successful candidates excel at innovative problem solving, cross\-team collaboration, and independently leveraging data to address the challenges our customers face in physical and behavioral care coordination.
**What You’ll Do**
* Architect, optimize, and maintain analytical data models and pipelines that power internal and customer\-facing reporting solutions.
* Collaborate across teams (Product, Engineering, Implementation, and Operations) to translate business needs into actionable data solutions.
* Drive initiatives to automate and standardize reporting frameworks, improving scalability, accuracy and maintainability.
* Create new dashboards and reporting capabilities that increase customer and user value.
* Become the technical subject matter expert on reporting and data components to provide accurate insights to other team members and leadership.
* Identify repetitive tasks and partner with team leads to implement scalable automation solutions.
* Stay curious about emerging AI tools and how they can streamline or enhance work within your function.
**What Success Looks Like…**
****In 3 months…****
* You understand Bamboo Health’s data ecosystem, tools, and key business use cases.
* You contribute to improving existing dashboards and pipelines with measurable efficiency gains.
* Identify at least one opportunity in your role to pilot or apply AI or automation (e.g., streamlining a task, summarizing data, generating content).
* In 6 months…
* You expand your scope of influence to other cross\-functional stakeholders, including but not limited to product, engineering, marketing, and other key business area functions.
* You lead at least one cross\-functional analytics initiative, improving operational reporting or product analytics.
* You establish data quality and automation improvements that enhance system reliability.
****In 12 months…****
* You’re recognized as a technical subject matter expert on analytics architecture and reporting infrastructure.
* You mentor others and help shape the analytics roadmap for scalability, innovation and best practices.
* Your work drives measurable business impact through enhanced insight delivery and operational efficiency.
**What You Need**
* Bachelor’s degree in a quantitative or technical discipline (e.g., Computer Science, Engineering, Mathematics, Statistics, Economics); advanced degree preferred.
* 5\+ years of experience in analytics engineering, data architecture, or data platform development.
* Expert SQL skills and experience developing production\-grade analytical data models.
* Proficiency with modern data stack tools such as dbt, Starburst, GitHub, and Airflow.
* Advanced knowledge of Tableau and experience designing responsive, user\-facing dashboards.
* Python proficiency for data transformation and workflow automation.
* Strong understanding of data governance, performance optimization, and observability.
* Proven success leading data initiatives and mentoring junior team members.
* Comfort using or learning AI\-supported tools (e.g., ChatGPT, CoPilot, or role\-specific tools) to improve daily workflows.
* A forward\-thinking, curious mindset with an openness to experimenting with new technologies.
* Strong analytical and problem\-solving skills, with sound judgment and creativity in designing solutions.
* Proven ability to thrive in fast\-paced, high\-growth, and rapidly evolving environments.
* Ability to work effectively in a remote\-first environment, ensuring high\-quality virtual interactions with minimal distractions.
* The ability to travel periodically for work.
**What You Get**
* Join one of the fastest growing health IT companies in the country.
* Have the autonomy to build something with an enthusiastically supportive team.
* Learn from working at the highest levels and on the most strategic priorities of the company, including from world class investors and advisors.
* Receive competitive compensation, including health, dental, vision and other benefits.
****Belonging at Bamboo****
****We Care. \#BambooHealthValuesCare****
 Every human being has the right to the best possible healthcare. Our Real\-Time Care Intelligence™ solutions enable healthcare professionals to see and treat every individual as a whole person by providing the right information, at the right time – regardless of physical, behavioral or social barriers.
 We’re a great place to work because we care. We continually seek to learn about our differences and ensure the unique perspectives and contributions of all employees are welcome, valued and celebrated.
 Our commitment to making a positive impact starts by recognizing and leveraging our differences, building inclusive teams and cultivating a sense of belonging.
*****Bamboo Health is proud to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Bamboo Health GDPR/RODO
 To protect our applicants from fraudulent recruitment activity, we recommend that all applicants verify the validity of an interview and hiring process by visiting our website www.bamboohealth.com. All valid job postings will be listed on our careers page. Bamboo Health does not conduct interviews via text and will not request sensitive information such as banking details during the application process.</t>
        </is>
      </c>
    </row>
    <row r="20">
      <c r="A20" t="inlineStr">
        <is>
          <t>li-4323948402</t>
        </is>
      </c>
      <c r="B20" t="inlineStr">
        <is>
          <t>Medical Data &amp; Analytics Engineer</t>
        </is>
      </c>
      <c r="C20" t="inlineStr">
        <is>
          <t>Genentech</t>
        </is>
      </c>
      <c r="D20" t="inlineStr">
        <is>
          <t>linkedin</t>
        </is>
      </c>
      <c r="E20" t="inlineStr"/>
      <c r="F20" t="inlineStr"/>
      <c r="G20" t="inlineStr">
        <is>
          <t>South San Francisco, CA</t>
        </is>
      </c>
      <c r="H20" t="inlineStr"/>
      <c r="I20" t="inlineStr">
        <is>
          <t>The Position
 A healthier future. It’s what drives us to innovate. To continuously advance science and ensure everyone has access to the healthcare they need today and for generations to come. Creating a world where we all have more time with the people we love.
**The Opportunity**
 The Medical Data \&amp; Analytics Engineer plays a crucial role in accelerating evidence generation, decision\-making, and innovation within USM and beyond, by bridging medical data strategy, engineering, and analytics. This position demands profound technical expertise in clinical data, real\-world data (RWD), and scientific literature, coupled with strategic acumen in medical data use cases and their innovative applications.
 As a systems thinker and a strong collaborator across the R\&amp;D enterprise, this individual will contribute to evolving the USM data ecosystem, aligning it with global digital, data, and AI initiatives from Product Development (PD) and early Research and Development (REDs). This role is pivotal in leveraging clinical and real\-world data assets to deliver scientific and business value across USM, ultimately making a meaningful impact on patients.
**Key Responsibilities**
* Assess medical data sources (e.g., clinical trial, RWD, scientific literature) required for medical insights related to clinical trials and evidence planning, and lead the acquisition, transformation, and integration of new data sources into enterprise platforms (when needed).
* Collaborate with data scientists, statisticians, and clinicians to provide analytic\-ready datasets for clinical, RWE, and scientific literature, fostering strong partnerships with Medical, Clinical \&amp; RWD functions globally.
* Define and evolve the Medical Operations data strategy to support medical affairs in partnership with other EG and E4A teams. Represent USM on global strategic initiatives related to data foundation, data capabilities, and analytics.
* Translate scientific and business questions into medical data requirements, tools, and data platforms needed to deliver medical insights for trial design, operational strategy, and evidence planning.
* Influence R\&amp;D enterprise data governance, stewardship, and policies, providing thought leadership on emerging trends including AI/ML applications, data linkage, digital health integration, and decentralized trials.
* Act as an innovator and connector by leveraging emerging technologies and novel data sources to advance evidence generation, introducing modern engineering and analytics practices, and bridging scientific, technical, and business perspectives to unlock multimodal data value, while also serving as a change agent for multimodal data adoption and cultural/operational transformation.
**Who You Are**
**Required Qualifications \&amp; Experience**
* Bachelor’s or Master’s degree in Computer Science, Biomedical Informatics, Data Engineering, or a related field (PhD is a plus for advanced biomedical applications).
* 6\+ years of experience in data engineering or analytics engineering, with exposure to healthcare or life sciences.
* Proficiency in SQL, Python, Spark, and workflow orchestration tools
* Hands\-on experience with cloud platforms (AWS, Azure, or GCP).
* Familiarity with healthcare and biomedical data (EHR, claims, registries, genomics, imaging, digital, PROs) and relevant standards (OMOP, FHIR, CDISC, HL7, DICOM).
* Experience building analytics\-ready data assets and supporting visualization or statistical modeling workflows.
**Travel Requirements**
 The position is located in South San Francisco but the candidate. The position may require up to an additional 25% time traveling.
 The expected salary range for this position based on the primary location of South San Francisco, CA is $143,100 \- 265,700\.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Relocation benefits are not available for this job posting.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21">
      <c r="A21" t="inlineStr">
        <is>
          <t>li-4317963095</t>
        </is>
      </c>
      <c r="B21" t="inlineStr">
        <is>
          <t>Senior Analytics Engineer</t>
        </is>
      </c>
      <c r="C21" t="inlineStr">
        <is>
          <t>Consensys</t>
        </is>
      </c>
      <c r="D21" t="inlineStr">
        <is>
          <t>linkedin</t>
        </is>
      </c>
      <c r="E21" t="inlineStr"/>
      <c r="F21" t="inlineStr"/>
      <c r="G21" t="inlineStr"/>
      <c r="H21" t="inlineStr"/>
      <c r="I21" t="inlineStr">
        <is>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
 You’ll get to work on the tools, infrastructure, and apps that scale these platforms to onboard one billion participants and 5 million developers. You’ll be constantly exposed to new concepts, ideas, and frameworks from your peers, and as you work on different projects — challenging you to stay at the top of your game. You’ll join a network of builders that reaches the edge of our ecosystem. Consensys alumni have moved on to become tech entrepreneurs, CEOs, and team leads at tech companies.
**About The Data Team**
 The Data team sits within the Office of the COO and builds the models and frameworks that translate raw data into company\-wide KPIs. We sit at the intersection of engineering and analytics, ensuring that data is transformed into the metrics Finance, Product, and Leadership need to operate — and to file for IPO with confidence.
**What You’ll Do**
* Design, build, and maintain reliable data models that transform raw data into business\-ready datasets.
* Collaborate closely with analysts, data scientists, and business stakeholders to understand requirements and translate them into actionable metrics, KPIs, and dashboards.
* Develop and maintain metrics definitions, semantic layers, and data documentation to ensure consistency across teams.
* Build, optimize, and test dbt models to deliver clean, reliable, and trusted data.
* Ensure data quality, accuracy, and governance are embedded in all models and pipelines.
* Create dashboards, reports, and visualizations that empower business users to make data\-driven decisions.
* Work with SQL and transformation frameworks to write efficient queries and maintain performant models.
* Partner with data engineers to ensure smooth data ingestion and availability for analytics.
* Continuously improve processes and workflows to increase efficiency, reliability, and scalability.
**Would be great if you brought this to the role**
* Over 6 years of experience as a Analytics Engineer
* Previous experience developing and tracking KPIs for public companies
* Expert\-level SQL skills with experience writing complex queries and optimizing performance.
* Hands\-on experience with dbt for data transformation and modeling.
* Strong understanding of data modeling concepts (e.g., star schema, snowflake schema, dimensional modeling).
* Familiarity with BI and dashboarding tools (e.g., Looker, Superset, Tableau, Power BI).
* Experience defining KPIs and metrics for business stakeholders.
* Comfort with Python or other scripting languages for lightweight data transformations and automation.
* Knowledge of data governance, lineage, and documentation tools (e.g., DataHub, Great Expectations).
* Understanding of cloud data warehouses (e.g., Snowflake, BigQuery, Redshift).
* Collaborative mindset and ability to work closely with both technical and non\-technical stakeholders.
* Experience with version control and CI/CD practices in analytics workflows (e.g., GitHub Actions).
 Don't meet all the requirements? Don't sweat it. We’re passionate about building a diverse team of humans and as such, if you think you've got what it takes for our chaotic\-but\-fun, remote\-friendly, start\-up environment—apply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*The salary range for US\-based candidates only will be determined throughout the interview process depending on experience and skills.*
 US pay range (not including bonus, equity or other benefits)
 $156,000—$187,000 USD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(https://consensys.io/careers/best\-practices\-to\-avoid\-recruitment\-fraud/).</t>
        </is>
      </c>
    </row>
    <row r="22">
      <c r="A22" t="inlineStr">
        <is>
          <t>li-4370078422</t>
        </is>
      </c>
      <c r="B22" t="inlineStr">
        <is>
          <t>Data Engineer III</t>
        </is>
      </c>
      <c r="C22" t="inlineStr">
        <is>
          <t>RemoteHunter</t>
        </is>
      </c>
      <c r="D22" t="inlineStr">
        <is>
          <t>linkedin</t>
        </is>
      </c>
      <c r="E22" t="inlineStr"/>
      <c r="F22" t="inlineStr"/>
      <c r="G22" t="inlineStr"/>
      <c r="H22" t="inlineStr"/>
      <c r="I22" t="inlineStr">
        <is>
          <t>About the Opportunity:
 The Data Engineer III is responsible for building and maintaining robust data pipelines and models, overseeing a broad scope of ETL infrastructure and databases. This role enables accurate and timely access to data across the organization by simplifying and centralizing a complex ecosystem, providing trustworthy, analytic\-ready resources for various business units. It involves deep collaboration with stakeholders in Engineering, Analytics, Operations, Finance, Marketing, and Customer Service to create a dependable data environment and drive measurable business impact through data.
 Responsibilities:
 • Design, implement, and maintain scalable and reliable data pipelines using Airflow, dbt, Rivery, Python, and SQL.
 • Collaborate with business teams to translate high\-level goals into data solutions supporting forecasting, performance tracking, and optimization.
 • Develop and maintain well\-documented data models in Snowflake and BigQuery that support analytics, reporting, and operational workflows.
 • Integrate data from internal and external sources, including Google Analytics and third\-party APIs, to ensure full\-funnel visibility.
 • Enable self\-service analytics by making data assets discoverable and usable through tools like Tableau, focusing on semantic layer design and performance tuning.
 • Develop monitoring and observability practices for data quality and pipeline health.
 • Participate in architecture and design decisions involving cloud infrastructure and containerization using AWS, Pulumi, and Docker.
 • Maintain thorough documentation and promote engineering standards for transparency, maintainability, and reusability of data systems.
 Requirements:
 • 7\+ years of experience in data engineering, analytics engineering, or related roles.
 • Advanced proficiency in SQL and Python, including efficient query writing and software engineering principles.
 • Hands\-on experience with Snowflake and/or BigQuery, including data modeling and performance optimization.
 • Proficiency with orchestration tools like Airflow and data integration tools such as dbt.
 • Experience with AWS cloud services for data storage, compute, and infrastructure management, including AWS Batch, ECR, and Lambda.
 • Familiarity with data analytics and visualization tools, particularly Tableau, and experience supporting dashboard development.
 • Experience working with marketing and product data sources, including Google Analytics.
 • Strong knowledge of ETL/ELT design and data warehousing solutions.
 • Familiarity with CI/CD pipelines and DevOps practices for data engineering.
 • Proficient in Microsoft Suite for documentation and collaboration.
 • Experience with API design and integration.
 • Familiarity with SCRUM methodologies and tools like Jira.
 Benefits \&amp; Perks:
 • Paid Time Off
 • Medical, Dental, Vision, and Prescription Insurance
 • 401(k) Retirement Plan with Company Match
 • Flexible Spending Account and Health Savings Account
 • Tuition Reimbursement
 • Employee Discount
 • Parental Leave
 • Life Insurance
 Compensation:
 • Annual base pay range: $147,000 \- $172,000, determined by experience and qualifications.
 • Final pay based on individual qualifications, market demands, and work location.
 • Salary range may be modified.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
      <c r="A23" t="inlineStr">
        <is>
          <t>li-4342076210</t>
        </is>
      </c>
      <c r="B23" t="inlineStr">
        <is>
          <t>Data Engineer, Senior</t>
        </is>
      </c>
      <c r="C23" t="inlineStr">
        <is>
          <t>Booz Allen Hamilton</t>
        </is>
      </c>
      <c r="D23" t="inlineStr">
        <is>
          <t>linkedin</t>
        </is>
      </c>
      <c r="E23" t="inlineStr"/>
      <c r="F23" t="inlineStr"/>
      <c r="G23" t="inlineStr">
        <is>
          <t>Chantilly, VA</t>
        </is>
      </c>
      <c r="H23" t="inlineStr"/>
      <c r="I23" t="inlineStr">
        <is>
          <t>**Job Number: R0230303**
 Data Engineer, Senior
**The Opportunity:**
 Ever\-expanding technology and collection methodologies mean that there is more structured and unstructured data available today than ever before. As a data engineer, you know that organizing big data can yield pivotal insights when it’s gathered from disparate sources.
 As a Data Engineer at Booz Allen, you’ll implement data engineering activities on some of the most mission\-driven projects in the industry. You’ll deploy and develop pipelines and platforms that organize and make disparate data available and meaningful.
 Here, you’ll work with a multi\-disciplinary team of data engineers, developers, and data consumers in a fast\-paced, agile environment.
 Work with us to use data for good.
 Join us. The world can’t wait.
**You Have:**
* 3\+ years of experience with data pipelines, including data acquisition, data prep, and database architecture, to make data easily searchable and retrievable
* 3\+ years of experience in ETL development using Java, Python, SQL, or Scala
* 2\+ years of experience with PostgreSQL or Kafka
* Experience with AWS services, including RDS and RDS Aurora
* Experience with NiFi
* Ability to work independently and as part of a team
* Active TS/SCI clearance; willingness to take a polygraph exam
* Bachelor’s degree in a Computer Science field
* Ability to obtain a Security\+ Certification within 6 months of start date
**Nice If You Have:**
* Experience with Kafka Connect, Kafka Streams, and other Kafka ecosystem tools
* Experience with Terraform, Ansible, or other infrastructure\-as\-code tools
* Experience with agile development methodologies
* Experience working on real\-time data and streaming applications
* Ability to pay strict attention to detail
* Possession of excellent problem\-solving and analytical skills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4">
      <c r="A24" t="inlineStr">
        <is>
          <t>li-4329353812</t>
        </is>
      </c>
      <c r="B24" t="inlineStr">
        <is>
          <t>Senior Data Engineer - Data Products &amp; AI</t>
        </is>
      </c>
      <c r="C24" t="inlineStr">
        <is>
          <t>Adobe</t>
        </is>
      </c>
      <c r="D24" t="inlineStr">
        <is>
          <t>linkedin</t>
        </is>
      </c>
      <c r="E24" t="inlineStr"/>
      <c r="F24" t="inlineStr"/>
      <c r="G24" t="inlineStr">
        <is>
          <t>Lehi, UT</t>
        </is>
      </c>
      <c r="H24" t="inlineStr"/>
      <c r="I2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Senior Data Engineer \- Data Products \&amp; AI to join our Adobe Unified Platform team, where you will play a key role in advancing data engineering, data warehousing, and AI innovation. This position offers the chance to collaborate with multi\-functional teams, including Solution Architects, Product Managers, and engineers across global locations, to deliver impactful solutions aligned with Adobe’s strategic goals. We are seeking a driven individual who thrives on solving complex challenges, mentoring peers, and pushing the boundaries of technology to shape the future of Adobe’s data and AI capabilities.
**What You'll Do**
* Build data products that are optimized for both human and AI consumption, ensuring seamless usability, accessibility, and integration across diverse workflows.
* Drive the implementation of innovative data warehousing strategies, ensuring efficient data storage, retrieval, and transformation processes.
* Architect and optimize scalable data pipelines and models to handle the exponential growth of data and analytics needs.
* Lead the design and development of robust software solutions, ensuring high\-quality code, thorough testing, and comprehensive documentation.
* Spearhead initiatives to enhance developer productivity and streamline engineering workflows through innovative automation and AI\-powered solutions.
**What You Need To Succeed**
* A Bachelor’s degree in Computer Science, Engineering, or a related field, with 10\+ years of experience in data engineering and software development.
* Proven expertise in designing and deploying scalable data solutions using SQL and Python, with a focus on automation, data transformation, and advanced analytics.
* In\-depth knowledge of data architecture, including data modeling, warehousing principles, and the development of efficient data transformation pipelines.
* Extensive experience with modern data platforms and tools, particularly Databricks, Azure, and Airflow, with a demonstrated ability to harness their full capabilities.
* Exceptional problem\-solving skills, a critical perspective, and the ability to challenge conventional approaches to drive innovation.
* Ability to quickly acquire new skills and apply them to solve challenging problems.
* Experience using AI tools (e.g. Cursor) to more efficiently build production\-worthy applications and data pipelines.
* Knowledge of standard engineering productivity tools such as GitHub, JIRA, Confluence, etc.
* Experience building conversational and workflow automation AI agents in production environments.
* Outstanding communication and collaboration skills, with a passion for mentoring and fostering a culture of creativity and excellence.
 Our compensation reflects the cost of labor across several  U.S. geographic markets, and we pay differently based on those defined markets. The U.S. pay range for this position is $159,200 \-\- $301,600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5">
      <c r="A25" t="inlineStr">
        <is>
          <t>li-4315986407</t>
        </is>
      </c>
      <c r="B25" t="inlineStr">
        <is>
          <t>Senior Software Engineer, Data Engineering</t>
        </is>
      </c>
      <c r="C25" t="inlineStr">
        <is>
          <t>Omada Health</t>
        </is>
      </c>
      <c r="D25" t="inlineStr">
        <is>
          <t>linkedin</t>
        </is>
      </c>
      <c r="E25" t="inlineStr"/>
      <c r="F25" t="inlineStr"/>
      <c r="G25" t="inlineStr"/>
      <c r="H25" t="inlineStr"/>
      <c r="I25" t="inlineStr">
        <is>
          <t>Omada Health is on a mission to inspire and engage people in lifelong health, one step at a time.  
**Job overview:** 
 We are dedicated to leveraging data to drive strategic decision\-making and operational efficiency. Our team is passionate about harnessing the power of data to solve complex problems and deliver impactful insights.
 We are seeking a highly skilled and motivated Data Engineer to join our team. The ideal candidate will be responsible for designing, building, and maintaining robust data architectures and engineering data models and pipelines. This role will play a critical part in ensuring the integrity, scalability, and performance of our data processing and products.
**Key Responsibilities:** 
* Data Architecture: Design, develop, and implement scalable, secure, and efficient data solutions that meet the needs of the organization.
* Data Modeling: Create and maintain logical and physical data models to support business intelligence, analytics, and reporting requirements.
* Pipeline Engineering: Design, build, and optimize ETL (Extract, Transform, Load) processes and data pipelines to ensure smooth and efficient data flow from various sources.
* Data Integration: Integrate diverse data sources, including APIs, databases, and third\-party data, into a unified data platform.
* Performance Optimization: Monitor and optimize the performance of data systems and pipelines to ensure low latency and high throughput.
* Data Quality and Governance: Implement data quality checks, validation processes, and governance frameworks to ensure the accuracy and reliability of data.
* Collaboration: Partner closely with data scientists, analysts, and other stakeholders to understand data requirements and deliver solutions that meet their needs.
* Documentation: Maintain comprehensive documentation of data architectures, models, and pipelines for ongoing maintenance and knowledge sharing.
* Training: You'll train and collaborate with teammates effectively in data engineering best practices
* Technical Influence/Leadership: Recommends policy changes and establishes department\-wide procedures. Uses extensive experience and knowledge to resolve complex problems.
* Monitor and manage production environment to deliver data within defined SLAs
**How you can make an impact:** 
* You’ll evaluate, benchmark, and improve the scalability, robustness, and performance of our data platform and applications
* You'll make significant contributions to the architecture and design of our data processing platform
* You’ll implement scalable, fault tolerant, and accurate ETLs frameworks.
* You’ll gather and process raw data at scale from diverse sources
* You’ll collaborate with product management, data scientists, analysts, and other engineers on technical vision, design, and planning
* You’ll implement and maintain a high level of data quality monitoring in our analytics \&amp; ML ecosystem
* You’ll train and collaborate with teammates effectively in data engineering best practices
* You will be responsible for leading, documenting, and collaborating across teams for technical projects.
**You will love this job if you:** 
* You are passionate about building data\-driven systems to enable Data Scientist, Data Analysts and AI/ML Engineers.
* You want to make a difference to empower digital healthcare through Data\-driven decision making.
* You would like to learn how to build scalable, performant and reliable data pipelines.
**What you need for this role:** 
* 5\+ years of experience building, maintaining, and orchestrating scalable data pipelines.
* 3\+ years of experience as a data engineer developing or maintaining integration with software such as Airflow or any Python\-based data pipeline codebase.
* Experience applying a variety of integration patterns for different use cases.
* Experience in backend software development to contribute to distributed computing development and data technologies, with broad experience across systems, contexts, and ideas.
* Experience implementing data pipelines and improving the performance of ETL processes and related SQL queries.
* Experience in data modeling for OLTP and OLAP applications
* Experience with Cloud platforms such as Amazon AWS
* Familiarity with workflow management tools (Airflow preferred)
* Familiarity with cloud\-based data warehouses (Amazon Redshift preferred)
* Exceptional Problem solving and analytical skills
* Experience working with sensitive data i.e. PHI / PII \&amp; security best practices
* Familiarity with data governance practices and principles
 **.**
**Technical Skills:** 
* Proficiency in SQL and experience with relational databases (e.g., MySQL, PostgreSQL).
* Proficiency in Analytical SQL (e.g. Analytics Queries, Distributed database queries) and experience working with massive parallel processing (MPP) databases (e.g., Redshift, BigQuery, Snowflake).
* Proficiency in programming languages such as Python, Java, or Scala.
* Knowledge of data modeling techniques (3NF)  and tools (e.g., ER/Studio, ERwin).
* Software Engineering Mindset: Apply best practices to write elegant, maintainable code and understand automated testing concepts.
* Familiarity with business intelligence tools and environments.
* Familiarity with big data technologies (e.g., Lambda, Hadoop, Spark)
* Software engineering mindset and an ability to write elegant, maintainable code while following engineering best practices
**Communication Skills:** 
 Excellent communication and collaboration skills, both written and verbal, with the ability to convey complex technical concepts to non\-technical stakeholders.
**Self\-Directed:** 
 Leading projects and tasks effectively with cross functional stakeholders minimal guidance. You care about writing quality software and recognize that there are often many right answers. Ability to lead tasks and projects effectively.
**Education:** 
 Bachelor’s degree in Computer Science or a similar discipline preferred.
**Technologies we use:** 
 Ruby on Rails, Redshift, Athena, Postgres, SQL, Python, Apache Airflow, Appflow, S3, SNS, SQS, Kafka, Docker, Kubernetes, AWS infrastructure, Lambda, Serverless, Tableau, Bugsnag, Datadog, GitLabCI
**Bonus Points for:** 
* Experience with big data technologies such as Hadoop, Spark, or Kafka.
* Experience building internal frameworks or development productivity tools would be a big plus.
* Experience building data infrastructure, frameworks and automation is a big plus.
* Understanding automated testing concepts and ability to consistently apply those concepts
**Benefits:** 
* Competitive salary with generous annual cash bonus
* Equity grants
* Remote first work from home culture
* Flexible vacation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actively cultivate trust through attentive listening and supporting one another. We respectfully provide and are open to receiving candid feedback.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$179,400 \- $224,300\*, Colorado Base Compensation Ranges: $171,600 \- $214,500\*.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26">
      <c r="A26" t="inlineStr">
        <is>
          <t>li-4335877743</t>
        </is>
      </c>
      <c r="B26" t="inlineStr">
        <is>
          <t>Senior Staff Technical Data Analyst (Lead Analytics Engineer)</t>
        </is>
      </c>
      <c r="C26" t="inlineStr">
        <is>
          <t>Intuit</t>
        </is>
      </c>
      <c r="D26" t="inlineStr">
        <is>
          <t>linkedin</t>
        </is>
      </c>
      <c r="E26" t="inlineStr"/>
      <c r="F26" t="inlineStr"/>
      <c r="G26" t="inlineStr">
        <is>
          <t>Mountain View, CA</t>
        </is>
      </c>
      <c r="H26" t="inlineStr"/>
      <c r="I26" t="inlineStr">
        <is>
          <t>**Overview**
 We are looking for a hands\-on Senior Staff who is a creative problem solver with a passion to support and enhance an advanced data toolkit for our analytics community. You will work with data engineers, technical program managers, business data analysts, product managers and architects to mature the data capabilities of Intuit’s Analytics ecosystem.
 As a senior member of the Data Intelligence team, you will have a strong track record of combining advanced analytics database design approaches with exceptional knowledge of functional areas to unlock potential for the business data analysts and product managers you support. You will be able to take ownership of complex workflows to translate data from clickstream and transactional data sources to maintain a complete data analytics ecosystem.
 The Data Intelligence team exists to ensure that the Small Business and Self\-Employed Group analytics ecosystem has the data, tools, capabilities and education it needs to deliver actionable insights and recommendations to our business partners.
**Responsibilities**
* Architect Scalable Data Systems:Design, develop, and maintain data architectures and models that are scalable, high\-performing, and aligned with business, modeling, and analytical requirements. Apply best\-in\-class data modeling principles to ensure consistency, integrity, and accessibility across domains.
* Collaborate Across Functions: Partner closely with data scientists, product managers, and business stakeholders to deeply understand business needs and translate them into robust data models, systems, and strategies that support decision\-making, complex modeling, and analytics.
* Champion Data Quality and Governance: Define standards and frameworks for data modeling, quality, and governance. Ensure that data systems are reliable, performant, and built to scale with the business.
* Mentor and Guide Teams: Lead and mentor a team of contractors and data professionals, providing architectural guidance, code reviews, and clear direction to ensure high\-quality data product delivery. Set technical standards and coach the team on best practices for building, testing, and deploying data solutions.
* Drive Continuous Improvement:Identify opportunities to improve data pipelines, platforms, and processes. Collaborate with data engineers and data scientists to prioritize, develop, and test enhancements that improve reliability, performance, and usability.
* Bridge Technical and Business Perspectives:Communicate effectively with technical and non\-technical audiences. Interview data consumers to understand requirements, develop functional specifications, and ensure delivery of strategic data initiatives that meet business needs.
* Advocate for the Analyst Community: Represent analysts’ data needs across segments and product teams. Develop data literacy plans and training programs for both analyst and non\-analyst audiences to increase adoption and understanding of data assets.
* Strategic and Leadership Impact:
* Serve as a subject matter expert across the analytics organization and broader Intuit ecosystem.
* Create and execute data roadmaps that align with business strategy.
* Lead high\-complexity projects with end\-to\-end ownership, using agile methodologies, translating complex business requirements into milestones and deliverables.
**Qualifications**
 Technical \&amp; Strategic Expertise
* 8\+ years of experience in analytics engineering or data architecture, designing and implementing data models and pipelines that directly support business decision\-making and data\-driven strategies.
* Bachelor’s Degree in Computer Science, Information Systems, Statistics, Data Analytics, or a related field required; Master’s Degree preferred.
* Deep expertise in data modeling and semantic layer design, with the ability to translate complex business logic into scalable, high\-performance data structures
* Advanced proficiency in SQL and Python for data transformation, quality assurance, and automation.
* Strong understanding of data warehousing concepts and experience with modern cloud data platforms such as Databricks \- with the ability to optimize for usability, scalability, and performance
* Experienced in AWS data services
* Proficient in data transformation and orchestration tools such as dbt, Airflow, or Fivetran, with a strong grasp of CI/CD and version control best practices.
* Familiarity with data visualization and analytics platforms (e.g., Tableau, Qlik Sense, Looker) and a clear understanding of how data models enable effective self\-service analytics. Experience integrating and modeling clickstream and behavioral data
* Knowledge of data governance, lineage, and metadata management, ensuring models are trusted, well\-documented, and reusable across teams.
 Business Acumen, Collaboration \&amp; Leadership
* Exceptional ability to think from the business perspective \- deeply understands how data informs key metrics, KPIs, and strategic decisions, and designs models that make those insights accessible and actionable.
* Adept at collaborating with data scientists, product managers, and business stakeholders to translate business questions into technical designs and high\-impact analytical datasets.
* Recognized for building bridges between technical and business teams \- explaining complex data concepts in simple, outcome\-oriented language.
* Proven experience mentoring and leading data and analytics engineers, ensuring quality execution and alignment with architectural standards and business objectives.
* Proactive and strategic mindset \- anticipates business needs, identifies opportunities for improvement, and advocates for scalable, future\-proof data solutions.
* Excellent communication, prioritization, and organizational skills, with the ability to manage multiple complex initiatives simultaneously.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$191,500\-$259,000
 Southern California: $183,000\-$247,500</t>
        </is>
      </c>
    </row>
    <row r="27">
      <c r="A27" t="inlineStr">
        <is>
          <t>li-4335997425</t>
        </is>
      </c>
      <c r="B27" t="inlineStr">
        <is>
          <t>Senior Staff Technical Data Analyst (Lead Analytics Engineer)</t>
        </is>
      </c>
      <c r="C27" t="inlineStr">
        <is>
          <t>Intuit</t>
        </is>
      </c>
      <c r="D27" t="inlineStr">
        <is>
          <t>linkedin</t>
        </is>
      </c>
      <c r="E27" t="inlineStr"/>
      <c r="F27" t="inlineStr"/>
      <c r="G27" t="inlineStr">
        <is>
          <t>San Francisco, CA</t>
        </is>
      </c>
      <c r="H27" t="inlineStr"/>
      <c r="I27" t="inlineStr">
        <is>
          <t>**Overview**
 We are looking for a hands\-on Senior Staff who is a creative problem solver with a passion to support and enhance an advanced data toolkit for our analytics community. You will work with data engineers, technical program managers, business data analysts, product managers and architects to mature the data capabilities of Intuit’s Analytics ecosystem.
 As a senior member of the Data Intelligence team, you will have a strong track record of combining advanced analytics database design approaches with exceptional knowledge of functional areas to unlock potential for the business data analysts and product managers you support. You will be able to take ownership of complex workflows to translate data from clickstream and transactional data sources to maintain a complete data analytics ecosystem.
 The Data Intelligence team exists to ensure that the Small Business and Self\-Employed Group analytics ecosystem has the data, tools, capabilities and education it needs to deliver actionable insights and recommendations to our business partners.
**Responsibilities**
* Architect Scalable Data Systems:Design, develop, and maintain data architectures and models that are scalable, high\-performing, and aligned with business, modeling, and analytical requirements. Apply best\-in\-class data modeling principles to ensure consistency, integrity, and accessibility across domains.
* Collaborate Across Functions: Partner closely with data scientists, product managers, and business stakeholders to deeply understand business needs and translate them into robust data models, systems, and strategies that support decision\-making, complex modeling, and analytics.
* Champion Data Quality and Governance: Define standards and frameworks for data modeling, quality, and governance. Ensure that data systems are reliable, performant, and built to scale with the business.
* Mentor and Guide Teams: Lead and mentor a team of contractors and data professionals, providing architectural guidance, code reviews, and clear direction to ensure high\-quality data product delivery. Set technical standards and coach the team on best practices for building, testing, and deploying data solutions.
* Drive Continuous Improvement:Identify opportunities to improve data pipelines, platforms, and processes. Collaborate with data engineers and data scientists to prioritize, develop, and test enhancements that improve reliability, performance, and usability.
* Bridge Technical and Business Perspectives:Communicate effectively with technical and non\-technical audiences. Interview data consumers to understand requirements, develop functional specifications, and ensure delivery of strategic data initiatives that meet business needs.
* Advocate for the Analyst Community: Represent analysts’ data needs across segments and product teams. Develop data literacy plans and training programs for both analyst and non\-analyst audiences to increase adoption and understanding of data assets.
* Strategic and Leadership Impact:
* Serve as a subject matter expert across the analytics organization and broader Intuit ecosystem.
* Create and execute data roadmaps that align with business strategy.
* Lead high\-complexity projects with end\-to\-end ownership, using agile methodologies, translating complex business requirements into milestones and deliverables.
**Qualifications**
 Technical \&amp; Strategic Expertise
* 8\+ years of experience in analytics engineering or data architecture, designing and implementing data models and pipelines that directly support business decision\-making and data\-driven strategies.
* Bachelor’s Degree in Computer Science, Information Systems, Statistics, Data Analytics, or a related field required; Master’s Degree preferred.
* Deep expertise in data modeling and semantic layer design, with the ability to translate complex business logic into scalable, high\-performance data structures
* Advanced proficiency in SQL and Python for data transformation, quality assurance, and automation.
* Strong understanding of data warehousing concepts and experience with modern cloud data platforms such as Databricks \- with the ability to optimize for usability, scalability, and performance
* Experienced in AWS data services
* Proficient in data transformation and orchestration tools such as dbt, Airflow, or Fivetran, with a strong grasp of CI/CD and version control best practices.
* Familiarity with data visualization and analytics platforms (e.g., Tableau, Qlik Sense, Looker) and a clear understanding of how data models enable effective self\-service analytics. Experience integrating and modeling clickstream and behavioral data
* Knowledge of data governance, lineage, and metadata management, ensuring models are trusted, well\-documented, and reusable across teams.
 Business Acumen, Collaboration \&amp; Leadership
* Exceptional ability to think from the business perspective \- deeply understands how data informs key metrics, KPIs, and strategic decisions, and designs models that make those insights accessible and actionable.
* Adept at collaborating with data scientists, product managers, and business stakeholders to translate business questions into technical designs and high\-impact analytical datasets.
* Recognized for building bridges between technical and business teams \- explaining complex data concepts in simple, outcome\-oriented language.
* Proven experience mentoring and leading data and analytics engineers, ensuring quality execution and alignment with architectural standards and business objectives.
* Proactive and strategic mindset \- anticipates business needs, identifies opportunities for improvement, and advocates for scalable, future\-proof data solutions.
* Excellent communication, prioritization, and organizational skills, with the ability to manage multiple complex initiatives simultaneously.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$191,500\-$259,000
 Southern California: $183,000\-$247,500</t>
        </is>
      </c>
    </row>
    <row r="28">
      <c r="A28" t="inlineStr">
        <is>
          <t>li-4329422136</t>
        </is>
      </c>
      <c r="B28" t="inlineStr">
        <is>
          <t>Staff Data Platform Engineer, Enterprise Data</t>
        </is>
      </c>
      <c r="C28" t="inlineStr">
        <is>
          <t>Radiant</t>
        </is>
      </c>
      <c r="D28" t="inlineStr">
        <is>
          <t>linkedin</t>
        </is>
      </c>
      <c r="E28" t="inlineStr"/>
      <c r="F28" t="inlineStr"/>
      <c r="G28" t="inlineStr">
        <is>
          <t>El Segundo, CA</t>
        </is>
      </c>
      <c r="H28" t="inlineStr"/>
      <c r="I28" t="inlineStr">
        <is>
          <t>Radiant is an El Segundo, CA\-based startup building the world’s first mass\-produced, portable nuclear microreactors. The company’s first reactor, Kaleidos, is a 1\-megawatt failsafe microreactor that can be transported anywhere power is needed and run for up to five years without the need to refuel. Portable nuclear power with rapid deploy capability can replace similar\-sized diesel generators, and provide critical asset support for hospitals, data centers, remote sites, and military bases. Radiant’s unique, practical approach to nuclear development utilizes modern software engineering to rapidly achieve safe, factory\-built microreactors that leverage existing, well\-qualified materials. Founded in 2020, Radiant is on track to test its first reactor next year at the Idaho National Laboratory, with initial customer deliveries beginning in 2028\.
**About The Role**
 We're building a new team to own Radiant's internal data infrastructure, executive analytics, and AI capabilities. As a Staff Data Platform Engineer, you'll be hands\-on building the integrations and pipelines that connect Radiant's operational systems—Finance, HR, Supply Chain, Manufacturing, and Recruiting—into a unified data platform.
 Your first priority will be the ION\-Ramp integration: building the pipeline that enables three\-way matching (PO \+ Receipt \+ Invoice) between our manufacturing execution system and payments platform. This directly reduces manual work for the Finance team. From there, you'll expand to connect 9 enterprise systems, build dbt transformation models, and ensure data quality across the platform.
 What You'll Do
* Build integrations: Configure Fivetran connectors, build custom pipelines, and connect 9 enterprise systems (ION, Ramp, QuickBooks, Rippling, Ashby, Salesforce, SharePoint, Smartsheet, DocuSign)
* Develop the ION\-Ramp pipeline: Build the Snowflake → Databricks → Ramp pipeline that enables three\-way matching for Finance
* Write dbt models: Transform raw data into clean, documented, tested models for dashboards and analytics
* Ensure data quality: Implement testing, monitoring, and alerting for data pipelines; catch issues before they reach dashboards
* Support dashboards: Work with the PM and stakeholders to ensure the data models support Finance, Operations, and HR/Recruiting dashboards
* Document everything: Maintain clear documentation for pipelines, models, and data definitions
 What We're Looking For
**Required**
* 5\+ years of data engineering or software engineering experience
* Python and SQL proficiency—you'll write both daily
* Experience with data warehouses—Databricks, Snowflake, BigQuery, or Redshift
* ETL/ELT pipeline development—Fivetran, Airbyte, Stitch, or custom pipeline experience
* API integration experience—REST, GraphQL; you're comfortable reading API docs and building integrations with enterprise SaaS tools
* Data modeling skills—dimensional modeling, schema design, understanding of how data will be used downstream
**Preferred**
* Background in hardware or hardtech companies—you understand manufacturing, supply chain, and physical product development
* Experience with dbt (data build tool)
* Experience with data quality frameworks and testing (Great Expectations, dbt tests, etc.)
* Comfortable building lightweight internal tools—Python/Flask, basic frontend—or using AI coding assistants (Cursor, Copilot) to extend your capabilities
* Familiarity with MES, ERP, or supply chain systems (ION, SAP, NetSuite, etc.)
 Why Join Radiant
* Mission: Clean energy that can go anywhere—few problems matter more
* Team: Work alongside exceptional people from SpaceX, Blue Origin, and other top engineering organizations
* Compensation: Competitive compensation with equity
* Benefits: Health/dental/vision, 401(k), and flexible PTO
* Impact: The pipelines you build directly reduce manual work for Finance and give leadership real\-time visibility
* Variety: You'll work across 9 different systems—Finance, HR, Manufacturing, CRM, Documents—never boring
* Modern stack: Databricks, Fivetran, dbt, Airbyte—best\-in\-class tools
 Additional Information
 This position requires the ability to work in the United States and eligibility for access to export\-controlled information under ITAR/EAR.
 This is an exempt salaried role.
 Annual Salary Range
 $158,000 \- $247,275 USD
**Total Compensation And Benefits**
 Radiant compensates people for impact and invests in those who continue to raise the bar. Radiant’s new hire compensation package includes base salary, substantial equity grants, and comprehensive health benefits. Total compensation and level are determined through a rigorous evaluation of interview performance, experience, education, and qualifications, and are designed to support continued growth as scope, responsibility, and impact expand at Radiant.
 The best of today’s advanced reactor builders don’t wait for job postings. They join the winning team. If that’s you, contact us directly for immediate opportunities: recruiting@radiantnuclear.com.
**Benefits And Perks For Eligible Employees**
* Stock: Substantial incentive stock plan for all full\-time employees.
* Medical: 100% premium coverage for base Silver level plan for employee \+ 50% premium coverage for dependents. Platinum plans available.
* One Medical: Sponsored memberships for eligible employees and their dependents.
* Vision: 100% premium coverage for top tier plan \+ 50% for dependents.
* Dental: 100% premium coverage for top tier plan (including orthodontia) \+ 50% for dependents.
* Voluntary life, accident, hospital, critical illness, commuter and FSA/HSA are offered as employee contributed benefits.
* 8\-weeks of paid parental leave for all parents. Additional paid pregnancy leave for CA employees.
* Daily catered lunch. Free snacks and drinks.
* Flexible PTO policy. Remote workday allocation.
* Company and team\-bonding events, happy hours and in\-person camaraderie.
* Beautiful El Segundo headquarters close to the Pacific Ocean.
* Burgeoning satellite offices in Oak Ridge, TN and Washington, D.C., near Capitol Hill.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*Unfortunately, we are unable to provide visa sponsorship at this time.*
*This position involves access to technology that is subject to U.S. export controls. Any job offer made will be contingent upon the applicant’s capacity to serve in compliance with U.S. export controls.*</t>
        </is>
      </c>
    </row>
    <row r="29">
      <c r="A29" t="inlineStr">
        <is>
          <t>li-4318605743</t>
        </is>
      </c>
      <c r="B29" t="inlineStr">
        <is>
          <t>Data Engineer - Journeyman</t>
        </is>
      </c>
      <c r="C29" t="inlineStr">
        <is>
          <t>Modern Technology Solutions, Inc. (MTSI)</t>
        </is>
      </c>
      <c r="D29" t="inlineStr">
        <is>
          <t>linkedin</t>
        </is>
      </c>
      <c r="E29" t="inlineStr"/>
      <c r="F29" t="inlineStr"/>
      <c r="G29" t="inlineStr">
        <is>
          <t>Huntsville, AL</t>
        </is>
      </c>
      <c r="H29" t="inlineStr"/>
      <c r="I29" t="inlineStr">
        <is>
          <t>**Note:** 
 This is a remote position with the ideal candidate residing near one of our office sites in Colorado Springs, CO., Dayton, OH., or Huntsville, AL.
**Required Experience**
**Data Warehousing \&amp; Analytics (Core Requirement):** 
 Advanced proficiency in SQL with extensive experience in cloud data warehousing. Must have deep knowledge of data modeling, schema design, and query optimization.
 ○ GCP Preference: Significant, hands\-on experience with Google BigQuery (partitioning, clustering, BQ scripting, cost optimization) is essential.
**Modern Data Pipeline Expertise (Must\-Have Foundation):** 
 Demonstrable expertise in building, deploying, and scaling complex data pipelines using at least one of the following foundational technologies:
 ○ Orchestration: Deep expertise in Apache Airflow (designing, deploying, scaling, and managing complex DAGs).
**GCP Preference:** 
 Hands\-on experience with Google Cloud Composer.
 ○ Processing: Proven ability to build and optimize robust, high\-throughput batch and streaming data pipelines using Apache Beam.
**GCP Preference:** 
 Direct experience managing Beam pipelines at scale using Google Cloud Dataflow.
 ○ (Note: This role offers the flexibility to architect solutions and select the appropriate services to meet project requirements).
**Relational Database Expertise (Must\-Have Foundation):** 
 Solid foundation and practical experience with RDBMS architecture, management, and optimization, specifically with PostgreSQL.
 ○ GCP Preference: Familiarity with managed database services, particularly Google Cloud SQL (for PostgreSQL or MySQL), is a significant advantage.
**Core Programming \&amp; Infrastructure:** 
 Fluency in Python (preferred) or Java for data pipeline development. Strong understanding of CI/CD, Git, and Infrastructure\-as\-Code (e.g., Terraform).
**Cloud Architecture \&amp; GCP (Highly Desirable):** 
 Broad experience in architecting, building, and managing solutions on a major cloud platform, with a strong preference for Google Cloud Platform (GCP) beyond just its data services.
**Containerization \&amp; Kubernetes (Highly Desirable):** 
 Understanding of container concepts (Docker) and practical experience with Kubernetes, particularly Google Kubernetes Engine (GKE).
**ML Engineering Exposure (Plus):** 
 Experience supporting machine learning workflows, including data preparation, feature engineering, and operationalizing data pipelines for ML models.
 ○ GCP Preference: Any exposure to Google Cloud Vertex AI (Pipelines, Feature Store, Training) is a major plus.
**Qualifications And Education Requirements**
* Bachelor’s or master’s degree in computer science, Data Science, or a related field.
* 5\-8 years of experience of hands\-on experience in data engineering, demonstrating a clear progression in designing, building, and maintaining scalable data\-intensive systems.
* Demonstrated ability to communicate complex data issues to both technical and non\-technical stakeholders.
**Travel**
 Occasional travel to MTSI offices and events throughout country
**Clearance**
 Must have a Secret Clearance; US Citizenship required.
*The pay range for this position in Colorado is $105,000/year to $125,000/year; however, base pay offered may vary depending on established government contract rates, job\-related knowledge, skills, and experience, and other factors. MTSI also offers a full range of medical, financial, and other benefits, dependent on the position offered. This information is provided per the Colorado Equal Pay Act. Base pay information is based on market location. Applicants should apply via MTSI’s internal or external careers site*
 \#HYBRID
 \#MTSI</t>
        </is>
      </c>
    </row>
    <row r="30">
      <c r="A30" t="inlineStr">
        <is>
          <t>li-4370087453</t>
        </is>
      </c>
      <c r="B30" t="inlineStr">
        <is>
          <t>Lead Data Engineer</t>
        </is>
      </c>
      <c r="C30" t="inlineStr">
        <is>
          <t>hackajob</t>
        </is>
      </c>
      <c r="D30" t="inlineStr">
        <is>
          <t>linkedin</t>
        </is>
      </c>
      <c r="E30" t="inlineStr"/>
      <c r="F30" t="inlineStr"/>
      <c r="G30" t="inlineStr">
        <is>
          <t>Chantilly, VA</t>
        </is>
      </c>
      <c r="H30" t="inlineStr"/>
      <c r="I30" t="inlineStr">
        <is>
          <t>***hackajob** 
 is collaborating with
 **MANTECH** 
 to connect them with exceptional tech professionals for this role.*
**MANTECH** 
 seeks a motivated, career and customer\-oriented
 **Lead** 
**Data Engineer** 
 to join our Data and AI Practice onsite in
 **Chantilly and/or Herndon, VA** 
 . You will be a part of a dynamic, cross\-functional team focused on transforming how Government clients extract insights from data to achieve critical mission objectives. This leadership role involves guiding a team and collaborating with others to implement this transformative process. You will be responsible for providing expert guidance and support in the analysis, design, implementation, and optimization of complex, enterprise\-wide, cloud\-based data migration solutions that align with mission goals and requirements.
**Responsibilities Include But Are Not Limited To**
* Lead the design, development, and deployment of robust data pipelines to ingest, transform, and integrate data from various systems and networks, ensuring seamless data flow.
* Collaborate with cloud and system architects to establish secure and efficient data transfer protocols among different networks and systems.
* Work with data consumers to develop data requirements to support analytics and machine learning tasks.
* Implement data pipelines and data storage solutions to support analytic workflows.
* Optimize data pipelines and storage solutions for performance, ensuring low latency and high throughput for real\-time and batch data processing.
* Implement robust security measures to protect sensitive data and ensure compliance with relevant data security policies and practices.
**Minimum Qualifications**
* Bachelor’s degree in Computer Science, Information Technology, Engineering, or a related field and at least 10 years of experience in data engineering, data architecture, or related roles
* Experience with data replication and change data capture tools such as Oracle GoldenGate
* Experience with cloud services from providers such as Oracle and their data storage and database services
* Demonstrated ability to lead and manage a team of engineers
* Direct line management experience, including project, people, customer, and financial management
* Experience with data warehousing, data lakes, and big data technologies
* Proficiency in programming languages such as Python, Java, or SQL. Experience with SQL and NoSQL databases
**Preferred Qualifications**
* Master’s degree in Computer Science, Information Technology, Engineering, or a related field.
* Familiarity with data security and compliance frameworks (e.g., NIST framework).
* Cloud certifications such as AWS Certified Developer, Oracle Cloud Infrastructure.
* Familiarity with records management policies and procedure.
* Familiarity with big data technologies like Hadoop, Spark, and Kafka. Knowledge of data governance and metadata management.
**Clearance Requirements**
* Must possess a current and active TS/SCI with polygraph
**Physical Requirements**
* Must be able to be in a stationary position more than 50% of the time
* Must be able to communicate, converse, and exchange information with peers and senior personnel
* Constantly operates a computer and other office productivity machinery, such as a computer
* The person in this position frequently communicates with co\-workers, management, and customers, which may involve delivering presentations. Must be able to exchange accurate information in these situations
* The person in this position needs to occasionally move about inside the office to access file cabinets, office machinery, etc.</t>
        </is>
      </c>
    </row>
    <row r="31">
      <c r="A31" t="inlineStr">
        <is>
          <t>li-4336057425</t>
        </is>
      </c>
      <c r="B31" t="inlineStr">
        <is>
          <t>Senior Staff Technical Data Analyst (Lead Analytics Engineer)</t>
        </is>
      </c>
      <c r="C31" t="inlineStr">
        <is>
          <t>Intuit</t>
        </is>
      </c>
      <c r="D31" t="inlineStr">
        <is>
          <t>linkedin</t>
        </is>
      </c>
      <c r="E31" t="inlineStr"/>
      <c r="F31" t="inlineStr"/>
      <c r="G31" t="inlineStr">
        <is>
          <t>San Diego, CA</t>
        </is>
      </c>
      <c r="H31" t="inlineStr"/>
      <c r="I31" t="inlineStr">
        <is>
          <t>**Overview**
 We are looking for a hands\-on Senior Staff who is a creative problem solver with a passion to support and enhance an advanced data toolkit for our analytics community. You will work with data engineers, technical program managers, business data analysts, product managers and architects to mature the data capabilities of Intuit’s Analytics ecosystem.
 As a senior member of the Data Intelligence team, you will have a strong track record of combining advanced analytics database design approaches with exceptional knowledge of functional areas to unlock potential for the business data analysts and product managers you support. You will be able to take ownership of complex workflows to translate data from clickstream and transactional data sources to maintain a complete data analytics ecosystem.
 The Data Intelligence team exists to ensure that the Small Business and Self\-Employed Group analytics ecosystem has the data, tools, capabilities and education it needs to deliver actionable insights and recommendations to our business partners.
**Responsibilities**
* Architect Scalable Data Systems:Design, develop, and maintain data architectures and models that are scalable, high\-performing, and aligned with business, modeling, and analytical requirements. Apply best\-in\-class data modeling principles to ensure consistency, integrity, and accessibility across domains.
* Collaborate Across Functions: Partner closely with data scientists, product managers, and business stakeholders to deeply understand business needs and translate them into robust data models, systems, and strategies that support decision\-making, complex modeling, and analytics.
* Champion Data Quality and Governance: Define standards and frameworks for data modeling, quality, and governance. Ensure that data systems are reliable, performant, and built to scale with the business.
* Mentor and Guide Teams: Lead and mentor a team of contractors and data professionals, providing architectural guidance, code reviews, and clear direction to ensure high\-quality data product delivery. Set technical standards and coach the team on best practices for building, testing, and deploying data solutions.
* Drive Continuous Improvement:Identify opportunities to improve data pipelines, platforms, and processes. Collaborate with data engineers and data scientists to prioritize, develop, and test enhancements that improve reliability, performance, and usability.
* Bridge Technical and Business Perspectives:Communicate effectively with technical and non\-technical audiences. Interview data consumers to understand requirements, develop functional specifications, and ensure delivery of strategic data initiatives that meet business needs.
* Advocate for the Analyst Community: Represent analysts’ data needs across segments and product teams. Develop data literacy plans and training programs for both analyst and non\-analyst audiences to increase adoption and understanding of data assets.
* Strategic and Leadership Impact:
* Serve as a subject matter expert across the analytics organization and broader Intuit ecosystem.
* Create and execute data roadmaps that align with business strategy.
* Lead high\-complexity projects with end\-to\-end ownership, using agile methodologies, translating complex business requirements into milestones and deliverables.
**Qualifications**
 Technical \&amp; Strategic Expertise
* 8\+ years of experience in analytics engineering or data architecture, designing and implementing data models and pipelines that directly support business decision\-making and data\-driven strategies.
* Bachelor’s Degree in Computer Science, Information Systems, Statistics, Data Analytics, or a related field required; Master’s Degree preferred.
* Deep expertise in data modeling and semantic layer design, with the ability to translate complex business logic into scalable, high\-performance data structures
* Advanced proficiency in SQL and Python for data transformation, quality assurance, and automation.
* Strong understanding of data warehousing concepts and experience with modern cloud data platforms such as Databricks \- with the ability to optimize for usability, scalability, and performance
* Experienced in AWS data services
* Proficient in data transformation and orchestration tools such as dbt, Airflow, or Fivetran, with a strong grasp of CI/CD and version control best practices.
* Familiarity with data visualization and analytics platforms (e.g., Tableau, Qlik Sense, Looker) and a clear understanding of how data models enable effective self\-service analytics. Experience integrating and modeling clickstream and behavioral data
* Knowledge of data governance, lineage, and metadata management, ensuring models are trusted, well\-documented, and reusable across teams.
 Business Acumen, Collaboration \&amp; Leadership
* Exceptional ability to think from the business perspective \- deeply understands how data informs key metrics, KPIs, and strategic decisions, and designs models that make those insights accessible and actionable.
* Adept at collaborating with data scientists, product managers, and business stakeholders to translate business questions into technical designs and high\-impact analytical datasets.
* Recognized for building bridges between technical and business teams \- explaining complex data concepts in simple, outcome\-oriented language.
* Proven experience mentoring and leading data and analytics engineers, ensuring quality execution and alignment with architectural standards and business objectives.
* Proactive and strategic mindset \- anticipates business needs, identifies opportunities for improvement, and advocates for scalable, future\-proof data solutions.
* Excellent communication, prioritization, and organizational skills, with the ability to manage multiple complex initiatives simultaneously.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$191,500\-$259,000
 Southern California: $183,000\-$247,500</t>
        </is>
      </c>
    </row>
    <row r="32">
      <c r="A32" t="inlineStr">
        <is>
          <t>li-4370352578</t>
        </is>
      </c>
      <c r="B32" t="inlineStr">
        <is>
          <t>Data Engineer</t>
        </is>
      </c>
      <c r="C32" t="inlineStr">
        <is>
          <t>Inherent Technologies</t>
        </is>
      </c>
      <c r="D32" t="inlineStr">
        <is>
          <t>linkedin</t>
        </is>
      </c>
      <c r="E32" t="inlineStr"/>
      <c r="F32" t="inlineStr"/>
      <c r="G32" t="inlineStr">
        <is>
          <t>Minnesota, United States</t>
        </is>
      </c>
      <c r="H32" t="inlineStr"/>
      <c r="I32" t="inlineStr">
        <is>
          <t>**Position: Sr Data Engineer**
**Location: Minneapolis, MN/Remote**
**Duration: 1 Years**
**Job Details**
 Databricks, Azure Data Factory, Databricks workflows, PySpark, Python, Databricks SQL
 Data Modeling
 Databricks, Azure Data Factory, Databricks workflows, PySpark, Python, Databricks SQL
 Config driven data pipelines
 Databricks Genie conversational tool for AI driven insights using no code/low\-code and code completion options using GitHub Copilot
 Data Modeling: Star Schema and Snowflake Schema
 Open table formats: Delta Lake and Iceberg
 Cloud technologies: Azure is preferred
 Data virtualization schemes</t>
        </is>
      </c>
    </row>
    <row r="33">
      <c r="A33" t="inlineStr">
        <is>
          <t>li-4370350618</t>
        </is>
      </c>
      <c r="B33" t="inlineStr">
        <is>
          <t>Sr Data Engineer</t>
        </is>
      </c>
      <c r="C33" t="inlineStr">
        <is>
          <t>Shrive Technologies</t>
        </is>
      </c>
      <c r="D33" t="inlineStr">
        <is>
          <t>linkedin</t>
        </is>
      </c>
      <c r="E33" t="inlineStr"/>
      <c r="F33" t="inlineStr"/>
      <c r="G33" t="inlineStr">
        <is>
          <t>Texas, United States</t>
        </is>
      </c>
      <c r="H33" t="inlineStr"/>
      <c r="I33" t="inlineStr">
        <is>
          <t>Databricks, Azure Data Factory, Databricks workflows, PySpark, Python, Databricks SQL
 Data Modeling
 Databricks, Azure Data Factory, Databricks workflows, PySpark, Python, Databricks SQL
 Config driven data pipelines
 Databricks Genie conversational tool for AI driven insights using no code/low\-code and code completion options using GitHub Copilot
 Data Modeling: Star Schema and Snowflake Schema
 Open table formats: Delta Lake and Iceberg
 Cloud technologies: Azure is preferred
 Data virtualization schemes</t>
        </is>
      </c>
    </row>
    <row r="34">
      <c r="A34" t="inlineStr">
        <is>
          <t>li-4361785192</t>
        </is>
      </c>
      <c r="B34" t="inlineStr">
        <is>
          <t>Data Engineer - Hybrid, OH</t>
        </is>
      </c>
      <c r="C34" t="inlineStr">
        <is>
          <t>Ocean Blue Solutions Inc</t>
        </is>
      </c>
      <c r="D34" t="inlineStr">
        <is>
          <t>linkedin</t>
        </is>
      </c>
      <c r="E34" t="inlineStr"/>
      <c r="F34" t="inlineStr"/>
      <c r="G34" t="inlineStr">
        <is>
          <t>Columbus, OH</t>
        </is>
      </c>
      <c r="H34" t="inlineStr"/>
      <c r="I34" t="inlineStr">
        <is>
          <t>**Submission Due Date:** 
 07/14/2025
**Client** 
 \- State of Ohio
**Hybrid**
 The candidate must have senior data engineer experience in the following:
* Experience collecting and managing Public Health data from public sources, including US Census, Center for Disease Control and Prevention using APIs.
* Experience collecting and managing Public Health data from State of Ohio agencies via the Innovation Ohio Platform (IOP)
* Experience using git\-based projects in the IOP Cloudera Machine Learning Environment (CML) to manage Public Health data
* Experience building data collection, ingestion, and curation processes using CML based services and libraries
* Experience developing data automation jobs with Python\-based Jupyter Notebooks to collect data from remote sources and curate it into Apache HIVE tables</t>
        </is>
      </c>
    </row>
    <row r="35">
      <c r="A35" t="inlineStr">
        <is>
          <t>li-4361708695</t>
        </is>
      </c>
      <c r="B35" t="inlineStr">
        <is>
          <t>Data Engineer - Hybrid, OH</t>
        </is>
      </c>
      <c r="C35" t="inlineStr">
        <is>
          <t>Ocean Blue Solutions Inc</t>
        </is>
      </c>
      <c r="D35" t="inlineStr">
        <is>
          <t>linkedin</t>
        </is>
      </c>
      <c r="E35" t="inlineStr"/>
      <c r="F35" t="inlineStr"/>
      <c r="G35" t="inlineStr">
        <is>
          <t>Columbus, OH</t>
        </is>
      </c>
      <c r="H35" t="inlineStr"/>
      <c r="I35" t="inlineStr">
        <is>
          <t>**Submission Due Date:** 
 07/14/2025
**Client** 
 \- State of Ohio
**Hybrid**
 The candidate must have senior data engineer experience in the following:
* Experience collecting and managing Public Health data from public sources, including US Census, Center for Disease Control and Prevention using APIs.
* Experience collecting and managing Public Health data from State of Ohio agencies via the Innovation Ohio Platform (IOP)
* Experience using git\-based projects in the IOP Cloudera Machine Learning Environment (CML) to manage Public Health data
* Experience building data collection, ingestion, and curation processes using CML based services and libraries
* Experience developing data automation jobs with Python\-based Jupiter Notebooks to collect data from remote sources and curate it into Apache HIVE tables</t>
        </is>
      </c>
    </row>
    <row r="36">
      <c r="A36" t="inlineStr">
        <is>
          <t>li-4370345724</t>
        </is>
      </c>
      <c r="B36" t="inlineStr">
        <is>
          <t>Sr Data Engineer</t>
        </is>
      </c>
      <c r="C36" t="inlineStr">
        <is>
          <t>Inherent Technologies</t>
        </is>
      </c>
      <c r="D36" t="inlineStr">
        <is>
          <t>linkedin</t>
        </is>
      </c>
      <c r="E36" t="inlineStr"/>
      <c r="F36" t="inlineStr"/>
      <c r="G36" t="inlineStr">
        <is>
          <t>Tennessee, United States</t>
        </is>
      </c>
      <c r="H36" t="inlineStr"/>
      <c r="I36" t="inlineStr">
        <is>
          <t>**Position: Sr Data Engineer**
**Location: Nashville TN/Remote**
 JD
**CORE COMPETENCIES**
**The Following Are Highlighted Core Expectations For The Job/role**
* Communication and interpersonal skills
* Moral Courage
* Stakeholder partnership
* Understanding strategic imperatives
* Cross\-functional knowledge
* Risk management
* Software Development
* Technology Implementations
* Process improvement/re\-engineering
**Major Responsibilities**
 Automation Development
 Collaboration with various teams to understand opportunities and challenges related to data implementations using automation
 Perform deep data analysis to inform solution design and application optimization
 Contribute to day\-to\-day efforts associated with building and optimizing automation tooling.
 Propose recommendations, adjustments and/or process improvements to achieve success as needed.
 Development of support tools to assist in effective and efficient functional implementations.
 Provide assistance and support to facilitate business needs as they arise
 Escalation of concerns or issues that could impact a successful project go live in a timely and detailed manner.
 Attendance and participation in team and/or project meetings.
 Provide detailed report outs and status updates as needed.
 Some travel may be required to support business efforts.
 Practice and adhere to the "Code of Conduct" philosophy and "Mission and Value Statement"
 Perform other duties as assigned.</t>
        </is>
      </c>
    </row>
    <row r="37">
      <c r="A37" t="inlineStr">
        <is>
          <t>li-4370336811</t>
        </is>
      </c>
      <c r="B37" t="inlineStr">
        <is>
          <t>Data Engineer</t>
        </is>
      </c>
      <c r="C37" t="inlineStr">
        <is>
          <t>Vivian Health</t>
        </is>
      </c>
      <c r="D37" t="inlineStr">
        <is>
          <t>linkedin</t>
        </is>
      </c>
      <c r="E37" t="inlineStr"/>
      <c r="F37" t="inlineStr"/>
      <c r="G37" t="inlineStr"/>
      <c r="H37" t="inlineStr"/>
      <c r="I37" t="inlineStr">
        <is>
          <t>**About The Company**
 Vivian Health is a leading healthcare staffing platform dedicated to transforming the way healthcare professionals find their ideal jobs. As the largest healthcare jobs marketplace, Vivian Health supports over 2 million clinicians by providing a seamless, AI\-driven platform that simplifies the job search process. Our innovative approach enhances operational efficiencies for staffing agencies and healthcare employers, significantly reducing the time required to fill critical roles. Backed by prominent investors such as Thoma Bravo and IAC, Vivian Health has raised over $75 million in capital and has received recognition through awards like BuiltIn’s “Fully Remote Best Startup,” “Fully Remote Best Places to Work,” and “U.S. Best Startups to Work For” in 2024\.
**About The Role**
 We are seeking a highly skilled Lead Data Engineer to join our dynamic remote\-first team. In this pivotal role, you will be responsible for setting the technical direction and strategy of our data engineering efforts. You will lead a talented team of data engineers, overseeing the design, development, and maintenance of our data platform. Your expertise will be instrumental in building and scaling feature stores and ML infrastructure, which power personalized experiences for millions of healthcare professionals. This role offers an exciting opportunity to influence our data architecture, improve platform reliability, and enable advanced analytics and machine learning initiatives. You will collaborate closely with product, engineering, and data science teams to ensure our data infrastructure supports the company's strategic objectives and growth plans.
**Qualifications**
* 7\+ years of professional experience in data engineering or software engineering
* 2\+ years of leadership or management experience in a technical environment
* Proven experience designing and operating large\-scale data platforms
* Strong proficiency in Python and SQL
* Deep expertise with cloud data warehouses such as Snowflake, BigQuery, or Redshift
* Experience building and maintaining feature stores and ML infrastructure
* Knowledge of AWS services including DynamoDB, Lambda, SageMaker, and Kinesis
* Experience with Infrastructure\-as\-Code tools like CloudFormation or Terraform
* Hands\-on experience with data orchestration tools such as Airflow and DBT
* Familiarity with streaming data pipelines (Kafka, Kinesis, or similar)
* Proven mentoring skills and ability to build high\-performing teams
* Excellent communication skills, capable of translating complex technical concepts for diverse audiences
**Responsibilities**
* Define and lead the technical strategy for the data engineering team and platform
* Oversee the design, development, and maintenance of scalable data infrastructure
* Build and enhance feature stores and ML infrastructure to support machine learning models
* Ensure data quality, reliability, and security across all data pipelines
* Implement monitoring, alerting, and observability best practices for data operations
* Collaborate with product and engineering teams to align data initiatives with business goals
* Guide the team in adopting best practices for data testing, documentation, and version control
* Drive the architecture and deployment of real\-time data pipelines and streaming solutions
* Mentor and develop team members to foster growth and high performance
* Lead efforts to innovate and improve existing data processes and infrastructure
**Benefits**
* Competitive salary range of $190,000 \- $220,000 annually, plus equity
* Flexible Time Off to support work\-life balance
* Comprehensive health insurance plans, including HSA and FSA options
* 401(k) retirement savings plan with a generous employer match
* Work\-from\-home stipend to support remote work needs
* Access to corporate discount programs
* Pet insurance for employees’ furry companions
 Equal Opportunity
 Vivian Health is committed to fostering an inclusive environment and is proud to be an equal opportunity employer. We do not discriminate on the basis of race, color, religion, national origin, gender, gender identity or expression, sexual orientation, age, disability, or any other protected status under applicable law. We believe diversity drives innovation and are dedicated to creating a workplace where all employees can thrive.</t>
        </is>
      </c>
    </row>
    <row r="38">
      <c r="A38" t="inlineStr">
        <is>
          <t>li-4370345652</t>
        </is>
      </c>
      <c r="B38" t="inlineStr">
        <is>
          <t>Data Engineer</t>
        </is>
      </c>
      <c r="C38" t="inlineStr">
        <is>
          <t>Best Job Tool</t>
        </is>
      </c>
      <c r="D38" t="inlineStr">
        <is>
          <t>linkedin</t>
        </is>
      </c>
      <c r="E38" t="inlineStr"/>
      <c r="F38" t="inlineStr"/>
      <c r="G38" t="inlineStr"/>
      <c r="H38" t="inlineStr"/>
      <c r="I38" t="inlineStr">
        <is>
          <t>**About The Company**
 Netflix is a global leader in the entertainment industry, renowned for its innovative streaming platform that offers a vast library of movies, television series, documentaries, and original content. Founded in 1997, Netflix has revolutionized the way audiences access and consume entertainment, establishing a strong presence across North America, Europe, Asia, and other regions. With a commitment to delivering high\-quality content and a user\-centric experience, Netflix continues to set industry standards through technological advancements, original productions, and a focus on global expansion. The company's culture emphasizes creativity, diversity, and continuous learning, making it an inspiring environment for professionals dedicated to shaping the future of entertainment.
**About The Role**
 We are seeking a highly motivated and detail\-oriented professional to join Netflix as a Content Acquisition Specialist. In this role, you will be responsible for identifying, negotiating, and securing licensing agreements for a diverse range of content that aligns with Netflix's strategic goals. Your expertise will contribute to expanding our content library, enhancing viewer satisfaction, and maintaining our competitive edge in the streaming industry. The ideal candidate will possess strong negotiation skills, an understanding of content trends, and the ability to build and maintain relationships with content providers worldwide. This position offers an exciting opportunity to work at the forefront of entertainment technology and contribute to the global success of Netflix.
**Qualifications**
 The ideal candidate should have a bachelor's degree in Business, Media Studies, Communications, or a related field. A minimum of 3\-5 years of experience in content licensing, media negotiations, or a similar role within the entertainment industry is preferred. Strong analytical skills, excellent communication abilities, and proficiency in contract management are essential. Knowledge of international content markets, copyright laws, and digital media trends will be highly advantageous. Candidates should demonstrate a proactive approach, strategic thinking, and the ability to work effectively in a fast\-paced, collaborative environment.
**Responsibilities**
* Identify potential content opportunities by analyzing market trends, audience preferences, and competitive landscape.
* Negotiate licensing agreements and contracts with content owners, studios, and distributors to secure rights for a diverse range of content.
* Collaborate with cross\-functional teams including content programming, legal, and finance to ensure alignment with company objectives and compliance requirements.
* Manage and maintain relationships with existing content partners, ensuring ongoing collaboration and renewal of licenses.
* Monitor content performance and audience engagement metrics to inform future content acquisition strategies.
* Stay updated on industry developments, copyright laws, and emerging digital media trends to keep Netflix at the forefront of content innovation.
* Assist in developing and implementing strategies for international content expansion, ensuring cultural relevance and compliance.
**Benefits**
 Netflix offers a comprehensive benefits package designed to support the well\-being and professional growth of its employees. This includes competitive salary packages, health insurance plans, retirement savings options, and generous paid time off. Employees have access to ongoing learning and development programs, wellness initiatives, and a vibrant, inclusive workplace culture that encourages collaboration and innovation. Additionally, Netflix provides opportunities for international travel, networking, and participation in industry events, fostering a dynamic environment where talent can thrive and grow.
 Equal Opportunity
 Netflix is an equal opportunity employer committed to fostering an inclusive environment for all employees. We celebrate diversity and are dedicated to creating a workplace where everyone feels valued and empowered. We do not discriminate based on race, ethnicity, gender, sexual orientation, age, disability, or any other characteristic protected by law. We believe that diverse perspectives drive innovation and are essential to our continued success. All qualified applicants are encouraged to apply, and we are committed to providing accommodations to applicants with disabilities throughout the hiring process.</t>
        </is>
      </c>
    </row>
    <row r="39">
      <c r="A39" t="inlineStr">
        <is>
          <t>li-4370353633</t>
        </is>
      </c>
      <c r="B39" t="inlineStr">
        <is>
          <t>AWS Data Engineer - Fully Remote - US Only</t>
        </is>
      </c>
      <c r="C39" t="inlineStr">
        <is>
          <t>Scalepex</t>
        </is>
      </c>
      <c r="D39" t="inlineStr">
        <is>
          <t>linkedin</t>
        </is>
      </c>
      <c r="E39" t="inlineStr"/>
      <c r="F39" t="inlineStr"/>
      <c r="G39" t="inlineStr">
        <is>
          <t>Plano, TX</t>
        </is>
      </c>
      <c r="H39" t="inlineStr"/>
      <c r="I39" t="inlineStr">
        <is>
          <t>**❋ Why Scalepex?**
 Scalepex is a dynamic services firm specializing in providing solutions for premium brands like Nike, Pepsi, Toyota, Virgin and Walgreens. Our mission is to connect prominent market leaders with top\-tier professionals from around the world, fostering collaboration, efficiency, and growth.
**❋ Take your portfolio to the next level by working with one of our fastest growing clients.**
**Join the Innovation Frontier at Scalepex!**
**About The Role**
 We are seeking an experienced
 **AWS Data Engineer** 
 with a strong background in building scalable data solutions and expertise in utilities\-related datasets. The ideal candidate will have at least 5 years of experience in data engineering, a deep understanding of distributed systems, and proficiency with AWS services and tools like Step Functions, Lambda, Glue, and Redshift. This role will focus on designing, developing, and optimizing data pipelines to support analytics and decision\-making in the utilities industry.
**Key Responsibilities**
* Design and Build Data Pipelines: Develop scalable, reliable data pipelines using AWS services (e.g., Glue, S3, Redshift) to process and transform large datasets from utility systems like smart meters or energy grids.
* Workflow Orchestration: Use AWS Step Functions to orchestrate workflows across data pipelines; experience with Airflow is acceptable but Step Functions is preferred.
* Data Integration and Transformation: Implement ETL/ELT processes using PySpark, Python, and Pandas to clean, transform, and integrate data from multiple sources into unified datasets.
* Distributed Systems Expertise: Leverage experience with complex distributed systems to ensure reliability, scalability, and performance in handling large\-scale utility data.
* Serverless Application Development: Use AWS Lambda functions to build serverless solutions for automating data processing tasks.
* Data Modeling for Analytics: Design data models tailored for utilities use cases (e.g., energy consumption forecasting) to enable advanced analytics
* Optimize Data Pipelines: Continuously monitor and improve the performance of data pipelines to reduce latency, enhance throughput, and ensure high availability.
* Ensure Data Security and Compliance: Implement robust security measures to protect sensitive utility data and ensure compliance with industry regulations.
**Requirements**
**Required Qualifications**
* Minimum of 5 years of experience in data engineering
* Proficiency in AWS services such as Step Functions, Lambda, Glue, S3, DynamoDB, and Redshift.
* Strong programming skills in Python with experience using PySpark and Pandas for large\-scale data processing.
* Hands\-on experience with distributed systems and scalable architectures.
* Knowledge of ETL/ELT processes for integrating diverse datasets into centralized systems.
* Familiarity with utilities\-specific datasets (e.g., smart meters, energy grids) is highly desirable.
* Strong analytical skills with the ability to work on unstructured datasets.
* Knowledge of data governance practices to ensure accuracy, consistency, and security of data.
* Strong experience in AWS data engineering
* Ability to work independently
* Ability to work with a cross\-functional teams, including interfacing and communicating with business stakeholders
* Professional oral and written communication skills
* Strong problem solving and troubleshooting skills with experience exercising mature judgement
* Excellent teamwork and interpersonal skills
* Ability to obtain and maintain the required clearance for this role</t>
        </is>
      </c>
    </row>
    <row r="40">
      <c r="A40" t="inlineStr">
        <is>
          <t>li-4370354653</t>
        </is>
      </c>
      <c r="B40" t="inlineStr">
        <is>
          <t>Senior Data Engineer</t>
        </is>
      </c>
      <c r="C40" t="inlineStr">
        <is>
          <t>ForFutures Financial, Planning, a financial advisory practice of Ameriprise Financial Services LLC</t>
        </is>
      </c>
      <c r="D40" t="inlineStr">
        <is>
          <t>linkedin</t>
        </is>
      </c>
      <c r="E40" t="inlineStr"/>
      <c r="F40" t="inlineStr"/>
      <c r="G40" t="inlineStr">
        <is>
          <t>Santa Ana, CA</t>
        </is>
      </c>
      <c r="H40" t="inlineStr"/>
      <c r="I40" t="inlineStr">
        <is>
          <t>**Who We Are**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As an InfoSec Security Data Engineer (Data Security), you will support and enhance First American’s existing Data Security processes, standards, and tools across the enterprise. You will work with the Data Security team to reduce the risk for the organization by securing data through detection of sensitive data, classifying and labeling detected data, and applying encryption or other security controls to protect and ensure appropriate access to and use of sensitive data to fully comply with all applicable laws and regulatory guidance. Additionally, you will work with internal information security and business groups to identify opportunities for continuous improvement and maturity of the Data Security function.
 You will be joining a team that is looking to mature the tools and technology that is being utilized, as well as the end\-to\-end data remediation processes. Under the leadership of the manager, you would help develop programs to further secure our sensitive information in both structured and unstructured data environments.
 This role is hybrid 3 days per week onsite in Santa Ana, CA.
**How You'll Contribute**
* Under general supervision, oversee small to medium scale projects or phases of a larger project. Such initiatives include expanding the use of Microsoft 365 Information Protection (MIP) and Purview Data Loss Prevention (DLP) for cloud\-based collaboration services.
* Participate in identifying business process requirements and related business/application solutions for a specific business need, for example, remediation of an audit finding or enhancing our data security capabilities.
* Identify/receive problem, research alternatives, prepare presentations, drive solutions, tests to confirm and gain consensus, and implement solutions for defined business processes.
* Generate and create reports; research and analyze data and report trends to management/business partner—metrics such as user adoption/labeling activity, high risk users/business units, or risk exposure/risk remediation.
* Assist with the creation, maintenance, and updates of Data Security process documents, including Data Remediation, sensitivity labeling, and process/workflows with ServiceNow integration.
* Interface with Business Units and data stewards to support Data Security initiatives across the enterprise.
* Responding in a timely manner as a subject matter expert to questions from end users and business stakeholders by sharing accurate information about data security policies, standards, and business processes.
* Support the team with resolution of alerts triggered by the automated detection of sensitive information stored as unstructured data residing on the First American network.
* Anticipate, identify, and escalate appropriate issues to Manager/Director.
* Keep abreast of industry advancements and incorporate that knowledge into daily work activities.
* Participate in evaluation and selection of new technology.
**What You'll Bring**
*KNOWLEDGE, SKILLS \&amp; TECHNOLOGY*
* Bachelor’s Degree or equivalent experience
* Minimum 3 years of relevant work experience in Information Security, IT Risk Management
* M365 EMS E5 stack of online services, including but not limited to, Purview DLP, Microsoft Information Protection (MIP), and how these interact with Exchange, SharePoint, OneDrive, and Microsoft Defender (Cloud Apps \&amp; Endpoint)
* Extensive experience working with Microsoft technologies and infrastructure, with an emphasis on Active Directory/AAD
* Working knowledge of IT and Information Security control standards and frameworks (CIS, NIST, ISO27001, etc.) as well as financial services regulatory requirements (CCPA, PCI\-DSS, etc.)
* Familiarity with RegEx formulas, Sensitive Information Types (SITs), NPI/PI
* Team player with positive energy and good customer service skills
* Ability to work independently, demonstrates initiative, and is a self\-starter
* Understanding of modern cyber security methodologies and protocols
* Excellent verbal and written communication skills
* Experience in documenting processes, technical writing, and flow charts
* Manage multiple initiatives simultaneously, with strong ability to prioritize
* Customer focused in the context of balancing risk reduction with business needs
* High attention to detail to manage, analyze and finalize artifacts and documents
* Highly flexible, adapting to changes in priorities and requirements
* Ability to quickly learn, communicate and apply technical concepts
* Demonstrated judgement in effectively dealing with highly sensitive information
 Pay Range: $129,300\.00 \- $172,300\.00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41">
      <c r="A41" t="inlineStr">
        <is>
          <t>li-4336293816</t>
        </is>
      </c>
      <c r="B41" t="inlineStr">
        <is>
          <t>AI Ops Data Engineer - Hybrid</t>
        </is>
      </c>
      <c r="C41" t="inlineStr">
        <is>
          <t>Commerce</t>
        </is>
      </c>
      <c r="D41" t="inlineStr">
        <is>
          <t>linkedin</t>
        </is>
      </c>
      <c r="E41" t="inlineStr"/>
      <c r="F41" t="inlineStr"/>
      <c r="G41" t="inlineStr">
        <is>
          <t>Austin, TX</t>
        </is>
      </c>
      <c r="H41" t="inlineStr"/>
      <c r="I41" t="inlineStr">
        <is>
          <t>**Welcome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We are looking for a Data Engineer to join our Data Solutions organization and support the AI Operations team in building the data foundation that powers automation, analytics, and AI\-enabled decision\-making across the company. This role will design and maintain the pipelines, data lake architectures, and Snowflake models that ensure clean, reliable, and timely data is available for AI\-driven workflows.
 You’ll collaborate closely with the Business Analyst, Automation Specialist, and Full Stack Engineer to translate business requirements into scalable data systems that enable automation and advanced analytics. You’ll also partner with other data engineers to build infrastructure that supports AI use cases and helps connect business processes with intelligent, data\-driven solutions.
**What You’ll Do**
* Design and maintain data lake architectures that support AI Operations workflows, analytics, and automation.
* Build and optimize ETL/ELT pipelines to ingest raw data from internal and external tools (e.g., Salesforce, Crossbeam, marketing platforms) into Snowflake and other structured data stores.
* Partner with Business Analysts to translate business requirements into scalable, production\-ready data solutions.
* Collaborate with Automation Specialists to connect data pipelines with workflow automation requests, custom GPTs, and AI assistant integrations.
* Support Full Stack Engineers by developing and maintaining the MCP Server (Message/Command/Processing layer) that connects data services with internal tools and systems.
* Work with Business Analysts to validate data quality and ensure accuracy across key datasets and workflows.
* Develop and maintain Snowflake data warehouse models, ensuring datasets are structured, governed, and optimized for AI use cases.
* Troubleshoot and resolve data ingestion issues, recommending improvements to infrastructure, processes, and tools.
* Monitor and maintain all data workflows within the AI Operations ecosystem, ensuring performance, reliability, and scalability.
**Who You Are**
* Experienced – 3\+ years of experience in data engineering, data warehousing, or related fields.
* Technical – Strong SQL and Python skills, with hands\-on experience building ETL/ELT pipelines (Airflow experience a plus).
* Data\-Focused – Skilled in Snowflake or similar cloud data warehouses (BigQuery, Redshift) and familiar with data lake concepts and best practices.
* AI Curiosity – Passionate about building AI\-driven products and automation systems that transform how teams operate and make decisions.
* Cloud\-Savvy – Comfortable working within AWS, GCP, or similar environments; familiar with Linux command\-line operations.
* Collaborative – Works effectively across teams, partnering with analysts, engineers, and automation specialists to build high\-impact solutions.
* Curious and Innovative – Passionate about AI and eager to explore practical ways to enable automation through data.
* Problem Solver – Analytical and detail\-oriented, capable of diagnosing complex data issues and driving process improvements.
* Adaptable – Thrives in a fast\-paced, evolving environment with shared ownership and cross\-functional support.
* Hybrid – 3 Days per week in office.
**(Pay Transparency Range: $91,000\-$154,000\)**
 The exact salary will be dependent on the successful candidate’s location, relevant knowledge, skills, and qualifications.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42">
      <c r="A42" t="inlineStr">
        <is>
          <t>li-4370094162</t>
        </is>
      </c>
      <c r="B42" t="inlineStr">
        <is>
          <t>Data Engineer III</t>
        </is>
      </c>
      <c r="C42" t="inlineStr">
        <is>
          <t>RemoteHunter</t>
        </is>
      </c>
      <c r="D42" t="inlineStr">
        <is>
          <t>linkedin</t>
        </is>
      </c>
      <c r="E42" t="inlineStr"/>
      <c r="F42" t="inlineStr"/>
      <c r="G42" t="inlineStr"/>
      <c r="H42" t="inlineStr"/>
      <c r="I42" t="inlineStr">
        <is>
          <t>About the Opportunity:
 The Data Engineer III is responsible for building and maintaining robust data pipelines and models, overseeing a broad scope of ETL infrastructure and databases. This role enables accurate and timely access to data across the organization by simplifying and centralizing a complex ecosystem, providing trustworthy, analytic\-ready resources for various business units. It involves deep collaboration with stakeholders in Engineering, Analytics, Operations, Finance, Marketing, and Customer Service to create a dependable data environment and drive measurable business impact through data.
 Responsibilities:
 • Design, implement, and maintain scalable and reliable data pipelines using Airflow, dbt, Rivery, Python, and SQL.
 • Collaborate with business teams to translate high\-level goals into data solutions supporting forecasting, performance tracking, and optimization.
 • Develop and maintain well\-documented data models in Snowflake and BigQuery that support analytics, reporting, and operational workflows.
 • Integrate data from internal and external sources, including Google Analytics and third\-party APIs, to ensure full\-funnel visibility.
 • Enable self\-service analytics by making data assets discoverable and usable through tools like Tableau, focusing on semantic layer design and performance tuning.
 • Develop monitoring and observability practices for data quality and pipeline health.
 • Participate in architecture and design decisions involving cloud infrastructure and containerization using AWS, Pulumi, and Docker.
 • Maintain thorough documentation and promote engineering standards for transparency, maintainability, and reusability of data systems.
 Requirements:
 • 7\+ years of experience in data engineering, analytics engineering, or related roles.
 • Advanced proficiency in SQL and Python, including efficient query writing and software engineering principles.
 • Hands\-on experience with Snowflake and/or BigQuery, including data modeling and performance optimization.
 • Proficiency with orchestration tools like Airflow and data integration tools such as dbt.
 • Experience with AWS cloud services for data storage, compute, and infrastructure management, including AWS Batch, ECR, and Lambda.
 • Familiarity with data analytics and visualization tools, particularly Tableau, and experience supporting dashboard development.
 • Experience working with marketing and product data sources, including Google Analytics.
 • Strong knowledge of ETL/ELT design and data warehousing solutions.
 • Familiarity with CI/CD pipelines and DevOps practices for data engineering.
 • Proficient in Microsoft Suite for documentation and collaboration.
 • Experience with API design and integration.
 • Familiarity with SCRUM methodologies and tools like Jira.
 Benefits \&amp; Perks:
 • Paid Time Off
 • Medical, Dental, Vision, and Prescription Insurance
 • 401(k) Retirement Plan with Company Match
 • Flexible Spending Account and Health Savings Account
 • Tuition Reimbursement
 • Employee Discount
 • Parental Leave
 • Life Insurance
 Compensation:
 • Annual base pay range: $147,000 \- $172,000, determined by experience and qualifications.
 • Final pay based on individual qualifications, market demands, and work location.
 • Salary range may be modified.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3">
      <c r="A43" t="inlineStr">
        <is>
          <t>li-4368133311</t>
        </is>
      </c>
      <c r="B43" t="inlineStr">
        <is>
          <t>Data Engineer</t>
        </is>
      </c>
      <c r="C43" t="inlineStr">
        <is>
          <t>Heitmeyer Consulting</t>
        </is>
      </c>
      <c r="D43" t="inlineStr">
        <is>
          <t>linkedin</t>
        </is>
      </c>
      <c r="E43" t="inlineStr"/>
      <c r="F43" t="inlineStr"/>
      <c r="G43" t="inlineStr">
        <is>
          <t>Dallas, TX</t>
        </is>
      </c>
      <c r="H43" t="inlineStr"/>
      <c r="I43" t="inlineStr">
        <is>
          <t>Heitmeyer Consulting has a banking client that has a need within their Chief Data Office for a strong Data Engineer to specialize in building and optimizing high\-performance, real\-time data pipelines. This role is central to leveraging the power of Apache Kafka for event streaming and Apache Flink for complex, stateful stream processing and analytics. The ideal candidate will transform raw, high\-velocity data into actionable, low\-latency insights that drive core business functionality, working within our AWS\-based data ecosystem leveraging S3 for storage. Role must be based in Dallas, TX or Tulsa, OK.
**Top Required Skills:**
* Require extensive experience as a Data Engineer building and maintaining production\-grade data pipelines with a focus on real\-time systems.
* In\-depth experience with Apache Kafka along with hands\-on experience with Apache Flink, including understanding of state management, fault tolerance and time semantics.
* Significant cloud background with strong expertise in AWS cloud services related to data engineering (S3, MSK, Glue, Athena, EMR, DynamoDB, etc.).
* Proficiency in programming/scripting languages such as Python, Java, or Scala.
* Familiar with modern data stack and big data technologies (Spark, Airflow, Iceberg, SQL) along with understanding of distributed systems and processing real\-time data at scale.
* Excellent problem\-solving skills and the ability to troubleshoot complex issues in distributed systems.
**Nice\-to\-have:**
* Background within financial services would be preferred but not required.
**Key Responsibilities**
* Design, develop, and deploy robust, high\-throughput, low\-latency streaming applications using Apache Flink and Java/Scala/Python APIs.
* Architect and optimize Kafka\-based event\-driven systems, including topic design, schema enforcement via Schema Registry, and integration using Kafka Connect.
* Lead data transformation through implementation of complex business logic, stateful processing, windowing, and data enrichment within Flink jobs to transform raw Kafka streams into analytics\-ready datasets, ensuring exactly\-once semantics and fault tolerance.
* Ensure cloud integration with storage and manage processed data efficiently in AWS S3 and potentially using an open format like Apache Iceberg, connecting seamlessly with downstream analytics tools (e.g., Athena).
* Optimize performance and observability – tune Flink and Kafka configurations for maximum performance, efficiency, and scalability, implementing robust monitoring and alerting for production environments.
* Partner closely with data scientists, software engineers, and business stakeholders to translate functional requirements into reliable data processing solutions.
* Champion software engineering best practices, including automated testing, code review, CI/CD pipelines, and documentation of data lineage and logic.
*Heitmeyer Consulting is an equal opportunity employer, and we encourage all qualified candidates to apply. Qualified applicants will be considered without regard to minority status, gender, disability, veteran status or any other characteristic protected by law.*</t>
        </is>
      </c>
    </row>
    <row r="44">
      <c r="A44" t="inlineStr">
        <is>
          <t>li-4370347381</t>
        </is>
      </c>
      <c r="B44" t="inlineStr">
        <is>
          <t>Data Engineer, Platform</t>
        </is>
      </c>
      <c r="C44" t="inlineStr">
        <is>
          <t>Radiant</t>
        </is>
      </c>
      <c r="D44" t="inlineStr">
        <is>
          <t>linkedin</t>
        </is>
      </c>
      <c r="E44" t="inlineStr"/>
      <c r="F44" t="inlineStr"/>
      <c r="G44" t="inlineStr"/>
      <c r="H44" t="inlineStr"/>
      <c r="I44" t="inlineStr">
        <is>
          <t>**About The Company**
 Radiant is an innovative startup headquartered in El Segundo, California, dedicated to revolutionizing the energy industry with the development of portable nuclear microreactors. Founded in 2020, Radiant aims to provide reliable, clean, and transportable power solutions through its groundbreaking reactor technology. The company's flagship product, Kaleidos, is a 1\-megawatt failsafe microreactor capable of being transported to various locations and operating continuously for up to five years without refueling. By leveraging modern software engineering practices and utilizing existing, well\-qualified materials, Radiant is rapidly advancing towards manufacturing and deployment. The company's vision is to replace traditional diesel generators and support critical infrastructure such as hospitals, data centers, remote sites, and military bases with portable nuclear power. With plans to test its first reactor at the Idaho National Laboratory and initial customer deliveries slated for 2028, Radiant is positioned at the forefront of the clean energy revolution and nuclear innovation.
**About The Role**
 Radiant is building a new team to manage its internal data infrastructure, analytics, and AI capabilities. As a Staff Data Platform Engineer, you will play a key role in designing, developing, and maintaining the data pipelines that connect various operational systems across the organization. Your primary focus will be on creating seamless integrations and pipelines that unify data from finance, HR, supply chain, manufacturing, and recruiting systems into a centralized data platform. The initial project involves developing the ION\-Ramp integration, which enables three\-way matching between purchase orders, receipts, and invoices, significantly reducing manual effort for the finance team. Beyond this, you will expand your work to connect nine enterprise systems, develop transformation models using dbt, and ensure high data quality and reliability across the platform. This role offers a unique opportunity to influence key business functions through data\-driven insights and automation, supporting Radiant’s mission to accelerate clean energy solutions.
**Qualifications**
* 5\+ years of experience in data engineering or software engineering
* Proficiency in Python and SQL for daily development tasks
* Experience with data warehouses such as Databricks, Snowflake, BigQuery, or Redshift
* Strong background in ETL/ELT pipeline development using tools like Fivetran, Airbyte, Stitch, or custom pipelines
* API integration experience with REST and GraphQL protocols
* Solid understanding of data modeling, including dimensional modeling and schema design
* Ability to read and interpret API documentation and build enterprise SaaS integrations
* Excellent documentation skills for pipelines, models, and data definitions
* Preferred qualifications include experience in hardware or hardtech companies, familiarity with manufacturing and supply chain processes, and knowledge of systems such as MES, ERP, or ION
* Experience with dbt (data build tool) and data quality frameworks like Great Expectations
* Comfort with building internal tools using Python/Flask or basic frontend technologies
* Understanding of supply chain and manufacturing systems such as SAP, NetSuite, or ION is a plus
**Responsibilities**
* Configure and maintain Fivetran connectors, build custom data pipelines, and integrate nine enterprise systems including ION, Ramp, QuickBooks, Rippling, Ashby, Salesforce, SharePoint, Smartsheet, and DocuSign
* Develop the ION\-Ramp pipeline to enable three\-way matching for finance, connecting Snowflake, Databricks, and Ramp
* Create and maintain dbt transformation models to convert raw data into clean, documented, and testable formats for dashboards and analytics
* Implement data quality testing, monitoring, and alerting mechanisms to proactively identify and resolve data issues
* Collaborate with product managers and stakeholders to ensure data models support various dashboards for finance, operations, and HR/recruiting teams
* Maintain comprehensive documentation for data pipelines, models, and definitions to ensure transparency and facilitate onboarding
* Support continuous improvement of data infrastructure and contribute to best practices in data engineering
**Benefits**
* Competitive salary with substantial equity grants
* Comprehensive health, dental, and vision insurance plans, including 100% premium coverage for employees and partial coverage for dependents
* 401(k) retirement plan with company matching
* Flexible PTO policy and remote work options
* Paid parental leave: 8 weeks for all parents, with additional leave for pregnant employees in California
* Sponsored memberships for health services such as One Medical
* Daily catered lunches, snacks, and drinks at headquarters
* Company\-sponsored team\-building events, happy hours, and in\-person gatherings
* Access to cutting\-edge tools and a modern tech stack including Databricks, Fivetran, dbt, and Airbyte
* Opportunity to work at a pioneering company with a mission to deliver clean, portable energy solutions
* Beautiful headquarters located near the Pacific Ocean in El Segundo, with additional offices in Oak Ridge, TN, and Washington, D.C.
 Equal Opportunity
 Radiant is an equal opportunity employer committed to fostering an inclusive environment for all employees. We do not discriminate based on race, color, religion, sex, sexual orientation, gender identity or expression, pregnancy, age, national origin, disability status, genetic information, protected veteran status, or any other characteristic protected by law. All qualified</t>
        </is>
      </c>
    </row>
    <row r="45">
      <c r="A45" t="inlineStr">
        <is>
          <t>li-4349612432</t>
        </is>
      </c>
      <c r="B45" t="inlineStr">
        <is>
          <t>Analytics Engineer</t>
        </is>
      </c>
      <c r="C45" t="inlineStr">
        <is>
          <t>Astrana Health</t>
        </is>
      </c>
      <c r="D45" t="inlineStr">
        <is>
          <t>linkedin</t>
        </is>
      </c>
      <c r="E45" t="inlineStr"/>
      <c r="F45" t="inlineStr"/>
      <c r="G45" t="inlineStr">
        <is>
          <t>Alhambra, CA</t>
        </is>
      </c>
      <c r="H45" t="inlineStr"/>
      <c r="I45" t="inlineStr">
        <is>
          <t>**Department:** 
 Data \- Analytics
**Location:** 
 1668 S. Garfield Ave. 2nd Floor, Alhambra, CA 91801
**Compensation:** 
 $115,000 \- $130,000 / year
**Description**
 We are currently seeking a highly motivated Healthcare Analytics Engineer I. This role will work closely with data scientists, software engineers, data engineers, and clinical leaders to produce deliverables for internal and external clients. With over a million managed lives across the country and terabytes of data generated, our teams need to be continuously equipped with the tools and insights to drive strategy and innovation to further our core values of improving patient outcomes and empowering our providers.
**Our Values:** 
* *Put Patients First*
* *Empower Entrepreneurial Provider and Care Teams*
* *Operate with Integrity \&amp; Excellence*
* *Be Innovative*
* *Work As One Team*
**What You'll Do**
* Use best software engineering practices to implement quality measures, risk adjustment models, and other metrics for datasets originating from internal and external clients.
* Develop high quality, maximally available data models which are intuitive to data analysts and trusted by stakeholders.
* Maintain and enhance/upgrade the existing Risk Adjustment score calculator for generating RAF scores for the Medicare Advantage population.
* Adept at building scalable data solutions and collaborating with downstream analysts to ensure clarity and usability of datasets related to Risk Adjustment, RAF scores, and HCC gap closure
* Build scalable ELT pipelines and business intelligence dashboards as needed, embracing automation wherever possible.
* Acquire deep domain knowledge in healthcare operations and track regulatory developments related to analytical products you maintain.
* Apply data quality checks which proactively identify data issues and distributional shifts to ensure accuracy of downstream analytical products.
* With guidance, take ownership of one or several reporting domains, interfacing business stakeholders to understand and deliver their requests.
**Qualifications**
* Bachelor’s degree in computer science, data science, analytics, statistics, or related field; master’s degree preferred.
* Expertise in Azure Databricks, PySpark, and SQL, specializing in Medicare Advantage Risk Adjustment and Quality Metrics
* Knowledge of professional software engineering practices and best practices for the full software development life cycle (SDLC), including documentation, coding standards, code reviews, source control management, build processes, testing, and operations.
* Experience in working with large datasets.
* Experience with cloud\-computing platforms such as Azure.
* Experience working in the healthcare industry
* Familiarity with database management systems such as MongoDB or Microsoft SQL Server.
* Strong written and oral communication skills.
**Environmental Job Requirements and Working Conditions**
* This position is remotely based in the U.S.
* The total compensation target pay range for this role is: $115,000 \- $130,000\. Actual compensation will be determined based on geographic location (current or future), experience, and other job\-related factors.
 Astrana Health is proud to be an Equal Employment Opportunity and Affirmative Action employer.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All employment is decided based on qualifications, merit, and business need. If you require assistance in applying for open positions due to a disability, please email us at
 **humanresourcesdept@astranahealth.com** 
 to request an accommodation.
**Additional Information:**
 The job description does not constitute an employment agreement between the employer and employee and is subject to change by the employer as the needs of the employer and requirements of the job change.</t>
        </is>
      </c>
    </row>
    <row r="46">
      <c r="A46" t="inlineStr">
        <is>
          <t>li-4369980625</t>
        </is>
      </c>
      <c r="B46" t="inlineStr">
        <is>
          <t>Senior Data Engineer</t>
        </is>
      </c>
      <c r="C46" t="inlineStr">
        <is>
          <t>talisman</t>
        </is>
      </c>
      <c r="D46" t="inlineStr">
        <is>
          <t>linkedin</t>
        </is>
      </c>
      <c r="E46" t="inlineStr"/>
      <c r="F46" t="inlineStr"/>
      <c r="G46" t="inlineStr">
        <is>
          <t>Houston, TX</t>
        </is>
      </c>
      <c r="H46" t="inlineStr"/>
      <c r="I46" t="inlineStr">
        <is>
          <t>Senior Data Engineer – Energy \&amp; Financial Markets
 We’re looking for a Senior Data Engineer to design, build, and scale data pipelines supporting trading, analytics, and market\-facing teams.
 Senior Data Engineer responsibilities;
* Build and maintain scalable ETL pipelines using Python and AWS
* Design and optimize data models and workflows in Snowflake
* Partner with quant, trading, and analytics teams on data architecture
* Own data reliability, performance, and quality across market datasets
* Contribute to data platform architecture and cloud best practices
 Senior Data Engineer requirements;
* 5\+ years’ experience in Data Engineering
* Strong Python, AWS (S3, Lambda, Glue, etc.), and ETL experience
* Hands\-on Snowflake development and performance tuning
* Experience designing data architectures in cloud environments
* Knowledge of financial or energy markets (trading, pricing, risk, market data)
* Houston\-based or open to relocation
 Nice to Have
* Experience supporting trading desks or quants
* Exposure to real\-time or high\-frequency market data</t>
        </is>
      </c>
    </row>
    <row r="47">
      <c r="A47" t="inlineStr">
        <is>
          <t>li-4361785327</t>
        </is>
      </c>
      <c r="B47" t="inlineStr">
        <is>
          <t>Senior Data Platform Engineer</t>
        </is>
      </c>
      <c r="C47" t="inlineStr">
        <is>
          <t>Arrowstreet Capital, Limited Partnership</t>
        </is>
      </c>
      <c r="D47" t="inlineStr">
        <is>
          <t>linkedin</t>
        </is>
      </c>
      <c r="E47" t="inlineStr"/>
      <c r="F47" t="inlineStr"/>
      <c r="G47" t="inlineStr">
        <is>
          <t>Boston, MA</t>
        </is>
      </c>
      <c r="H47" t="inlineStr"/>
      <c r="I47" t="inlineStr">
        <is>
          <t>**Job Overview**
 The Senior Data Platform Engineer of the Shared Data Platform plays a pivotal role in designing and developing innovative services to enhance Arrowstreet Capital’s data infrastructure. The primary objective is to streamline the ingestion and transformation of new data sources, enabling rapid delivery of actionable analytics across the firm. You will collaborate with stakeholders from various departments to gather requirements and identify process improvements that optimize data flow. Additionally, you will design flexible abstractions and frameworks, ensuring that platform solutions can be efficiently tailored to meet the diverse needs of internal clients.
**Responsibilities**
* Define and execute the technical roadmap for the platform that can support batch and real\-time data sets using modern data processing frameworks.
* Oversee and contribute to building features for data discovery, lineage, governance, ingestion operation, cost management, performance, etc.
* Lead and assist the team in investigating potential improvements achieved by adopting new data technologies and frameworks.
* Achieve high quality metrics through automated testing, robust operational tooling, and highly\-available cloud architecture.
* Production support of the platform to avoid disruption to investment processes.
* Collaborate closely with business stakeholders to understand their data needs, translate business objectives into scalable and efficient data engineering solutions.
* Partner with IT operations and cloud security teams to ensure platform solutions are secure, scalable, and reliable.
* Develop and mentor a junior Data Engineers
**Qualifications**
* Bachelor’s degree in Computer Science, Computer Engineering or a related discipline
* At least 5 years of experience working with data lakes, data warehousing, and/or database systems, including processing frameworks like Spark, Hadoop, Presto, etc.
* You strive to write elegant code, and you're comfortable with picking up new technologies independently
* You are fluent in at least one major programming language (e.g. Python, C\#)
* Hands\-on experience working with AWS. and automation through infrastructure as code with one of the Terraform, Pulumi, Cloudformation and CDK etc.
* Experience designing and deploying APIs and client libraries using tools such as OpenAPI, FastAPI, or similar frameworks.
* You have experience with real\-time streaming processing with Kafka, Kinesis, and Apache Flink etc.
 The base salary range for this position is $135,000 \- $325,000 per year.
 Arrowstreet Capital operates a robust talent acquisition program, and we also seek to compensate and reward our employees competitively within our industry and in line with our merit\-based culture. Our approach to total compensation includes base salaries and annual discretionary bonuses, as well as a robust benefits package. The determination of a successful candidate’s base salary placement within the listed range will vary based on the candidate’s relevant experience and qualifications (which may also include relevant certifications, credentials and other education), the job responsibilities and scope, the commensurate resulting level of the position and other relevant factors. The listed range is also an estimate, and additional information regarding base salary and other elements of total compensation offered by Arrowstreet Capital to successful applicants will be communicated during the recruitment process.
 Arrowstreet Capital is a Boston\-based systematic investment firm that manages global equity portfolios for institutional investors around the world.
 All qualified applicants will receive consideration for employment without regard to sex, race, color, religion, national origin, ancestry, genetic information, age, pregnancy, medical condition, disability, veteran or military status, marital status or any other characteristic protected by federal, state, or local law.
 Arrowstreet Capital is committed to working with and providing reasonable accommodations for qualified individuals with disabilities and disabled veterans. If you need a reasonable accommodation for any part of the employment process due to a disability, contact us to discuss the nature of your request and contact information.</t>
        </is>
      </c>
    </row>
    <row r="48">
      <c r="A48" t="inlineStr">
        <is>
          <t>li-4264267933</t>
        </is>
      </c>
      <c r="B48" t="inlineStr">
        <is>
          <t>Lead Data Engineer</t>
        </is>
      </c>
      <c r="C48" t="inlineStr">
        <is>
          <t>The Friedkin Group</t>
        </is>
      </c>
      <c r="D48" t="inlineStr">
        <is>
          <t>linkedin</t>
        </is>
      </c>
      <c r="E48" t="inlineStr"/>
      <c r="F48" t="inlineStr"/>
      <c r="G48" t="inlineStr"/>
      <c r="H48" t="inlineStr"/>
      <c r="I48" t="inlineStr">
        <is>
          <t>**Living Our Values**
 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
**Why Join Us**
* Career Growth: Advance your career with opportunities for leadership and personal development.
* Culture of Excellence: Be part of a supportive team that values your input and encourages innovation.
* Competitive Benefits: Enjoy a comprehensive benefits package that looks after both your professional and personal needs.
**Total Rewards**
 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
**A Day In The Life**
 As a Lead Data Engineer within the Trailblazer initiative, you will play a crucial role in architecting, implementing, and managing robust, scalable data infrastructure. This position demands a blend of systems engineering, data integration, and data analytics skills to enhance TFG's data capabilities, supporting advanced analytics, machine learning projects, and real\-time data processing needs. The ideal candidate brings deep expertise in Lakehouse design principles, including layered Medallion Architecture patterns (Bronze, Silver, Gold), to drive scalable and governed data solutions. This is also a highly visible leadership role that will represent the data engineering function and lead the Data Management Community of Practice across TFG.
**As a Lead Data Engineer You Will**
* Design and implement scalable and reliable data pipelines to ingest, process, and store diverse data at scale, using technologies such as Apache Spark, Hadoop, and Kafka.
* Work within cloud environments like AWS or Azure to leverage services including but not limited to EC2, RDS, S3, Lambda, and Azure Data Lake for efficient data handling and processing.
* Architect and operationalize data pipelines following Medallion Architecture best practices within a Lakehouse framework—ensuring data quality, lineage, and usability across Bronze, Silver, and Gold layers.
* Develop and optimize data models and storage solutions (Databricks, Data Lakehouses) to support operational and analytical applications, ensuring data quality and accessibility.
* Utilize ETL tools and frameworks (e.g., Apache Airflow, Fivetran) to automate data workflows, ensuring efficient data integration and timely availability of data for analytics.
* Lead the Data Management Community of Practice, serving as the primary facilitator, coordinator, and spokesperson. Drive knowledge sharing, establish best practices, and represent the data engineering discipline across TFG to both technical and business audiences.
* Collaborate closely with data scientists, providing the data infrastructure and tools needed for complex analytical models, leveraging Python or R for data processing scripts.
* Ensure compliance with data governance and security policies, implementing best practices in data encryption, masking, and access controls within a cloud environment.
* Monitor and troubleshoot data pipelines and databases for performance issues, applying tuning techniques to optimize data access and throughput.
* Stay abreast of emerging technologies and methodologies in data engineering, advocating for and implementing improvements to the data ecosystem.
**What We Need From You**
* Bachelor's Degree in Computer Science, MIS, or other business discipline and 10\+ years of experience in data engineering, with a proven track record in designing and operating large\-scale data pipelines and architectures Req or
* Master's Degree computer science, MIS, or other business discipline and 5\+ years of experience in data engineering, with a proven track record in designing and operating large\-scale data pipelines and architectures Req
* Demonstrated experience designing and implementing Medallion Architecture in a Databricks Lakehouse environment, including layer transitions, data quality enforcement, and optimization strategies. Required
* Expertise in developing ETL/ELT workflows Required
* Comprehensive knowledge of platforms and services like Databricks, Dataiku, and AWS native data offerings Required
* Solid experience with big data technologies (Apache Spark, Hadoop, Kafka) and cloud services (AWS, Azure) related to data processing and storage Required
* Strong experience in AWS cloud services, with hands\-on experience in integrating cloud storage and compute services with Databricks Required
* Proficient in SQL and programming languages relevant to data engineering (Python, Java, Scala) Required
* Hands on RDBMS experience (data modeling, analysis, programming, stored procedures) Required
* Familiarity with machine learning model deployment and management practices is a plus Required
* Strong executive presence and communication skills, with a proven ability to lead communities of practice, deliver presentations to senior leadership, and build alignment across technical and business stakeholders. Required
* AWS Certified Solution Architect Preferred
* Databricks Certified Associate Developer for Apache Spark Preferred
* DAMA CDMP Preferred
* or other relevant certifications. Preferred
**Physical and Environmental Requirements** 
 The physical requirements described here are representative of those that must be met by an associate to successfully perform the essential functions of the job. While performing the duties of the job, the associate is required on a daily basis to analyze and interpret data, communicate, and remain in a stationary position for a significant amount of the work day and frequently access, input, and retrieve information from the computer and other office productivity devices. The associate is regularly required to move about the office and around the corporate campus. The associate must frequently move up to 10 pounds and occasionally move up to 25 pounds.
**Travel Requirements**
 20% The associate is occasionally required to travel to other sites, including out\-of\-state, where applicable, for business.
**Join Us**
 The Friedkin Group and its affiliates are committed to ensuring equal employment opportunities, including providing reasonable accommodations to individuals with disabilities. If you have a disability and would like to request an accommodation, please contact us at TalentAcquisition@friedkin.com. We celebrate diversity and are committed to creating an inclusive environment for all associates.
 We are seeking candidates legally authorized to work in the United States, without Sponsorship.</t>
        </is>
      </c>
    </row>
    <row r="49">
      <c r="A49" t="inlineStr">
        <is>
          <t>li-4361448952</t>
        </is>
      </c>
      <c r="B49" t="inlineStr">
        <is>
          <t>Data Engineer - 67.31-$72.12 per hour</t>
        </is>
      </c>
      <c r="C49" t="inlineStr">
        <is>
          <t>7Seventy Recruiting</t>
        </is>
      </c>
      <c r="D49" t="inlineStr">
        <is>
          <t>linkedin</t>
        </is>
      </c>
      <c r="E49" t="inlineStr"/>
      <c r="F49" t="inlineStr"/>
      <c r="G49" t="inlineStr"/>
      <c r="H49" t="inlineStr"/>
      <c r="I49" t="inlineStr">
        <is>
          <t>**Overview** 
 We’re looking for a
 **Senior Data Engineer** 
 to design and own end\-to\-end data solutions that make critical data accessible, actionable, and reliable across the organization. In this role, you’ll build everything from ingestion pipelines to APIs, dashboards, and internal tools, while helping improve the infrastructure behind products and services.
 This is a
 **full\-time** 
 ,
 **remote** 
 position on a small, highly collaborative team with strong ownership and real impact.
**Our Stack** 
* AWS\-hosted platform with a GraphQL API built on Node.js services
* MySQL, Elasticsearch, and S3 for core systems and storage
* Amazon Redshift data warehouse
* PySpark ETL pipelines and Amazon Kinesis streams for ingestion
**What You’ll Do** 
* Build and maintain robust data infrastructure to ingest, transform, and model content, metadata, and rights\-related data.
* Design, build, and support data products and internal tools for analytics, operations, and self\-service reporting (e.g., data observability dashboards, ingestion monitors, reporting and audit trails, and quality interfaces).
* Design and optimize cloud architectures using AWS services (including DynamoDB, MySQL, Redshift, S3, Lambda, and CloudWatch) to ensure high availability and strong performance.
* Contribute to DevOps practices such as monitoring, logging, and alerting to improve reliability and resilience.
* Support compliance workflows through reproducible, transparent data practices.
* Drive performance, cost efficiency, and observability across the stack.
* Own work end\-to\-end, from early ideas through production delivery, in a small and collaborative environment.
* Collaborate across technical and non\-technical teams with high autonomy and accountability.
**Qualifications** 
* 3\+ years of professional experience in data engineering, data infrastructure, or full\-stack development with a strong data focus.
* Deep expertise with AWS services (e.g., S3, Lambda, Redshift, Glue, EC2, and related tooling).
* Strong skills in SQL, Python, and Spark, plus experience with dbt or similar modeling frameworks.
* Deep knowledge of databases, including relational systems and non\-relational systems such as DynamoDB.
* Experience building ingestion pipelines for XML, JSON, CSV, and other document formats.
* Familiarity with DevOps practices such as Terraform, CI/CD pipelines, Docker, and monitoring/logging stacks.
* Experience working with complex metadata formats, standards, and rights management workflows (or similar compliance\-driven data domains).
* A user\-focused mindset and a strong desire to build tools that make complex data trustworthy and easy to use.
* Excellent communication skills and the ability to work cross\-functionally in a fast\-moving environment.
* Comfort mentoring teammates and leading initiatives while staying hands\-on.
**Benefits** 
* Remote\-first team
* Competitive salary
* Equity
* Comprehensive health, dental, vision, and disability coverage
* 401(k) with employer match</t>
        </is>
      </c>
    </row>
    <row r="50">
      <c r="A50" t="inlineStr">
        <is>
          <t>li-4370099236</t>
        </is>
      </c>
      <c r="B50" t="inlineStr">
        <is>
          <t>Senior Data Engineer/Architect - Systematic Trading</t>
        </is>
      </c>
      <c r="C50" t="inlineStr">
        <is>
          <t>iO Associates</t>
        </is>
      </c>
      <c r="D50" t="inlineStr">
        <is>
          <t>linkedin</t>
        </is>
      </c>
      <c r="E50" t="inlineStr"/>
      <c r="F50" t="inlineStr"/>
      <c r="G50" t="inlineStr">
        <is>
          <t>New York, NY</t>
        </is>
      </c>
      <c r="H50" t="inlineStr"/>
      <c r="I50" t="inlineStr">
        <is>
          <t>Overview
 We are hiring a senior data architecture leader to design and scale the core data platform underpinning a systematic trading and quantitative research environment.
 This role is responsible for building the foundational systems that power research, simulation, and strategy development workflows. The platform must unify a wide range of market and reference datasets, transforming raw external inputs into clean, reliable, and analysis\-ready formats that researchers and engineers can easily consume.
 You will define how data is ingested, normalized, stored, and accessed across the organization, enabling fast iteration, reproducible results, and high\-performance historical analysis. The ideal candidate combines strong distributed systems design experience with a deep understanding of the practical needs of quantitative researchers and trading teams.
 Responsibilities
* Architect and deliver a centralized research data platform that aggregates diverse market and reference datasets into a consistent and well\-governed environment.
* Design storage and retrieval systems optimized for large\-scale historical analysis, simulation workloads, and low\-latency research queries.
* Build robust ingestion and transformation pipelines that standardize raw external data into structured, analysis\-ready formats.
* Develop internal APIs and tooling that allow researchers to quickly discover datasets, inspect metadata, and assemble inputs for modeling and testing.
* Partner directly with quantitative researchers, data scientists, and engineers to understand workflow requirements and remove data friction from the research process.
* Establish standards for schema design, normalization, lineage, validation, and version control to ensure accuracy and reproducibility.
* Optimize for scalability and performance as both dataset breadth and computational demands increase.
* Provide technical leadership on best practices for research data engineering and platform design.
 Desired Experience
* Experience building large\-scale data systems within trading, quantitative research, or other time\-series\-heavy analytical environments.
* Strong understanding of market data structures, historical datasets, and research/simulation workflows.
* Expertise in data modeling, distributed storage systems, and high\-throughput processing pipelines.
* Track record of enabling researchers to run fast, iterative backtests or simulations on large historical datasets.
* Ability to translate ambiguous research requirements into pragmatic, scalable infrastructure.
* Comfortable operating as a senior technical owner with broad architectural responsibility.</t>
        </is>
      </c>
    </row>
    <row r="51">
      <c r="A51" t="inlineStr">
        <is>
          <t>li-4370354543</t>
        </is>
      </c>
      <c r="B51" t="inlineStr">
        <is>
          <t>New Job Opportunity: Title: Cloud Data Engineer ;Location: Richmond, VA</t>
        </is>
      </c>
      <c r="C51" t="inlineStr">
        <is>
          <t>Interon IT Solutions</t>
        </is>
      </c>
      <c r="D51" t="inlineStr">
        <is>
          <t>linkedin</t>
        </is>
      </c>
      <c r="E51" t="inlineStr"/>
      <c r="F51" t="inlineStr"/>
      <c r="G51" t="inlineStr">
        <is>
          <t>Richmond, VA</t>
        </is>
      </c>
      <c r="H51" t="inlineStr"/>
      <c r="I51" t="inlineStr">
        <is>
          <t>**Title: Cloud Data Engineer**
**Location: Richmond, VA**
**Job Description**
 We are seeking a skilled Cloud Data Engineer to join our development team and help build modern, cloud native applications across leading cloud platforms, with a particular emphasis on Microsoft Azure. Working within OIM (Office of Information Management) and under guidance from SEAT (Solutions Engineering and Architecture Team), the ideal candidate will have a strong background in software engineering, cloud services, and a passion for designing scalable, secure, and reliable solutions. Additionally, they will explore emerging data technologies, stay updated with industry advancements, and document processes for knowledge sharing. The engineer will also support the Data Management team in all its data transmission tasks.
**Required/Desired Skills**
* Azure, AWS, Google Cloud
* Azure App Service, AKS, Functions, Storage, Databases
* Docker, Kubernetes
* C\#, Java, Python, Go, Node.js
* Azure DevOps, Gitlab, GitLab
* IAM, Data Protection, Cloud Security Best Practices
* SQL Server, Oracle, NoSQL Databases
* Agile Methodologies, DevOps Practices
* Communication, Problem Solving, Collaboration</t>
        </is>
      </c>
    </row>
    <row r="52">
      <c r="A52" t="inlineStr">
        <is>
          <t>li-4361850075</t>
        </is>
      </c>
      <c r="B52" t="inlineStr">
        <is>
          <t>Senior Software Engineer, Foundational Data Engineering - NYC / Houston, TX- Systematic Quant Fund</t>
        </is>
      </c>
      <c r="C52" t="inlineStr">
        <is>
          <t>Jobs via eFinancialCareers</t>
        </is>
      </c>
      <c r="D52" t="inlineStr">
        <is>
          <t>linkedin</t>
        </is>
      </c>
      <c r="E52" t="inlineStr"/>
      <c r="F52" t="inlineStr"/>
      <c r="G52" t="inlineStr"/>
      <c r="H52" t="inlineStr"/>
      <c r="I52" t="inlineStr">
        <is>
          <t>**Location:** 
 New York, NY / Houston, TX
**Summary**
 Not your standard hedge fund, the scientists, technologists and academics at this innovative company look beyond traditional finance to develop creative solutions and sophisticated trading models.
 They're looking to hire mid\-level software engineers with expertise in Data Engineering to join the foundational data team. You'll be expected to have a strong background in large language models (LLM) technologies, cloud computing, and financial markets. You will work on world\-class trading systems, developing and maintaining scalable and efficient data engineering solutions designed to meet the needs of your data scientist, financial analyst and engineering colleagues.
 This role would be perfect for someone with a deep understanding of financial instruments \&amp; simulations, as well as knowledge of the data engineering technology landscape to help drive continued success.
**Requirements**
* 7\-10 years of software development experience, preferably with a data engineering focus
* Proven background in LLM technologies and their application
* Strong programming skills in languages such as Python, Java, or C\+\+
* Solid experience with cloud platforms (AWS, Azure, GCP), and related, e.g. BigQuery
* Good knowledge of database technologies (SQL, NoSQL) and data warehousing
* Minimum BS/BA in Computer Science, Engineering, Finance (or related field)
* Highly desirable: prior financial industry/hedge fund experience
**Benefits**
* Market\-leading base salaries \+ bonus
* Outstanding benefits package
* Truly collaborative culture and growth opportunities throughout the firm
* Flexible work environment
* Tuition reimbursement, conference and training sponsorship
 Whilst we carefully review all applications, to all jobs, due to the high volume of applications we receive it is not possible to respond to those who have not been successful.
**Contact**
 If you feel you are a strong match for this role, or would like more information, please get in touch:
**Eoughin Perry**
 eoughin.perry@oxfordknight.com
 linkedin.com/in/eoughin\-perry\-874b19195</t>
        </is>
      </c>
    </row>
    <row r="53">
      <c r="A53" t="inlineStr">
        <is>
          <t>li-4361469101</t>
        </is>
      </c>
      <c r="B53" t="inlineStr">
        <is>
          <t>Senior Software Engineer, Foundational Data Engineering - NYC / Houston, TX- Systematic Quant Fund</t>
        </is>
      </c>
      <c r="C53" t="inlineStr">
        <is>
          <t>Jobs via eFinancialCareers</t>
        </is>
      </c>
      <c r="D53" t="inlineStr">
        <is>
          <t>linkedin</t>
        </is>
      </c>
      <c r="E53" t="inlineStr"/>
      <c r="F53" t="inlineStr"/>
      <c r="G53" t="inlineStr">
        <is>
          <t>New York, NY</t>
        </is>
      </c>
      <c r="H53" t="inlineStr"/>
      <c r="I53" t="inlineStr">
        <is>
          <t>**Location:** 
 New York, NY / Houston, TX
**Summary**
 Not your standard hedge fund, the scientists, technologists and academics at this innovative company look beyond traditional finance to develop creative solutions and sophisticated trading models.
 They're looking to hire mid\-level software engineers with expertise in Data Engineering to join the foundational data team. You'll be expected to have a strong background in large language models (LLM) technologies, cloud computing, and financial markets. You will work on world\-class trading systems, developing and maintaining scalable and efficient data engineering solutions designed to meet the needs of your data scientist, financial analyst and engineering colleagues.
 This role would be perfect for someone with a deep understanding of financial instruments \&amp; simulations, as well as knowledge of the data engineering technology landscape to help drive continued success.
**Requirements**
* 7\-10 years of software development experience, preferably with a data engineering focus
* Proven background in LLM technologies and their application
* Strong programming skills in languages such as Python, Java, or C\+\+
* Solid experience with cloud platforms (AWS, Azure, GCP), and related, e.g. BigQuery
* Good knowledge of database technologies (SQL, NoSQL) and data warehousing
* Minimum BS/BA in Computer Science, Engineering, Finance (or related field)
* Highly desirable: prior financial industry/hedge fund experience
**Benefits**
* Market\-leading base salaries \+ bonus
* Outstanding benefits package
* Truly collaborative culture and growth opportunities throughout the firm
* Flexible work environment
* Tuition reimbursement, conference and training sponsorship
 Whilst we carefully review all applications, to all jobs, due to the high volume of applications we receive it is not possible to respond to those who have not been successful.
**Contact**
 If you feel you are a strong match for this role, or would like more information, please get in touch:
**Eoughin Perry**
 eoughin.perry@oxfordknight.com
 linkedin.com/in/eoughin\-perry\-874b19195</t>
        </is>
      </c>
    </row>
    <row r="54">
      <c r="A54" t="inlineStr">
        <is>
          <t>li-4370352578</t>
        </is>
      </c>
      <c r="B54" t="inlineStr">
        <is>
          <t>Data Engineer</t>
        </is>
      </c>
      <c r="C54" t="inlineStr">
        <is>
          <t>Inherent Technologies</t>
        </is>
      </c>
      <c r="D54" t="inlineStr">
        <is>
          <t>linkedin</t>
        </is>
      </c>
      <c r="E54">
        <f>HYPERLINK("https://www.linkedin.com/jobs/view/4370352578", "https://www.linkedin.com/jobs/view/4370352578")</f>
        <v/>
      </c>
      <c r="F54">
        <f>HYPERLINK("https://www.adzuna.com/details/5619787732?v=168280B8FB20B2A09E2038F0D6F7EC199A7B1609&amp;ccd=22f2fb57115b2666428ba70fc0141bcd&amp;frd=d6d403b854b5dbcde152d12065aa0860&amp;r=21225287&amp;utm_source=linkedin7&amp;utm_medium=organic&amp;chnlid=1931&amp;title=Data%20Engineer&amp;a=e&amp;urlHash=4IK4", "https://www.adzuna.com/details/5619787732?v=168280B8FB20B2A09E2038F0D6F7EC199A7B1609&amp;ccd=22f2fb57115b2666428ba70fc0141bcd&amp;frd=d6d403b854b5dbcde152d12065aa0860&amp;r=21225287&amp;utm_source=linkedin7&amp;utm_medium=organic&amp;chnlid=1931&amp;title=Data%20Engineer&amp;a=e&amp;urlHash=4IK4")</f>
        <v/>
      </c>
      <c r="G54" t="inlineStr">
        <is>
          <t>Minnesota, United States</t>
        </is>
      </c>
      <c r="H54" t="inlineStr"/>
      <c r="I54" t="inlineStr">
        <is>
          <t>**Position: Sr Data Engineer**
**Location: Minneapolis, MN/Remote**
**Duration: 1 Years**
**Job Details**
 Databricks, Azure Data Factory, Databricks workflows, PySpark, Python, Databricks SQL
 Data Modeling
 Databricks, Azure Data Factory, Databricks workflows, PySpark, Python, Databricks SQL
 Config driven data pipelines
 Databricks Genie conversational tool for AI driven insights using no code/low\-code and code completion options using GitHub Copilot
 Data Modeling: Star Schema and Snowflake Schema
 Open table formats: Delta Lake and Iceberg
 Cloud technologies: Azure is preferred
 Data virtualization schemes</t>
        </is>
      </c>
    </row>
    <row r="55">
      <c r="A55" t="inlineStr">
        <is>
          <t>li-4370350618</t>
        </is>
      </c>
      <c r="B55" t="inlineStr">
        <is>
          <t>Sr Data Engineer</t>
        </is>
      </c>
      <c r="C55" t="inlineStr">
        <is>
          <t>Shrive Technologies</t>
        </is>
      </c>
      <c r="D55" t="inlineStr">
        <is>
          <t>linkedin</t>
        </is>
      </c>
      <c r="E55">
        <f>HYPERLINK("https://www.linkedin.com/jobs/view/4370350618", "https://www.linkedin.com/jobs/view/4370350618")</f>
        <v/>
      </c>
      <c r="F55" t="inlineStr"/>
      <c r="G55" t="inlineStr">
        <is>
          <t>Texas, United States</t>
        </is>
      </c>
      <c r="H55" t="inlineStr"/>
      <c r="I55" t="inlineStr">
        <is>
          <t>Databricks, Azure Data Factory, Databricks workflows, PySpark, Python, Databricks SQL
 Data Modeling
 Databricks, Azure Data Factory, Databricks workflows, PySpark, Python, Databricks SQL
 Config driven data pipelines
 Databricks Genie conversational tool for AI driven insights using no code/low\-code and code completion options using GitHub Copilot
 Data Modeling: Star Schema and Snowflake Schema
 Open table formats: Delta Lake and Iceberg
 Cloud technologies: Azure is preferred
 Data virtualization schemes</t>
        </is>
      </c>
    </row>
    <row r="56">
      <c r="A56" t="inlineStr">
        <is>
          <t>li-4361785192</t>
        </is>
      </c>
      <c r="B56" t="inlineStr">
        <is>
          <t>Data Engineer - Hybrid, OH</t>
        </is>
      </c>
      <c r="C56" t="inlineStr">
        <is>
          <t>Ocean Blue Solutions Inc</t>
        </is>
      </c>
      <c r="D56" t="inlineStr">
        <is>
          <t>linkedin</t>
        </is>
      </c>
      <c r="E56">
        <f>HYPERLINK("https://www.linkedin.com/jobs/view/4361785192", "https://www.linkedin.com/jobs/view/4361785192")</f>
        <v/>
      </c>
      <c r="F56">
        <f>HYPERLINK("https://www.oceanbluecorp.com/jobs/Data%20Engineer%20-%20OST/1075&amp;urlHash=DcCe", "https://www.oceanbluecorp.com/jobs/Data%20Engineer%20-%20OST/1075&amp;urlHash=DcCe")</f>
        <v/>
      </c>
      <c r="G56" t="inlineStr">
        <is>
          <t>Columbus, OH</t>
        </is>
      </c>
      <c r="H56" t="inlineStr"/>
      <c r="I56" t="inlineStr">
        <is>
          <t>**Submission Due Date:** 
 07/14/2025
**Client** 
 \- State of Ohio
**Hybrid**
 The candidate must have senior data engineer experience in the following:
* Experience collecting and managing Public Health data from public sources, including US Census, Center for Disease Control and Prevention using APIs.
* Experience collecting and managing Public Health data from State of Ohio agencies via the Innovation Ohio Platform (IOP)
* Experience using git\-based projects in the IOP Cloudera Machine Learning Environment (CML) to manage Public Health data
* Experience building data collection, ingestion, and curation processes using CML based services and libraries
* Experience developing data automation jobs with Python\-based Jupyter Notebooks to collect data from remote sources and curate it into Apache HIVE tables</t>
        </is>
      </c>
    </row>
    <row r="57">
      <c r="A57" t="inlineStr">
        <is>
          <t>li-4361708695</t>
        </is>
      </c>
      <c r="B57" t="inlineStr">
        <is>
          <t>Data Engineer - Hybrid, OH</t>
        </is>
      </c>
      <c r="C57" t="inlineStr">
        <is>
          <t>Ocean Blue Solutions Inc</t>
        </is>
      </c>
      <c r="D57" t="inlineStr">
        <is>
          <t>linkedin</t>
        </is>
      </c>
      <c r="E57">
        <f>HYPERLINK("https://www.linkedin.com/jobs/view/4361708695", "https://www.linkedin.com/jobs/view/4361708695")</f>
        <v/>
      </c>
      <c r="F57">
        <f>HYPERLINK("https://www.oceanbluecorp.com/jobs/Data%20Engineer%20-%20OST/1076&amp;urlHash=sxzu", "https://www.oceanbluecorp.com/jobs/Data%20Engineer%20-%20OST/1076&amp;urlHash=sxzu")</f>
        <v/>
      </c>
      <c r="G57" t="inlineStr">
        <is>
          <t>Columbus, OH</t>
        </is>
      </c>
      <c r="H57" t="inlineStr"/>
      <c r="I57" t="inlineStr">
        <is>
          <t>**Submission Due Date:** 
 07/14/2025
**Client** 
 \- State of Ohio
**Hybrid**
 The candidate must have senior data engineer experience in the following:
* Experience collecting and managing Public Health data from public sources, including US Census, Center for Disease Control and Prevention using APIs.
* Experience collecting and managing Public Health data from State of Ohio agencies via the Innovation Ohio Platform (IOP)
* Experience using git\-based projects in the IOP Cloudera Machine Learning Environment (CML) to manage Public Health data
* Experience building data collection, ingestion, and curation processes using CML based services and libraries
* Experience developing data automation jobs with Python\-based Jupiter Notebooks to collect data from remote sources and curate it into Apache HIVE tables</t>
        </is>
      </c>
    </row>
    <row r="58">
      <c r="A58" t="inlineStr">
        <is>
          <t>li-4370345724</t>
        </is>
      </c>
      <c r="B58" t="inlineStr">
        <is>
          <t>Sr Data Engineer</t>
        </is>
      </c>
      <c r="C58" t="inlineStr">
        <is>
          <t>Inherent Technologies</t>
        </is>
      </c>
      <c r="D58" t="inlineStr">
        <is>
          <t>linkedin</t>
        </is>
      </c>
      <c r="E58">
        <f>HYPERLINK("https://www.linkedin.com/jobs/view/4370345724", "https://www.linkedin.com/jobs/view/4370345724")</f>
        <v/>
      </c>
      <c r="F58">
        <f>HYPERLINK("https://www.adzuna.com/details/5619787733?v=5C9EEC7B38E6D772FE1AA389DF9E36FFE187B015&amp;frd=a5feeb63d88e9798a206fb6696a93b4a&amp;ccd=75bffdab533f5ca37234938d6fb5ffbd&amp;r=21225287&amp;utm_source=linkedin7&amp;utm_medium=organic&amp;chnlid=1931&amp;title=Sr%20Data%20Engineer&amp;a=e&amp;urlHash=stbW", "https://www.adzuna.com/details/5619787733?v=5C9EEC7B38E6D772FE1AA389DF9E36FFE187B015&amp;frd=a5feeb63d88e9798a206fb6696a93b4a&amp;ccd=75bffdab533f5ca37234938d6fb5ffbd&amp;r=21225287&amp;utm_source=linkedin7&amp;utm_medium=organic&amp;chnlid=1931&amp;title=Sr%20Data%20Engineer&amp;a=e&amp;urlHash=stbW")</f>
        <v/>
      </c>
      <c r="G58" t="inlineStr">
        <is>
          <t>Tennessee, United States</t>
        </is>
      </c>
      <c r="H58" t="inlineStr"/>
      <c r="I58" t="inlineStr">
        <is>
          <t>**Position: Sr Data Engineer**
**Location: Nashville TN/Remote**
 JD
**CORE COMPETENCIES**
**The Following Are Highlighted Core Expectations For The Job/role**
* Communication and interpersonal skills
* Moral Courage
* Stakeholder partnership
* Understanding strategic imperatives
* Cross\-functional knowledge
* Risk management
* Software Development
* Technology Implementations
* Process improvement/re\-engineering
**Major Responsibilities**
 Automation Development
 Collaboration with various teams to understand opportunities and challenges related to data implementations using automation
 Perform deep data analysis to inform solution design and application optimization
 Contribute to day\-to\-day efforts associated with building and optimizing automation tooling.
 Propose recommendations, adjustments and/or process improvements to achieve success as needed.
 Development of support tools to assist in effective and efficient functional implementations.
 Provide assistance and support to facilitate business needs as they arise
 Escalation of concerns or issues that could impact a successful project go live in a timely and detailed manner.
 Attendance and participation in team and/or project meetings.
 Provide detailed report outs and status updates as needed.
 Some travel may be required to support business efforts.
 Practice and adhere to the "Code of Conduct" philosophy and "Mission and Value Statement"
 Perform other duties as assigned.</t>
        </is>
      </c>
    </row>
    <row r="59">
      <c r="A59" t="inlineStr">
        <is>
          <t>li-4370336811</t>
        </is>
      </c>
      <c r="B59" t="inlineStr">
        <is>
          <t>Data Engineer</t>
        </is>
      </c>
      <c r="C59" t="inlineStr">
        <is>
          <t>Vivian Health</t>
        </is>
      </c>
      <c r="D59" t="inlineStr">
        <is>
          <t>linkedin</t>
        </is>
      </c>
      <c r="E59">
        <f>HYPERLINK("https://www.linkedin.com/jobs/view/4370336811", "https://www.linkedin.com/jobs/view/4370336811")</f>
        <v/>
      </c>
      <c r="F59">
        <f>HYPERLINK("https://www.wiraa.com/job-description/us0152ADB9BF2B4E4BAA8D83E91FC287C2?source=Linkedin&amp;urlHash=QRx8", "https://www.wiraa.com/job-description/us0152ADB9BF2B4E4BAA8D83E91FC287C2?source=Linkedin&amp;urlHash=QRx8")</f>
        <v/>
      </c>
      <c r="G59" t="inlineStr"/>
      <c r="H59" t="inlineStr"/>
      <c r="I59" t="inlineStr">
        <is>
          <t>**About The Company**
 Vivian Health is a leading healthcare staffing platform dedicated to transforming the way healthcare professionals find their ideal jobs. As the largest healthcare jobs marketplace, Vivian Health supports over 2 million clinicians by providing a seamless, AI\-driven platform that simplifies the job search process. Our innovative approach enhances operational efficiencies for staffing agencies and healthcare employers, significantly reducing the time required to fill critical roles. Backed by prominent investors such as Thoma Bravo and IAC, Vivian Health has raised over $75 million in capital and has received recognition through awards like BuiltIn’s “Fully Remote Best Startup,” “Fully Remote Best Places to Work,” and “U.S. Best Startups to Work For” in 2024\.
**About The Role**
 We are seeking a highly skilled Lead Data Engineer to join our dynamic remote\-first team. In this pivotal role, you will be responsible for setting the technical direction and strategy of our data engineering efforts. You will lead a talented team of data engineers, overseeing the design, development, and maintenance of our data platform. Your expertise will be instrumental in building and scaling feature stores and ML infrastructure, which power personalized experiences for millions of healthcare professionals. This role offers an exciting opportunity to influence our data architecture, improve platform reliability, and enable advanced analytics and machine learning initiatives. You will collaborate closely with product, engineering, and data science teams to ensure our data infrastructure supports the company's strategic objectives and growth plans.
**Qualifications**
* 7\+ years of professional experience in data engineering or software engineering
* 2\+ years of leadership or management experience in a technical environment
* Proven experience designing and operating large\-scale data platforms
* Strong proficiency in Python and SQL
* Deep expertise with cloud data warehouses such as Snowflake, BigQuery, or Redshift
* Experience building and maintaining feature stores and ML infrastructure
* Knowledge of AWS services including DynamoDB, Lambda, SageMaker, and Kinesis
* Experience with Infrastructure\-as\-Code tools like CloudFormation or Terraform
* Hands\-on experience with data orchestration tools such as Airflow and DBT
* Familiarity with streaming data pipelines (Kafka, Kinesis, or similar)
* Proven mentoring skills and ability to build high\-performing teams
* Excellent communication skills, capable of translating complex technical concepts for diverse audiences
**Responsibilities**
* Define and lead the technical strategy for the data engineering team and platform
* Oversee the design, development, and maintenance of scalable data infrastructure
* Build and enhance feature stores and ML infrastructure to support machine learning models
* Ensure data quality, reliability, and security across all data pipelines
* Implement monitoring, alerting, and observability best practices for data operations
* Collaborate with product and engineering teams to align data initiatives with business goals
* Guide the team in adopting best practices for data testing, documentation, and version control
* Drive the architecture and deployment of real\-time data pipelines and streaming solutions
* Mentor and develop team members to foster growth and high performance
* Lead efforts to innovate and improve existing data processes and infrastructure
**Benefits**
* Competitive salary range of $190,000 \- $220,000 annually, plus equity
* Flexible Time Off to support work\-life balance
* Comprehensive health insurance plans, including HSA and FSA options
* 401(k) retirement savings plan with a generous employer match
* Work\-from\-home stipend to support remote work needs
* Access to corporate discount programs
* Pet insurance for employees’ furry companions
 Equal Opportunity
 Vivian Health is committed to fostering an inclusive environment and is proud to be an equal opportunity employer. We do not discriminate on the basis of race, color, religion, national origin, gender, gender identity or expression, sexual orientation, age, disability, or any other protected status under applicable law. We believe diversity drives innovation and are dedicated to creating a workplace where all employees can thrive.</t>
        </is>
      </c>
    </row>
    <row r="60">
      <c r="A60" t="inlineStr">
        <is>
          <t>li-4370345652</t>
        </is>
      </c>
      <c r="B60" t="inlineStr">
        <is>
          <t>Data Engineer</t>
        </is>
      </c>
      <c r="C60" t="inlineStr">
        <is>
          <t>Best Job Tool</t>
        </is>
      </c>
      <c r="D60" t="inlineStr">
        <is>
          <t>linkedin</t>
        </is>
      </c>
      <c r="E60">
        <f>HYPERLINK("https://www.linkedin.com/jobs/view/4370345652", "https://www.linkedin.com/jobs/view/4370345652")</f>
        <v/>
      </c>
      <c r="F60">
        <f>HYPERLINK("https://www.hirecrap.com/job-description-usj/7707293108639333166\u002d\u002d7474949e84255e91851fd3a3961c2def?src=LinkedIn&amp;urlHash=5oL8", "https://www.hirecrap.com/job-description-usj/7707293108639333166\u002d\u002d7474949e84255e91851fd3a3961c2def?src=LinkedIn&amp;urlHash=5oL8")</f>
        <v/>
      </c>
      <c r="G60" t="inlineStr"/>
      <c r="H60" t="inlineStr"/>
      <c r="I60" t="inlineStr">
        <is>
          <t>**About The Company**
 Netflix is a global leader in the entertainment industry, renowned for its innovative streaming platform that offers a vast library of movies, television series, documentaries, and original content. Founded in 1997, Netflix has revolutionized the way audiences access and consume entertainment, establishing a strong presence across North America, Europe, Asia, and other regions. With a commitment to delivering high\-quality content and a user\-centric experience, Netflix continues to set industry standards through technological advancements, original productions, and a focus on global expansion. The company's culture emphasizes creativity, diversity, and continuous learning, making it an inspiring environment for professionals dedicated to shaping the future of entertainment.
**About The Role**
 We are seeking a highly motivated and detail\-oriented professional to join Netflix as a Content Acquisition Specialist. In this role, you will be responsible for identifying, negotiating, and securing licensing agreements for a diverse range of content that aligns with Netflix's strategic goals. Your expertise will contribute to expanding our content library, enhancing viewer satisfaction, and maintaining our competitive edge in the streaming industry. The ideal candidate will possess strong negotiation skills, an understanding of content trends, and the ability to build and maintain relationships with content providers worldwide. This position offers an exciting opportunity to work at the forefront of entertainment technology and contribute to the global success of Netflix.
**Qualifications**
 The ideal candidate should have a bachelor's degree in Business, Media Studies, Communications, or a related field. A minimum of 3\-5 years of experience in content licensing, media negotiations, or a similar role within the entertainment industry is preferred. Strong analytical skills, excellent communication abilities, and proficiency in contract management are essential. Knowledge of international content markets, copyright laws, and digital media trends will be highly advantageous. Candidates should demonstrate a proactive approach, strategic thinking, and the ability to work effectively in a fast\-paced, collaborative environment.
**Responsibilities**
* Identify potential content opportunities by analyzing market trends, audience preferences, and competitive landscape.
* Negotiate licensing agreements and contracts with content owners, studios, and distributors to secure rights for a diverse range of content.
* Collaborate with cross\-functional teams including content programming, legal, and finance to ensure alignment with company objectives and compliance requirements.
* Manage and maintain relationships with existing content partners, ensuring ongoing collaboration and renewal of licenses.
* Monitor content performance and audience engagement metrics to inform future content acquisition strategies.
* Stay updated on industry developments, copyright laws, and emerging digital media trends to keep Netflix at the forefront of content innovation.
* Assist in developing and implementing strategies for international content expansion, ensuring cultural relevance and compliance.
**Benefits**
 Netflix offers a comprehensive benefits package designed to support the well\-being and professional growth of its employees. This includes competitive salary packages, health insurance plans, retirement savings options, and generous paid time off. Employees have access to ongoing learning and development programs, wellness initiatives, and a vibrant, inclusive workplace culture that encourages collaboration and innovation. Additionally, Netflix provides opportunities for international travel, networking, and participation in industry events, fostering a dynamic environment where talent can thrive and grow.
 Equal Opportunity
 Netflix is an equal opportunity employer committed to fostering an inclusive environment for all employees. We celebrate diversity and are dedicated to creating a workplace where everyone feels valued and empowered. We do not discriminate based on race, ethnicity, gender, sexual orientation, age, disability, or any other characteristic protected by law. We believe that diverse perspectives drive innovation and are essential to our continued success. All qualified applicants are encouraged to apply, and we are committed to providing accommodations to applicants with disabilities throughout the hiring process.</t>
        </is>
      </c>
    </row>
    <row r="61">
      <c r="A61" t="inlineStr">
        <is>
          <t>li-4370353633</t>
        </is>
      </c>
      <c r="B61" t="inlineStr">
        <is>
          <t>AWS Data Engineer - Fully Remote - US Only</t>
        </is>
      </c>
      <c r="C61" t="inlineStr">
        <is>
          <t>Scalepex</t>
        </is>
      </c>
      <c r="D61" t="inlineStr">
        <is>
          <t>linkedin</t>
        </is>
      </c>
      <c r="E61">
        <f>HYPERLINK("https://www.linkedin.com/jobs/view/4370353633", "https://www.linkedin.com/jobs/view/4370353633")</f>
        <v/>
      </c>
      <c r="F61" t="inlineStr"/>
      <c r="G61" t="inlineStr">
        <is>
          <t>Plano, TX</t>
        </is>
      </c>
      <c r="H61" t="inlineStr"/>
      <c r="I61" t="inlineStr">
        <is>
          <t>**❋ Why Scalepex?**
 Scalepex is a dynamic services firm specializing in providing solutions for premium brands like Nike, Pepsi, Toyota, Virgin and Walgreens. Our mission is to connect prominent market leaders with top\-tier professionals from around the world, fostering collaboration, efficiency, and growth.
**❋ Take your portfolio to the next level by working with one of our fastest growing clients.**
**Join the Innovation Frontier at Scalepex!**
**About The Role**
 We are seeking an experienced
 **AWS Data Engineer** 
 with a strong background in building scalable data solutions and expertise in utilities\-related datasets. The ideal candidate will have at least 5 years of experience in data engineering, a deep understanding of distributed systems, and proficiency with AWS services and tools like Step Functions, Lambda, Glue, and Redshift. This role will focus on designing, developing, and optimizing data pipelines to support analytics and decision\-making in the utilities industry.
**Key Responsibilities**
* Design and Build Data Pipelines: Develop scalable, reliable data pipelines using AWS services (e.g., Glue, S3, Redshift) to process and transform large datasets from utility systems like smart meters or energy grids.
* Workflow Orchestration: Use AWS Step Functions to orchestrate workflows across data pipelines; experience with Airflow is acceptable but Step Functions is preferred.
* Data Integration and Transformation: Implement ETL/ELT processes using PySpark, Python, and Pandas to clean, transform, and integrate data from multiple sources into unified datasets.
* Distributed Systems Expertise: Leverage experience with complex distributed systems to ensure reliability, scalability, and performance in handling large\-scale utility data.
* Serverless Application Development: Use AWS Lambda functions to build serverless solutions for automating data processing tasks.
* Data Modeling for Analytics: Design data models tailored for utilities use cases (e.g., energy consumption forecasting) to enable advanced analytics
* Optimize Data Pipelines: Continuously monitor and improve the performance of data pipelines to reduce latency, enhance throughput, and ensure high availability.
* Ensure Data Security and Compliance: Implement robust security measures to protect sensitive utility data and ensure compliance with industry regulations.
**Requirements**
**Required Qualifications**
* Minimum of 5 years of experience in data engineering
* Proficiency in AWS services such as Step Functions, Lambda, Glue, S3, DynamoDB, and Redshift.
* Strong programming skills in Python with experience using PySpark and Pandas for large\-scale data processing.
* Hands\-on experience with distributed systems and scalable architectures.
* Knowledge of ETL/ELT processes for integrating diverse datasets into centralized systems.
* Familiarity with utilities\-specific datasets (e.g., smart meters, energy grids) is highly desirable.
* Strong analytical skills with the ability to work on unstructured datasets.
* Knowledge of data governance practices to ensure accuracy, consistency, and security of data.
* Strong experience in AWS data engineering
* Ability to work independently
* Ability to work with a cross\-functional teams, including interfacing and communicating with business stakeholders
* Professional oral and written communication skills
* Strong problem solving and troubleshooting skills with experience exercising mature judgement
* Excellent teamwork and interpersonal skills
* Ability to obtain and maintain the required clearance for this role</t>
        </is>
      </c>
    </row>
    <row r="62">
      <c r="A62" t="inlineStr">
        <is>
          <t>li-4370354653</t>
        </is>
      </c>
      <c r="B62" t="inlineStr">
        <is>
          <t>Senior Data Engineer</t>
        </is>
      </c>
      <c r="C62" t="inlineStr">
        <is>
          <t>ForFutures Financial, Planning, a financial advisory practice of Ameriprise Financial Services LLC</t>
        </is>
      </c>
      <c r="D62" t="inlineStr">
        <is>
          <t>linkedin</t>
        </is>
      </c>
      <c r="E62">
        <f>HYPERLINK("https://www.linkedin.com/jobs/view/4370354653", "https://www.linkedin.com/jobs/view/4370354653")</f>
        <v/>
      </c>
      <c r="F62">
        <f>HYPERLINK("https://www.adzuna.com/details/5619294464?v=830EA2D1ECC772120C3AFB8F949F5959B1BA1549&amp;ccd=420bd689cdaf06896356f79e1dc0ed33&amp;frd=0255a206b6cf5068948163ab8c14994d&amp;r=21225287&amp;utm_source=linkedin7&amp;utm_medium=organic&amp;chnlid=1931&amp;title=Senior%20Data%20Engineer&amp;a=e&amp;urlHash=x0DS", "https://www.adzuna.com/details/5619294464?v=830EA2D1ECC772120C3AFB8F949F5959B1BA1549&amp;ccd=420bd689cdaf06896356f79e1dc0ed33&amp;frd=0255a206b6cf5068948163ab8c14994d&amp;r=21225287&amp;utm_source=linkedin7&amp;utm_medium=organic&amp;chnlid=1931&amp;title=Senior%20Data%20Engineer&amp;a=e&amp;urlHash=x0DS")</f>
        <v/>
      </c>
      <c r="G62" t="inlineStr">
        <is>
          <t>Santa Ana, CA</t>
        </is>
      </c>
      <c r="H62" t="inlineStr"/>
      <c r="I62" t="inlineStr">
        <is>
          <t>**Who We Are**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As an InfoSec Security Data Engineer (Data Security), you will support and enhance First American’s existing Data Security processes, standards, and tools across the enterprise. You will work with the Data Security team to reduce the risk for the organization by securing data through detection of sensitive data, classifying and labeling detected data, and applying encryption or other security controls to protect and ensure appropriate access to and use of sensitive data to fully comply with all applicable laws and regulatory guidance. Additionally, you will work with internal information security and business groups to identify opportunities for continuous improvement and maturity of the Data Security function.
 You will be joining a team that is looking to mature the tools and technology that is being utilized, as well as the end\-to\-end data remediation processes. Under the leadership of the manager, you would help develop programs to further secure our sensitive information in both structured and unstructured data environments.
 This role is hybrid 3 days per week onsite in Santa Ana, CA.
**How You'll Contribute**
* Under general supervision, oversee small to medium scale projects or phases of a larger project. Such initiatives include expanding the use of Microsoft 365 Information Protection (MIP) and Purview Data Loss Prevention (DLP) for cloud\-based collaboration services.
* Participate in identifying business process requirements and related business/application solutions for a specific business need, for example, remediation of an audit finding or enhancing our data security capabilities.
* Identify/receive problem, research alternatives, prepare presentations, drive solutions, tests to confirm and gain consensus, and implement solutions for defined business processes.
* Generate and create reports; research and analyze data and report trends to management/business partner—metrics such as user adoption/labeling activity, high risk users/business units, or risk exposure/risk remediation.
* Assist with the creation, maintenance, and updates of Data Security process documents, including Data Remediation, sensitivity labeling, and process/workflows with ServiceNow integration.
* Interface with Business Units and data stewards to support Data Security initiatives across the enterprise.
* Responding in a timely manner as a subject matter expert to questions from end users and business stakeholders by sharing accurate information about data security policies, standards, and business processes.
* Support the team with resolution of alerts triggered by the automated detection of sensitive information stored as unstructured data residing on the First American network.
* Anticipate, identify, and escalate appropriate issues to Manager/Director.
* Keep abreast of industry advancements and incorporate that knowledge into daily work activities.
* Participate in evaluation and selection of new technology.
**What You'll Bring**
*KNOWLEDGE, SKILLS \&amp; TECHNOLOGY*
* Bachelor’s Degree or equivalent experience
* Minimum 3 years of relevant work experience in Information Security, IT Risk Management
* M365 EMS E5 stack of online services, including but not limited to, Purview DLP, Microsoft Information Protection (MIP), and how these interact with Exchange, SharePoint, OneDrive, and Microsoft Defender (Cloud Apps \&amp; Endpoint)
* Extensive experience working with Microsoft technologies and infrastructure, with an emphasis on Active Directory/AAD
* Working knowledge of IT and Information Security control standards and frameworks (CIS, NIST, ISO27001, etc.) as well as financial services regulatory requirements (CCPA, PCI\-DSS, etc.)
* Familiarity with RegEx formulas, Sensitive Information Types (SITs), NPI/PI
* Team player with positive energy and good customer service skills
* Ability to work independently, demonstrates initiative, and is a self\-starter
* Understanding of modern cyber security methodologies and protocols
* Excellent verbal and written communication skills
* Experience in documenting processes, technical writing, and flow charts
* Manage multiple initiatives simultaneously, with strong ability to prioritize
* Customer focused in the context of balancing risk reduction with business needs
* High attention to detail to manage, analyze and finalize artifacts and documents
* Highly flexible, adapting to changes in priorities and requirements
* Ability to quickly learn, communicate and apply technical concepts
* Demonstrated judgement in effectively dealing with highly sensitive information
 Pay Range: $129,300\.00 \- $172,300\.00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63">
      <c r="A63" t="inlineStr">
        <is>
          <t>li-4336293816</t>
        </is>
      </c>
      <c r="B63" t="inlineStr">
        <is>
          <t>AI Ops Data Engineer - Hybrid</t>
        </is>
      </c>
      <c r="C63" t="inlineStr">
        <is>
          <t>Commerce</t>
        </is>
      </c>
      <c r="D63" t="inlineStr">
        <is>
          <t>linkedin</t>
        </is>
      </c>
      <c r="E63">
        <f>HYPERLINK("https://www.linkedin.com/jobs/view/4336293816", "https://www.linkedin.com/jobs/view/4336293816")</f>
        <v/>
      </c>
      <c r="F63" t="inlineStr"/>
      <c r="G63" t="inlineStr">
        <is>
          <t>Austin, TX</t>
        </is>
      </c>
      <c r="H63" t="inlineStr"/>
      <c r="I63" t="inlineStr">
        <is>
          <t>**Welcome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We are looking for a Data Engineer to join our Data Solutions organization and support the AI Operations team in building the data foundation that powers automation, analytics, and AI\-enabled decision\-making across the company. This role will design and maintain the pipelines, data lake architectures, and Snowflake models that ensure clean, reliable, and timely data is available for AI\-driven workflows.
 You’ll collaborate closely with the Business Analyst, Automation Specialist, and Full Stack Engineer to translate business requirements into scalable data systems that enable automation and advanced analytics. You’ll also partner with other data engineers to build infrastructure that supports AI use cases and helps connect business processes with intelligent, data\-driven solutions.
**What You’ll Do**
* Design and maintain data lake architectures that support AI Operations workflows, analytics, and automation.
* Build and optimize ETL/ELT pipelines to ingest raw data from internal and external tools (e.g., Salesforce, Crossbeam, marketing platforms) into Snowflake and other structured data stores.
* Partner with Business Analysts to translate business requirements into scalable, production\-ready data solutions.
* Collaborate with Automation Specialists to connect data pipelines with workflow automation requests, custom GPTs, and AI assistant integrations.
* Support Full Stack Engineers by developing and maintaining the MCP Server (Message/Command/Processing layer) that connects data services with internal tools and systems.
* Work with Business Analysts to validate data quality and ensure accuracy across key datasets and workflows.
* Develop and maintain Snowflake data warehouse models, ensuring datasets are structured, governed, and optimized for AI use cases.
* Troubleshoot and resolve data ingestion issues, recommending improvements to infrastructure, processes, and tools.
* Monitor and maintain all data workflows within the AI Operations ecosystem, ensuring performance, reliability, and scalability.
**Who You Are**
* Experienced – 3\+ years of experience in data engineering, data warehousing, or related fields.
* Technical – Strong SQL and Python skills, with hands\-on experience building ETL/ELT pipelines (Airflow experience a plus).
* Data\-Focused – Skilled in Snowflake or similar cloud data warehouses (BigQuery, Redshift) and familiar with data lake concepts and best practices.
* AI Curiosity – Passionate about building AI\-driven products and automation systems that transform how teams operate and make decisions.
* Cloud\-Savvy – Comfortable working within AWS, GCP, or similar environments; familiar with Linux command\-line operations.
* Collaborative – Works effectively across teams, partnering with analysts, engineers, and automation specialists to build high\-impact solutions.
* Curious and Innovative – Passionate about AI and eager to explore practical ways to enable automation through data.
* Problem Solver – Analytical and detail\-oriented, capable of diagnosing complex data issues and driving process improvements.
* Adaptable – Thrives in a fast\-paced, evolving environment with shared ownership and cross\-functional support.
* Hybrid – 3 Days per week in office.
**(Pay Transparency Range: $91,000\-$154,000\)**
 The exact salary will be dependent on the successful candidate’s location, relevant knowledge, skills, and qualifications.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64">
      <c r="A64" t="inlineStr">
        <is>
          <t>li-4370094162</t>
        </is>
      </c>
      <c r="B64" t="inlineStr">
        <is>
          <t>Data Engineer III</t>
        </is>
      </c>
      <c r="C64" t="inlineStr">
        <is>
          <t>RemoteHunter</t>
        </is>
      </c>
      <c r="D64" t="inlineStr">
        <is>
          <t>linkedin</t>
        </is>
      </c>
      <c r="E64">
        <f>HYPERLINK("https://www.linkedin.com/jobs/view/4370094162", "https://www.linkedin.com/jobs/view/4370094162")</f>
        <v/>
      </c>
      <c r="F64">
        <f>HYPERLINK("https://www.remotehunter.com/apply-with-ai/9e79cb1c-2bf3-4e1a-b8dc-48a41fb474b3?utm_medium=job_posting&amp;utm_source=linkedin&amp;utm_campaign=data_engineer_remote&amp;utm_category=data_engineer&amp;utm_term=data_engineer_iii&amp;urlHash=NWdn", "https://www.remotehunter.com/apply-with-ai/9e79cb1c-2bf3-4e1a-b8dc-48a41fb474b3?utm_medium=job_posting&amp;utm_source=linkedin&amp;utm_campaign=data_engineer_remote&amp;utm_category=data_engineer&amp;utm_term=data_engineer_iii&amp;urlHash=NWdn")</f>
        <v/>
      </c>
      <c r="G64" t="inlineStr"/>
      <c r="H64" t="inlineStr"/>
      <c r="I64" t="inlineStr">
        <is>
          <t>About the Opportunity:
 The Data Engineer III is responsible for building and maintaining robust data pipelines and models, overseeing a broad scope of ETL infrastructure and databases. This role enables accurate and timely access to data across the organization by simplifying and centralizing a complex ecosystem, providing trustworthy, analytic\-ready resources for various business units. It involves deep collaboration with stakeholders in Engineering, Analytics, Operations, Finance, Marketing, and Customer Service to create a dependable data environment and drive measurable business impact through data.
 Responsibilities:
 • Design, implement, and maintain scalable and reliable data pipelines using Airflow, dbt, Rivery, Python, and SQL.
 • Collaborate with business teams to translate high\-level goals into data solutions supporting forecasting, performance tracking, and optimization.
 • Develop and maintain well\-documented data models in Snowflake and BigQuery that support analytics, reporting, and operational workflows.
 • Integrate data from internal and external sources, including Google Analytics and third\-party APIs, to ensure full\-funnel visibility.
 • Enable self\-service analytics by making data assets discoverable and usable through tools like Tableau, focusing on semantic layer design and performance tuning.
 • Develop monitoring and observability practices for data quality and pipeline health.
 • Participate in architecture and design decisions involving cloud infrastructure and containerization using AWS, Pulumi, and Docker.
 • Maintain thorough documentation and promote engineering standards for transparency, maintainability, and reusability of data systems.
 Requirements:
 • 7\+ years of experience in data engineering, analytics engineering, or related roles.
 • Advanced proficiency in SQL and Python, including efficient query writing and software engineering principles.
 • Hands\-on experience with Snowflake and/or BigQuery, including data modeling and performance optimization.
 • Proficiency with orchestration tools like Airflow and data integration tools such as dbt.
 • Experience with AWS cloud services for data storage, compute, and infrastructure management, including AWS Batch, ECR, and Lambda.
 • Familiarity with data analytics and visualization tools, particularly Tableau, and experience supporting dashboard development.
 • Experience working with marketing and product data sources, including Google Analytics.
 • Strong knowledge of ETL/ELT design and data warehousing solutions.
 • Familiarity with CI/CD pipelines and DevOps practices for data engineering.
 • Proficient in Microsoft Suite for documentation and collaboration.
 • Experience with API design and integration.
 • Familiarity with SCRUM methodologies and tools like Jira.
 Benefits \&amp; Perks:
 • Paid Time Off
 • Medical, Dental, Vision, and Prescription Insurance
 • 401(k) Retirement Plan with Company Match
 • Flexible Spending Account and Health Savings Account
 • Tuition Reimbursement
 • Employee Discount
 • Parental Leave
 • Life Insurance
 Compensation:
 • Annual base pay range: $147,000 \- $172,000, determined by experience and qualifications.
 • Final pay based on individual qualifications, market demands, and work location.
 • Salary range may be modified.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5">
      <c r="A65" t="inlineStr">
        <is>
          <t>li-4368133311</t>
        </is>
      </c>
      <c r="B65" t="inlineStr">
        <is>
          <t>Data Engineer</t>
        </is>
      </c>
      <c r="C65" t="inlineStr">
        <is>
          <t>Heitmeyer Consulting</t>
        </is>
      </c>
      <c r="D65" t="inlineStr">
        <is>
          <t>linkedin</t>
        </is>
      </c>
      <c r="E65">
        <f>HYPERLINK("https://www.linkedin.com/jobs/view/4368133311", "https://www.linkedin.com/jobs/view/4368133311")</f>
        <v/>
      </c>
      <c r="F65" t="inlineStr"/>
      <c r="G65" t="inlineStr">
        <is>
          <t>Dallas, TX</t>
        </is>
      </c>
      <c r="H65" t="inlineStr"/>
      <c r="I65" t="inlineStr">
        <is>
          <t>Heitmeyer Consulting has a banking client that has a need within their Chief Data Office for a strong Data Engineer to specialize in building and optimizing high\-performance, real\-time data pipelines. This role is central to leveraging the power of Apache Kafka for event streaming and Apache Flink for complex, stateful stream processing and analytics. The ideal candidate will transform raw, high\-velocity data into actionable, low\-latency insights that drive core business functionality, working within our AWS\-based data ecosystem leveraging S3 for storage. Role must be based in Dallas, TX or Tulsa, OK.
**Top Required Skills:**
* Require extensive experience as a Data Engineer building and maintaining production\-grade data pipelines with a focus on real\-time systems.
* In\-depth experience with Apache Kafka along with hands\-on experience with Apache Flink, including understanding of state management, fault tolerance and time semantics.
* Significant cloud background with strong expertise in AWS cloud services related to data engineering (S3, MSK, Glue, Athena, EMR, DynamoDB, etc.).
* Proficiency in programming/scripting languages such as Python, Java, or Scala.
* Familiar with modern data stack and big data technologies (Spark, Airflow, Iceberg, SQL) along with understanding of distributed systems and processing real\-time data at scale.
* Excellent problem\-solving skills and the ability to troubleshoot complex issues in distributed systems.
**Nice\-to\-have:**
* Background within financial services would be preferred but not required.
**Key Responsibilities**
* Design, develop, and deploy robust, high\-throughput, low\-latency streaming applications using Apache Flink and Java/Scala/Python APIs.
* Architect and optimize Kafka\-based event\-driven systems, including topic design, schema enforcement via Schema Registry, and integration using Kafka Connect.
* Lead data transformation through implementation of complex business logic, stateful processing, windowing, and data enrichment within Flink jobs to transform raw Kafka streams into analytics\-ready datasets, ensuring exactly\-once semantics and fault tolerance.
* Ensure cloud integration with storage and manage processed data efficiently in AWS S3 and potentially using an open format like Apache Iceberg, connecting seamlessly with downstream analytics tools (e.g., Athena).
* Optimize performance and observability – tune Flink and Kafka configurations for maximum performance, efficiency, and scalability, implementing robust monitoring and alerting for production environments.
* Partner closely with data scientists, software engineers, and business stakeholders to translate functional requirements into reliable data processing solutions.
* Champion software engineering best practices, including automated testing, code review, CI/CD pipelines, and documentation of data lineage and logic.
*Heitmeyer Consulting is an equal opportunity employer, and we encourage all qualified candidates to apply. Qualified applicants will be considered without regard to minority status, gender, disability, veteran status or any other characteristic protected by law.*</t>
        </is>
      </c>
    </row>
    <row r="66">
      <c r="A66" t="inlineStr">
        <is>
          <t>li-4370347381</t>
        </is>
      </c>
      <c r="B66" t="inlineStr">
        <is>
          <t>Data Engineer, Platform</t>
        </is>
      </c>
      <c r="C66" t="inlineStr">
        <is>
          <t>Radiant</t>
        </is>
      </c>
      <c r="D66" t="inlineStr">
        <is>
          <t>linkedin</t>
        </is>
      </c>
      <c r="E66">
        <f>HYPERLINK("https://www.linkedin.com/jobs/view/4370347381", "https://www.linkedin.com/jobs/view/4370347381")</f>
        <v/>
      </c>
      <c r="F66">
        <f>HYPERLINK("https://www.wiraa.com/job-description/us03B8B3F6C576E8E6BCFB10F5BEB4DDB9?source=Linkedin&amp;urlHash=4JJi", "https://www.wiraa.com/job-description/us03B8B3F6C576E8E6BCFB10F5BEB4DDB9?source=Linkedin&amp;urlHash=4JJi")</f>
        <v/>
      </c>
      <c r="G66" t="inlineStr"/>
      <c r="H66" t="inlineStr"/>
      <c r="I66" t="inlineStr">
        <is>
          <t>**About The Company**
 Radiant is an innovative startup headquartered in El Segundo, California, dedicated to revolutionizing the energy industry with the development of portable nuclear microreactors. Founded in 2020, Radiant aims to provide reliable, clean, and transportable power solutions through its groundbreaking reactor technology. The company's flagship product, Kaleidos, is a 1\-megawatt failsafe microreactor capable of being transported to various locations and operating continuously for up to five years without refueling. By leveraging modern software engineering practices and utilizing existing, well\-qualified materials, Radiant is rapidly advancing towards manufacturing and deployment. The company's vision is to replace traditional diesel generators and support critical infrastructure such as hospitals, data centers, remote sites, and military bases with portable nuclear power. With plans to test its first reactor at the Idaho National Laboratory and initial customer deliveries slated for 2028, Radiant is positioned at the forefront of the clean energy revolution and nuclear innovation.
**About The Role**
 Radiant is building a new team to manage its internal data infrastructure, analytics, and AI capabilities. As a Staff Data Platform Engineer, you will play a key role in designing, developing, and maintaining the data pipelines that connect various operational systems across the organization. Your primary focus will be on creating seamless integrations and pipelines that unify data from finance, HR, supply chain, manufacturing, and recruiting systems into a centralized data platform. The initial project involves developing the ION\-Ramp integration, which enables three\-way matching between purchase orders, receipts, and invoices, significantly reducing manual effort for the finance team. Beyond this, you will expand your work to connect nine enterprise systems, develop transformation models using dbt, and ensure high data quality and reliability across the platform. This role offers a unique opportunity to influence key business functions through data\-driven insights and automation, supporting Radiant’s mission to accelerate clean energy solutions.
**Qualifications**
* 5\+ years of experience in data engineering or software engineering
* Proficiency in Python and SQL for daily development tasks
* Experience with data warehouses such as Databricks, Snowflake, BigQuery, or Redshift
* Strong background in ETL/ELT pipeline development using tools like Fivetran, Airbyte, Stitch, or custom pipelines
* API integration experience with REST and GraphQL protocols
* Solid understanding of data modeling, including dimensional modeling and schema design
* Ability to read and interpret API documentation and build enterprise SaaS integrations
* Excellent documentation skills for pipelines, models, and data definitions
* Preferred qualifications include experience in hardware or hardtech companies, familiarity with manufacturing and supply chain processes, and knowledge of systems such as MES, ERP, or ION
* Experience with dbt (data build tool) and data quality frameworks like Great Expectations
* Comfort with building internal tools using Python/Flask or basic frontend technologies
* Understanding of supply chain and manufacturing systems such as SAP, NetSuite, or ION is a plus
**Responsibilities**
* Configure and maintain Fivetran connectors, build custom data pipelines, and integrate nine enterprise systems including ION, Ramp, QuickBooks, Rippling, Ashby, Salesforce, SharePoint, Smartsheet, and DocuSign
* Develop the ION\-Ramp pipeline to enable three\-way matching for finance, connecting Snowflake, Databricks, and Ramp
* Create and maintain dbt transformation models to convert raw data into clean, documented, and testable formats for dashboards and analytics
* Implement data quality testing, monitoring, and alerting mechanisms to proactively identify and resolve data issues
* Collaborate with product managers and stakeholders to ensure data models support various dashboards for finance, operations, and HR/recruiting teams
* Maintain comprehensive documentation for data pipelines, models, and definitions to ensure transparency and facilitate onboarding
* Support continuous improvement of data infrastructure and contribute to best practices in data engineering
**Benefits**
* Competitive salary with substantial equity grants
* Comprehensive health, dental, and vision insurance plans, including 100% premium coverage for employees and partial coverage for dependents
* 401(k) retirement plan with company matching
* Flexible PTO policy and remote work options
* Paid parental leave: 8 weeks for all parents, with additional leave for pregnant employees in California
* Sponsored memberships for health services such as One Medical
* Daily catered lunches, snacks, and drinks at headquarters
* Company\-sponsored team\-building events, happy hours, and in\-person gatherings
* Access to cutting\-edge tools and a modern tech stack including Databricks, Fivetran, dbt, and Airbyte
* Opportunity to work at a pioneering company with a mission to deliver clean, portable energy solutions
* Beautiful headquarters located near the Pacific Ocean in El Segundo, with additional offices in Oak Ridge, TN, and Washington, D.C.
 Equal Opportunity
 Radiant is an equal opportunity employer committed to fostering an inclusive environment for all employees. We do not discriminate based on race, color, religion, sex, sexual orientation, gender identity or expression, pregnancy, age, national origin, disability status, genetic information, protected veteran status, or any other characteristic protected by law. All qualified</t>
        </is>
      </c>
    </row>
    <row r="67">
      <c r="A67" t="inlineStr">
        <is>
          <t>li-4349612432</t>
        </is>
      </c>
      <c r="B67" t="inlineStr">
        <is>
          <t>Analytics Engineer</t>
        </is>
      </c>
      <c r="C67" t="inlineStr">
        <is>
          <t>Astrana Health</t>
        </is>
      </c>
      <c r="D67" t="inlineStr">
        <is>
          <t>linkedin</t>
        </is>
      </c>
      <c r="E67">
        <f>HYPERLINK("https://www.linkedin.com/jobs/view/4349612432", "https://www.linkedin.com/jobs/view/4349612432")</f>
        <v/>
      </c>
      <c r="F67" t="inlineStr"/>
      <c r="G67" t="inlineStr">
        <is>
          <t>Alhambra, CA</t>
        </is>
      </c>
      <c r="H67" t="inlineStr"/>
      <c r="I67" t="inlineStr">
        <is>
          <t>**Department:** 
 Data \- Analytics
**Location:** 
 1668 S. Garfield Ave. 2nd Floor, Alhambra, CA 91801
**Compensation:** 
 $115,000 \- $130,000 / year
**Description**
 We are currently seeking a highly motivated Healthcare Analytics Engineer I. This role will work closely with data scientists, software engineers, data engineers, and clinical leaders to produce deliverables for internal and external clients. With over a million managed lives across the country and terabytes of data generated, our teams need to be continuously equipped with the tools and insights to drive strategy and innovation to further our core values of improving patient outcomes and empowering our providers.
**Our Values:** 
* *Put Patients First*
* *Empower Entrepreneurial Provider and Care Teams*
* *Operate with Integrity \&amp; Excellence*
* *Be Innovative*
* *Work As One Team*
**What You'll Do**
* Use best software engineering practices to implement quality measures, risk adjustment models, and other metrics for datasets originating from internal and external clients.
* Develop high quality, maximally available data models which are intuitive to data analysts and trusted by stakeholders.
* Maintain and enhance/upgrade the existing Risk Adjustment score calculator for generating RAF scores for the Medicare Advantage population.
* Adept at building scalable data solutions and collaborating with downstream analysts to ensure clarity and usability of datasets related to Risk Adjustment, RAF scores, and HCC gap closure
* Build scalable ELT pipelines and business intelligence dashboards as needed, embracing automation wherever possible.
* Acquire deep domain knowledge in healthcare operations and track regulatory developments related to analytical products you maintain.
* Apply data quality checks which proactively identify data issues and distributional shifts to ensure accuracy of downstream analytical products.
* With guidance, take ownership of one or several reporting domains, interfacing business stakeholders to understand and deliver their requests.
**Qualifications**
* Bachelor’s degree in computer science, data science, analytics, statistics, or related field; master’s degree preferred.
* Expertise in Azure Databricks, PySpark, and SQL, specializing in Medicare Advantage Risk Adjustment and Quality Metrics
* Knowledge of professional software engineering practices and best practices for the full software development life cycle (SDLC), including documentation, coding standards, code reviews, source control management, build processes, testing, and operations.
* Experience in working with large datasets.
* Experience with cloud\-computing platforms such as Azure.
* Experience working in the healthcare industry
* Familiarity with database management systems such as MongoDB or Microsoft SQL Server.
* Strong written and oral communication skills.
**Environmental Job Requirements and Working Conditions**
* This position is remotely based in the U.S.
* The total compensation target pay range for this role is: $115,000 \- $130,000\. Actual compensation will be determined based on geographic location (current or future), experience, and other job\-related factors.
 Astrana Health is proud to be an Equal Employment Opportunity and Affirmative Action employer.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All employment is decided based on qualifications, merit, and business need. If you require assistance in applying for open positions due to a disability, please email us at
 **humanresourcesdept@astranahealth.com** 
 to request an accommodation.
**Additional Information:**
 The job description does not constitute an employment agreement between the employer and employee and is subject to change by the employer as the needs of the employer and requirements of the job change.</t>
        </is>
      </c>
    </row>
    <row r="68">
      <c r="A68" t="inlineStr">
        <is>
          <t>li-4369980625</t>
        </is>
      </c>
      <c r="B68" t="inlineStr">
        <is>
          <t>Senior Data Engineer</t>
        </is>
      </c>
      <c r="C68" t="inlineStr">
        <is>
          <t>talisman</t>
        </is>
      </c>
      <c r="D68" t="inlineStr">
        <is>
          <t>linkedin</t>
        </is>
      </c>
      <c r="E68">
        <f>HYPERLINK("https://www.linkedin.com/jobs/view/4369980625", "https://www.linkedin.com/jobs/view/4369980625")</f>
        <v/>
      </c>
      <c r="F68" t="inlineStr"/>
      <c r="G68" t="inlineStr">
        <is>
          <t>Houston, TX</t>
        </is>
      </c>
      <c r="H68" t="inlineStr"/>
      <c r="I68" t="inlineStr">
        <is>
          <t>Senior Data Engineer – Energy \&amp; Financial Markets
 We’re looking for a Senior Data Engineer to design, build, and scale data pipelines supporting trading, analytics, and market\-facing teams.
 Senior Data Engineer responsibilities;
* Build and maintain scalable ETL pipelines using Python and AWS
* Design and optimize data models and workflows in Snowflake
* Partner with quant, trading, and analytics teams on data architecture
* Own data reliability, performance, and quality across market datasets
* Contribute to data platform architecture and cloud best practices
 Senior Data Engineer requirements;
* 5\+ years’ experience in Data Engineering
* Strong Python, AWS (S3, Lambda, Glue, etc.), and ETL experience
* Hands\-on Snowflake development and performance tuning
* Experience designing data architectures in cloud environments
* Knowledge of financial or energy markets (trading, pricing, risk, market data)
* Houston\-based or open to relocation
 Nice to Have
* Experience supporting trading desks or quants
* Exposure to real\-time or high\-frequency market data</t>
        </is>
      </c>
    </row>
    <row r="69">
      <c r="A69" t="inlineStr">
        <is>
          <t>li-4361785327</t>
        </is>
      </c>
      <c r="B69" t="inlineStr">
        <is>
          <t>Senior Data Platform Engineer</t>
        </is>
      </c>
      <c r="C69" t="inlineStr">
        <is>
          <t>Arrowstreet Capital, Limited Partnership</t>
        </is>
      </c>
      <c r="D69" t="inlineStr">
        <is>
          <t>linkedin</t>
        </is>
      </c>
      <c r="E69">
        <f>HYPERLINK("https://www.linkedin.com/jobs/view/4361785327", "https://www.linkedin.com/jobs/view/4361785327")</f>
        <v/>
      </c>
      <c r="F69" t="inlineStr"/>
      <c r="G69" t="inlineStr">
        <is>
          <t>Boston, MA</t>
        </is>
      </c>
      <c r="H69" t="inlineStr"/>
      <c r="I69" t="inlineStr">
        <is>
          <t>**Job Overview**
 The Senior Data Platform Engineer of the Shared Data Platform plays a pivotal role in designing and developing innovative services to enhance Arrowstreet Capital’s data infrastructure. The primary objective is to streamline the ingestion and transformation of new data sources, enabling rapid delivery of actionable analytics across the firm. You will collaborate with stakeholders from various departments to gather requirements and identify process improvements that optimize data flow. Additionally, you will design flexible abstractions and frameworks, ensuring that platform solutions can be efficiently tailored to meet the diverse needs of internal clients.
**Responsibilities**
* Define and execute the technical roadmap for the platform that can support batch and real\-time data sets using modern data processing frameworks.
* Oversee and contribute to building features for data discovery, lineage, governance, ingestion operation, cost management, performance, etc.
* Lead and assist the team in investigating potential improvements achieved by adopting new data technologies and frameworks.
* Achieve high quality metrics through automated testing, robust operational tooling, and highly\-available cloud architecture.
* Production support of the platform to avoid disruption to investment processes.
* Collaborate closely with business stakeholders to understand their data needs, translate business objectives into scalable and efficient data engineering solutions.
* Partner with IT operations and cloud security teams to ensure platform solutions are secure, scalable, and reliable.
* Develop and mentor a junior Data Engineers
**Qualifications**
* Bachelor’s degree in Computer Science, Computer Engineering or a related discipline
* At least 5 years of experience working with data lakes, data warehousing, and/or database systems, including processing frameworks like Spark, Hadoop, Presto, etc.
* You strive to write elegant code, and you're comfortable with picking up new technologies independently
* You are fluent in at least one major programming language (e.g. Python, C\#)
* Hands\-on experience working with AWS. and automation through infrastructure as code with one of the Terraform, Pulumi, Cloudformation and CDK etc.
* Experience designing and deploying APIs and client libraries using tools such as OpenAPI, FastAPI, or similar frameworks.
* You have experience with real\-time streaming processing with Kafka, Kinesis, and Apache Flink etc.
 The base salary range for this position is $135,000 \- $325,000 per year.
 Arrowstreet Capital operates a robust talent acquisition program, and we also seek to compensate and reward our employees competitively within our industry and in line with our merit\-based culture. Our approach to total compensation includes base salaries and annual discretionary bonuses, as well as a robust benefits package. The determination of a successful candidate’s base salary placement within the listed range will vary based on the candidate’s relevant experience and qualifications (which may also include relevant certifications, credentials and other education), the job responsibilities and scope, the commensurate resulting level of the position and other relevant factors. The listed range is also an estimate, and additional information regarding base salary and other elements of total compensation offered by Arrowstreet Capital to successful applicants will be communicated during the recruitment process.
 Arrowstreet Capital is a Boston\-based systematic investment firm that manages global equity portfolios for institutional investors around the world.
 All qualified applicants will receive consideration for employment without regard to sex, race, color, religion, national origin, ancestry, genetic information, age, pregnancy, medical condition, disability, veteran or military status, marital status or any other characteristic protected by federal, state, or local law.
 Arrowstreet Capital is committed to working with and providing reasonable accommodations for qualified individuals with disabilities and disabled veterans. If you need a reasonable accommodation for any part of the employment process due to a disability, contact us to discuss the nature of your request and contact information.</t>
        </is>
      </c>
    </row>
    <row r="70">
      <c r="A70" t="inlineStr">
        <is>
          <t>li-4264267933</t>
        </is>
      </c>
      <c r="B70" t="inlineStr">
        <is>
          <t>Lead Data Engineer</t>
        </is>
      </c>
      <c r="C70" t="inlineStr">
        <is>
          <t>The Friedkin Group</t>
        </is>
      </c>
      <c r="D70" t="inlineStr">
        <is>
          <t>linkedin</t>
        </is>
      </c>
      <c r="E70">
        <f>HYPERLINK("https://www.linkedin.com/jobs/view/4264267933", "https://www.linkedin.com/jobs/view/4264267933")</f>
        <v/>
      </c>
      <c r="F70">
        <f>HYPERLINK("https://careers.friedkin.com/apply/6207/login?mode=apply&amp;iis=LinkedIn&amp;urlHash=a4b7", "https://careers.friedkin.com/apply/6207/login?mode=apply&amp;iis=LinkedIn&amp;urlHash=a4b7")</f>
        <v/>
      </c>
      <c r="G70" t="inlineStr"/>
      <c r="H70" t="inlineStr"/>
      <c r="I70" t="inlineStr">
        <is>
          <t>**Living Our Values**
 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
**Why Join Us**
* Career Growth: Advance your career with opportunities for leadership and personal development.
* Culture of Excellence: Be part of a supportive team that values your input and encourages innovation.
* Competitive Benefits: Enjoy a comprehensive benefits package that looks after both your professional and personal needs.
**Total Rewards**
 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
**A Day In The Life**
 As a Lead Data Engineer within the Trailblazer initiative, you will play a crucial role in architecting, implementing, and managing robust, scalable data infrastructure. This position demands a blend of systems engineering, data integration, and data analytics skills to enhance TFG's data capabilities, supporting advanced analytics, machine learning projects, and real\-time data processing needs. The ideal candidate brings deep expertise in Lakehouse design principles, including layered Medallion Architecture patterns (Bronze, Silver, Gold), to drive scalable and governed data solutions. This is also a highly visible leadership role that will represent the data engineering function and lead the Data Management Community of Practice across TFG.
**As a Lead Data Engineer You Will**
* Design and implement scalable and reliable data pipelines to ingest, process, and store diverse data at scale, using technologies such as Apache Spark, Hadoop, and Kafka.
* Work within cloud environments like AWS or Azure to leverage services including but not limited to EC2, RDS, S3, Lambda, and Azure Data Lake for efficient data handling and processing.
* Architect and operationalize data pipelines following Medallion Architecture best practices within a Lakehouse framework—ensuring data quality, lineage, and usability across Bronze, Silver, and Gold layers.
* Develop and optimize data models and storage solutions (Databricks, Data Lakehouses) to support operational and analytical applications, ensuring data quality and accessibility.
* Utilize ETL tools and frameworks (e.g., Apache Airflow, Fivetran) to automate data workflows, ensuring efficient data integration and timely availability of data for analytics.
* Lead the Data Management Community of Practice, serving as the primary facilitator, coordinator, and spokesperson. Drive knowledge sharing, establish best practices, and represent the data engineering discipline across TFG to both technical and business audiences.
* Collaborate closely with data scientists, providing the data infrastructure and tools needed for complex analytical models, leveraging Python or R for data processing scripts.
* Ensure compliance with data governance and security policies, implementing best practices in data encryption, masking, and access controls within a cloud environment.
* Monitor and troubleshoot data pipelines and databases for performance issues, applying tuning techniques to optimize data access and throughput.
* Stay abreast of emerging technologies and methodologies in data engineering, advocating for and implementing improvements to the data ecosystem.
**What We Need From You**
* Bachelor's Degree in Computer Science, MIS, or other business discipline and 10\+ years of experience in data engineering, with a proven track record in designing and operating large\-scale data pipelines and architectures Req or
* Master's Degree computer science, MIS, or other business discipline and 5\+ years of experience in data engineering, with a proven track record in designing and operating large\-scale data pipelines and architectures Req
* Demonstrated experience designing and implementing Medallion Architecture in a Databricks Lakehouse environment, including layer transitions, data quality enforcement, and optimization strategies. Required
* Expertise in developing ETL/ELT workflows Required
* Comprehensive knowledge of platforms and services like Databricks, Dataiku, and AWS native data offerings Required
* Solid experience with big data technologies (Apache Spark, Hadoop, Kafka) and cloud services (AWS, Azure) related to data processing and storage Required
* Strong experience in AWS cloud services, with hands\-on experience in integrating cloud storage and compute services with Databricks Required
* Proficient in SQL and programming languages relevant to data engineering (Python, Java, Scala) Required
* Hands on RDBMS experience (data modeling, analysis, programming, stored procedures) Required
* Familiarity with machine learning model deployment and management practices is a plus Required
* Strong executive presence and communication skills, with a proven ability to lead communities of practice, deliver presentations to senior leadership, and build alignment across technical and business stakeholders. Required
* AWS Certified Solution Architect Preferred
* Databricks Certified Associate Developer for Apache Spark Preferred
* DAMA CDMP Preferred
* or other relevant certifications. Preferred
**Physical and Environmental Requirements** 
 The physical requirements described here are representative of those that must be met by an associate to successfully perform the essential functions of the job. While performing the duties of the job, the associate is required on a daily basis to analyze and interpret data, communicate, and remain in a stationary position for a significant amount of the work day and frequently access, input, and retrieve information from the computer and other office productivity devices. The associate is regularly required to move about the office and around the corporate campus. The associate must frequently move up to 10 pounds and occasionally move up to 25 pounds.
**Travel Requirements**
 20% The associate is occasionally required to travel to other sites, including out\-of\-state, where applicable, for business.
**Join Us**
 The Friedkin Group and its affiliates are committed to ensuring equal employment opportunities, including providing reasonable accommodations to individuals with disabilities. If you have a disability and would like to request an accommodation, please contact us at TalentAcquisition@friedkin.com. We celebrate diversity and are committed to creating an inclusive environment for all associates.
 We are seeking candidates legally authorized to work in the United States, without Sponsorship.</t>
        </is>
      </c>
    </row>
    <row r="71">
      <c r="A71" t="inlineStr">
        <is>
          <t>li-4361448952</t>
        </is>
      </c>
      <c r="B71" t="inlineStr">
        <is>
          <t>Data Engineer - 67.31-$72.12 per hour</t>
        </is>
      </c>
      <c r="C71" t="inlineStr">
        <is>
          <t>7Seventy Recruiting</t>
        </is>
      </c>
      <c r="D71" t="inlineStr">
        <is>
          <t>linkedin</t>
        </is>
      </c>
      <c r="E71">
        <f>HYPERLINK("https://www.linkedin.com/jobs/view/4361448952", "https://www.linkedin.com/jobs/view/4361448952")</f>
        <v/>
      </c>
      <c r="F71">
        <f>HYPERLINK("https://7seventy.net/7job/166-lkdn-243-remote-united-states-data-engineer&amp;urlHash=bhkK", "https://7seventy.net/7job/166-lkdn-243-remote-united-states-data-engineer&amp;urlHash=bhkK")</f>
        <v/>
      </c>
      <c r="G71" t="inlineStr"/>
      <c r="H71" t="inlineStr"/>
      <c r="I71" t="inlineStr">
        <is>
          <t>**Overview** 
 We’re looking for a
 **Senior Data Engineer** 
 to design and own end\-to\-end data solutions that make critical data accessible, actionable, and reliable across the organization. In this role, you’ll build everything from ingestion pipelines to APIs, dashboards, and internal tools, while helping improve the infrastructure behind products and services.
 This is a
 **full\-time** 
 ,
 **remote** 
 position on a small, highly collaborative team with strong ownership and real impact.
**Our Stack** 
* AWS\-hosted platform with a GraphQL API built on Node.js services
* MySQL, Elasticsearch, and S3 for core systems and storage
* Amazon Redshift data warehouse
* PySpark ETL pipelines and Amazon Kinesis streams for ingestion
**What You’ll Do** 
* Build and maintain robust data infrastructure to ingest, transform, and model content, metadata, and rights\-related data.
* Design, build, and support data products and internal tools for analytics, operations, and self\-service reporting (e.g., data observability dashboards, ingestion monitors, reporting and audit trails, and quality interfaces).
* Design and optimize cloud architectures using AWS services (including DynamoDB, MySQL, Redshift, S3, Lambda, and CloudWatch) to ensure high availability and strong performance.
* Contribute to DevOps practices such as monitoring, logging, and alerting to improve reliability and resilience.
* Support compliance workflows through reproducible, transparent data practices.
* Drive performance, cost efficiency, and observability across the stack.
* Own work end\-to\-end, from early ideas through production delivery, in a small and collaborative environment.
* Collaborate across technical and non\-technical teams with high autonomy and accountability.
**Qualifications** 
* 3\+ years of professional experience in data engineering, data infrastructure, or full\-stack development with a strong data focus.
* Deep expertise with AWS services (e.g., S3, Lambda, Redshift, Glue, EC2, and related tooling).
* Strong skills in SQL, Python, and Spark, plus experience with dbt or similar modeling frameworks.
* Deep knowledge of databases, including relational systems and non\-relational systems such as DynamoDB.
* Experience building ingestion pipelines for XML, JSON, CSV, and other document formats.
* Familiarity with DevOps practices such as Terraform, CI/CD pipelines, Docker, and monitoring/logging stacks.
* Experience working with complex metadata formats, standards, and rights management workflows (or similar compliance\-driven data domains).
* A user\-focused mindset and a strong desire to build tools that make complex data trustworthy and easy to use.
* Excellent communication skills and the ability to work cross\-functionally in a fast\-moving environment.
* Comfort mentoring teammates and leading initiatives while staying hands\-on.
**Benefits** 
* Remote\-first team
* Competitive salary
* Equity
* Comprehensive health, dental, vision, and disability coverage
* 401(k) with employer match</t>
        </is>
      </c>
    </row>
    <row r="72">
      <c r="A72" t="inlineStr">
        <is>
          <t>li-4370099236</t>
        </is>
      </c>
      <c r="B72" t="inlineStr">
        <is>
          <t>Senior Data Engineer/Architect - Systematic Trading</t>
        </is>
      </c>
      <c r="C72" t="inlineStr">
        <is>
          <t>iO Associates</t>
        </is>
      </c>
      <c r="D72" t="inlineStr">
        <is>
          <t>linkedin</t>
        </is>
      </c>
      <c r="E72">
        <f>HYPERLINK("https://www.linkedin.com/jobs/view/4370099236", "https://www.linkedin.com/jobs/view/4370099236")</f>
        <v/>
      </c>
      <c r="F72" t="inlineStr"/>
      <c r="G72" t="inlineStr">
        <is>
          <t>New York, NY</t>
        </is>
      </c>
      <c r="H72" t="inlineStr"/>
      <c r="I72" t="inlineStr">
        <is>
          <t>Overview
 We are hiring a senior data architecture leader to design and scale the core data platform underpinning a systematic trading and quantitative research environment.
 This role is responsible for building the foundational systems that power research, simulation, and strategy development workflows. The platform must unify a wide range of market and reference datasets, transforming raw external inputs into clean, reliable, and analysis\-ready formats that researchers and engineers can easily consume.
 You will define how data is ingested, normalized, stored, and accessed across the organization, enabling fast iteration, reproducible results, and high\-performance historical analysis. The ideal candidate combines strong distributed systems design experience with a deep understanding of the practical needs of quantitative researchers and trading teams.
 Responsibilities
* Architect and deliver a centralized research data platform that aggregates diverse market and reference datasets into a consistent and well\-governed environment.
* Design storage and retrieval systems optimized for large\-scale historical analysis, simulation workloads, and low\-latency research queries.
* Build robust ingestion and transformation pipelines that standardize raw external data into structured, analysis\-ready formats.
* Develop internal APIs and tooling that allow researchers to quickly discover datasets, inspect metadata, and assemble inputs for modeling and testing.
* Partner directly with quantitative researchers, data scientists, and engineers to understand workflow requirements and remove data friction from the research process.
* Establish standards for schema design, normalization, lineage, validation, and version control to ensure accuracy and reproducibility.
* Optimize for scalability and performance as both dataset breadth and computational demands increase.
* Provide technical leadership on best practices for research data engineering and platform design.
 Desired Experience
* Experience building large\-scale data systems within trading, quantitative research, or other time\-series\-heavy analytical environments.
* Strong understanding of market data structures, historical datasets, and research/simulation workflows.
* Expertise in data modeling, distributed storage systems, and high\-throughput processing pipelines.
* Track record of enabling researchers to run fast, iterative backtests or simulations on large historical datasets.
* Ability to translate ambiguous research requirements into pragmatic, scalable infrastructure.
* Comfortable operating as a senior technical owner with broad architectural responsibility.</t>
        </is>
      </c>
    </row>
    <row r="73">
      <c r="A73" t="inlineStr">
        <is>
          <t>li-4370354543</t>
        </is>
      </c>
      <c r="B73" t="inlineStr">
        <is>
          <t>New Job Opportunity: Title: Cloud Data Engineer ;Location: Richmond, VA</t>
        </is>
      </c>
      <c r="C73" t="inlineStr">
        <is>
          <t>Interon IT Solutions</t>
        </is>
      </c>
      <c r="D73" t="inlineStr">
        <is>
          <t>linkedin</t>
        </is>
      </c>
      <c r="E73">
        <f>HYPERLINK("https://www.linkedin.com/jobs/view/4370354543", "https://www.linkedin.com/jobs/view/4370354543")</f>
        <v/>
      </c>
      <c r="F73">
        <f>HYPERLINK("https://www.adzuna.com/details/5619789596?v=5C1B6861FBBACC0E160A5E7B49A3FEE28C762569&amp;ccd=0403eb298b76fb39b97e86a08405f6fc&amp;frd=2dbd4074fb3aa2243681b0070cf169cc&amp;r=21225287&amp;utm_source=linkedin7&amp;utm_medium=organic&amp;chnlid=1931&amp;title=New%20Job%20Opportunity%3A%20Title%3A%20Cloud%20Data%20Engineer%20%3BLocation%3A%20Richmond%2C%20VA&amp;a=e&amp;urlHash=g2Hr", "https://www.adzuna.com/details/5619789596?v=5C1B6861FBBACC0E160A5E7B49A3FEE28C762569&amp;ccd=0403eb298b76fb39b97e86a08405f6fc&amp;frd=2dbd4074fb3aa2243681b0070cf169cc&amp;r=21225287&amp;utm_source=linkedin7&amp;utm_medium=organic&amp;chnlid=1931&amp;title=New%20Job%20Opportunity%3A%20Title%3A%20Cloud%20Data%20Engineer%20%3BLocation%3A%20Richmond%2C%20VA&amp;a=e&amp;urlHash=g2Hr")</f>
        <v/>
      </c>
      <c r="G73" t="inlineStr">
        <is>
          <t>Richmond, VA</t>
        </is>
      </c>
      <c r="H73" t="inlineStr"/>
      <c r="I73" t="inlineStr">
        <is>
          <t>**Title: Cloud Data Engineer**
**Location: Richmond, VA**
**Job Description**
 We are seeking a skilled Cloud Data Engineer to join our development team and help build modern, cloud native applications across leading cloud platforms, with a particular emphasis on Microsoft Azure. Working within OIM (Office of Information Management) and under guidance from SEAT (Solutions Engineering and Architecture Team), the ideal candidate will have a strong background in software engineering, cloud services, and a passion for designing scalable, secure, and reliable solutions. Additionally, they will explore emerging data technologies, stay updated with industry advancements, and document processes for knowledge sharing. The engineer will also support the Data Management team in all its data transmission tasks.
**Required/Desired Skills**
* Azure, AWS, Google Cloud
* Azure App Service, AKS, Functions, Storage, Databases
* Docker, Kubernetes
* C\#, Java, Python, Go, Node.js
* Azure DevOps, Gitlab, GitLab
* IAM, Data Protection, Cloud Security Best Practices
* SQL Server, Oracle, NoSQL Databases
* Agile Methodologies, DevOps Practices
* Communication, Problem Solving, Collaboration</t>
        </is>
      </c>
    </row>
    <row r="74">
      <c r="A74" t="inlineStr">
        <is>
          <t>li-4361469101</t>
        </is>
      </c>
      <c r="B74" t="inlineStr">
        <is>
          <t>Senior Software Engineer, Foundational Data Engineering - NYC / Houston, TX- Systematic Quant Fund</t>
        </is>
      </c>
      <c r="C74" t="inlineStr">
        <is>
          <t>Jobs via eFinancialCareers</t>
        </is>
      </c>
      <c r="D74" t="inlineStr">
        <is>
          <t>linkedin</t>
        </is>
      </c>
      <c r="E74">
        <f>HYPERLINK("https://www.linkedin.com/jobs/view/4361469101", "https://www.linkedin.com/jobs/view/4361469101")</f>
        <v/>
      </c>
      <c r="F74" t="inlineStr"/>
      <c r="G74" t="inlineStr">
        <is>
          <t>New York, NY</t>
        </is>
      </c>
      <c r="H74" t="inlineStr"/>
      <c r="I74" t="inlineStr">
        <is>
          <t>**Location:** 
 New York, NY / Houston, TX
**Summary**
 Not your standard hedge fund, the scientists, technologists and academics at this innovative company look beyond traditional finance to develop creative solutions and sophisticated trading models.
 They're looking to hire mid\-level software engineers with expertise in Data Engineering to join the foundational data team. You'll be expected to have a strong background in large language models (LLM) technologies, cloud computing, and financial markets. You will work on world\-class trading systems, developing and maintaining scalable and efficient data engineering solutions designed to meet the needs of your data scientist, financial analyst and engineering colleagues.
 This role would be perfect for someone with a deep understanding of financial instruments \&amp; simulations, as well as knowledge of the data engineering technology landscape to help drive continued success.
**Requirements**
* 7\-10 years of software development experience, preferably with a data engineering focus
* Proven background in LLM technologies and their application
* Strong programming skills in languages such as Python, Java, or C\+\+
* Solid experience with cloud platforms (AWS, Azure, GCP), and related, e.g. BigQuery
* Good knowledge of database technologies (SQL, NoSQL) and data warehousing
* Minimum BS/BA in Computer Science, Engineering, Finance (or related field)
* Highly desirable: prior financial industry/hedge fund experience
**Benefits**
* Market\-leading base salaries \+ bonus
* Outstanding benefits package
* Truly collaborative culture and growth opportunities throughout the firm
* Flexible work environment
* Tuition reimbursement, conference and training sponsorship
 Whilst we carefully review all applications, to all jobs, due to the high volume of applications we receive it is not possible to respond to those who have not been successful.
**Contact**
 If you feel you are a strong match for this role, or would like more information, please get in touch:
**Eoughin Perry**
 eoughin.perry@oxfordknight.com
 linkedin.com/in/eoughin\-perry\-874b19195</t>
        </is>
      </c>
    </row>
    <row r="75">
      <c r="A75" t="inlineStr">
        <is>
          <t>li-4361850075</t>
        </is>
      </c>
      <c r="B75" t="inlineStr">
        <is>
          <t>Senior Software Engineer, Foundational Data Engineering - NYC / Houston, TX- Systematic Quant Fund</t>
        </is>
      </c>
      <c r="C75" t="inlineStr">
        <is>
          <t>Jobs via eFinancialCareers</t>
        </is>
      </c>
      <c r="D75" t="inlineStr">
        <is>
          <t>linkedin</t>
        </is>
      </c>
      <c r="E75">
        <f>HYPERLINK("https://www.linkedin.com/jobs/view/4361850075", "https://www.linkedin.com/jobs/view/4361850075")</f>
        <v/>
      </c>
      <c r="F75" t="inlineStr"/>
      <c r="G75" t="inlineStr"/>
      <c r="H75" t="inlineStr"/>
      <c r="I75" t="inlineStr">
        <is>
          <t>**Location:** 
 New York, NY / Houston, TX
**Summary**
 Not your standard hedge fund, the scientists, technologists and academics at this innovative company look beyond traditional finance to develop creative solutions and sophisticated trading models.
 They're looking to hire mid\-level software engineers with expertise in Data Engineering to join the foundational data team. You'll be expected to have a strong background in large language models (LLM) technologies, cloud computing, and financial markets. You will work on world\-class trading systems, developing and maintaining scalable and efficient data engineering solutions designed to meet the needs of your data scientist, financial analyst and engineering colleagues.
 This role would be perfect for someone with a deep understanding of financial instruments \&amp; simulations, as well as knowledge of the data engineering technology landscape to help drive continued success.
**Requirements**
* 7\-10 years of software development experience, preferably with a data engineering focus
* Proven background in LLM technologies and their application
* Strong programming skills in languages such as Python, Java, or C\+\+
* Solid experience with cloud platforms (AWS, Azure, GCP), and related, e.g. BigQuery
* Good knowledge of database technologies (SQL, NoSQL) and data warehousing
* Minimum BS/BA in Computer Science, Engineering, Finance (or related field)
* Highly desirable: prior financial industry/hedge fund experience
**Benefits**
* Market\-leading base salaries \+ bonus
* Outstanding benefits package
* Truly collaborative culture and growth opportunities throughout the firm
* Flexible work environment
* Tuition reimbursement, conference and training sponsorship
 Whilst we carefully review all applications, to all jobs, due to the high volume of applications we receive it is not possible to respond to those who have not been successful.
**Contact**
 If you feel you are a strong match for this role, or would like more information, please get in touch:
**Eoughin Perry**
 eoughin.perry@oxfordknight.com
 linkedin.com/in/eoughin\-perry\-874b19195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2026-02-09T00:34:44Z</dcterms:created>
  <dcterms:modified xsi:type="dcterms:W3CDTF">2026-02-09T00:34:44Z</dcterms:modified>
</cp:coreProperties>
</file>