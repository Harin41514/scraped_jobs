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in-00aab537abdb765b</t>
        </is>
      </c>
      <c r="B2" t="inlineStr">
        <is>
          <t>AI/ML Engineer</t>
        </is>
      </c>
      <c r="C2" t="inlineStr">
        <is>
          <t>Leidos QTC Health Services</t>
        </is>
      </c>
      <c r="D2" t="inlineStr">
        <is>
          <t>indeed</t>
        </is>
      </c>
      <c r="E2" t="inlineStr"/>
      <c r="F2" t="inlineStr"/>
      <c r="G2" t="inlineStr">
        <is>
          <t>Reston, VA, US</t>
        </is>
      </c>
      <c r="H2" s="2" t="n">
        <v>46062</v>
      </c>
      <c r="I2" t="inlineStr">
        <is>
          <t>Do you crave a career that truly makes an impact in people’s lives? Do you thrive on problem\-solving and finding solutions? Join a dedicated, tight\-knit team that creates an immediate and meaningful impact every day
Leidos QTC Health Services is seeking a mid‑to‑senior‑level AI Engineer who loves wrestling with large language models (LLMs) and building useful products. You will design and ship AI‑powered applications that leverage the latest LLMs while meeting the strict privacy and security requirements of the healthcare industry.
**Primary Responsibilities:**
* Develop AI‑powered applications using state‑of‑the‑art LLMs. You will build and deploy applications for our internal customers, selecting the right models (e.g., GPT‑4o, Claude Sonnet 4, Gemini 2\.5 or open‑source alternatives).
* Implement retrieval‑augmented generation (RAG) pipelines and agents using LangChain, LangGraph, LlamaIndex, and other emerging frameworks.
* Integrate ML models with front\-end apps, REST APIs, and backend systems.
* Design and build end\-to\-end AI systems—ranging from chatbots and recommendation engines to vision\-based pipelines.
* Build robust logic around ML models to address edge cases, failovers, and complex business rules.
* Leverage prebuilt models or services (e.g., OpenAI API, Azure Cognitive Services, HuggingFace) to accelerate development cycles.
* Fine‑tune and customize models using LoRA, prompt tuning, or RLHF techniques.
* Occasionally perform custom model training—but more often fine\-tune or adapt existing models to meet business needs.
* Work with vector databases (e.g., Pinecone, Weaviate) and explore graph\-based approaches (e.g., GraphRAG, Knowledge Graphs).
* Ensure privacy and compliance with HIPAA, including encryption, PHI protection, and vendor due diligence.
* Prototype multi‑agent systems using frameworks like CrewAI or Stands SDK and evaluate emerging agent orchestration solutions.
* Collaborate cross\-functionally with product managers, data scientists, and compliance teams.
* Mentor junior engineers, lead innovation discussions, and continuously evaluate emerging LLM architectures.
**Required Qualifications/Competencies:**
* Bachelor’s degree from an accredited college in Computer Science, Computer Engineering, Statistics, Data Science or another similar quantitative field. Additional experience in lieu of a degree may be considered.
* 9\+ years in software engineering or machine learning, with 2\+ years building production AI/ML systems.
* Strong programming skills in Python and Typescript.
* Experience with REST APIs and frameworks like Flask or FastAPI.
* Familiarity with LangChain, LlamaIndex, HuggingFace Transformers, SGLang, and OpenAI API.
* Experience with RAG architectures, including vector databases and GraphRAG approaches.
* Experience deploying AI solutions using cloud platforms (AWS, Azure, or GCP).
* Understanding of HIPAA compliance: handling PHI, encryption protocols, and vendor BAAs.
* Experience in prompt engineering, prompt security, and evaluation strategies.
* Familiarity with containerization, CI/CD, and MLOps pipelines
**Preferred Qualifications:**
* Experience in healthcare, life sciences, or other regulated industries.
* Background in autonomous agents and orchestration frameworks (e.g., CrewAI, Strands, OpenAI Agents SDK).
* Exposure to multi\-modal models (e.g., GPT‑4o, Pixtral Large).
* Knowledge of chain\-of\-thought reasoning and RLHF workflows.
* Additional languages like Rust or Go; experience with microservices or event\-driven architecture.
**About Leidos QTC Health Services**
Leidos QTC Health Services collaborates closely with government and non\-government customers to address current and future program needs within the health services domain. We specialize in disability\-focused medical examinations, independent medical exams and review services, occupational health services, diagnostic testing, and case management solutions. As innovators, we focus on advancing technologies that improve service delivery, with a particular emphasis on enhancing accessibility for examinees in rural communities. With a proven track record of continuous improvement and steady growth, we now handle over 2 million appointments annually. Visit www.qtcm.com for more information.
**Compensation and Benefits**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This role *may* fall under the Service Contract Act (SCA), a federal law which provides for a U.S. Department of Labor\-prescribed minimum prevailing rate of pay and certain benefit levels. Where appropriate, Company\-provided benefit plans such as comprehensive leave, holiday, medical, dental, life, accident, disability coverages, retirement plan contributions, and other health and welfare benefits and payments are utilized to meet these obligations.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QTC Health Services will also consider for employment qualified applicants with criminal histories consistent with relevant laws.</t>
        </is>
      </c>
    </row>
    <row r="3">
      <c r="A3" t="inlineStr">
        <is>
          <t>in-d5357fa1ae53cc1a</t>
        </is>
      </c>
      <c r="B3" t="inlineStr">
        <is>
          <t>Identity AI / ML Engineer</t>
        </is>
      </c>
      <c r="C3" t="inlineStr">
        <is>
          <t>Openkyber</t>
        </is>
      </c>
      <c r="D3" t="inlineStr">
        <is>
          <t>indeed</t>
        </is>
      </c>
      <c r="E3" t="inlineStr"/>
      <c r="F3" t="inlineStr"/>
      <c r="G3" t="inlineStr">
        <is>
          <t>GA, US</t>
        </is>
      </c>
      <c r="H3" s="2" t="n">
        <v>46061</v>
      </c>
      <c r="I3" t="inlineStr">
        <is>
          <t>Hiring on W2 Only Machine Learning Gen AI Engineer \- Remote We are seeking a highly skilled and communicative Machine Learning Engineer (12\+ years of experience) to join our AI team. In this role, you will bridge the gap between cutting\-edge AI research and practical, user\-facing applications. You will be responsible for designing, building, and deploying Generative AI models (LLMs, Diffusion Models) to solve complex business problems, while effectively communicating technical advancements to non\-technical stakeholders. The ideal candidate is both a hands\-on coder passionate about ML, Gen AI and a proactive collaborator who excels at explaining complex AI concepts to diverse teams.
**Roles \&amp; Responsibilities Key Responsibilities:**
* GenAI Development: Architect, fine\-tune, and deploy Large Language Models (LLMs) and Generative AI techniques (e.g., RAG, PEFT/SFT) to improve business applications.
* Production Deployment: Build and maintain high\-performance, scalable ML pipelines and GPU\-based inference systems in cloud environments (AWS/Google Cloud Platform/Azure).
* Collaboration \&amp; Communication: Work closely with product managers, data scientists, and engineers to translate business requirements into technical specifications.
* Stakeholder Engagement: Clearly present AI methodologies, performance results, and technical trade\-offs to non\-technical stakeholders and leadership.
* Model Optimization: Implement prompt engineering, adversarial testing, and model optimization strategies to ensure high\-quality, efficient, and safe outputs.
* Stay Updated: Actively keep up with the latest advancements in GenAI research and incorporate them into our production systems.
* Team and project Coordination: Define project scope, timelines, deliverables, success metrics, co\-ordinate with and guide offshore technical team on project deliverables.
**Required Skills \&amp; Qualifications Experience:**
* 10\+ years of experience as an ML Engineer, with at least 1\-2 years dedicated to Generative AI or NLP projects, and good experience on AWS cloud platform.
* Technical Expertise: Strong proficiency in Python, and IDEs such as Cursor/AWS Kiro, deep learning frameworks (PyTorch or TensorFlow), utilizing GitHub co\-pilot etc.
* GenAI Proficiency: Hands\-on experience with LLMs (e.g., GPT\-4, Llama), RAG architectures, LangChain, Vector Databases, Knowledge graphs, and Agentic AI
* MLOps and LLM Ops: Familiarity with Docker, Kubernetes, and CI/CD tools for ML.
* AWS Skills: S3, Lambda, Glue, AWS Sage maker, and AWS Bedrock platform
* Communication Skills: Excellent verbal and written communication skills; ability to articulate complex technical concepts simply.
* Stakeholder Management: Able to collaborate with key business/client stakeholders and manage their expectations
* Problem\-Solving: Proven ability to work independently in a fast\-paced environment and troubleshoot issues.
**Preferred Qualifications:**
* Engineering degree in computer science or equivalent, and relevant certification in Machine learning
* Experience in banking or financial services domain Payments industry.
**For applications and inquiries, contact:** hirings@openkyber.com</t>
        </is>
      </c>
    </row>
    <row r="4">
      <c r="A4" t="inlineStr">
        <is>
          <t>in-740e66ce52f74496</t>
        </is>
      </c>
      <c r="B4" t="inlineStr">
        <is>
          <t>Identity AI / ML Engineer</t>
        </is>
      </c>
      <c r="C4" t="inlineStr">
        <is>
          <t>Openkyber</t>
        </is>
      </c>
      <c r="D4" t="inlineStr">
        <is>
          <t>indeed</t>
        </is>
      </c>
      <c r="E4" t="inlineStr"/>
      <c r="F4" t="inlineStr"/>
      <c r="G4" t="inlineStr">
        <is>
          <t>TX, US</t>
        </is>
      </c>
      <c r="H4" s="2" t="n">
        <v>46061</v>
      </c>
      <c r="I4" t="inlineStr">
        <is>
          <t>Job Title: AI/ML Engineer Location: Texas, USA Employment Type: W2 Experience: 12\+ Years Job Description We are seeking a skilled AI/ML Engineer to design, build, and deploy machine learning models and AI\-driven solutions. The ideal candidate will have strong experience in data modeling, algorithm development, and productionizing machine learning systems.
**Key Responsibilities:**
* Design, develop, and deploy machine learning models for real\-world applications.
* Build and maintain data pipelines for model training and inference.
* Collaborate with data scientists, engineers, and business stakeholders.
* Evaluate and optimize model performance and accuracy.
* Implement model monitoring, retraining, and versioning.
* Work with unstructured and structured data.
* Ensure scalability, reliability, and security of AI solutions.
**Required Skills \&amp; Qualifications:**
* Strong experience in Python and ML libraries (TensorFlow, PyTorch, scikit\-learn).
* Solid understanding of machine learning, deep learning, and statistical methods.
* Experience with SQL and data processing frameworks.
* Hands\-on experience with cloud platforms (AWS, Azure, or Google Cloud Platform).
* Experience deploying models using APIs, Docker, or Kubernetes.
* Knowledge of data preprocessing, feature engineering, and model evaluation.
**Preferred Qualifications:**
* Experience with NLP, computer vision, or generative AI.
* Familiarity with MLOps tools (MLflow, Kubeflow).
* Experience working in Agile/Scrum environments.
* Background in finance, telecom, or enterprise systems.
* Education Bachelor's or Master's degree in Computer Science, AI, Machine Learning, or related field.
**For applications and inquiries, contact:** hirings@openkyber.com</t>
        </is>
      </c>
    </row>
    <row r="5">
      <c r="A5" t="inlineStr">
        <is>
          <t>in-5b56949bf1f9bac5</t>
        </is>
      </c>
      <c r="B5" t="inlineStr">
        <is>
          <t>AI Engineer - Entry to Expert Level (Maryland)</t>
        </is>
      </c>
      <c r="C5" t="inlineStr"/>
      <c r="D5" t="inlineStr">
        <is>
          <t>indeed</t>
        </is>
      </c>
      <c r="E5" t="inlineStr"/>
      <c r="F5" t="inlineStr"/>
      <c r="G5" t="inlineStr">
        <is>
          <t>Fort Meade, MD, US</t>
        </is>
      </c>
      <c r="H5" s="2" t="n">
        <v>46061</v>
      </c>
      <c r="I5" t="inlineStr">
        <is>
          <t>**Summary**
-----------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**This job is open to**
-----------------------
### **The public**
U.S. Citizens, Nationals or those who owe allegiance to the U.S.
**Duties**
----------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**Requirements**
----------------
### **Conditions of employment**
* All applicants and employees are subject to random drug testing in accordance with Executive Order 12564\.
### **Qualifications**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 **Education**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 **Additional information**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**Required Documents**
----------------------
The National Security Agency (NSA) is part of the DoD Intelligence Community Defense Civilian Intelligence Personnel System (DCIPS). All positions in the NSA are in the Excepted Services under 10 United States Codes (USC) 1601 appointment authority. DoD Components with DCIPS positions apply Veterans' Preference to eligible candidates as defined by Section 2108 of Title 5 USC, in accordance with the procedures provided in DoD Instruction 1400\.25, Volume 2005, DCIPS Employment and Placement. If you are a veteran claiming veterans' preference, as defined by Section 2108 of Title 5 U.S.C., you may be asked to submit documents verifying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https://apply.intelligencecareers.gov/job\-description/1253673
### **Agency contact information**
NSA POC
Phone
1\-844\-424\-4737
Email
intelcareers@nsa.gov
### **Next steps**
https://apply.intelligencecareers.gov/job\-description/1253673
**Overview**
------------
Accepting applications
Open \&amp; closing dates
02/09/2026 to 02/13/2026
Salary
$87,362 to \- $197,200 per year
Pay scale \&amp; grade
GG 7 \- 15
Location
many vacancies in the following location:
Fort Meade, MD
Remote job
No
Telework eligible
No
Travel Required
Occasional travel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0132 Intelligence
Supervisory status
No
Security clearance
Top Secret
Drug test
No
Position sensitivity and risk
Critical\-Sensitive (CS)/High Risk
Trust determination process
* National security
Financial disclosure
Yes
Bargaining unit status
No
Announcement number
1253673
Control number
856956800</t>
        </is>
      </c>
    </row>
    <row r="6">
      <c r="A6" t="inlineStr">
        <is>
          <t>in-ae576f56c7aa08b9</t>
        </is>
      </c>
      <c r="B6" t="inlineStr">
        <is>
          <t>Applied Scientist, Safety ML</t>
        </is>
      </c>
      <c r="C6" t="inlineStr">
        <is>
          <t>Amazon.com</t>
        </is>
      </c>
      <c r="D6" t="inlineStr">
        <is>
          <t>indeed</t>
        </is>
      </c>
      <c r="E6" t="inlineStr"/>
      <c r="F6" t="inlineStr"/>
      <c r="G6" t="inlineStr">
        <is>
          <t>San Francisco, CA, US</t>
        </is>
      </c>
      <c r="H6" s="2" t="n">
        <v>46037</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7">
      <c r="A7" t="inlineStr">
        <is>
          <t>in-f7e5c7155cfa7ac1</t>
        </is>
      </c>
      <c r="B7" t="inlineStr">
        <is>
          <t>Applied Scientist, Safety ML</t>
        </is>
      </c>
      <c r="C7" t="inlineStr">
        <is>
          <t>Amazon.com</t>
        </is>
      </c>
      <c r="D7" t="inlineStr">
        <is>
          <t>indeed</t>
        </is>
      </c>
      <c r="E7" t="inlineStr"/>
      <c r="F7" t="inlineStr"/>
      <c r="G7" t="inlineStr">
        <is>
          <t>Seattle, WA, US</t>
        </is>
      </c>
      <c r="H7" s="2" t="n">
        <v>46037</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8">
      <c r="A8" t="inlineStr">
        <is>
          <t>in-d649e3f33e4b7e4e</t>
        </is>
      </c>
      <c r="B8" t="inlineStr">
        <is>
          <t>Applied Scientist, LLM Code Agents, Kiro Science</t>
        </is>
      </c>
      <c r="C8" t="inlineStr">
        <is>
          <t>Amazon.com</t>
        </is>
      </c>
      <c r="D8" t="inlineStr">
        <is>
          <t>indeed</t>
        </is>
      </c>
      <c r="E8" t="inlineStr"/>
      <c r="F8" t="inlineStr"/>
      <c r="G8" t="inlineStr">
        <is>
          <t>Santa Clara, CA, US</t>
        </is>
      </c>
      <c r="H8" s="2" t="n">
        <v>46035</v>
      </c>
      <c r="I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9">
      <c r="A9" t="inlineStr">
        <is>
          <t>in-ebb87df3560ff622</t>
        </is>
      </c>
      <c r="B9" t="inlineStr">
        <is>
          <t>Applied Scientist, LLM Code Agents, Kiro Science</t>
        </is>
      </c>
      <c r="C9" t="inlineStr">
        <is>
          <t>Amazon.com</t>
        </is>
      </c>
      <c r="D9" t="inlineStr">
        <is>
          <t>indeed</t>
        </is>
      </c>
      <c r="E9" t="inlineStr"/>
      <c r="F9" t="inlineStr"/>
      <c r="G9" t="inlineStr">
        <is>
          <t>Seattle, WA, US</t>
        </is>
      </c>
      <c r="H9" s="2" t="n">
        <v>46035</v>
      </c>
      <c r="I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0">
      <c r="A10" t="inlineStr">
        <is>
          <t>in-1f907de8b9f4c8c0</t>
        </is>
      </c>
      <c r="B10" t="inlineStr">
        <is>
          <t>Applied Scientist, Last Mile Delivery Automation</t>
        </is>
      </c>
      <c r="C10" t="inlineStr">
        <is>
          <t>Amazon.com</t>
        </is>
      </c>
      <c r="D10" t="inlineStr">
        <is>
          <t>indeed</t>
        </is>
      </c>
      <c r="E10" t="inlineStr"/>
      <c r="F10" t="inlineStr"/>
      <c r="G10" t="inlineStr">
        <is>
          <t>Santa Clara, CA, US</t>
        </is>
      </c>
      <c r="H10" s="2" t="n">
        <v>46026</v>
      </c>
      <c r="I1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in-6bcb50c8d9e09130</t>
        </is>
      </c>
      <c r="B11" t="inlineStr">
        <is>
          <t>Applied Scientist, Last Mile Delivery Automation</t>
        </is>
      </c>
      <c r="C11" t="inlineStr">
        <is>
          <t>Amazon.com</t>
        </is>
      </c>
      <c r="D11" t="inlineStr">
        <is>
          <t>indeed</t>
        </is>
      </c>
      <c r="E11" t="inlineStr"/>
      <c r="F11" t="inlineStr"/>
      <c r="G11" t="inlineStr">
        <is>
          <t>Bellevue, WA, US</t>
        </is>
      </c>
      <c r="H11" s="2" t="n">
        <v>46026</v>
      </c>
      <c r="I1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in-48f3a6b7832c8c88</t>
        </is>
      </c>
      <c r="B12" t="inlineStr">
        <is>
          <t>Senior Applied Scientist, Distributed SQL</t>
        </is>
      </c>
      <c r="C12" t="inlineStr">
        <is>
          <t>Amazon Web Services</t>
        </is>
      </c>
      <c r="D12" t="inlineStr">
        <is>
          <t>indeed</t>
        </is>
      </c>
      <c r="E12" t="inlineStr"/>
      <c r="F12" t="inlineStr"/>
      <c r="G12" t="inlineStr">
        <is>
          <t>East Palo Alto, CA, US</t>
        </is>
      </c>
      <c r="H12" s="2" t="n">
        <v>46012</v>
      </c>
      <c r="I1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3">
      <c r="A13" t="inlineStr">
        <is>
          <t>in-f8a4cd75ed57ef6d</t>
        </is>
      </c>
      <c r="B13" t="inlineStr">
        <is>
          <t>Senior Applied Scientist, Distributed SQL</t>
        </is>
      </c>
      <c r="C13" t="inlineStr">
        <is>
          <t>Amazon Web Services</t>
        </is>
      </c>
      <c r="D13" t="inlineStr">
        <is>
          <t>indeed</t>
        </is>
      </c>
      <c r="E13" t="inlineStr"/>
      <c r="F13" t="inlineStr"/>
      <c r="G13" t="inlineStr">
        <is>
          <t>Seattle, WA, US</t>
        </is>
      </c>
      <c r="H13" s="2" t="n">
        <v>46012</v>
      </c>
      <c r="I1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4">
      <c r="A14" t="inlineStr">
        <is>
          <t>in-1834fc06b8cf4ba8</t>
        </is>
      </c>
      <c r="B14" t="inlineStr">
        <is>
          <t>Principal Applied Scientist, Kiro Science</t>
        </is>
      </c>
      <c r="C14" t="inlineStr">
        <is>
          <t>Amazon Web Services</t>
        </is>
      </c>
      <c r="D14" t="inlineStr">
        <is>
          <t>indeed</t>
        </is>
      </c>
      <c r="E14" t="inlineStr"/>
      <c r="F14" t="inlineStr"/>
      <c r="G14" t="inlineStr">
        <is>
          <t>Santa Clara, CA, US</t>
        </is>
      </c>
      <c r="H14" s="2" t="n">
        <v>45999</v>
      </c>
      <c r="I1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
      <c r="A15" t="inlineStr">
        <is>
          <t>in-ac1640479403fee8</t>
        </is>
      </c>
      <c r="B15" t="inlineStr">
        <is>
          <t>Principal Applied Scientist, Kiro Science</t>
        </is>
      </c>
      <c r="C15" t="inlineStr">
        <is>
          <t>Amazon Web Services</t>
        </is>
      </c>
      <c r="D15" t="inlineStr">
        <is>
          <t>indeed</t>
        </is>
      </c>
      <c r="E15" t="inlineStr"/>
      <c r="F15" t="inlineStr"/>
      <c r="G15" t="inlineStr">
        <is>
          <t>New York, NY, US</t>
        </is>
      </c>
      <c r="H15" s="2" t="n">
        <v>45999</v>
      </c>
      <c r="I1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
      <c r="A16" t="inlineStr">
        <is>
          <t>in-2c11a5283f42b271</t>
        </is>
      </c>
      <c r="B16" t="inlineStr">
        <is>
          <t>Sr. Applied Scientist, Amazon Ads</t>
        </is>
      </c>
      <c r="C16" t="inlineStr">
        <is>
          <t>Amazon.com</t>
        </is>
      </c>
      <c r="D16" t="inlineStr">
        <is>
          <t>indeed</t>
        </is>
      </c>
      <c r="E16" t="inlineStr"/>
      <c r="F16" t="inlineStr"/>
      <c r="G16" t="inlineStr">
        <is>
          <t>Sunnyvale, CA,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in-b75596992237bf3a</t>
        </is>
      </c>
      <c r="B17" t="inlineStr">
        <is>
          <t>Sr. Applied Scientist, Amazon Ads</t>
        </is>
      </c>
      <c r="C17" t="inlineStr">
        <is>
          <t>Amazon.com</t>
        </is>
      </c>
      <c r="D17" t="inlineStr">
        <is>
          <t>indeed</t>
        </is>
      </c>
      <c r="E17" t="inlineStr"/>
      <c r="F17" t="inlineStr"/>
      <c r="G17" t="inlineStr">
        <is>
          <t>Brooklyn, NY,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in-29f96141779d5642</t>
        </is>
      </c>
      <c r="B18" t="inlineStr">
        <is>
          <t>Sr. Applied Scientist, Amazon Ads</t>
        </is>
      </c>
      <c r="C18" t="inlineStr">
        <is>
          <t>Amazon.com</t>
        </is>
      </c>
      <c r="D18" t="inlineStr">
        <is>
          <t>indeed</t>
        </is>
      </c>
      <c r="E18" t="inlineStr"/>
      <c r="F18" t="inlineStr"/>
      <c r="G18" t="inlineStr">
        <is>
          <t>Tukwila, WA,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in-8f70f402e8379b42</t>
        </is>
      </c>
      <c r="B19" t="inlineStr">
        <is>
          <t>Sr. Applied Scientist, Amazon Ads</t>
        </is>
      </c>
      <c r="C19" t="inlineStr">
        <is>
          <t>Amazon.com</t>
        </is>
      </c>
      <c r="D19" t="inlineStr">
        <is>
          <t>indeed</t>
        </is>
      </c>
      <c r="E19" t="inlineStr"/>
      <c r="F19" t="inlineStr"/>
      <c r="G19" t="inlineStr">
        <is>
          <t>Palo Alto, CA,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in-78f4c95ac6e781f7</t>
        </is>
      </c>
      <c r="B20" t="inlineStr">
        <is>
          <t>Sr. Applied Scientist, Amazon Ads</t>
        </is>
      </c>
      <c r="C20" t="inlineStr">
        <is>
          <t>Amazon.com</t>
        </is>
      </c>
      <c r="D20" t="inlineStr">
        <is>
          <t>indeed</t>
        </is>
      </c>
      <c r="E20" t="inlineStr"/>
      <c r="F20" t="inlineStr"/>
      <c r="G20" t="inlineStr">
        <is>
          <t>Boston, MA,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in-3d53a23886dbc982</t>
        </is>
      </c>
      <c r="B21" t="inlineStr">
        <is>
          <t>Sr. Applied Scientist, Amazon Ads</t>
        </is>
      </c>
      <c r="C21" t="inlineStr">
        <is>
          <t>Amazon.com</t>
        </is>
      </c>
      <c r="D21" t="inlineStr">
        <is>
          <t>indeed</t>
        </is>
      </c>
      <c r="E21" t="inlineStr"/>
      <c r="F21" t="inlineStr"/>
      <c r="G21" t="inlineStr">
        <is>
          <t>Corvallis, OR,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in-2ee5f610f6eb5ee2</t>
        </is>
      </c>
      <c r="B22" t="inlineStr">
        <is>
          <t>Sr. Applied Scientist, Amazon Ads</t>
        </is>
      </c>
      <c r="C22" t="inlineStr">
        <is>
          <t>Amazon.com</t>
        </is>
      </c>
      <c r="D22" t="inlineStr">
        <is>
          <t>indeed</t>
        </is>
      </c>
      <c r="E22" t="inlineStr"/>
      <c r="F22" t="inlineStr"/>
      <c r="G22" t="inlineStr">
        <is>
          <t>New York, NY,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in-4bd9fcad8cf0ba18</t>
        </is>
      </c>
      <c r="B23" t="inlineStr">
        <is>
          <t>Sr. Applied Scientist, Amazon Ads</t>
        </is>
      </c>
      <c r="C23" t="inlineStr">
        <is>
          <t>Amazon.com</t>
        </is>
      </c>
      <c r="D23" t="inlineStr">
        <is>
          <t>indeed</t>
        </is>
      </c>
      <c r="E23" t="inlineStr"/>
      <c r="F23" t="inlineStr"/>
      <c r="G23" t="inlineStr">
        <is>
          <t>Seattle, WA,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in-0dc731aeadd6429f</t>
        </is>
      </c>
      <c r="B24" t="inlineStr">
        <is>
          <t>Sr. Applied Scientist, Amazon Ads</t>
        </is>
      </c>
      <c r="C24" t="inlineStr">
        <is>
          <t>Amazon.com</t>
        </is>
      </c>
      <c r="D24" t="inlineStr">
        <is>
          <t>indeed</t>
        </is>
      </c>
      <c r="E24" t="inlineStr"/>
      <c r="F24" t="inlineStr"/>
      <c r="G24" t="inlineStr">
        <is>
          <t>Boulder, CO,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in-8e8aca0041f7e299</t>
        </is>
      </c>
      <c r="B25" t="inlineStr">
        <is>
          <t>Sr. Applied Scientist, Amazon Ads</t>
        </is>
      </c>
      <c r="C25" t="inlineStr">
        <is>
          <t>Amazon.com</t>
        </is>
      </c>
      <c r="D25" t="inlineStr">
        <is>
          <t>indeed</t>
        </is>
      </c>
      <c r="E25" t="inlineStr"/>
      <c r="F25" t="inlineStr"/>
      <c r="G25" t="inlineStr">
        <is>
          <t>Santa Monica, CA,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in-0c3fcea46a576a77</t>
        </is>
      </c>
      <c r="B26" t="inlineStr">
        <is>
          <t>Sr. Machine Learning Engineer, AGIF | Finetuning</t>
        </is>
      </c>
      <c r="C26" t="inlineStr">
        <is>
          <t>Amazon.com</t>
        </is>
      </c>
      <c r="D26" t="inlineStr">
        <is>
          <t>indeed</t>
        </is>
      </c>
      <c r="E26" t="inlineStr"/>
      <c r="F26" t="inlineStr"/>
      <c r="G26" t="inlineStr">
        <is>
          <t>New York, NY, US</t>
        </is>
      </c>
      <c r="H26" s="2" t="n">
        <v>45984</v>
      </c>
      <c r="I2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in-97d2d0598fb2ab44</t>
        </is>
      </c>
      <c r="B27" t="inlineStr">
        <is>
          <t>Sr. Machine Learning Engineer, AGIF | Finetuning</t>
        </is>
      </c>
      <c r="C27" t="inlineStr">
        <is>
          <t>Amazon.com</t>
        </is>
      </c>
      <c r="D27" t="inlineStr">
        <is>
          <t>indeed</t>
        </is>
      </c>
      <c r="E27" t="inlineStr"/>
      <c r="F27" t="inlineStr"/>
      <c r="G27" t="inlineStr">
        <is>
          <t>Sunnyvale, CA, US</t>
        </is>
      </c>
      <c r="H27" s="2" t="n">
        <v>45984</v>
      </c>
      <c r="I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in-9967711ccb311183</t>
        </is>
      </c>
      <c r="B28" t="inlineStr">
        <is>
          <t>Sr. Machine Learning Engineer, AGIF | Finetuning</t>
        </is>
      </c>
      <c r="C28" t="inlineStr">
        <is>
          <t>Amazon.com</t>
        </is>
      </c>
      <c r="D28" t="inlineStr">
        <is>
          <t>indeed</t>
        </is>
      </c>
      <c r="E28" t="inlineStr"/>
      <c r="F28" t="inlineStr"/>
      <c r="G28" t="inlineStr">
        <is>
          <t>Bellevue, WA, US</t>
        </is>
      </c>
      <c r="H28" s="2" t="n">
        <v>45984</v>
      </c>
      <c r="I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in-952b51f78d3244df</t>
        </is>
      </c>
      <c r="B29" t="inlineStr">
        <is>
          <t>Principal Applied Scientist, Sponsored Products and Brands</t>
        </is>
      </c>
      <c r="C29" t="inlineStr">
        <is>
          <t>Amazon.com</t>
        </is>
      </c>
      <c r="D29" t="inlineStr">
        <is>
          <t>indeed</t>
        </is>
      </c>
      <c r="E29" t="inlineStr"/>
      <c r="F29" t="inlineStr"/>
      <c r="G29" t="inlineStr">
        <is>
          <t>New York, NY, US</t>
        </is>
      </c>
      <c r="H29" s="2" t="n">
        <v>45979</v>
      </c>
      <c r="I2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in-b04b94bd56be230f</t>
        </is>
      </c>
      <c r="B30" t="inlineStr">
        <is>
          <t>Principal Applied Scientist, Sponsored Products and Brands</t>
        </is>
      </c>
      <c r="C30" t="inlineStr">
        <is>
          <t>Amazon.com</t>
        </is>
      </c>
      <c r="D30" t="inlineStr">
        <is>
          <t>indeed</t>
        </is>
      </c>
      <c r="E30" t="inlineStr"/>
      <c r="F30" t="inlineStr"/>
      <c r="G30" t="inlineStr">
        <is>
          <t>Seattle, WA, US</t>
        </is>
      </c>
      <c r="H30" s="2" t="n">
        <v>45979</v>
      </c>
      <c r="I3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in-9358ca5a536f8e1a</t>
        </is>
      </c>
      <c r="B31" t="inlineStr">
        <is>
          <t>Applied Scientist, Personalization, DTx Science</t>
        </is>
      </c>
      <c r="C31" t="inlineStr">
        <is>
          <t>Amazon.com</t>
        </is>
      </c>
      <c r="D31" t="inlineStr">
        <is>
          <t>indeed</t>
        </is>
      </c>
      <c r="E31" t="inlineStr"/>
      <c r="F31" t="inlineStr"/>
      <c r="G31" t="inlineStr">
        <is>
          <t>Seattle, WA, US</t>
        </is>
      </c>
      <c r="H31" s="2" t="n">
        <v>45979</v>
      </c>
      <c r="I3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
      <c r="A32" t="inlineStr">
        <is>
          <t>in-41e83cdb8d6bcbbf</t>
        </is>
      </c>
      <c r="B32" t="inlineStr">
        <is>
          <t>Applied Scientist, Personalization, DTx Science</t>
        </is>
      </c>
      <c r="C32" t="inlineStr">
        <is>
          <t>Amazon.com</t>
        </is>
      </c>
      <c r="D32" t="inlineStr">
        <is>
          <t>indeed</t>
        </is>
      </c>
      <c r="E32" t="inlineStr"/>
      <c r="F32" t="inlineStr"/>
      <c r="G32" t="inlineStr">
        <is>
          <t>New York, NY, US</t>
        </is>
      </c>
      <c r="H32" s="2" t="n">
        <v>45979</v>
      </c>
      <c r="I3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
      <c r="A33" t="inlineStr">
        <is>
          <t>in-07446c51c1ed42df</t>
        </is>
      </c>
      <c r="B33" t="inlineStr">
        <is>
          <t>Senior Applied Scientist, Sponsored Products and Brands</t>
        </is>
      </c>
      <c r="C33" t="inlineStr">
        <is>
          <t>Amazon.com</t>
        </is>
      </c>
      <c r="D33" t="inlineStr">
        <is>
          <t>indeed</t>
        </is>
      </c>
      <c r="E33" t="inlineStr"/>
      <c r="F33" t="inlineStr"/>
      <c r="G33" t="inlineStr">
        <is>
          <t>New York, NY, US</t>
        </is>
      </c>
      <c r="H33" s="2" t="n">
        <v>45979</v>
      </c>
      <c r="I3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4">
      <c r="A34" t="inlineStr">
        <is>
          <t>in-caf2e5dbce914de7</t>
        </is>
      </c>
      <c r="B34" t="inlineStr">
        <is>
          <t>Senior Applied Scientist, Sponsored Products and Brands</t>
        </is>
      </c>
      <c r="C34" t="inlineStr">
        <is>
          <t>Amazon.com</t>
        </is>
      </c>
      <c r="D34" t="inlineStr">
        <is>
          <t>indeed</t>
        </is>
      </c>
      <c r="E34" t="inlineStr"/>
      <c r="F34" t="inlineStr"/>
      <c r="G34" t="inlineStr">
        <is>
          <t>Seattle, WA, US</t>
        </is>
      </c>
      <c r="H34" s="2" t="n">
        <v>45979</v>
      </c>
      <c r="I3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5">
      <c r="A35" t="inlineStr">
        <is>
          <t>in-0bca4749ed015e6e</t>
        </is>
      </c>
      <c r="B35" t="inlineStr">
        <is>
          <t>Principal Applied Scientist, Amazon AGI</t>
        </is>
      </c>
      <c r="C35" t="inlineStr">
        <is>
          <t>Amazon.com</t>
        </is>
      </c>
      <c r="D35" t="inlineStr">
        <is>
          <t>indeed</t>
        </is>
      </c>
      <c r="E35" t="inlineStr"/>
      <c r="F35" t="inlineStr"/>
      <c r="G35" t="inlineStr">
        <is>
          <t>Boston, MA, US</t>
        </is>
      </c>
      <c r="H35" s="2" t="n">
        <v>45964</v>
      </c>
      <c r="I3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in-7704b6767ca72007</t>
        </is>
      </c>
      <c r="B36" t="inlineStr">
        <is>
          <t>Principal Applied Scientist, Amazon AGI</t>
        </is>
      </c>
      <c r="C36" t="inlineStr">
        <is>
          <t>Amazon.com</t>
        </is>
      </c>
      <c r="D36" t="inlineStr">
        <is>
          <t>indeed</t>
        </is>
      </c>
      <c r="E36" t="inlineStr"/>
      <c r="F36" t="inlineStr"/>
      <c r="G36" t="inlineStr">
        <is>
          <t>San Francisco, CA, US</t>
        </is>
      </c>
      <c r="H36" s="2" t="n">
        <v>45964</v>
      </c>
      <c r="I3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in-7f8365d5e7b93877</t>
        </is>
      </c>
      <c r="B37" t="inlineStr">
        <is>
          <t>Applied Scientist, AWS Agentic AI</t>
        </is>
      </c>
      <c r="C37" t="inlineStr">
        <is>
          <t>Amazon Web Services</t>
        </is>
      </c>
      <c r="D37" t="inlineStr">
        <is>
          <t>indeed</t>
        </is>
      </c>
      <c r="E37" t="inlineStr"/>
      <c r="F37" t="inlineStr"/>
      <c r="G37" t="inlineStr">
        <is>
          <t>New York, NY, US</t>
        </is>
      </c>
      <c r="H37" s="2" t="n">
        <v>45962</v>
      </c>
      <c r="I3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in-60ac4c9b37c8864f</t>
        </is>
      </c>
      <c r="B38" t="inlineStr">
        <is>
          <t>Applied Scientist, AWS Agentic AI</t>
        </is>
      </c>
      <c r="C38" t="inlineStr">
        <is>
          <t>Amazon Web Services</t>
        </is>
      </c>
      <c r="D38" t="inlineStr">
        <is>
          <t>indeed</t>
        </is>
      </c>
      <c r="E38" t="inlineStr"/>
      <c r="F38" t="inlineStr"/>
      <c r="G38" t="inlineStr">
        <is>
          <t>Santa Clara, CA, US</t>
        </is>
      </c>
      <c r="H38" s="2" t="n">
        <v>45962</v>
      </c>
      <c r="I3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in-009e1ba453e12e77</t>
        </is>
      </c>
      <c r="B39" t="inlineStr">
        <is>
          <t>Applied Scientist, AWS Agentic AI</t>
        </is>
      </c>
      <c r="C39" t="inlineStr">
        <is>
          <t>Amazon Web Services</t>
        </is>
      </c>
      <c r="D39" t="inlineStr">
        <is>
          <t>indeed</t>
        </is>
      </c>
      <c r="E39" t="inlineStr"/>
      <c r="F39" t="inlineStr"/>
      <c r="G39" t="inlineStr">
        <is>
          <t>Seattle, WA, US</t>
        </is>
      </c>
      <c r="H39" s="2" t="n">
        <v>45962</v>
      </c>
      <c r="I3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in-fd503a5bcd05ba46</t>
        </is>
      </c>
      <c r="B40" t="inlineStr">
        <is>
          <t>Applied Scientist, Prime Video - Content Understanding, Localization &amp; Enrichment Team</t>
        </is>
      </c>
      <c r="C40" t="inlineStr">
        <is>
          <t>Amazon.com</t>
        </is>
      </c>
      <c r="D40" t="inlineStr">
        <is>
          <t>indeed</t>
        </is>
      </c>
      <c r="E40" t="inlineStr"/>
      <c r="F40" t="inlineStr"/>
      <c r="G40" t="inlineStr">
        <is>
          <t>San Francisco, CA, US</t>
        </is>
      </c>
      <c r="H40" s="2" t="n">
        <v>45943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41">
      <c r="A41" t="inlineStr">
        <is>
          <t>in-40ea40a3ef6f55e0</t>
        </is>
      </c>
      <c r="B41" t="inlineStr">
        <is>
          <t>Applied Scientist, Prime Video - Content Understanding, Localization &amp; Enrichment Team</t>
        </is>
      </c>
      <c r="C41" t="inlineStr">
        <is>
          <t>Amazon.com</t>
        </is>
      </c>
      <c r="D41" t="inlineStr">
        <is>
          <t>indeed</t>
        </is>
      </c>
      <c r="E41" t="inlineStr"/>
      <c r="F41" t="inlineStr"/>
      <c r="G41" t="inlineStr">
        <is>
          <t>Seattle, WA, US</t>
        </is>
      </c>
      <c r="H41" s="2" t="n">
        <v>45943</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42">
      <c r="A42" t="inlineStr">
        <is>
          <t>in-c2c682a1fe49f3c0</t>
        </is>
      </c>
      <c r="B42" t="inlineStr">
        <is>
          <t>Principal Applied Scientist, Advertiser Growth, Amazon Sponsored Products &amp; Brands</t>
        </is>
      </c>
      <c r="C42" t="inlineStr">
        <is>
          <t>Amazon.com</t>
        </is>
      </c>
      <c r="D42" t="inlineStr">
        <is>
          <t>indeed</t>
        </is>
      </c>
      <c r="E42" t="inlineStr"/>
      <c r="F42" t="inlineStr"/>
      <c r="G42" t="inlineStr">
        <is>
          <t>Palo Alto, CA, US</t>
        </is>
      </c>
      <c r="H42" s="2" t="n">
        <v>45942</v>
      </c>
      <c r="I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in-5a6e61863127921e</t>
        </is>
      </c>
      <c r="B43" t="inlineStr">
        <is>
          <t>Principal Applied Scientist, Advertiser Growth, Amazon Sponsored Products &amp; Brands</t>
        </is>
      </c>
      <c r="C43" t="inlineStr">
        <is>
          <t>Amazon.com</t>
        </is>
      </c>
      <c r="D43" t="inlineStr">
        <is>
          <t>indeed</t>
        </is>
      </c>
      <c r="E43" t="inlineStr"/>
      <c r="F43" t="inlineStr"/>
      <c r="G43" t="inlineStr">
        <is>
          <t>Seattle, WA, US</t>
        </is>
      </c>
      <c r="H43" s="2" t="n">
        <v>45942</v>
      </c>
      <c r="I4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in-236995b81fb5f16c</t>
        </is>
      </c>
      <c r="B44" t="inlineStr">
        <is>
          <t>Principal Applied Scientist, Advertiser Growth, Amazon Sponsored Products &amp; Brands</t>
        </is>
      </c>
      <c r="C44" t="inlineStr">
        <is>
          <t>Amazon.com</t>
        </is>
      </c>
      <c r="D44" t="inlineStr">
        <is>
          <t>indeed</t>
        </is>
      </c>
      <c r="E44" t="inlineStr"/>
      <c r="F44" t="inlineStr"/>
      <c r="G44" t="inlineStr">
        <is>
          <t>New York, NY, US</t>
        </is>
      </c>
      <c r="H44" s="2" t="n">
        <v>45942</v>
      </c>
      <c r="I4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in-c73352f18df2b276</t>
        </is>
      </c>
      <c r="B45" t="inlineStr">
        <is>
          <t>Sr. Applied Scientist, SPB Advertiser Guidance</t>
        </is>
      </c>
      <c r="C45" t="inlineStr">
        <is>
          <t>Amazon.com</t>
        </is>
      </c>
      <c r="D45" t="inlineStr">
        <is>
          <t>indeed</t>
        </is>
      </c>
      <c r="E45" t="inlineStr"/>
      <c r="F45" t="inlineStr"/>
      <c r="G45" t="inlineStr">
        <is>
          <t>Palo Alto, CA, US</t>
        </is>
      </c>
      <c r="H45" s="2" t="n">
        <v>45939</v>
      </c>
      <c r="I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in-ce1234e0033d1462</t>
        </is>
      </c>
      <c r="B46" t="inlineStr">
        <is>
          <t>Applied Scientist</t>
        </is>
      </c>
      <c r="C46" t="inlineStr">
        <is>
          <t>Amazon.com</t>
        </is>
      </c>
      <c r="D46" t="inlineStr">
        <is>
          <t>indeed</t>
        </is>
      </c>
      <c r="E46" t="inlineStr"/>
      <c r="F46" t="inlineStr"/>
      <c r="G46" t="inlineStr">
        <is>
          <t>New York, NY, US</t>
        </is>
      </c>
      <c r="H46" s="2" t="n">
        <v>45939</v>
      </c>
      <c r="I4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in-a0f0bf4d61d772e5</t>
        </is>
      </c>
      <c r="B47" t="inlineStr">
        <is>
          <t>Applied Scientist</t>
        </is>
      </c>
      <c r="C47" t="inlineStr">
        <is>
          <t>Amazon.com</t>
        </is>
      </c>
      <c r="D47" t="inlineStr">
        <is>
          <t>indeed</t>
        </is>
      </c>
      <c r="E47" t="inlineStr"/>
      <c r="F47" t="inlineStr"/>
      <c r="G47" t="inlineStr">
        <is>
          <t>Seattle, WA, US</t>
        </is>
      </c>
      <c r="H47" s="2" t="n">
        <v>45939</v>
      </c>
      <c r="I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in-5519adadcfe94d0e</t>
        </is>
      </c>
      <c r="B48" t="inlineStr">
        <is>
          <t>Sr. Applied Scientist, SPB Advertiser Guidance</t>
        </is>
      </c>
      <c r="C48" t="inlineStr">
        <is>
          <t>Amazon.com</t>
        </is>
      </c>
      <c r="D48" t="inlineStr">
        <is>
          <t>indeed</t>
        </is>
      </c>
      <c r="E48" t="inlineStr"/>
      <c r="F48" t="inlineStr"/>
      <c r="G48" t="inlineStr">
        <is>
          <t>Seattle, WA, US</t>
        </is>
      </c>
      <c r="H48" s="2" t="n">
        <v>45939</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in-560c8ac5cbefcf2d</t>
        </is>
      </c>
      <c r="B49" t="inlineStr">
        <is>
          <t>Applied Scientist</t>
        </is>
      </c>
      <c r="C49" t="inlineStr">
        <is>
          <t>Amazon.com</t>
        </is>
      </c>
      <c r="D49" t="inlineStr">
        <is>
          <t>indeed</t>
        </is>
      </c>
      <c r="E49" t="inlineStr"/>
      <c r="F49" t="inlineStr"/>
      <c r="G49" t="inlineStr">
        <is>
          <t>Palo Alto, CA, US</t>
        </is>
      </c>
      <c r="H49" s="2" t="n">
        <v>45939</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in-2a8b96be1762312d</t>
        </is>
      </c>
      <c r="B50" t="inlineStr">
        <is>
          <t>Sr. Applied Scientist, SPB Advertiser Guidance</t>
        </is>
      </c>
      <c r="C50" t="inlineStr">
        <is>
          <t>Amazon.com</t>
        </is>
      </c>
      <c r="D50" t="inlineStr">
        <is>
          <t>indeed</t>
        </is>
      </c>
      <c r="E50" t="inlineStr"/>
      <c r="F50" t="inlineStr"/>
      <c r="G50" t="inlineStr">
        <is>
          <t>New York, NY, US</t>
        </is>
      </c>
      <c r="H50" s="2" t="n">
        <v>45939</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in-60318bca355fe8b6</t>
        </is>
      </c>
      <c r="B51" t="inlineStr">
        <is>
          <t>Applied Scientist II, Prime Video - Personalization and Discovery Science, Personalization and Discovery Science</t>
        </is>
      </c>
      <c r="C51" t="inlineStr">
        <is>
          <t>Amazon.com</t>
        </is>
      </c>
      <c r="D51" t="inlineStr">
        <is>
          <t>indeed</t>
        </is>
      </c>
      <c r="E51" t="inlineStr"/>
      <c r="F51" t="inlineStr"/>
      <c r="G51" t="inlineStr">
        <is>
          <t>Sunnyvale, CA, US</t>
        </is>
      </c>
      <c r="H51" s="2" t="n">
        <v>45930</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in-358e106cf09c6336</t>
        </is>
      </c>
      <c r="B52" t="inlineStr">
        <is>
          <t>Applied Scientist II, Prime Video - Personalization and Discovery Science, Personalization and Discovery Science</t>
        </is>
      </c>
      <c r="C52" t="inlineStr">
        <is>
          <t>Amazon.com</t>
        </is>
      </c>
      <c r="D52" t="inlineStr">
        <is>
          <t>indeed</t>
        </is>
      </c>
      <c r="E52" t="inlineStr"/>
      <c r="F52" t="inlineStr"/>
      <c r="G52" t="inlineStr">
        <is>
          <t>Seattle, WA, US</t>
        </is>
      </c>
      <c r="H52" s="2" t="n">
        <v>45930</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in-fa82c084b778ced2</t>
        </is>
      </c>
      <c r="B53" t="inlineStr">
        <is>
          <t>Applied Scientist II, Prime Video - Personalization and Discovery Science, Personalization and Discovery Science</t>
        </is>
      </c>
      <c r="C53" t="inlineStr">
        <is>
          <t>Amazon.com</t>
        </is>
      </c>
      <c r="D53" t="inlineStr">
        <is>
          <t>indeed</t>
        </is>
      </c>
      <c r="E53" t="inlineStr"/>
      <c r="F53" t="inlineStr"/>
      <c r="G53" t="inlineStr">
        <is>
          <t>New York, NY, US</t>
        </is>
      </c>
      <c r="H53" s="2" t="n">
        <v>45930</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in-d8fc233cb3996a65</t>
        </is>
      </c>
      <c r="B54" t="inlineStr">
        <is>
          <t>Applied Scientist, Workplace Health &amp; Safety</t>
        </is>
      </c>
      <c r="C54" t="inlineStr">
        <is>
          <t>Amazon.com</t>
        </is>
      </c>
      <c r="D54" t="inlineStr">
        <is>
          <t>indeed</t>
        </is>
      </c>
      <c r="E54" t="inlineStr"/>
      <c r="F54" t="inlineStr"/>
      <c r="G54" t="inlineStr">
        <is>
          <t>Nashville, TN, US</t>
        </is>
      </c>
      <c r="H54" s="2" t="n">
        <v>45917</v>
      </c>
      <c r="I5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in-7015b8947d742bee</t>
        </is>
      </c>
      <c r="B55" t="inlineStr">
        <is>
          <t>Applied Scientist, Workplace Health &amp; Safety</t>
        </is>
      </c>
      <c r="C55" t="inlineStr">
        <is>
          <t>Amazon.com</t>
        </is>
      </c>
      <c r="D55" t="inlineStr">
        <is>
          <t>indeed</t>
        </is>
      </c>
      <c r="E55" t="inlineStr"/>
      <c r="F55" t="inlineStr"/>
      <c r="G55" t="inlineStr">
        <is>
          <t>Bellevue, WA, US</t>
        </is>
      </c>
      <c r="H55" s="2" t="n">
        <v>45917</v>
      </c>
      <c r="I5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in-f554bc30db8e4cbf</t>
        </is>
      </c>
      <c r="B56" t="inlineStr">
        <is>
          <t>Applied Scientist II, Prime Video - Personalization and Discovery Science</t>
        </is>
      </c>
      <c r="C56" t="inlineStr">
        <is>
          <t>Amazon.com</t>
        </is>
      </c>
      <c r="D56" t="inlineStr">
        <is>
          <t>indeed</t>
        </is>
      </c>
      <c r="E56" t="inlineStr"/>
      <c r="F56" t="inlineStr"/>
      <c r="G56" t="inlineStr">
        <is>
          <t>New York, NY, US</t>
        </is>
      </c>
      <c r="H56" s="2" t="n">
        <v>45881</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in-4a06dd0156156279</t>
        </is>
      </c>
      <c r="B57" t="inlineStr">
        <is>
          <t>Applied Scientist II, Prime Video - Personalization and Discovery Science</t>
        </is>
      </c>
      <c r="C57" t="inlineStr">
        <is>
          <t>Amazon.com</t>
        </is>
      </c>
      <c r="D57" t="inlineStr">
        <is>
          <t>indeed</t>
        </is>
      </c>
      <c r="E57" t="inlineStr"/>
      <c r="F57" t="inlineStr"/>
      <c r="G57" t="inlineStr">
        <is>
          <t>Seattle, WA, US</t>
        </is>
      </c>
      <c r="H57" s="2" t="n">
        <v>45881</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in-2574a1a5153e2d17</t>
        </is>
      </c>
      <c r="B58" t="inlineStr">
        <is>
          <t>Applied Scientist II, Prime Video - Personalization and Discovery Science</t>
        </is>
      </c>
      <c r="C58" t="inlineStr">
        <is>
          <t>Amazon.com</t>
        </is>
      </c>
      <c r="D58" t="inlineStr">
        <is>
          <t>indeed</t>
        </is>
      </c>
      <c r="E58" t="inlineStr"/>
      <c r="F58" t="inlineStr"/>
      <c r="G58" t="inlineStr">
        <is>
          <t>Sunnyvale, CA, US</t>
        </is>
      </c>
      <c r="H58" s="2" t="n">
        <v>45881</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in-e94c06972d3b7e45</t>
        </is>
      </c>
      <c r="B59" t="inlineStr">
        <is>
          <t>Sr. Applied Scientist, Prime Video - Personalization and Discovery Science</t>
        </is>
      </c>
      <c r="C59" t="inlineStr">
        <is>
          <t>Amazon.com</t>
        </is>
      </c>
      <c r="D59" t="inlineStr">
        <is>
          <t>indeed</t>
        </is>
      </c>
      <c r="E59" t="inlineStr"/>
      <c r="F59" t="inlineStr"/>
      <c r="G59" t="inlineStr">
        <is>
          <t>Seattle, WA, US</t>
        </is>
      </c>
      <c r="H59" s="2" t="n">
        <v>45881</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in-3be26ff9e07689f1</t>
        </is>
      </c>
      <c r="B60" t="inlineStr">
        <is>
          <t>Sr. Applied Scientist, Prime Video - Personalization and Discovery Science</t>
        </is>
      </c>
      <c r="C60" t="inlineStr">
        <is>
          <t>Amazon.com</t>
        </is>
      </c>
      <c r="D60" t="inlineStr">
        <is>
          <t>indeed</t>
        </is>
      </c>
      <c r="E60" t="inlineStr"/>
      <c r="F60" t="inlineStr"/>
      <c r="G60" t="inlineStr">
        <is>
          <t>New York, NY, US</t>
        </is>
      </c>
      <c r="H60" s="2" t="n">
        <v>45881</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in-c6e115e51a0e67ad</t>
        </is>
      </c>
      <c r="B61" t="inlineStr">
        <is>
          <t>Sr. Applied Scientist, Prime Video - Personalization and Discovery Science</t>
        </is>
      </c>
      <c r="C61" t="inlineStr">
        <is>
          <t>Amazon.com</t>
        </is>
      </c>
      <c r="D61" t="inlineStr">
        <is>
          <t>indeed</t>
        </is>
      </c>
      <c r="E61" t="inlineStr"/>
      <c r="F61" t="inlineStr"/>
      <c r="G61" t="inlineStr">
        <is>
          <t>Sunnyvale, CA, US</t>
        </is>
      </c>
      <c r="H61" s="2" t="n">
        <v>45881</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in-2f4b516caa1418f2</t>
        </is>
      </c>
      <c r="B62" t="inlineStr">
        <is>
          <t>Applied Scientist III, StoreGen</t>
        </is>
      </c>
      <c r="C62" t="inlineStr">
        <is>
          <t>Amazon.com</t>
        </is>
      </c>
      <c r="D62" t="inlineStr">
        <is>
          <t>indeed</t>
        </is>
      </c>
      <c r="E62" t="inlineStr"/>
      <c r="F62" t="inlineStr"/>
      <c r="G62" t="inlineStr">
        <is>
          <t>Sunnyvale, CA, US</t>
        </is>
      </c>
      <c r="H62" s="2" t="n">
        <v>45868</v>
      </c>
      <c r="I6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in-514050534d5aaffa</t>
        </is>
      </c>
      <c r="B63" t="inlineStr">
        <is>
          <t>Applied Scientist III, StoreGen</t>
        </is>
      </c>
      <c r="C63" t="inlineStr">
        <is>
          <t>Amazon.com</t>
        </is>
      </c>
      <c r="D63" t="inlineStr">
        <is>
          <t>indeed</t>
        </is>
      </c>
      <c r="E63" t="inlineStr"/>
      <c r="F63" t="inlineStr"/>
      <c r="G63" t="inlineStr">
        <is>
          <t>Seattle, WA, US</t>
        </is>
      </c>
      <c r="H63" s="2" t="n">
        <v>45868</v>
      </c>
      <c r="I6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in-77f2e3a928a269aa</t>
        </is>
      </c>
      <c r="B64" t="inlineStr">
        <is>
          <t>Sr. Applied Scientist, Amazon Advertising</t>
        </is>
      </c>
      <c r="C64" t="inlineStr">
        <is>
          <t>Amazon.com</t>
        </is>
      </c>
      <c r="D64" t="inlineStr">
        <is>
          <t>indeed</t>
        </is>
      </c>
      <c r="E64" t="inlineStr"/>
      <c r="F64" t="inlineStr"/>
      <c r="G64" t="inlineStr">
        <is>
          <t>Los Angeles, CA, US</t>
        </is>
      </c>
      <c r="H64" s="2" t="n">
        <v>45851</v>
      </c>
      <c r="I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in-2b41ef1e362a8480</t>
        </is>
      </c>
      <c r="B65" t="inlineStr">
        <is>
          <t>Sr. Applied Scientist, Amazon Advertising</t>
        </is>
      </c>
      <c r="C65" t="inlineStr">
        <is>
          <t>Amazon.com</t>
        </is>
      </c>
      <c r="D65" t="inlineStr">
        <is>
          <t>indeed</t>
        </is>
      </c>
      <c r="E65" t="inlineStr"/>
      <c r="F65" t="inlineStr"/>
      <c r="G65" t="inlineStr">
        <is>
          <t>Palo Alto, CA, US</t>
        </is>
      </c>
      <c r="H65" s="2" t="n">
        <v>45851</v>
      </c>
      <c r="I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in-267be3074c065eeb</t>
        </is>
      </c>
      <c r="B66" t="inlineStr">
        <is>
          <t>Sr. Applied Scientist, Amazon Advertising</t>
        </is>
      </c>
      <c r="C66" t="inlineStr">
        <is>
          <t>Amazon.com</t>
        </is>
      </c>
      <c r="D66" t="inlineStr">
        <is>
          <t>indeed</t>
        </is>
      </c>
      <c r="E66" t="inlineStr"/>
      <c r="F66" t="inlineStr"/>
      <c r="G66" t="inlineStr">
        <is>
          <t>Arlington, VA, US</t>
        </is>
      </c>
      <c r="H66" s="2" t="n">
        <v>45851</v>
      </c>
      <c r="I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in-5fabd78d7a3dee39</t>
        </is>
      </c>
      <c r="B67" t="inlineStr">
        <is>
          <t>Sr. Applied Scientist, Amazon Advertising</t>
        </is>
      </c>
      <c r="C67" t="inlineStr">
        <is>
          <t>Amazon.com</t>
        </is>
      </c>
      <c r="D67" t="inlineStr">
        <is>
          <t>indeed</t>
        </is>
      </c>
      <c r="E67" t="inlineStr"/>
      <c r="F67" t="inlineStr"/>
      <c r="G67" t="inlineStr">
        <is>
          <t>Simi Valley, CA, US</t>
        </is>
      </c>
      <c r="H67" s="2" t="n">
        <v>45851</v>
      </c>
      <c r="I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in-456f98c282b96647</t>
        </is>
      </c>
      <c r="B68" t="inlineStr">
        <is>
          <t>Sr. Applied Scientist, Amazon Advertising</t>
        </is>
      </c>
      <c r="C68" t="inlineStr">
        <is>
          <t>Amazon.com</t>
        </is>
      </c>
      <c r="D68" t="inlineStr">
        <is>
          <t>indeed</t>
        </is>
      </c>
      <c r="E68" t="inlineStr"/>
      <c r="F68" t="inlineStr"/>
      <c r="G68" t="inlineStr">
        <is>
          <t>West Hollywood, CA, US</t>
        </is>
      </c>
      <c r="H68" s="2" t="n">
        <v>45851</v>
      </c>
      <c r="I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in-c1a73a9e2fe00165</t>
        </is>
      </c>
      <c r="B69" t="inlineStr">
        <is>
          <t>Sr. Applied Scientist, Amazon Advertising</t>
        </is>
      </c>
      <c r="C69" t="inlineStr">
        <is>
          <t>Amazon.com</t>
        </is>
      </c>
      <c r="D69" t="inlineStr">
        <is>
          <t>indeed</t>
        </is>
      </c>
      <c r="E69" t="inlineStr"/>
      <c r="F69" t="inlineStr"/>
      <c r="G69" t="inlineStr">
        <is>
          <t>New York, NY, US</t>
        </is>
      </c>
      <c r="H69" s="2" t="n">
        <v>45851</v>
      </c>
      <c r="I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in-3ff63db005eec1b0</t>
        </is>
      </c>
      <c r="B70" t="inlineStr">
        <is>
          <t>Sr. Applied Scientist, Amazon Advertising</t>
        </is>
      </c>
      <c r="C70" t="inlineStr">
        <is>
          <t>Amazon.com</t>
        </is>
      </c>
      <c r="D70" t="inlineStr">
        <is>
          <t>indeed</t>
        </is>
      </c>
      <c r="E70" t="inlineStr"/>
      <c r="F70" t="inlineStr"/>
      <c r="G70" t="inlineStr">
        <is>
          <t>Seattle, WA, US</t>
        </is>
      </c>
      <c r="H70" s="2" t="n">
        <v>45851</v>
      </c>
      <c r="I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in-1780143f458b7d10</t>
        </is>
      </c>
      <c r="B71" t="inlineStr">
        <is>
          <t>Sr. Applied Scientist, Amazon Advertising</t>
        </is>
      </c>
      <c r="C71" t="inlineStr">
        <is>
          <t>Amazon.com</t>
        </is>
      </c>
      <c r="D71" t="inlineStr">
        <is>
          <t>indeed</t>
        </is>
      </c>
      <c r="E71" t="inlineStr"/>
      <c r="F71" t="inlineStr"/>
      <c r="G71" t="inlineStr">
        <is>
          <t>Austin, TX, US</t>
        </is>
      </c>
      <c r="H71" s="2" t="n">
        <v>45851</v>
      </c>
      <c r="I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in-6d3443020d77f796</t>
        </is>
      </c>
      <c r="B72" t="inlineStr">
        <is>
          <t>Applied Scientist, Prime Video - Personalization and Discovery Science</t>
        </is>
      </c>
      <c r="C72" t="inlineStr">
        <is>
          <t>Amazon.com</t>
        </is>
      </c>
      <c r="D72" t="inlineStr">
        <is>
          <t>indeed</t>
        </is>
      </c>
      <c r="E72" t="inlineStr"/>
      <c r="F72" t="inlineStr"/>
      <c r="G72" t="inlineStr">
        <is>
          <t>Seattle, WA, US</t>
        </is>
      </c>
      <c r="H72" s="2" t="n">
        <v>45845</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in-cebeedab4b49b139</t>
        </is>
      </c>
      <c r="B73" t="inlineStr">
        <is>
          <t>Applied Scientist, Prime Video - Personalization and Discovery Science</t>
        </is>
      </c>
      <c r="C73" t="inlineStr">
        <is>
          <t>Amazon.com</t>
        </is>
      </c>
      <c r="D73" t="inlineStr">
        <is>
          <t>indeed</t>
        </is>
      </c>
      <c r="E73" t="inlineStr"/>
      <c r="F73" t="inlineStr"/>
      <c r="G73" t="inlineStr">
        <is>
          <t>New York, NY, US</t>
        </is>
      </c>
      <c r="H73" s="2" t="n">
        <v>45845</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in-efcf89f860021e7a</t>
        </is>
      </c>
      <c r="B74" t="inlineStr">
        <is>
          <t>Applied Scientist, Prime Video - Personalization and Discovery Science</t>
        </is>
      </c>
      <c r="C74" t="inlineStr">
        <is>
          <t>Amazon.com</t>
        </is>
      </c>
      <c r="D74" t="inlineStr">
        <is>
          <t>indeed</t>
        </is>
      </c>
      <c r="E74" t="inlineStr"/>
      <c r="F74" t="inlineStr"/>
      <c r="G74" t="inlineStr">
        <is>
          <t>Sunnyvale, CA, US</t>
        </is>
      </c>
      <c r="H74" s="2" t="n">
        <v>45845</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in-3d2984058225c83d</t>
        </is>
      </c>
      <c r="B75" t="inlineStr">
        <is>
          <t>Sr. Applied Scientist, Sales AI</t>
        </is>
      </c>
      <c r="C75" t="inlineStr">
        <is>
          <t>Amazon.com</t>
        </is>
      </c>
      <c r="D75" t="inlineStr">
        <is>
          <t>indeed</t>
        </is>
      </c>
      <c r="E75" t="inlineStr"/>
      <c r="F75" t="inlineStr"/>
      <c r="G75" t="inlineStr">
        <is>
          <t>New York, NY, US</t>
        </is>
      </c>
      <c r="H75" s="2" t="n">
        <v>45830</v>
      </c>
      <c r="I7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in-e8329a9b3288d0cb</t>
        </is>
      </c>
      <c r="B76" t="inlineStr">
        <is>
          <t>Sr. Applied Scientist, Sales AI</t>
        </is>
      </c>
      <c r="C76" t="inlineStr">
        <is>
          <t>Amazon.com</t>
        </is>
      </c>
      <c r="D76" t="inlineStr">
        <is>
          <t>indeed</t>
        </is>
      </c>
      <c r="E76" t="inlineStr"/>
      <c r="F76" t="inlineStr"/>
      <c r="G76" t="inlineStr">
        <is>
          <t>Seattle, WA, US</t>
        </is>
      </c>
      <c r="H76" s="2" t="n">
        <v>45830</v>
      </c>
      <c r="I7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in-e19d077ac364541b</t>
        </is>
      </c>
      <c r="B77" t="inlineStr">
        <is>
          <t>Sr. Applied Scientist, Sales AI</t>
        </is>
      </c>
      <c r="C77" t="inlineStr">
        <is>
          <t>Amazon.com</t>
        </is>
      </c>
      <c r="D77" t="inlineStr">
        <is>
          <t>indeed</t>
        </is>
      </c>
      <c r="E77" t="inlineStr"/>
      <c r="F77" t="inlineStr"/>
      <c r="G77" t="inlineStr">
        <is>
          <t>Sunnyvale, CA, US</t>
        </is>
      </c>
      <c r="H77" s="2" t="n">
        <v>45830</v>
      </c>
      <c r="I7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in-b073938b0e7ad2de</t>
        </is>
      </c>
      <c r="B78" t="inlineStr">
        <is>
          <t>Principal Applied Scientist, Delivery Foundation Model</t>
        </is>
      </c>
      <c r="C78" t="inlineStr">
        <is>
          <t>Amazon.com</t>
        </is>
      </c>
      <c r="D78" t="inlineStr">
        <is>
          <t>indeed</t>
        </is>
      </c>
      <c r="E78" t="inlineStr"/>
      <c r="F78" t="inlineStr"/>
      <c r="G78" t="inlineStr">
        <is>
          <t>Bellevue, WA, US</t>
        </is>
      </c>
      <c r="H78" s="2" t="n">
        <v>45810</v>
      </c>
      <c r="I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in-f8d21ad2102e7088</t>
        </is>
      </c>
      <c r="B79" t="inlineStr">
        <is>
          <t>Principal Applied Scientist, Delivery Foundation Model</t>
        </is>
      </c>
      <c r="C79" t="inlineStr">
        <is>
          <t>Amazon.com</t>
        </is>
      </c>
      <c r="D79" t="inlineStr">
        <is>
          <t>indeed</t>
        </is>
      </c>
      <c r="E79" t="inlineStr"/>
      <c r="F79" t="inlineStr"/>
      <c r="G79" t="inlineStr">
        <is>
          <t>Austin, TX, US</t>
        </is>
      </c>
      <c r="H79" s="2" t="n">
        <v>45810</v>
      </c>
      <c r="I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in-383a3d08982f6ee2</t>
        </is>
      </c>
      <c r="B80" t="inlineStr">
        <is>
          <t>Principal Applied Scientist, Delivery Foundation Model</t>
        </is>
      </c>
      <c r="C80" t="inlineStr">
        <is>
          <t>Amazon.com</t>
        </is>
      </c>
      <c r="D80" t="inlineStr">
        <is>
          <t>indeed</t>
        </is>
      </c>
      <c r="E80" t="inlineStr"/>
      <c r="F80" t="inlineStr"/>
      <c r="G80" t="inlineStr">
        <is>
          <t>Santa Clara, CA, US</t>
        </is>
      </c>
      <c r="H80" s="2" t="n">
        <v>45810</v>
      </c>
      <c r="I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in-395329229608e8ef</t>
        </is>
      </c>
      <c r="B81" t="inlineStr">
        <is>
          <t>Principal Applied Scientist, Delivery Foundation Model</t>
        </is>
      </c>
      <c r="C81" t="inlineStr">
        <is>
          <t>Amazon.com</t>
        </is>
      </c>
      <c r="D81" t="inlineStr">
        <is>
          <t>indeed</t>
        </is>
      </c>
      <c r="E81" t="inlineStr"/>
      <c r="F81" t="inlineStr"/>
      <c r="G81" t="inlineStr">
        <is>
          <t>New York, NY, US</t>
        </is>
      </c>
      <c r="H81" s="2" t="n">
        <v>45810</v>
      </c>
      <c r="I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in-c14d5b5c751a3a7b</t>
        </is>
      </c>
      <c r="B82" t="inlineStr">
        <is>
          <t>Senior Applied Scientist, Delivery Foundation Model</t>
        </is>
      </c>
      <c r="C82" t="inlineStr">
        <is>
          <t>Amazon.com</t>
        </is>
      </c>
      <c r="D82" t="inlineStr">
        <is>
          <t>indeed</t>
        </is>
      </c>
      <c r="E82" t="inlineStr"/>
      <c r="F82" t="inlineStr"/>
      <c r="G82" t="inlineStr">
        <is>
          <t>New York, NY, US</t>
        </is>
      </c>
      <c r="H82" s="2" t="n">
        <v>45806</v>
      </c>
      <c r="I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in-2534cfbc0e22e259</t>
        </is>
      </c>
      <c r="B83" t="inlineStr">
        <is>
          <t>Senior Applied Scientist, Delivery Foundation Model</t>
        </is>
      </c>
      <c r="C83" t="inlineStr">
        <is>
          <t>Amazon.com</t>
        </is>
      </c>
      <c r="D83" t="inlineStr">
        <is>
          <t>indeed</t>
        </is>
      </c>
      <c r="E83" t="inlineStr"/>
      <c r="F83" t="inlineStr"/>
      <c r="G83" t="inlineStr">
        <is>
          <t>Santa Clara, CA, US</t>
        </is>
      </c>
      <c r="H83" s="2" t="n">
        <v>45806</v>
      </c>
      <c r="I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in-8af5fd634fbd87fe</t>
        </is>
      </c>
      <c r="B84" t="inlineStr">
        <is>
          <t>Senior Applied Scientist, Delivery Foundation Model</t>
        </is>
      </c>
      <c r="C84" t="inlineStr">
        <is>
          <t>Amazon.com</t>
        </is>
      </c>
      <c r="D84" t="inlineStr">
        <is>
          <t>indeed</t>
        </is>
      </c>
      <c r="E84" t="inlineStr"/>
      <c r="F84" t="inlineStr"/>
      <c r="G84" t="inlineStr">
        <is>
          <t>Bellevue, WA, US</t>
        </is>
      </c>
      <c r="H84" s="2" t="n">
        <v>45806</v>
      </c>
      <c r="I8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in-eb356660754b5277</t>
        </is>
      </c>
      <c r="B85" t="inlineStr">
        <is>
          <t>Principal Applied Scientist, Delivery Foundation Model</t>
        </is>
      </c>
      <c r="C85" t="inlineStr">
        <is>
          <t>Amazon.com</t>
        </is>
      </c>
      <c r="D85" t="inlineStr">
        <is>
          <t>indeed</t>
        </is>
      </c>
      <c r="E85" t="inlineStr"/>
      <c r="F85" t="inlineStr"/>
      <c r="G85" t="inlineStr">
        <is>
          <t>Bellevue, WA, US</t>
        </is>
      </c>
      <c r="H85" s="2" t="n">
        <v>45757</v>
      </c>
      <c r="I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in-52059d6ad9db72b9</t>
        </is>
      </c>
      <c r="B86" t="inlineStr">
        <is>
          <t>Principal Applied Scientist, Delivery Foundation Model</t>
        </is>
      </c>
      <c r="C86" t="inlineStr">
        <is>
          <t>Amazon.com</t>
        </is>
      </c>
      <c r="D86" t="inlineStr">
        <is>
          <t>indeed</t>
        </is>
      </c>
      <c r="E86" t="inlineStr"/>
      <c r="F86" t="inlineStr"/>
      <c r="G86" t="inlineStr">
        <is>
          <t>New York, NY, US</t>
        </is>
      </c>
      <c r="H86" s="2" t="n">
        <v>45757</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in-3b3c345349e95320</t>
        </is>
      </c>
      <c r="B87" t="inlineStr">
        <is>
          <t>Principal Applied Scientist, Delivery Foundation Model</t>
        </is>
      </c>
      <c r="C87" t="inlineStr">
        <is>
          <t>Amazon.com</t>
        </is>
      </c>
      <c r="D87" t="inlineStr">
        <is>
          <t>indeed</t>
        </is>
      </c>
      <c r="E87" t="inlineStr"/>
      <c r="F87" t="inlineStr"/>
      <c r="G87" t="inlineStr">
        <is>
          <t>Santa Clara, CA, US</t>
        </is>
      </c>
      <c r="H87" s="2" t="n">
        <v>45757</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in-e45a75d2657ab097</t>
        </is>
      </c>
      <c r="B88" t="inlineStr">
        <is>
          <t>Principal Applied Scientist, FAR (Frontier AI &amp; Robotics)</t>
        </is>
      </c>
      <c r="C88" t="inlineStr">
        <is>
          <t>Amazon.com</t>
        </is>
      </c>
      <c r="D88" t="inlineStr">
        <is>
          <t>indeed</t>
        </is>
      </c>
      <c r="E88" t="inlineStr"/>
      <c r="F88" t="inlineStr"/>
      <c r="G88" t="inlineStr">
        <is>
          <t>Seattle, WA, US</t>
        </is>
      </c>
      <c r="H88" s="2" t="n">
        <v>45740</v>
      </c>
      <c r="I8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in-f0095af02995e1ca</t>
        </is>
      </c>
      <c r="B89" t="inlineStr">
        <is>
          <t>Principal Applied Scientist, FAR (Frontier AI &amp; Robotics)</t>
        </is>
      </c>
      <c r="C89" t="inlineStr">
        <is>
          <t>Amazon.com</t>
        </is>
      </c>
      <c r="D89" t="inlineStr">
        <is>
          <t>indeed</t>
        </is>
      </c>
      <c r="E89" t="inlineStr"/>
      <c r="F89" t="inlineStr"/>
      <c r="G89" t="inlineStr">
        <is>
          <t>San Francisco, CA, US</t>
        </is>
      </c>
      <c r="H89" s="2" t="n">
        <v>45740</v>
      </c>
      <c r="I8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in-4927435d8f318b9e</t>
        </is>
      </c>
      <c r="B90" t="inlineStr">
        <is>
          <t>AI Engineer</t>
        </is>
      </c>
      <c r="C90" t="inlineStr">
        <is>
          <t>Reign mark consulting</t>
        </is>
      </c>
      <c r="D90" t="inlineStr">
        <is>
          <t>indeed</t>
        </is>
      </c>
      <c r="E90" t="inlineStr"/>
      <c r="F90" t="inlineStr"/>
      <c r="G90" t="inlineStr">
        <is>
          <t>Remote, US</t>
        </is>
      </c>
      <c r="H90" s="2" t="n">
        <v>46062</v>
      </c>
      <c r="I90" t="inlineStr">
        <is>
          <t>**Sr. AI Engineer 15\+ Years of experience**
**100% Remote (prefer east coast candidates)**
**GC/USC**
**Mission:** Build and deploy AI agents that automate marketing workflows and accelerate insight generation while maintaining data security and reliability.  
**Responsibilities:**
* Build agentic workflows integrated with martech \+ data stack
* Implement retrieval from docs, dashboards, and campaign data
* Create evaluation harnesses, monitoring, and guardrails
* Partner with Delivery, Martech and VP, Marketing to ship weekly improvements
**Requirements:** Python, SQL, APIs, LLM tool\-calling, deployment experience; strong communication; evidence of shipped automation; Co\-pilot experience a plus
Please share resume to; arun.kumar@reignmarkcs.com
Job Type: Contract
Pay: $94,071\.96 \- $113,290\.97 per year
Work Location: Remote</t>
        </is>
      </c>
    </row>
    <row r="91">
      <c r="A91" t="inlineStr">
        <is>
          <t>in-90c88bccfc82506a</t>
        </is>
      </c>
      <c r="B91" t="inlineStr">
        <is>
          <t>GCP AI Engineer</t>
        </is>
      </c>
      <c r="C91" t="inlineStr">
        <is>
          <t>CG-VAK Softwares USA Inc</t>
        </is>
      </c>
      <c r="D91" t="inlineStr">
        <is>
          <t>indeed</t>
        </is>
      </c>
      <c r="E91" t="inlineStr"/>
      <c r="F91" t="inlineStr"/>
      <c r="G91" t="inlineStr">
        <is>
          <t>Concord, NH, US</t>
        </is>
      </c>
      <c r="H91" s="2" t="n">
        <v>46062</v>
      </c>
      <c r="I91" t="inlineStr">
        <is>
          <t>FULLTIME ONLY. NO C2C NO C2H
GCP experience mandatory
Required Experience
* 5\+ years in enterprise architecture, with 1\+ years in GCP AI/ML and integration
* Proficiency in Python (JavaScript a plus) for development and API integration.
* Hands\-on expertise with Vertex AI, Dialogflow CX, Vertex AI Search and Conversation, RAG, Vector databases, and Vertex AI Model Garden.
* Strong knowledge of model development, tuning, deployment, evaluation, and governance frameworks on GCP.
* Experience and programming skills with data platforms and distributed data processing tools.
* Strong understanding of security, compliance, and responsible AI principles in Google Cloud.
* Familiarity with Kubernetes/GKE, CI/CD for AI/ML, and MLOps best practices using Vertex AI Pipelines, Cloud Build, and Artifact Registry, Cloud Logging, Cloud Monitoring, and Vertex AI Model Monitoring for observability and drift detection.
* Excellent communication and customer interfacing skills.
* GCP Professional Machine Learning Engineer certification preferred (will also consider Professional Cloud Architect willing to go for ML Engineer certification)
**Job Overview**  
We are seeking a highly skilled GCP AI Engineer to join our innovative team. The ideal candidate will be responsible for developing, deploying, and optimizing machine learning models and AI solutions leveraging Google Cloud Platform (GCP). This role involves working with large datasets, implementing advanced analytics, and integrating AI models into production environments. The position offers an exciting opportunity to contribute to cutting\-edge projects in AI and big data analytics, utilizing a broad spectrum of technologies including TensorFlow, Hadoop, Spark, and more.
**Duties**
* Design and develop scalable machine learning models using frameworks such as TensorFlow and other machine learning libraries.
* Implement data pipelines and ETL processes utilizing Talend, Bash (Unix shell), and SQL to prepare large datasets for analysis.
* Deploy AI models into production environments with a focus on model training, optimization, and deployment strategies.
* Conduct data mining and natural language processing tasks to extract insights from unstructured data sources.
* Collaborate with cross\-functional teams to integrate AI solutions with existing systems using Java, Python, R, SAS, and VBA.
* Utilize big data technologies such as Hadoop, Spark, and Looker for data analysis and visualization.
* Design efficient database schemas and manage database design tasks to support analytical applications.
* Apply unsupervised learning techniques for clustering, anomaly detection, or feature extraction in complex datasets.
* Engage in research related to quantum engineering applications in AI where applicable.
* Maintain documentation of models, algorithms, and workflows adhering to best practices in model governance.
**Experience**
* Proven experience with cloud\-based AI/ML development on Google Cloud Platform (GCP) or similar cloud services such as AWS.
* Strong background in machine learning frameworks including TensorFlow, Spark MLlib, or equivalent.
* Hands\-on experience with SQL databases, ETL tools like Talend or SAS Data Management Suite.
* Proficiency in programming languages such as Python, Java, R, C, Bash (Unix shell), VBA.
* Familiarity with big data ecosystems including Hadoop and Hadoop\-related tools like Hive or Pig is highly desirable.
* Knowledge of natural language processing techniques and tools for text analysis projects.
* Experience with model training, deployment strategies, and model lifecycle management in production environments.
* Understanding of database design principles and data mining methodologies for extracting actionable insights from large datasets.
* Strong analytical skills combined with the ability to work on complex problems involving analytics and data science techniques. This position is ideal for professionals passionate about advancing AI technology through innovative solutions in a dynamic environment while leveraging extensive technical expertise across cloud platforms and big data tools.
Job Type: Full\-time
Pay: $80,000\.00 \- $90,000\.00 per year
Application Question(s):
* Can you work Fulltime, No C2C, No C2H.
Experience:
* Google Cloud Platform: 2 years (Required)
Ability to Relocate:
* Concord, NH 03301: Relocate before starting work (Required)
Work Location: In person</t>
        </is>
      </c>
    </row>
    <row r="92">
      <c r="A92" t="inlineStr">
        <is>
          <t>in-f42bdfeb84d95481</t>
        </is>
      </c>
      <c r="B92" t="inlineStr">
        <is>
          <t>Sr. Platform AI Engineer</t>
        </is>
      </c>
      <c r="C92" t="inlineStr">
        <is>
          <t>RMS IT SOLUTIONS INC</t>
        </is>
      </c>
      <c r="D92" t="inlineStr">
        <is>
          <t>indeed</t>
        </is>
      </c>
      <c r="E92" t="inlineStr"/>
      <c r="F92" t="inlineStr"/>
      <c r="G92" t="inlineStr">
        <is>
          <t>Houston, TX, US</t>
        </is>
      </c>
      <c r="H92" s="2" t="n">
        <v>46062</v>
      </c>
      <c r="I92" t="inlineStr">
        <is>
          <t>**Title: Sr. Platform AI Engineer**
**Location: Houston and Dallas, TX (Hybrid) (Local only)**
**Duration: 12\+ Months C2H**
**Video Interview**
**Role Overview** 
**AI Foundry is key here.**
What these AI Engineers are doing will be working on the AI Infrastructure platform and then will be assigned to Product service lines within client once they select which use cases they are going to move forward with in terms of ROI with implementing AI tools.
**Key Responsibilities**
**AI Platform Development:**
Define, implement, and standardize core components of the enterprise AI platform (AI Foundry).
Establish best practices, frameworks, and reference architectures for AI/ML application development.
**Application Engineering:**
Build initial applications on the platform (e.g., chatbots, copilots, AI\-enabled applications).
Prove out build capabilities that future dev teams will replicate and scale.
**Integration \&amp; Security:**
Work with Copilot Studio and Microsoft Copilot to manage access, identities, and security compliance.
Integrate with enterprise identity management and ensure secure system design.
**Team \&amp; Collaboration:**
Act as a senior IC while collaborating with engineering and product stakeholders.
Contribute to rebuilding a cohesive team and mentoring junior members.
Support cross\-functional teams and partner with leadership on adoption strategy.
**Required Skills \&amp; Experience:**
Strong expertise in Python development (core language for AI and data science).
Proven experience with AI/ML platform engineering or enterprise\-scale data platforms.
Familiarity with Copilot Studio, Microsoft Copilot, or similar tools for enterprise AI integration.
Knowledge of identity and security integration in enterprise environments.
Background in large enterprise or consulting environments (not early\-stage startup only).
Strong IC who can operate independently while collaborating with leadership.
**Preferred Qualifications:**
Experience building enterprise AI platforms from the ground up.
Familiarity with cloud\-based AI services (Azure OpenAI, AWS AI/ML, etc.).
Ability to present technical work clearly to both technical and non\-technical stakeholders.
Prior experience in the oil \&amp; gas or energy sector is a plus.
Job Type: Contract
Pay: $65\.00 \- $70\.00 per hour
Work Location: In person</t>
        </is>
      </c>
    </row>
    <row r="93">
      <c r="A93" t="inlineStr">
        <is>
          <t>in-46c13a88dc1c45ee</t>
        </is>
      </c>
      <c r="B93" t="inlineStr">
        <is>
          <t>Full-Stack AI Engineer</t>
        </is>
      </c>
      <c r="C93" t="inlineStr">
        <is>
          <t>Doodle</t>
        </is>
      </c>
      <c r="D93" t="inlineStr">
        <is>
          <t>indeed</t>
        </is>
      </c>
      <c r="E93" t="inlineStr"/>
      <c r="F93" t="inlineStr"/>
      <c r="G93" t="inlineStr">
        <is>
          <t>Denver, CO, US</t>
        </is>
      </c>
      <c r="H93" s="2" t="n">
        <v>46061</v>
      </c>
      <c r="I93" t="inlineStr">
        <is>
          <t>Doodle is a B2B SaaS platform used by millions of professionals to coordinate meetings and collaboration across teams and companies. We are expanding from a scheduling product into a broader productivity and coordination platform, which creates meaningful technical challenges at scale.
We need a Full\-Stack AI Engineer who is as comfortable with mathematical modeling and research as they are with deploying production\-grade code. You will own the entire lifecycle: from choosing the right architecture to building the data pipelines that feed it.
###### **What You’ll Do**
* **Design \&amp; Build:** Move beyond LLM prompts. You will architect end\-to\-end intelligent systems using the right tool for the job—whether that’s a Gradient Boosted Tree, a Transformer, or a custom CNN.
* **Own the Pipeline:** Build and maintain the "plumbing" (Airflow, dbt) and the "orchesteration" (MLflow, ZenML) of our AI products.
* **Research \&amp; Experiment:** Apply a research\-oriented mindset to solve complex problems like multi\-hop reasoning, model quantization for edge devices, and advanced retrieval.
* **Evaluate \&amp; Refine:** Don't just ship it—verify it. You'll build frameworks to detect hallucinations, measure regression, and ensure our models are safe and explainable.
**What you bring:**
We are looking for a practitioner with deep foundations. You should have:
* **Strong ML Fundamentals:** Proven experience solving problems with traditional ML (XGBoost, LightGBM) and deep feature engineering.
* **Deep Learning Expertise:** Hands\-on experience with CNNs, RNNs, or Transformers. You understand what happens inside the model, not just how to call an API.
* **Research Background:** A strong plus. You can read a paper and implement the findings.
* **The Full\-Stack Mindset:** Proficiency in Python and ML frameworks (PyTorch, TensorFlow, Scikit\-Learn), plus experience with the modern data stack (SQL, dbt, Airflow).
**What you get**
* Competitive compensation aligned with experience
* Flexible working setup
* Time and budget for learning and development
* Real ownership over features and technical decisions
* A collaborative, low ego engineering environment
* A product used by millions of professionals worldwide
##### **Hiring Stages**
* Application Review
* Technical Interview with Coding Challenge
* Exec Interview
* HR Interview (incl. Bryq Personality Assessment)
* Final Steps
You must have the legal right to work in the country you are applying for. We are unable to sponsor visas or support relocation.  
**So, Get in Touch!**
At Doodle, we’re committed to providing an environment of mutual trust and respect, where equal employment opportunities (EEO) are available to all applicants and teammates without regard to age, race, color, disability, religion, gender and sexual orientation. Diversity and inclusion are of utmost importance to us. We’re committed to building a team that represents a variety of backgrounds, perspectives and skills. The more inclusive we are, the better our work and our products will be. We want to hear from you, so please don’t hesitate to apply!</t>
        </is>
      </c>
    </row>
    <row r="94">
      <c r="A94" t="inlineStr">
        <is>
          <t>in-f44bef3cc7a1bc07</t>
        </is>
      </c>
      <c r="B94" t="inlineStr">
        <is>
          <t>Identity AI / ML Engineer</t>
        </is>
      </c>
      <c r="C94" t="inlineStr">
        <is>
          <t>Openkyber</t>
        </is>
      </c>
      <c r="D94" t="inlineStr">
        <is>
          <t>indeed</t>
        </is>
      </c>
      <c r="E94" t="inlineStr"/>
      <c r="F94" t="inlineStr"/>
      <c r="G94" t="inlineStr">
        <is>
          <t>TX, US</t>
        </is>
      </c>
      <c r="H94" s="2" t="n">
        <v>46061</v>
      </c>
      <c r="I94" t="inlineStr">
        <is>
          <t>**Role:** AI/ML Engineer Location: Austin, TX (Hybrid) Duration: 12\+ Months Requirements: We are seeking a highly skilled AI Technical Developer to lead the design, development, and deployment of cutting\-edge AI\-driven product solutions. This role involves collaborating closely with product development, architecture, and management teams to propel the advancement of AI technologies working with business teams and end customers.. Design, develop, and maintain scalable Python\-based backend services and microservices for enterprise applications. Build and integrate AI/ML and LLM\-driven solutions, including model inference services, data pipelines, and API exposure. Develop and maintain modern UI applications using Angular, ensuring seamless integration with Python backends. Deploy, manage, and optimize containerized workloads on Kubernetes on Bare Metal (KOB) platforms. Implement end 'to 'end DevOps practices including CI/CD, infrastructure automation, monitoring, and observability. Apply security\-by\-design principles across applications, API, container, and infrastructure layers. Collaborate cross\-functionally with product, architecture, QA, platform, and security teams to deliver high\-quality solutions. Ensure code quality through unit testing, integration testing, code reviews, and documentation. Drive performance optimization, reliability, and scalability across the full technology stack. Exposure in Large Language Models (LLMs), Machine Learning, Deep Learning, Generative AI, Supervised Learning, Data Science, and Data Engineering. Python Full Stack Development Strong hands\-on experience with Python (3\.x) for enterprise application development. Expertise with FastAPI, Flask, or Django frameworks. Proficiency in building RESTful and event\-driven APIs. Strong understanding of asynchronous programming, threading, and performance optimization. Experience with SQL and NoSQL databases (PostgreSQL, MySQL, MongoDB, Redis). Experience developing and integrating AI/ML solutions into production systems. Hands\-on exposure to machine learning frameworks such as PyTorch, TensorFlow, or Scikit\-learn. Experience with LLMs, prompt engineering, and AI service orchestration is a strong plus. Understanding of model lifecycle management, monitoring, and inference performance tuning. Data Science tools and visualization tools Strong experience developing applications with Angular Proficiency in TypeScript, RxJS, component\-based architecture, and state management. Ability to integrate UI with secure backend APIs. Familiarity with responsive UI design, accessibility standards, and performance optimization. Hands\-on experience with Docker and containerization best practices. Strong expertise in Kubernetes on Bare Metal (KOB) Cluster setup, upgrades, and troubleshooting Networking (CNI), storage (CSI), and ingress configurations High availability and fault tolerance. Thanks OpenKyber \| Official Phone: x 389 ...................................................................................................................................... Fax: \| 100 Franklin Square Drive Suite 104 \| Somerset, NJ 08873 Certified NJ and NY Minority Business Enterprise (NMSDC)
**For applications and inquiries, contact:** hirings@openkyber.com</t>
        </is>
      </c>
    </row>
    <row r="95">
      <c r="A95" t="inlineStr">
        <is>
          <t>in-c213eff5c25945fd</t>
        </is>
      </c>
      <c r="B95" t="inlineStr">
        <is>
          <t>Identity AI / ML Engineer</t>
        </is>
      </c>
      <c r="C95" t="inlineStr">
        <is>
          <t>Openkyber</t>
        </is>
      </c>
      <c r="D95" t="inlineStr">
        <is>
          <t>indeed</t>
        </is>
      </c>
      <c r="E95" t="inlineStr"/>
      <c r="F95" t="inlineStr"/>
      <c r="G95" t="inlineStr">
        <is>
          <t>TX, US</t>
        </is>
      </c>
      <c r="H95" s="2" t="n">
        <v>46061</v>
      </c>
      <c r="I95" t="inlineStr">
        <is>
          <t>**Role:** Full\-Stack AI/ML Engineer  
**Location:** Irving, TX (Hybrid)  
**Work Authorization:** Engagement: Contract to Hire  
**Key Skills:** Python (Pandas, NumPy, Scikit\-learn, LangChain/LangGraph) ML frameworks: TensorFlow / PyTorch / scikit\-learn LLMs \&amp; GenAI (OpenAI, Azure OpenAI, Hugging Face) RAG, vector databases, document intelligence FastAPI, microservices, REST APIs MLOps: Docker, Kubernetes, CI/CD Cloud platforms: Azure / AWS / Google Cloud Platform  
If this aligns with your experience and you're open to exploring, please share your updated resume and let me know a good time to connect. Looking forward to your response.
**For applications and inquiries, contact:** hirings@openkyber.com</t>
        </is>
      </c>
    </row>
    <row r="96">
      <c r="A96" t="inlineStr">
        <is>
          <t>in-00a8964bff296fe5</t>
        </is>
      </c>
      <c r="B96" t="inlineStr">
        <is>
          <t>Identity AI / ML Engineer</t>
        </is>
      </c>
      <c r="C96" t="inlineStr">
        <is>
          <t>Openkyber</t>
        </is>
      </c>
      <c r="D96" t="inlineStr">
        <is>
          <t>indeed</t>
        </is>
      </c>
      <c r="E96" t="inlineStr"/>
      <c r="F96" t="inlineStr"/>
      <c r="G96" t="inlineStr">
        <is>
          <t>GA, US</t>
        </is>
      </c>
      <c r="H96" s="2" t="n">
        <v>46061</v>
      </c>
      <c r="I96" t="inlineStr">
        <is>
          <t>Locations: New York, NY 2 Positions Alpharetta, GA 2 Positions Role Overview We are seeking a highly motivated AI/ML Engineer to design, develop, deploy, and optimize machine learning and Generative AI solutions. This role blends core ML engineering , Python backend development , and LLM\-based systems , including prompt engineering and Retrieval\-Augmented Generation (RAG). The ideal candidate will work closely with product, data, and engineering teams to deliver scalable, production\-ready AI solutions that drive real business impact. Key Responsibilities 1\. Machine Learning Model Development \&amp; Deployment Design, develop, train, and evaluate machine learning models using supervised, unsupervised, and reinforcement learning techniques. Perform data cleaning, preprocessing, feature engineering, and exploratory data analysis (EDA) on structured and unstructured datasets. Select appropriate algorithms and evaluation metrics based on business use cases. Optimize model performance through hyperparameter tuning and experimentation. Deploy models into production environments with proper monitoring, versioning, and rollback strategies. Implement CI/CD pipelines for ML workflows and model lifecycle management. 2\. Prompt Engineering \&amp; LLM Orchestration Design, test, and optimize prompts for Large Language Models (LLMs) such as GPT\-4, Claude, and Llama 3 . Apply advanced prompting techniques including: Chain\-of\-Thought (CoT) Few\-Shot and Zero\-Shot prompting ReAct and tool\-augmented reasoning patterns Build and maintain Retrieval\-Augmented Generation (RAG) pipelines to ensure factual, grounded, and reliable responses. Integrate LLMs with proprietary datasets using vector search and embeddings. Evaluate LLM output quality and continuously reduce hallucinations and bias. 3\. Python Engineering \&amp; API Development Write clean, scalable, and maintainable Python (3\.x) code following best practices. Develop RESTful APIs and microservices to expose AI/ML capabilities to internal and external applications. Implement asynchronous programming and efficient data pipelines. Utilize ML and data science libraries including: NumPy, Pandas Scikit\-learn PyTorch and/or TensorFlow Collaborate with frontend and backend teams to integrate AI features into core products. 4\. Data \&amp; Infrastructure Collaboration Work with vector databases such as Pinecone, Milvus, Weaviate, or ChromaDB. Collaborate with DevOps teams on Dockerized deployments and Kubernetes\-based orchestration . Ensure AI solutions meet performance, security, and scalability requirements. Document architectures, workflows, and design decisions. Required Skills \&amp; Qualifications Core Technical Skills Python: Strong proficiency in Python 3\.x, including async programming. Machine Learning Fundamentals: Statistics, probability, and linear algebra Algorithms such as Random Forests, XGBoost, Gradient Boosting, and Neural Networks Prompt Engineering: Hands\-on experience crafting prompts for reliable and explainable LLM outputs. LLM Frameworks: Experience with LangChain, LlamaIndex, or Haystack . Databases: Understanding of vector databases and embedding\-based retrieval systems. Soft Skills Strong analytical and problem\-solving mindset. Ability to communicate complex AI/ML concepts to non\-technical stakeholders. Self\-starter with a passion for continuous learning in the rapidly evolving GenAI space. Strong collaboration skills across cross\-functional teams. Experience Level Expectations Entry Level (1 5 Years) Mandatory: Python programming Basic TensorFlow or PyTorch Understanding of ML algorithms and model evaluation Preferred: Data preprocessing using Pandas and NumPy Exposure to cloud\-based AI/ML services Mid Level (5 12 Years) Mandatory: End\-to\-end model development and deployment REST API development for ML models Production ML experience Preferred: NLP and deep learning experience Experience with cloud ML platforms such as AWS SageMaker or Azure AI Expert Level (12\+ Years) Mandatory: Design and implementation of scalable, enterprise\-grade ML systems Advanced statistical modeling and optimization techniques Preferred: Leadership in AI architecture and strategy Deep experience with Transformers, LLMs, and GenAI frameworks Preferred Qualifications (All Levels) Experience with REST or GraphQL API integrations Docker and Kubernetes exposure Fine\-tuning or adapting open\-source models (Hugging Face ecosystem) GitHub repository or portfolio showcasing AI/ML projects, prompt libraries, or GenAI solutions
**For applications and inquiries, contact:** hirings@openkyber.com</t>
        </is>
      </c>
    </row>
    <row r="97">
      <c r="A97" t="inlineStr">
        <is>
          <t>in-e054b5ddea6f9f9d</t>
        </is>
      </c>
      <c r="B97" t="inlineStr">
        <is>
          <t>Identity AI / ML Engineer</t>
        </is>
      </c>
      <c r="C97" t="inlineStr">
        <is>
          <t>Openkyber</t>
        </is>
      </c>
      <c r="D97" t="inlineStr">
        <is>
          <t>indeed</t>
        </is>
      </c>
      <c r="E97" t="inlineStr"/>
      <c r="F97" t="inlineStr"/>
      <c r="G97" t="inlineStr">
        <is>
          <t>TX, US</t>
        </is>
      </c>
      <c r="H97" s="2" t="n">
        <v>46061</v>
      </c>
      <c r="I97" t="inlineStr">
        <is>
          <t>**Role:** Google Cloud ML Engineer\- Vertex AI Dallas, TX (Day1 Onsite) Local to Texas Only
**About the Role:** We seek an experienced developer to design, build, and deploy advanced Conversational AI/NLU solutions
**Requirements:**
*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5\-7 years in software development (4\+ in NLP/NLU for chat). Good to have an understanding on other Google Cloud Platform services and cloud\-native architectures
**Preferred Qualifications:** Master's/PhD in Computer Science, AI/ML, or related field Must have Google Cloud Platform Certification\- Google Cloud Certified Professional Machine Learning Engineer Experience with GenAI frameworks (PaLM, Gemini) Integration with CRM, knowledge bases, and live agent systems
**Soft Skills:** Excellent communication and collaboration. Strong ownership and end\-to\-end project delivery. Leadership in cross\-functional environments. Team Leading and Management.
**For applications and inquiries, contact:** hirings@openkyber.com</t>
        </is>
      </c>
    </row>
    <row r="98">
      <c r="A98" t="inlineStr">
        <is>
          <t>in-99e5509cc325062f</t>
        </is>
      </c>
      <c r="B98" t="inlineStr">
        <is>
          <t>AI Engineer - 1898 &amp; Co.</t>
        </is>
      </c>
      <c r="C98" t="inlineStr">
        <is>
          <t>Burns &amp; McDonnell</t>
        </is>
      </c>
      <c r="D98" t="inlineStr">
        <is>
          <t>indeed</t>
        </is>
      </c>
      <c r="E98" t="inlineStr"/>
      <c r="F98" t="inlineStr"/>
      <c r="G98" t="inlineStr">
        <is>
          <t>Kansas City, MO, US</t>
        </is>
      </c>
      <c r="H98" s="2" t="n">
        <v>46061</v>
      </c>
      <c r="I98" t="inlineStr">
        <is>
          <t>**Description** Software Developer / AI Engineer – 1898 \&amp; Co.
Description
At 1898 \&amp; Co., a division of Burns \&amp; McDonnell, we partner with clients in the energy and critical infrastructure sectors to solve their most complex challenges using data, analytics, and artificial intelligence. Our Business Intelligence \&amp; Analytics and Software Solutions teams bring together deep technical expertise and consulting insight to design and implement AI\-driven solutions that modernize operations, optimize decision\-making, and create measurable business impact. We work at the intersection of emerging technologies and real\-world business problems, helping clients capture the transformative potential of applied AI.
We are seeking an AI engineer focusing in software development who is passionate about building intelligent systems that deliver business value. This role combines hands\-on technical execution—designing, building, and deploying AI solutions—with client\-facing consulting work. The ideal candidate thrives at the intersection of software engineering, AI innovation, and strategic problem\-solving for clients in the utility, energy, and infrastructure industries.
What You’ll Do
* Design and implement end\-to\-end AI solutions, from data preparation through deployment, with emphasis on AI search and agentic AI technologies.
* Develop, test, and deploy solutions using platforms such as CrewAI, Azure AI Foundry, and Google Agent Builder, integrating with client systems and workflows.
* Implement retrieval\-augmented generation (RAG) architectures and AI search techniques to enhance knowledge discovery, automation, and decision support.
* Develop production\-quality Python code for model integration, APIs, and data pipelines within scalable cloud\-based environments.
* Collaborate with business stakeholders and technical teams to translate business needs into AI solution designs and implementation plans.
* Work directly with clients to deliver consulting engagements, including assessments, solution design workshops, and proof\-of\-concept projects.
* Communicate complex technical concepts and project results in clear, actionable ways to both technical and non\-technical audiences.
* Stay current with industry developments in AI, agentic systems, and search technologies, and help clients understand how to apply these trends.
* Contribute to business development efforts, including proposals, presentations, and technical demonstrations for prospective clients.
* Mentor and support team members in developing their technical and consulting capabilities.
* Ensure compliance with company standards, quality practices, and safety policies.
* Perform other duties as assigned.
Preferred Experience \&amp; Skills
* Hands\-on experience with Generative AI platforms such as CrewAI, Azure OpenAI, Azure AI Foundry, or Google Vertex AI / AgentSpace.
* Experience implementing AI search technologies, including vector databases, semantic search, and RAG pipelines.
* Proficiency in Python and familiarity with APIs, cloud platforms (AWS, Azure, GCP), and deployment best practices.
* Strong understanding of AI solution design and implementation, including data engineering, model orchestration, and performance optimization.
* Experience working in consulting or client\-facing roles, with the ability to translate technical solutions into business value.
* Strong problem\-solving, analytical, and communication skills with the ability to manage ambiguity and complex client environments.
* Experience with modern software development practices and agile methodologies.
* Fluency in multiple programming languages such as Python, TypeScript, and .NET is a plus.
* Experience with databases, particularly SQL Server or PostgreSQL, and knowledge of RESTful API integration.
* Understanding of LLMs and applied AI agent frameworks.
* Familiarity with the electric utility industry or interest in applying AI to energy and critical infrastructure challenges.
**Qualifications**
* Bachelor Degree in computer science or related field and 3 years related professional experience Required or
* Associate Degree and 5 years related professional experience Required or
* High School Diploma/GED and 7 years related professional experience Required
* Strong technical knowledge in computer equipment, storage, back\-ups, operating systems and tools used in an operating environment required.
* Strong attention to detail, facilitation, team building, collaboration, organization, and problem\-solving skills.
* Excellent verbal and written communication skills.
* Ability to work methodically and analytically in a quantitative problem\-solving environment.
* Effective written and oral communications skills.
* Demonstrated critical thinking skills.
* Expert in Microsoft Office Suite (Word, Excel, and PPT).
* Ability to optain applicable certifications.
This job posting will remain open a minimum of 72 hours and on an ongoing basis until filled.
EEO/Disabled/Veterans
**Job** Consulting
**Primary Location** US\-MO\-Kansas City
**Schedule:** Full\-time
**Travel:** No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260687
**Job Hire Type** Experienced \#LI\-EH \#E98 N/A</t>
        </is>
      </c>
    </row>
    <row r="99">
      <c r="A99" t="inlineStr">
        <is>
          <t>in-cac26577f9188368</t>
        </is>
      </c>
      <c r="B99" t="inlineStr">
        <is>
          <t>AI Engineer</t>
        </is>
      </c>
      <c r="C99" t="inlineStr">
        <is>
          <t>National Security Agency</t>
        </is>
      </c>
      <c r="D99" t="inlineStr">
        <is>
          <t>indeed</t>
        </is>
      </c>
      <c r="E99" t="inlineStr"/>
      <c r="F99" t="inlineStr"/>
      <c r="G99" t="inlineStr">
        <is>
          <t>Fort Meade, MD, US</t>
        </is>
      </c>
      <c r="H99" s="2" t="n">
        <v>46061</v>
      </c>
      <c r="I99" t="inlineStr">
        <is>
          <t>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
How to apply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You will be asked to certify that you are using your own words and did not use a consultant or artificial intelligence (AI) such as a large language model (LLM) like ChatGPT or Copilot. (Please attach in application)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in this role? Identify one or two relevant Executive Orders or policy initiatives that are significant to you, and explain how you would help implement them if hired.
4\. How has a strong work ethic contributed to your professional, academic or personal achievements? Provide one or two specific examples, and explain how those qualities would enable you to serve effectively in this position.  
Apply soonest, as job postings can close earlier than stated end dates due to changes in requirements. It is important to review and note the minimum qualifications, as only those applicants who meet the required qualifications will be contacted to continue the employment process. Please populate the resume tool to showcase any relevant work experience and education related to the position and answer any applicable screening questions. Information collected will be used to determine eligibility, and failure to provide accurate information may result in disqualification for this position.
A confirmation email will be sent after submission of the first application and also after any future updates to submitted applications. \*\*Due to time sensitive communications regarding applications, please ensure your spam filters are configured to accept email from noreply@intelligencecareers.gov. For job vacancies that include stated testing requirements, also include the following: @uwe.nsa.gov, @nsa.gov, and @pearson.com\*\*
U.S. Citizenship is required for all applicants. NSA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Reasonable accommodations may be provided to applicants with disabilities during the application and hiring process where appropriate.
DCIPS Disclaimer
\*\*VETERANS AND TRANSITIONING SERVICE MEMBERS\*\*
Thank you for your service! The National Security Agency (NSA) is part of the Defense Civilian Intelligence Personnel System (DCIPS). All positions at NSA are in the Excepted Service under Title 10, United States Codes (U.S.C.), Section 1601 appointment authority.
Veterans' Preference
In accordance with the procedures provided in DoD Instruction 1400\.25, Volume 2005, "DoD Civilian Personnel Management System: Defense Civilian Intelligence Personnel System Employment and Placement," NSA applies veterans' preference, as defined by Section 2108 of Title 5, U.S.C., to eligible candidates. If you are claiming veterans' preference, you are required to provide acceptable documentation of your preference eligibility upon application.
Acceptable documentation includes:
\- DD\-214: "Certificate of Release or Discharge from Active Duty," which shows dates of service and discharge under honorable conditions (Copy 4\); OR
\- Certification of Service:
A written document on letterhead from the appropriate branch of the armed forces that certifies the service member is expected to be discharged or released from active duty service in the armed forces under honorable conditions not later than 120 days after the date the certification is signed. The certification should include the military service dates, including the expected discharge or release date; AND
\- Standard Form 15 (SF\-15\)
Application for 10\-point Veteran Preference (http://www.opm.gov/forms/pdf\_fill/sf15\.pdf).
If you are claiming a service\-connected disability of 30 percent or more, the documentation you provide must specifically demonstrate this level of disability; AND
\- VA Letter of Disability (for 10pt and Sole Survivorship rating)
You may obtain a letter from the Department of Veterans Affairs reflecting your level of disability for preference eligibility by visiting a VA Regional Office, contacting a VA call center, or online (https://www.ebenefits.va.gov/).
\*\*Failure to provide sufficient documentation of veterans' preference eligibility may preclude NSA from identifying you as a preference eligible candidate during the hiring selection process.</t>
        </is>
      </c>
    </row>
    <row r="100">
      <c r="A100" t="inlineStr">
        <is>
          <t>in-5689f9576fe4cc9c</t>
        </is>
      </c>
      <c r="B100" t="inlineStr">
        <is>
          <t>AIML - Machine Learning Engineer, Data and ML Innovation</t>
        </is>
      </c>
      <c r="C100" t="inlineStr">
        <is>
          <t>Apple</t>
        </is>
      </c>
      <c r="D100" t="inlineStr">
        <is>
          <t>indeed</t>
        </is>
      </c>
      <c r="E100" t="inlineStr"/>
      <c r="F100" t="inlineStr"/>
      <c r="G100" t="inlineStr">
        <is>
          <t>Cupertino, CA, US</t>
        </is>
      </c>
      <c r="H100" s="2" t="n">
        <v>46061</v>
      </c>
      <c r="I100" t="inlineStr">
        <is>
          <t>Are you excited to tackle some of the most ambitious technical challenges in Apple Intelligence? Be involved in collaborating closely with our machine learning researchers, engineers, and data scientists? Together, you will orchestrate groundbreaking research initiatives and develop transformative products designed to build a significant impact for billions of users worldwide!  
As part of Apple's AI and Machine Learning org, we encourage and create groundbreaking technology for large\-scale ML systems, computer vision, natural language processing, and multi\-modal understanding and generation. The Data and Machine Learning Innovation (DMLI) team is looking for Machine Learning Engineer to explore new methods, challenge existing metrics or protocols, and develop new insightful practices that will change how we understand data and overcome real\-world ML challenges.  
**Description**  
As a Machine Learning (ML) Engineer, you will be entrusted with the critical role of innovating and applying state of the art research in ML to tackle complex data problems. The solutions you develop will significantly impact Apple Intelligence, future Apple products and the broader ML development ecosystem.  
You will work with a multidisciplinary team to actively participate in Apple Intelligence’s data\-model co\-design and co\-develop practice. Your responsibilities will extend to the design and development of a comprehensive data generation and curation framework for Apple Intelligence foundation models at Apple. You will also be responsible to build robust model evaluation pipelines, integral to the continuous improvement and assessment of Apple Intelligence foundation models.  
Furthermore, you will have the opportunity to showcase your groundbreaking research work by publishing and presenting at premier academic venues.  
Your work may span a variety of directions, including but not limited to:  
Develop and implement techniques for creating high\-quality synthetic datasets across a variety of domains, including vision, text, and audio data.  
Innovate and experiment with new approaches for synthetic data generation to improve the diversity, realism, and representativeness of datasets.  
Collaborate with multi\-functional teams to understand data requirements and ensure that synthetic datasets are optimized for training foundation models.  
Crafting and implementing semi\-supervised, self\-supervised representation learning techniques for growing the power of both limited labeled data and large\-scale unlabeled data.  
Develop pipelines and tools to automate synthetic data generation for large\-scale AI experiments.  
Stay updated with the latest research and industry trends in synthetic data generation, foundational model training, and large\-scale data engineering.  
**Preferred Qualifications**  
3\+ years of experience with developing and evaluating ML applications, and demonstrated experience in understanding and improving data quality.  
Strong publication record in relevant conferences (e.g. CVPR, ICCV, ECCV, NeurIPS, ICML, ICLR, , etc)  
Strong problem\-solving and communication skills.  
Ph.D/MS degree in Machine Learning, Natural Language Processing, Computer Vision, Data Science, Statistics or related areas  
**Minimum Qualifications**  
Demonstrated expertise in computer vision, natural language processing, and machine learning with a passion for data\-centric machine learning.  
Deep understanding in multi\-modal foundation models.  
Staying on top of emerging trends in generative AI and multi\-modal LLM.  
Strong programming skills and hands\-on experience using the following languages or deep learning frameworks: Python, PyTorch, or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1">
      <c r="A101" t="inlineStr">
        <is>
          <t>in-1baa36c5f4b94d55</t>
        </is>
      </c>
      <c r="B101" t="inlineStr">
        <is>
          <t>AIML - Machine Learning Engineer, Data and ML Innovation</t>
        </is>
      </c>
      <c r="C101" t="inlineStr">
        <is>
          <t>Apple</t>
        </is>
      </c>
      <c r="D101" t="inlineStr">
        <is>
          <t>indeed</t>
        </is>
      </c>
      <c r="E101" t="inlineStr"/>
      <c r="F101" t="inlineStr"/>
      <c r="G101" t="inlineStr">
        <is>
          <t>Cupertino, CA, US</t>
        </is>
      </c>
      <c r="H101" s="2" t="n">
        <v>46061</v>
      </c>
      <c r="I101" t="inlineStr">
        <is>
          <t>Are you excited to tackle some of the most ambitious technical challenges in Apple Intelligence? Be involved in collaborating closely with our machine learning researchers, engineers, and data scientists? Together, you will orchestrate groundbreaking research initiatives and develop transformative products designed to build a significant impact for billions of users worldwide!  
As part of Apple's AI and Machine Learning org, we encourage and create groundbreaking technology for large\-scale ML systems, computer vision, natural language processing, and multi\-modal understanding and generation. The Data and Machine Learning Innovation (DMLI) team is looking for Machine Learning Engineer to explore new methods, challenge existing metrics or protocols, and develop new insightful practices that will change how we understand data and overcome real\-world ML challenges.  
**Description**  
As a Machine Learning (ML) Engineer, you will be entrusted with the critical role of innovating and applying state of the art research in ML to tackle complex data problems. The solutions you develop will significantly impact Apple Intelligence, future Apple products and the broader ML development ecosystem.  
You will work with a multidisciplinary team to actively participate in Apple Intelligence’s data\-model co\-design and co\-develop practice. Your responsibilities will extend to the design and development of a comprehensive data generation and curation framework for Apple Intelligence foundation models at Apple. You will also be responsible to build robust model evaluation pipelines, integral to the continuous improvement and assessment of Apple Intelligence foundation models.  
Furthermore, you will have the opportunity to showcase your groundbreaking research work by publishing and presenting at premier academic venues.  
Your work may span a variety of directions, including but not limited to:  
Develop and implement techniques for creating high\-quality synthetic datasets across a variety of domains, including vision, text, and audio data.  
Innovate and experiment with new approaches for synthetic data generation to improve the diversity, realism, and representativeness of datasets.  
Collaborate with multi\-functional teams to understand data requirements and ensure that synthetic datasets are optimized for training foundation models.  
Crafting and implementing semi\-supervised, self\-supervised representation learning techniques for growing the power of both limited labeled data and large\-scale unlabeled data.  
Develop pipelines and tools to automate synthetic data generation for large\-scale AI experiments.  
Stay updated with the latest research and industry trends in synthetic data generation, foundational model training, and large\-scale data engineering.  
**Preferred Qualifications**  
3\+ years of experience with developing and evaluating ML applications, and demonstrated experience in understanding and improving data quality.  
Strong publication record in relevant conferences (e.g. CVPR, ICCV, ECCV, NeurIPS, ICML, ICLR, , etc)  
Strong problem\-solving and communication skills.  
Ph.D/MS degree in Machine Learning, Natural Language Processing, Computer Vision, Data Science, Statistics or related areas  
**Minimum Qualifications**  
Demonstrated expertise in computer vision, natural language processing, and machine learning with a passion for data\-centric machine learning.  
Deep understanding in multi\-modal foundation models.  
Staying on top of emerging trends in generative AI and multi\-modal LLM.  
Strong programming skills and hands\-on experience using the following languages or deep learning frameworks: Python, PyTorch, or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2">
      <c r="A102" t="inlineStr">
        <is>
          <t>in-b9a7f63ba440f314</t>
        </is>
      </c>
      <c r="B102" t="inlineStr">
        <is>
          <t>Machine Learning Engineer, Information Security</t>
        </is>
      </c>
      <c r="C102" t="inlineStr">
        <is>
          <t>Apple</t>
        </is>
      </c>
      <c r="D102" t="inlineStr">
        <is>
          <t>indeed</t>
        </is>
      </c>
      <c r="E102" t="inlineStr"/>
      <c r="F102" t="inlineStr"/>
      <c r="G102" t="inlineStr">
        <is>
          <t>Seattle, WA, US</t>
        </is>
      </c>
      <c r="H102" s="2" t="n">
        <v>46061</v>
      </c>
      <c r="I102" t="inlineStr">
        <is>
          <t>Join Apple’s Information Security Machine Learning (ISML) team, where we are redefining cybersecurity through data\-driven intelligence. Our mission is to transform traditional reactive security measures into autonomous systems that proactively detect and defend against threats. We achieve this through cutting\-edge research, applied science, and robust infrastructure development. We are seeking a highly motivated and talented Machine Learning Engineer to join our dynamic and growing team. You will play a pivotal role in designing, developing, and deploying machine learning models that power our advanced security products and services. This is an incredible opportunity to make a real world impact by building intelligent systems that detect and prevent advanced threats, enhance critical security processes, and protect Apple and our customers.  
We're looking for a passionate and highly skilled macOS engineer to join our team and build the foundation for autonomous security on Apple devices. This role requires a deep understanding of the macOS environment and a proven ability to develop and deploy high\-performance applications.  
**Description**  
The Security ML Engineer will bring their expertise in machine learning to the problems and opportunities facing Information Security at Apple. You will contribute to the Autonomous Security program by developing production ready AI/ML systems using Apple’s internal platforms, cloud services, and local compute environments.  
You will translate research to design, building and deploying machine learning models for security use cases, leveraging generative AI, statistical modeling, reinforcement learning, and data science to address complex security challenges. You will collaborate with cross\-functional teams including security teams, software engineers, and researchers to prototype and scale AI/ML driven security solutions. You will own end\-to\-end ML workflows: data exploration, model development, evaluation metrics design, deployment, and monitoring.  
**Preferred Qualifications**  
Ph.D. in a technical field such as Computer Science, Engineering, Statistics, or related disciplines.  
In\-depth knowledge of ML algorithms, including supervised/unsupervised learning, deep learning (CNNs, RNNs, LSTMs), and large language models.  
Industry experience in deploying ML and generative AI solutions in cybersecurity contexts.  
Familiarity with cloud platforms (e.g., AWS, GCP) and their security offerings is a plus.  
Experience with large scale data processing and analysis using tools such as Apache Spark.  
Experience working in a key security process, such as Incident Response, Threat Intelligence, or Vulnerability Management.  
Experience with specific security tools and technologies (e.g., SIEM, IDS/IPS, endpoint security solutions).  
Contributions to open\-source security or machine learning projects.  
Publications or talks at top\-tier ML or security conferences.  
Additional proficiency in C\+\+ or Swift is a plus  
**Minimum Qualifications**  
BSc or Masters degree in Machine Learning, Data Science, Computer Science, Information Security, Mathematics, Statistics, or related field.  
Strong programming skills in Python and Scala; experience with ML libraries such as TensorFlow, PyTorch, HuggingFace, and Scikit\-learn.  
Hands\-on experience with full ML model lifecycle: from experimentation to deployment and monitoring.  
Solid grasp of security fundamentals including network security, incident response, threat modeling, and vulnerability management.  
Excellent written and verbal communication skills, with the ability to present technical concepts clearly to varied audiences.  
Familiarity with CI/CD workflows and ML pipelines .  
Experience operating, and scaling production services in cloud native environments.  
Experience deploying models on CUDA devices using tools like TensorFlow or Torch.  
Proven experience building generative AI applications for real\-world use cases.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3">
      <c r="A103" t="inlineStr">
        <is>
          <t>in-a2c2ad7e496f90c2</t>
        </is>
      </c>
      <c r="B103" t="inlineStr">
        <is>
          <t>Machine Learning Engineer, Information Security</t>
        </is>
      </c>
      <c r="C103" t="inlineStr">
        <is>
          <t>Apple</t>
        </is>
      </c>
      <c r="D103" t="inlineStr">
        <is>
          <t>indeed</t>
        </is>
      </c>
      <c r="E103" t="inlineStr"/>
      <c r="F103" t="inlineStr"/>
      <c r="G103" t="inlineStr">
        <is>
          <t>Seattle, WA, US</t>
        </is>
      </c>
      <c r="H103" s="2" t="n">
        <v>46061</v>
      </c>
      <c r="I103" t="inlineStr">
        <is>
          <t>Join Apple’s Information Security Machine Learning (ISML) team, where we are redefining cybersecurity through data\-driven intelligence. Our mission is to transform traditional reactive security measures into autonomous systems that proactively detect and defend against threats. We achieve this through cutting\-edge research, applied science, and robust infrastructure development. We are seeking a highly motivated and talented Machine Learning Engineer to join our dynamic and growing team. You will play a pivotal role in designing, developing, and deploying machine learning models that power our advanced security products and services. This is an incredible opportunity to make a real world impact by building intelligent systems that detect and prevent advanced threats, enhance critical security processes, and protect Apple and our customers.  
We're looking for a passionate and highly skilled macOS engineer to join our team and build the foundation for autonomous security on Apple devices. This role requires a deep understanding of the macOS environment and a proven ability to develop and deploy high\-performance applications.  
**Description**  
The Security ML Engineer will bring their expertise in machine learning to the problems and opportunities facing Information Security at Apple. You will contribute to the Autonomous Security program by developing production ready AI/ML systems using Apple’s internal platforms, cloud services, and local compute environments.  
You will translate research to design, building and deploying machine learning models for security use cases, leveraging generative AI, statistical modeling, reinforcement learning, and data science to address complex security challenges. You will collaborate with cross\-functional teams including security teams, software engineers, and researchers to prototype and scale AI/ML driven security solutions. You will own end\-to\-end ML workflows: data exploration, model development, evaluation metrics design, deployment, and monitoring.  
**Preferred Qualifications**  
Ph.D. in a technical field such as Computer Science, Engineering, Statistics, or related disciplines.  
In\-depth knowledge of ML algorithms, including supervised/unsupervised learning, deep learning (CNNs, RNNs, LSTMs), and large language models.  
Industry experience in deploying ML and generative AI solutions in cybersecurity contexts.  
Familiarity with cloud platforms (e.g., AWS, GCP) and their security offerings is a plus.  
Experience with large scale data processing and analysis using tools such as Apache Spark.  
Experience working in a key security process, such as Incident Response, Threat Intelligence, or Vulnerability Management.  
Experience with specific security tools and technologies (e.g., SIEM, IDS/IPS, endpoint security solutions).  
Contributions to open\-source security or machine learning projects.  
Publications or talks at top\-tier ML or security conferences.  
Additional proficiency in C\+\+ or Swift is a plus  
**Minimum Qualifications**  
BSc or Masters degree in Machine Learning, Data Science, Computer Science, Information Security, Mathematics, Statistics, or related field.  
Strong programming skills in Python and Scala; experience with ML libraries such as TensorFlow, PyTorch, HuggingFace, and Scikit\-learn.  
Hands\-on experience with full ML model lifecycle: from experimentation to deployment and monitoring.  
Solid grasp of security fundamentals including network security, incident response, threat modeling, and vulnerability management.  
Excellent written and verbal communication skills, with the ability to present technical concepts clearly to varied audiences.  
Familiarity with CI/CD workflows and ML pipelines .  
Experience operating, and scaling production services in cloud native environments.  
Experience deploying models on CUDA devices using tools like TensorFlow or Torch.  
Proven experience building generative AI applications for real\-world use cases.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4">
      <c r="A104" t="inlineStr">
        <is>
          <t>in-fdc9a4fe678ad687</t>
        </is>
      </c>
      <c r="B104" t="inlineStr">
        <is>
          <t>Machine Learning Engineer, (Applied Machine Learning), AI &amp; Data Platforms (AiDP)</t>
        </is>
      </c>
      <c r="C104" t="inlineStr">
        <is>
          <t>Apple</t>
        </is>
      </c>
      <c r="D104" t="inlineStr">
        <is>
          <t>indeed</t>
        </is>
      </c>
      <c r="E104" t="inlineStr"/>
      <c r="F104" t="inlineStr"/>
      <c r="G104" t="inlineStr">
        <is>
          <t>Seattle, WA, US</t>
        </is>
      </c>
      <c r="H104" s="2" t="n">
        <v>46061</v>
      </c>
      <c r="I104" t="inlineStr">
        <is>
          <t>Imagine what you could do here. At Apple, revolutionary ideas have a way of becoming extraordinary products, services, and customer experiences. Join the Ai Data Platform Applied Machine Learning team to pioneer enterprise solutions where generative AI meets Apple's unique commitment to privacy\-first innovation. Together, we'll create tools that redefine industries while safeguarding what matters most \- our users' trust.  
**Description**  
As a pivotal member of Apple's enterprise generative AI efforts, you will support the architecture and optimizing backend systems for high availability and scalability. We design and implement scalable RESTful APIs and microservices using Python, Java, or Go. Our team tackles unique challenges in privacy\-preserving generation, efficient inference, and multimodal integration. We deliver production\-grade models that meet Apple's rigorous standards for quality, performance, and scalability.  
**Preferred Qualifications**  
MS in Computer Science, Machine Learning, or a related quantitative field  
Deep expertise in one of Enterprise GenAI's critical domain, such as document\-AI, LLM, agent, embedding, or search  
Contributions to major open\-source ML frameworks or research communities  
**Minimum Qualifications**  
Bachelor of Science in Computer Science, Machine Learning, or a related quantitative field or equivalent experience  
2\+ years of hands\-on experience in machine learning and backend development in industry  
Experience with microservices architecture and distributed systems  
Experience in ML frameworks (PyTorch, JAX) for training, fine\-tuning, and deploying ML/generative models at scale  
Proven track record of building enterprise\-grade ML pipelines (data prep, distributed training, optimization, monitoring) in cloud environments (AWS, GCP, Azure) or on\-prem infrastructure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5">
      <c r="A105" t="inlineStr">
        <is>
          <t>in-f16fc3538c637d98</t>
        </is>
      </c>
      <c r="B105" t="inlineStr">
        <is>
          <t>Data and Machine Learning Engineer - Vision Language Models, Data &amp; Machine Learning (DML)</t>
        </is>
      </c>
      <c r="C105" t="inlineStr">
        <is>
          <t>Amazon Web Services</t>
        </is>
      </c>
      <c r="D105" t="inlineStr">
        <is>
          <t>indeed</t>
        </is>
      </c>
      <c r="E105" t="inlineStr"/>
      <c r="F105" t="inlineStr"/>
      <c r="G105" t="inlineStr">
        <is>
          <t>Herndon, VA, US</t>
        </is>
      </c>
      <c r="H105" s="2" t="n">
        <v>46051</v>
      </c>
      <c r="I10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6">
      <c r="A106" t="inlineStr">
        <is>
          <t>in-f33aec015293fb6e</t>
        </is>
      </c>
      <c r="B106" t="inlineStr">
        <is>
          <t>Data and Machine Learning Engineer - Vision Language Models, Data &amp; Machine Learning (DML)</t>
        </is>
      </c>
      <c r="C106" t="inlineStr">
        <is>
          <t>Amazon Web Services</t>
        </is>
      </c>
      <c r="D106" t="inlineStr">
        <is>
          <t>indeed</t>
        </is>
      </c>
      <c r="E106" t="inlineStr"/>
      <c r="F106" t="inlineStr"/>
      <c r="G106" t="inlineStr">
        <is>
          <t>Arlington, VA, US</t>
        </is>
      </c>
      <c r="H106" s="2" t="n">
        <v>46051</v>
      </c>
      <c r="I106"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7">
      <c r="A107" t="inlineStr">
        <is>
          <t>in-0dcf1b170668f6c3</t>
        </is>
      </c>
      <c r="B107" t="inlineStr">
        <is>
          <t>Machine Learning Engineer, WWPS ProServe Data and Machine Learning</t>
        </is>
      </c>
      <c r="C107" t="inlineStr">
        <is>
          <t>Amazon Web Services</t>
        </is>
      </c>
      <c r="D107" t="inlineStr">
        <is>
          <t>indeed</t>
        </is>
      </c>
      <c r="E107" t="inlineStr"/>
      <c r="F107" t="inlineStr"/>
      <c r="G107" t="inlineStr">
        <is>
          <t>Arlington, VA, US</t>
        </is>
      </c>
      <c r="H107" s="2" t="n">
        <v>46044</v>
      </c>
      <c r="I10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8">
      <c r="A108" t="inlineStr">
        <is>
          <t>in-1153d5169d05564f</t>
        </is>
      </c>
      <c r="B108" t="inlineStr">
        <is>
          <t>Machine Learning Engineer, WWPS ProServe Data and Machine Learning</t>
        </is>
      </c>
      <c r="C108" t="inlineStr">
        <is>
          <t>Amazon Web Services</t>
        </is>
      </c>
      <c r="D108" t="inlineStr">
        <is>
          <t>indeed</t>
        </is>
      </c>
      <c r="E108" t="inlineStr"/>
      <c r="F108" t="inlineStr"/>
      <c r="G108" t="inlineStr">
        <is>
          <t>Herndon, VA, US</t>
        </is>
      </c>
      <c r="H108" s="2" t="n">
        <v>46044</v>
      </c>
      <c r="I10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9">
      <c r="A109" t="inlineStr">
        <is>
          <t>in-29577a95959f4cf2</t>
        </is>
      </c>
      <c r="B109" t="inlineStr">
        <is>
          <t>Machine Learning Engineer, WWPS ProServe Data and Machine Learning</t>
        </is>
      </c>
      <c r="C109" t="inlineStr">
        <is>
          <t>Amazon Web Services</t>
        </is>
      </c>
      <c r="D109" t="inlineStr">
        <is>
          <t>indeed</t>
        </is>
      </c>
      <c r="E109" t="inlineStr"/>
      <c r="F109" t="inlineStr"/>
      <c r="G109" t="inlineStr">
        <is>
          <t>Herndon, VA, US</t>
        </is>
      </c>
      <c r="H109" s="2" t="n">
        <v>46043</v>
      </c>
      <c r="I10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0">
      <c r="A110" t="inlineStr">
        <is>
          <t>in-7b25005591086f96</t>
        </is>
      </c>
      <c r="B110" t="inlineStr">
        <is>
          <t>Machine Learning Engineer, WWPS ProServe Data and Machine Learning</t>
        </is>
      </c>
      <c r="C110" t="inlineStr">
        <is>
          <t>Amazon Web Services</t>
        </is>
      </c>
      <c r="D110" t="inlineStr">
        <is>
          <t>indeed</t>
        </is>
      </c>
      <c r="E110" t="inlineStr"/>
      <c r="F110" t="inlineStr"/>
      <c r="G110" t="inlineStr">
        <is>
          <t>Arlington, VA, US</t>
        </is>
      </c>
      <c r="H110" s="2" t="n">
        <v>46043</v>
      </c>
      <c r="I11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1">
      <c r="A111" t="inlineStr">
        <is>
          <t>in-a3fe5aa659390349</t>
        </is>
      </c>
      <c r="B111" t="inlineStr">
        <is>
          <t>Applied Scientist, Alexa Smart Home</t>
        </is>
      </c>
      <c r="C111" t="inlineStr">
        <is>
          <t>Amazon.com</t>
        </is>
      </c>
      <c r="D111" t="inlineStr">
        <is>
          <t>indeed</t>
        </is>
      </c>
      <c r="E111" t="inlineStr"/>
      <c r="F111" t="inlineStr"/>
      <c r="G111" t="inlineStr">
        <is>
          <t>Sunnyvale, CA, US</t>
        </is>
      </c>
      <c r="H111" s="2" t="n">
        <v>46033</v>
      </c>
      <c r="I11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2">
      <c r="A112" t="inlineStr">
        <is>
          <t>in-53f35f02fc22bc77</t>
        </is>
      </c>
      <c r="B112" t="inlineStr">
        <is>
          <t>Applied Scientist, Alexa Smart Home</t>
        </is>
      </c>
      <c r="C112" t="inlineStr">
        <is>
          <t>Amazon.com</t>
        </is>
      </c>
      <c r="D112" t="inlineStr">
        <is>
          <t>indeed</t>
        </is>
      </c>
      <c r="E112" t="inlineStr"/>
      <c r="F112" t="inlineStr"/>
      <c r="G112" t="inlineStr">
        <is>
          <t>Seattle, WA, US</t>
        </is>
      </c>
      <c r="H112" s="2" t="n">
        <v>46033</v>
      </c>
      <c r="I11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3">
      <c r="A113" t="inlineStr">
        <is>
          <t>in-dfe2059c808ebc68</t>
        </is>
      </c>
      <c r="B113" t="inlineStr">
        <is>
          <t>ML Engineer, GO-AI Technology &amp; Development Team</t>
        </is>
      </c>
      <c r="C113" t="inlineStr">
        <is>
          <t>Amazon.com</t>
        </is>
      </c>
      <c r="D113" t="inlineStr">
        <is>
          <t>indeed</t>
        </is>
      </c>
      <c r="E113" t="inlineStr"/>
      <c r="F113" t="inlineStr"/>
      <c r="G113" t="inlineStr">
        <is>
          <t>Westborough, MA, US</t>
        </is>
      </c>
      <c r="H113" s="2" t="n">
        <v>45998</v>
      </c>
      <c r="I11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4">
      <c r="A114" t="inlineStr">
        <is>
          <t>in-f3b5bee7d6d0eded</t>
        </is>
      </c>
      <c r="B114" t="inlineStr">
        <is>
          <t>ML Engineer, GO-AI Technology &amp; Development Team</t>
        </is>
      </c>
      <c r="C114" t="inlineStr">
        <is>
          <t>Amazon.com</t>
        </is>
      </c>
      <c r="D114" t="inlineStr">
        <is>
          <t>indeed</t>
        </is>
      </c>
      <c r="E114" t="inlineStr"/>
      <c r="F114" t="inlineStr"/>
      <c r="G114" t="inlineStr">
        <is>
          <t>Boston, MA, US</t>
        </is>
      </c>
      <c r="H114" s="2" t="n">
        <v>45998</v>
      </c>
      <c r="I11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5">
      <c r="A115" t="inlineStr">
        <is>
          <t>in-8b02893412caf4f7</t>
        </is>
      </c>
      <c r="B115" t="inlineStr">
        <is>
          <t>ML Engineer, GO-AI Technology &amp; Development Team</t>
        </is>
      </c>
      <c r="C115" t="inlineStr">
        <is>
          <t>Amazon.com</t>
        </is>
      </c>
      <c r="D115" t="inlineStr">
        <is>
          <t>indeed</t>
        </is>
      </c>
      <c r="E115" t="inlineStr"/>
      <c r="F115" t="inlineStr"/>
      <c r="G115" t="inlineStr">
        <is>
          <t>Reading, MA, US</t>
        </is>
      </c>
      <c r="H115" s="2" t="n">
        <v>45998</v>
      </c>
      <c r="I11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6">
      <c r="A116" t="inlineStr">
        <is>
          <t>in-9c0a1b3cf19b8542</t>
        </is>
      </c>
      <c r="B116" t="inlineStr">
        <is>
          <t>ML Engineer, GO-AI Technology &amp; Development Team</t>
        </is>
      </c>
      <c r="C116" t="inlineStr">
        <is>
          <t>Amazon.com</t>
        </is>
      </c>
      <c r="D116" t="inlineStr">
        <is>
          <t>indeed</t>
        </is>
      </c>
      <c r="E116" t="inlineStr"/>
      <c r="F116" t="inlineStr"/>
      <c r="G116" t="inlineStr">
        <is>
          <t>Seattle, WA, US</t>
        </is>
      </c>
      <c r="H116" s="2" t="n">
        <v>45998</v>
      </c>
      <c r="I11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7">
      <c r="A117" t="inlineStr">
        <is>
          <t>in-1e633fddf665e8d3</t>
        </is>
      </c>
      <c r="B117" t="inlineStr">
        <is>
          <t>Machine Learning Engineer - Personalization AI team</t>
        </is>
      </c>
      <c r="C117" t="inlineStr">
        <is>
          <t>Target</t>
        </is>
      </c>
      <c r="D117" t="inlineStr">
        <is>
          <t>indeed</t>
        </is>
      </c>
      <c r="E117" t="inlineStr"/>
      <c r="F117" t="inlineStr"/>
      <c r="G117" t="inlineStr">
        <is>
          <t>Brooklyn Park, MN, US</t>
        </is>
      </c>
      <c r="H117" s="2" t="n">
        <v>46061</v>
      </c>
      <c r="I117" t="inlineStr">
        <is>
          <t>The pay range is $75,400\.00 \- $135,700\.00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Working at Target means helping all families discover the joy of everyday life. We bring that vision to life through our values and culture. Learn more about Target here.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As a ML/AI Engineer, you will join a Data Sciences team responsible for creating personalized recommendations on Target.com and the Target mobile app. You will play a crucial role in designing, implementing, and optimizing production machine learning solutions and the platforms supporting them.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work experience
* Demonstrated proficiency in Python or Java programming
* Familiarity with ML frameworks such as PyTorch, TensorFlow, XGBoost, and Scikit learning
* Familiarity with software design on Linux/Mac
* Familiarity with software version control such as Git, software test coverage practices and frameworks such as PyTest
* Extensive SQL querying experience
* Experience with CI/CD – Docker, Drone and Kubernetes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Stats, Physics or equivalent industry experience
* Familiarity with cloud ML Ops services such as Vertex AI/Azure ML/Sagemaker
* Proficiency in Python, PySpark, and/or Scala
* Experience in end\-to\-end Machine Learning application development, including data pipelining, model optimization, deployment, and API design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02/26/2026</t>
        </is>
      </c>
    </row>
    <row r="118">
      <c r="A118" t="inlineStr">
        <is>
          <t>in-c6e2136c4863961a</t>
        </is>
      </c>
      <c r="B118" t="inlineStr">
        <is>
          <t>AI Engineer - Remote</t>
        </is>
      </c>
      <c r="C118" t="inlineStr">
        <is>
          <t>Optum</t>
        </is>
      </c>
      <c r="D118" t="inlineStr">
        <is>
          <t>indeed</t>
        </is>
      </c>
      <c r="E118" t="inlineStr"/>
      <c r="F118" t="inlineStr"/>
      <c r="G118" t="inlineStr">
        <is>
          <t>Minnetonka, MN, US</t>
        </is>
      </c>
      <c r="H118" s="2" t="n">
        <v>46061</v>
      </c>
      <c r="I11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and motivated Senior AI Engineer with deep expertise in Generative AI, Large Language Models (LLMs), and cloud\-native AI platforms. The ideal candidate will have a strong foundation in AI/ML, hands\-on experience with LangChain, LangGraph, and familiarity with AWS Bedrock and Azure AI Foundry. This role involves building secure, scalable, and responsible GenAI solutions while collaborating across teams to drive innovation and impact.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and Generative AI models for predictive, prescriptive, and generative analytics across healthcare datasets
* Implement advanced architectures including LLMs (GPT, Gemini, LLaMA), Retrieval\-Augmented Generation (RAG), and Agentic Frameworks
* Build and optimize end\-to\-end pipelines using Python (Sci\-kit Learn, Pandas, Flask, LangChain), PySpark, T\-SQL and SQL
* Develop and fine\-tune multiple GenAI models for NLP, summarization, prompt engineering, and conversational AI
* Apply MLOps best practices: model versioning, drift analysis, quantization, MLFlow, containerization with Docker, and CI/CD pipelines
* Work with cloud platforms: Azure (Databricks, ML Studio, Data Factory, Data Lake, Delta Tables), AWS, and GCP for scalable deployments
* Integrate data warehousing solutions like Snowflake and manage large\-scale data pipelines
* Collaborate in an Agile environment, participate in sprint planning, and maintain code repositories using GitHub/Git
* Ensure compliance with security and governance standards for healthcare data
* Coach and mentor junior team members
 **Technical Skillset**
* AI/ML Foundations
	+ Design and implement machine learning and deep learning models for classification, NLP tasks.
	+ Build and maintain end\-to\-end ML pipelines including data preprocessing, model training, evaluation, and deployment.
* Generative AI \&amp; LLM Engineering
	+ Develop and fine\-tune LLM\-based applications using LangChain, LangGraph, and other GenAI frameworks.
	+ Build Multi Agentic workflows and RAG (Retrieval\-Augmented Generation) pipelines for enterprise use cases.
	+ Leverage AWS Bedrock and Google Vertex AI for scalable and production\-grade GenAI deployments.
* LLM Security \&amp; Responsible AI
	+ Implement guardrails to prevent prompt injection, reduce hallucinations, and ensure safe model outputs.
	+ Apply best practices for LLM security, including output moderation, access control, and auditability.
	+ Ensure compliance with Responsible AI principles\-fairness, transparency, and explainability.
* Cloud\-Native AI Development
	+ Deploy and manage GenAI solutions on AWS and Google Suite, utilizing services like Bedrock, SageMaker, Vertex AI.
	+ Integrate LLMs with enterprise systems using REST APIs, SDKs, and orchestration tools.
* Collaboration \&amp; Mentorship
	+ Work closely with product managers, data scientists, and platform teams to translate business needs into GenAI solutions.
	+ Mentor junior engineers and contribute to internal knowledge\-sharing initiatives.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experience in AI/ML techniques like Prompt Engineering , RAG (Retrieval Augmented Generation) and Agentic AI
* Hands\-on experience with Generative AI frameworks/architectures (LangChain, HuggingFace, OpenAI APIs)
* Solid expertise in Python, PySpark, T\-SQL, SQL, and big data technologies (Hadoop, Spark)
* Deep knowledge of statistics, data modeling, and simulation
* Proficiency in cloud technologies: Azure (Databricks, ML Studio), AWS Bedrock, Azure Foundry, Kafka, and cloud\-native AI services
* Familiarity with CI/CD pipelines, GitHub Actions, and containerization tools
* Solid understanding of LLM security, prompt engineering, and responsible AI practices
* Proven excellent problem\-solving skills and ability to handle ambiguity
 **Preferred Qualifications:**
* Internal Data management and Big data handling experience
* Experience with LLMs (GPT, Gemini, LLaMA) and prompt\-based learning
* Knowledge of Kafka, TensorFlow, and advanced deep learning architectures (CNNs, Autoencoders)
* Solid understanding of Agile methodologies and DevOps practices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19">
      <c r="A119" t="inlineStr">
        <is>
          <t>in-f92dd6659b8b8ccb</t>
        </is>
      </c>
      <c r="B119" t="inlineStr">
        <is>
          <t>Senior C++ML Engineer</t>
        </is>
      </c>
      <c r="C119" t="inlineStr">
        <is>
          <t>IREX</t>
        </is>
      </c>
      <c r="D119" t="inlineStr">
        <is>
          <t>indeed</t>
        </is>
      </c>
      <c r="E119" t="inlineStr"/>
      <c r="F119" t="inlineStr"/>
      <c r="G119" t="inlineStr">
        <is>
          <t>Alexandria, VA, US</t>
        </is>
      </c>
      <c r="H119" s="2" t="n">
        <v>46061</v>
      </c>
      <c r="I119" t="inlineStr">
        <is>
          <t>### **About the Role**
IREX.ai is seeking a Capture \&amp; Bid Operations Manager to run the operational engine behind our public sector pursuits. You will manage opportunity sourcing, bid intake, compliance, and submission operations, ensuring IREX responds to RFPs, RFQs, and funding opportunities efficiently, accurately, and on time.
This is a hands\-on role where attention to detail, process ownership, and understanding of SLED \+ Federal procurement are critical. You will make the pursuit team faster and more effective, turning complex solicitations into well\-structured, defensible submissions.
### **What You’ll Own**
* Opportunity Sourcing: Monitor Deltek GovWin, agency procurement portals, and other sources to identify relevant SLED and federal opportunities. Maintain a structured pipeline with due dates, set\-asides, contract vehicles, and compliance requirements.
* Bid Intake \&amp; Analysis: Create intake packages that summarize scope, agency goals, evaluation criteria, risks, and recommended bid posture—enabling leadership to make informed go/no\-go decisions.
* Capture \&amp; Compliance Support: Build and maintain compliance matrices, assumptions logs, and clarifications tracking. Coordinate Q\&amp;A and ensure submissions align with solicitation requirements.
* Proposal Assembly: Pull and tailor content from IREX’s library, coordinating with SMEs across product, engineering, safety, legal, finance, and partners. Ensure proposals are clear, procurement\-friendly, and consistent.
* Submission Management: Handle final uploads to government portals (SAM.gov, state/local eProcurement systems, education portals). Ensure file formats, naming conventions, attestations, and confirmations are accurate and complete.
* Process Improvement: Standardize templates, checklists, and archives. Conduct post\-submission retrospectives to improve efficiency, accuracy, and speed for future bids.
### **Who You Are**
Required Experience:
* 5\+ years in public sector proposal operations, capture support, or bid management (SLED and/or Federal).
* Hands\-on experience with Deltek GovWin or equivalent opportunity tracking systems.
* Strong understanding of government procurement processes and portal workflows.
* Proven ability to build compliance matrices, intake summaries, and submission checklists.
* Excellent project management and coordination skills; able to drive results independently.
* High attention to detail and discipline in meeting deadlines.
Preferred Experience:
* Familiarity with FAR basics, set\-asides, SAM.gov, subcontracting forms, and cooperative purchasing.
* Experience with public safety, security, IoT, or SaaS technology proposals.
* Ability to produce clean, rubric\-aligned documentation and integrate SME inputs under tight deadlines.
Traits That Matter at IREX:
* Operational ownership: you complete tasks end\-to\-end with accountability.
* Calm under pressure: plan backward, avoid last\-minute chaos.
* Procurement mindset: compliance, defensibility, and audit\-readiness.
* Quality obsession: precision in documents, signatures, and portal submissions.
* Low\-ego coordination: effective team collaboration across functions and partners.
### **Why IREX**
* Lead critical operational workflows behind high\-value public sector pursuits.
* Work on mission\-focused projects delivering actionable situational awareness and safer communities.
* Competitive compensation (base \+ performance bonus) and standard benefits.
* Opportunity to standardize and scale IREX’s capture and bid process across SLED and federal agencies.
### **How to Apply**
Submit:
* Resume
* A short writing sample (e.g., anonymized intake summary, compliance matrix, or proposal excerpt)
* A brief note describing your experience with GovWin/portals and your largest/most complex bid submission</t>
        </is>
      </c>
    </row>
    <row r="120">
      <c r="A120" t="inlineStr">
        <is>
          <t>in-c13b20d2f8d61c37</t>
        </is>
      </c>
      <c r="B120" t="inlineStr">
        <is>
          <t>Applied AI Engineer</t>
        </is>
      </c>
      <c r="C120" t="inlineStr">
        <is>
          <t>Hilton Grand Vacations</t>
        </is>
      </c>
      <c r="D120" t="inlineStr">
        <is>
          <t>indeed</t>
        </is>
      </c>
      <c r="E120" t="inlineStr"/>
      <c r="F120" t="inlineStr"/>
      <c r="G120" t="inlineStr">
        <is>
          <t>Orlando, FL, US</t>
        </is>
      </c>
      <c r="H120" s="2" t="n">
        <v>46061</v>
      </c>
      <c r="I120" t="inlineStr">
        <is>
          <t>At Hilton Grand Vacations, you will become a part of a culture that encourages and motivates you toward achieving your goals.
**Here’s why you will love it here:**
* Recognition Programs and Rewards
* Excellent health care options, including medical, dental, and vision
* A people\-first culture
* Go Hilton: Travel Discounts Program Hilton hotel rates worldwide.
* Perks at work: Employee Pricing platform
* Employee Assistance Program that supports your physical and mental well\-being.
* Paid Vacation Time and Paid Sick Days
* 401(k) program with company match
* Tuition reimbursement programs
* Numerous learning and advancement opportunities
* And more!
We’re looking for a versatile software developer to join our Travel Agent Chatbot team. This role is ideal for someone who thrives in a fast\-paced environment, can switch\-hit between Python and .NET, and is passionate about building GenAI\-powered conversational experiences. You’ll help us scale our AI\-driven travel assistant, improve personalization, and ensure production\-grade reliability.
**??** **Why Join Us?**
You’ll be part of a team that’s redefining travel experiences through AI. Our chatbot is already in production and scaling fast. You’ll help shape its future and work alongside a passionate team that values ownership, velocity, and innovation.
**What will I be Doing?**
* Design, develop, and maintain backend services in **Python** (Flask, FastAPI) and **.NET (C\#)**.
* Build and optimize GenAI workflows using frameworks like **LangChain**, **LangGraph**, or **AutoGen**.
* Implement and maintain RESTful APIs and integrate with Azure services (OpenAI, CosmosDB, App Insights).
* Collaborate with ML engineers to deploy and monitor GenAI agents in production.
* Contribute to CI/CD pipelines and containerized deployments (Docker, Azure DevOps).
* Debug, test, and document code with a focus on scalability and maintainability.
* Participate in code reviews and mentor junior developers when needed.
**??** **What You’ll Bring**
* Curiosity and initiative—someone who reads the docs and dives into the code before asking.
* Strong communication—able to raise issues early and collaborate across teams.
* Production mindset—comfortable shipping code and handling edge cases under load.
To fulfill this role successfully, you must possess the following minimum qualifications and experience:
* Strong proficiency in **Python** and experience with **FastAPI**, **Poetry**, and **pytest**.
* Familiarity with **.NET Core**, REST APIs, and backend service architecture.
* Hands\-on experience with **GenAI agent frameworks** (LangChain, LangGraph, etc.).
* Experience with **Azure cloud services**, especially OpenAI and CosmosDB.
* Solid understanding of Git workflows, debugging, and unit testing.
* Ability to read and understand existing codebases and documentation independently.
* 
It would be advantageous in this position for you to demonstrate the following capabilities and distinctions:
* Experience with **RAG systems**, vector databases, and prompt engineering.
* Exposure to **CI/CD pipelines**, especially in Azure DevOps.
* Familiarity with frontend frameworks (Angular, React) is a plus.
* Prior work on customer\-facing chatbots or recommendation engines.
HGV was awarded four out of five stars for fostering a culture of work\-life balance and family\-friendly benefits, and is one of Newsweek's "America's Greatest Workplaces for Parents \&amp; Families." Over the past 30 years, the highest honor we’ve received is the continued loyalty of our Owners, Members and Guests. We’ve also earned accolades for the remarkable work of our dedicated Team Members throughout our resorts, call centers and corporate offices.
* Eligibility: All U.S. hourly Team Members not represented by a labor organization or subject to collective bargaining agreement.
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accommodation to participate in the job application or interview process, to perform crucial job functions, and to receive other benefits and privileges of employment. Please contact us to request accommodation.</t>
        </is>
      </c>
    </row>
    <row r="121">
      <c r="A121" t="inlineStr">
        <is>
          <t>in-84dbb44c0f808e16</t>
        </is>
      </c>
      <c r="B121" t="inlineStr">
        <is>
          <t>ML Engineer – Automatic Computer Use (Windows)</t>
        </is>
      </c>
      <c r="C121" t="inlineStr">
        <is>
          <t>Lenovo</t>
        </is>
      </c>
      <c r="D121" t="inlineStr">
        <is>
          <t>indeed</t>
        </is>
      </c>
      <c r="E121" t="inlineStr"/>
      <c r="F121" t="inlineStr"/>
      <c r="G121" t="inlineStr">
        <is>
          <t>Chicago, IL, US</t>
        </is>
      </c>
      <c r="H121" s="2" t="n">
        <v>46061</v>
      </c>
      <c r="I121" t="inlineStr">
        <is>
          <t>### **General Information**
**Req \#** WD00094961
**Career Area:** Software Engineering
**Country/Region:** United States of America
**State:** Illinois
**City:** Chicago
**Date:** Monday, February 9, 2026
**Working Time:** Full\-time
**Additional Locations**:
* United States of America \- Illinois \- Chicago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**What You Will Do**
* Design, train, and deploy ML models for computer usage and automated task execution, including UI understanding, system control, and workflow automation
* Build and scale Large Action Models (LAMs) that translate user intent into structured plans, tool calls, and executable actions
* Develop agentic AI pipelines that combine perception (screen, UI, system state), reasoning, planning, and execution with strong reliability guarantees
* Implement and evaluate action execution frameworks, including tool orchestration, sandboxed execution, rollback, and failure recovery
* Train and fine\-tune multimodal models (LLMs, VLMs) for screen understanding, element grounding, and instruction\-following
* Partner with OS, application, and platform teams to integrate AI agents deeply into Windows and cross\-device environments
* Build evaluation systems for task success, robustness, latency, and safety in real\-world computer usage scenarios
* Collaborate with product, UX, and security teams to ensure safe, transparent, and controllable AI behavior
* Stay at the forefront of agentic AI, tool\-using LLMs, large action models, and autonomous execution systems
 **Basic Qualifications:**
* At least 5 years of experience in ML engineering, applied AI, or intelligent systems
* Bachelor’s Degree in Computer Science, Engineering, or a related technical discipline
* Strong experience with LLMs and/or multimodal models for reasoning, planning, or control
* Hands\-on experience building end\-to\-end ML systems, not just models (training evaluation deployment)
* Proficiency in Python and experience with modern ML frameworks (PyTorch, JAX, TensorFlow)
* Experience shipping ML\-powered features into production products
 **Preferred Qualifications:**
* Experience working on computer usage agents, UI understanding, or automated workflow execution
* Familiarity with Large Action Models (LAMs), tool\-using agents, function calling, or planner–executor architectures
* Experience with multimodal learning, including vision \+ language grounding
* Knowledge of reinforcement learning, imitation learning, or human\-in\-the\-loop training
* Experience deploying ML systems on Windows, Android, or edge devices
* Strong intuition for failure modes, safety, and reliability in autonomous systems
* Passion for building AI that actually does things, not just talks about them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t>
        </is>
      </c>
    </row>
    <row r="122">
      <c r="A122" t="inlineStr">
        <is>
          <t>in-be86f95f0c46056e</t>
        </is>
      </c>
      <c r="B122" t="inlineStr">
        <is>
          <t>Machine Learning Engineer</t>
        </is>
      </c>
      <c r="C122" t="inlineStr">
        <is>
          <t>Kitware</t>
        </is>
      </c>
      <c r="D122" t="inlineStr">
        <is>
          <t>indeed</t>
        </is>
      </c>
      <c r="E122" t="inlineStr"/>
      <c r="F122" t="inlineStr"/>
      <c r="G122" t="inlineStr">
        <is>
          <t>Clifton Park, NY, US</t>
        </is>
      </c>
      <c r="H122" s="2" t="n">
        <v>46061</v>
      </c>
      <c r="I122" t="inlineStr">
        <is>
          <t>**Team Description:**Kitware is a leader in advanced research and algorithm development in artificial intelligence (AI), spanning computer vision (CV), natural language processing (NLP), vision\-language models (VLMs), and other generative AI technologies. Our solutions embracing AI add measurable value to government agencies, commercial organizations, and academic institutions worldwide. We have developed a deep understanding in extracting useful, actionable information from multiple data sources like images, video, metadata, audio, and text, and we recognize the need for robust, affordable solutions. We seek to advance AI, CV, and other related fields through research and development and collaborative projects that can contribute to our open source software platforms, such as XAITK, NRTK, and GeoWATCH. **About the Projects:**
Kitware’s employees have unique opportunities to interact and collaborate directly with customers, visit interesting customer sites, and participate in live field tests and demonstrations. Much of Kitware’s work involves applying state\-of\-the\-art artificial intelligence approaches to dynamic, real\-world problems. We consider the work that we do on our government contracts as one of the ways that we give back to the community. We partner with premier government R\&amp;D agencies such as DARPA, IARPA, AFRL, Army C5ISR, NOAA, and other branches of the US Government on a range of efforts, including prime contracts, SBIRs, and STTRs. In addition, we provide commercial services to companies ranging from startups to Fortune 500 companies. Kitware employs an open source business model to foster extended, collaborative communities and to provide effective, flexible, and high\-quality technical solutions.
### **In This Position You Will:**
* Collaborate with researchers on projects related to machine learning, artificial intelligence, and computer vision
* Perform rapid prototyping and enhanced development to be integrated into operational systems
* Contribute your strong programming ability and experience to develop robust solutions for real\-world problems
* Validate, optimize, and deploy advanced exploitation algorithms
* Perform troubleshooting, bug fixes, and maintenance of existing and new code to ensure stability and robustness
### **Required Qualifications:**
* Bachelor's degree or Master's degree in Computer Science, Electrical and Computer Engineering, or related field
* Proficiency in Python
* Experience with deep learning libraries (PyTorch, TensorFlow, etc.)
* Strong background in both classical and modern (deep learning) machine learning, including model selection, architecting, training, validation, testing, and deployment
* Machine learning experience using visual data
* Understanding of a variety of machine learning tasks, e.g. Object Detection, Segmentation, Re\-Identification, Tracking, Pose, Super Resolution, Natural Language Processing
* A high level of comfort with academic literature and the ability to adapt research products to solve real\-world problems
* Due to contractual requirements, only US Citizens will be considered for this position
* If not already cleared TS/SCI, willingness and ability to apply for and maintain a TS/SCI security clearance
* Some travel is required, typically 5\-25%
* Full\-time on\-site work at the Kitware Office
### **Preferred Qualifications:**
* Active SECRET, TS, or TS/SCI security clearance
* Experience curating quality, real\-world datasets for training deep learning models
* Proficiency in C\+\+
**Company Description:**
Kitware is a research and development software solutions provider with a mission to advance science, make a positive impact, and share our results all within a collaborative, employee\-focused work environment that is friendly, fair, and flexible. Our work is improving healthcare outcomes, increasing national security, and advancing our national computing infrastructure. Our customers and collaborators include top universities from around the world, government organizations, national research labs, medical device manufacturers, car manufacturers, financial institutions, and many others.  
Kitware is proud to be 100% employee\-owned, and Great Place to Work\-Certified™.  
**Additional Information:**
Our team members enjoy a small company environment, flexibility in work assignments, and high levels of independence and responsibility. Besides a great work environment, our comprehensive benefits package includes a competitive compensation plan, tuition reimbursement program, flexible working hours, six weeks paid time off, 401(k), health insurance, life insurance, short\- and long\-term disability insurance, bonus plan, and free coffee, drinks, and snacks.  
For more information on our benefit offerings please visit: https://www.kitware.com/careers/.  
Kitware actively subscribes to a policy of equal employment opportunity. All qualified applicants will receive consideration for employment without regard to race, color, religion, national origin, sex, age, protected veteran status, uniformed service member status, or any other characteristics protected by applicable law.  
Any unsolicited resume sent to Kitware, including to Kitware's mailing addresses, fax machines or email addresses, whether directly to Kitware employees or to Kitware's applicant tracking system, will be considered Kitware property. Kitware will not pay a fee for any placement resulting from the receipt of an unsolicited resume, and will consider any candidate submitted by a recruitment agency without a fully executed contract with Kitware to have been referred free of any charges or fees.  
If you need assistance with applying or interviewing for a role due to a disability or special need, please reach out directly to our HR team at hr@kitware.com at any time during the hiring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in-2616c84ff289c896</t>
        </is>
      </c>
      <c r="B123" t="inlineStr">
        <is>
          <t>Machine Learning Engineer</t>
        </is>
      </c>
      <c r="C123" t="inlineStr">
        <is>
          <t>Kitware</t>
        </is>
      </c>
      <c r="D123" t="inlineStr">
        <is>
          <t>indeed</t>
        </is>
      </c>
      <c r="E123" t="inlineStr"/>
      <c r="F123" t="inlineStr"/>
      <c r="G123" t="inlineStr">
        <is>
          <t>Arlington, VA, US</t>
        </is>
      </c>
      <c r="H123" s="2" t="n">
        <v>46061</v>
      </c>
      <c r="I123" t="inlineStr">
        <is>
          <t>**Team Description:**Kitware is a leader in advanced research and algorithm development in artificial intelligence (AI), spanning computer vision (CV), natural language processing (NLP), vision\-language models (VLMs), and other generative AI technologies. Our solutions embracing AI add measurable value to government agencies, commercial organizations, and academic institutions worldwide. We have developed a deep understanding in extracting useful, actionable information from multiple data sources like images, video, metadata, audio, and text, and we recognize the need for robust, affordable solutions. We seek to advance AI, CV, and other related fields through research and development and collaborative projects that can contribute to our open source software platforms, such as XAITK, NRTK, and GeoWATCH. **About the Projects:**
Kitware’s employees have unique opportunities to interact and collaborate directly with customers, visit interesting customer sites, and participate in live field tests and demonstrations. Much of Kitware’s work involves applying state\-of\-the\-art artificial intelligence approaches to dynamic, real\-world problems. We consider the work that we do on our government contracts as one of the ways that we give back to the community. We partner with premier government R\&amp;D agencies such as DARPA, IARPA, AFRL, Army C5ISR, NOAA, and other branches of the US Government on a range of efforts, including prime contracts, SBIRs, and STTRs. In addition, we provide commercial services to companies ranging from startups to Fortune 500 companies. Kitware employs an open source business model to foster extended, collaborative communities and to provide effective, flexible, and high\-quality technical solutions.
### **In This Position You Will:**
* Collaborate with researchers on projects related to machine learning, artificial intelligence, and computer vision
* Perform rapid prototyping and enhanced development to be integrated into operational systems
* Contribute your strong programming ability and experience to develop robust solutions for real\-world problems
* Validate, optimize, and deploy advanced exploitation algorithms
* Perform troubleshooting, bug fixes, and maintenance of existing and new code to ensure stability and robustness
### **Required Qualifications:**
* Bachelor's degree or Master's degree in Computer Science, Electrical and Computer Engineering, or related field
* Proficiency in Python
* Experience with deep learning libraries (PyTorch, TensorFlow, etc.)
* Strong background in both classical and modern (deep learning) machine learning, including model selection, architecting, training, validation, testing, and deployment
* Machine learning experience using visual data
* Understanding of a variety of machine learning tasks, e.g. Object Detection, Segmentation, Re\-Identification, Tracking, Pose, Super Resolution, Natural Language Processing
* A high level of comfort with academic literature and the ability to adapt research products to solve real\-world problems
* Due to contractual requirements, only US Citizens will be considered for this position
* If not already cleared TS/SCI, willingness and ability to apply for and maintain a TS/SCI security clearance
* Some travel is required, typically 5\-25%
* Willingness to work 2\-5 days a week on\-site in a National Capital Region area government office, with the remainder of time in Kitware's office
### **Preferred Qualifications:**
* Active SECRET, TS, or TS/SCI security clearance
* Experience curating quality, real\-world datasets for training deep learning models
* Proficiency in C\+\+
**Company Description:**
Kitware is a research and development software solutions provider with a mission to advance science, make a positive impact, and share our results all within a collaborative, employee\-focused work environment that is friendly, fair, and flexible. Our work is improving healthcare outcomes, increasing national security, and advancing our national computing infrastructure. Our customers and collaborators include top universities from around the world, government organizations, national research labs, medical device manufacturers, car manufacturers, financial institutions, and many others.  
Kitware is proud to be 100% employee\-owned, and Great Place to Work\-Certified™.  
**Additional Information:**
Our team members enjoy a small company environment, flexibility in work assignments, and high levels of independence and responsibility. Besides a great work environment, our comprehensive benefits package includes a competitive compensation plan, tuition reimbursement program, flexible working hours, six weeks paid time off, 401(k), health insurance, life insurance, short\- and long\-term disability insurance, bonus plan, and free coffee, drinks, and snacks.  
For more information on our benefit offerings please visit: https://www.kitware.com/careers/.  
Kitware actively subscribes to a policy of equal employment opportunity. All qualified applicants will receive consideration for employment without regard to race, color, religion, national origin, sex, age, protected veteran status, uniformed service member status, or any other characteristics protected by applicable law.  
Any unsolicited resume sent to Kitware, including to Kitware's mailing addresses, fax machines or email addresses, whether directly to Kitware employees or to Kitware's applicant tracking system, will be considered Kitware property. Kitware will not pay a fee for any placement resulting from the receipt of an unsolicited resume, and will consider any candidate submitted by a recruitment agency without a fully executed contract with Kitware to have been referred free of any charges or fees.  
If you need assistance with applying or interviewing for a role due to a disability or special need, please reach out directly to our HR team at hr@kitware.com at any time during the hiring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in-42bf8e69e6dea70b</t>
        </is>
      </c>
      <c r="B124" t="inlineStr">
        <is>
          <t>Senior Machine Learning Engineer I</t>
        </is>
      </c>
      <c r="C124" t="inlineStr">
        <is>
          <t>RELX Group</t>
        </is>
      </c>
      <c r="D124" t="inlineStr">
        <is>
          <t>indeed</t>
        </is>
      </c>
      <c r="E124">
        <f>HYPERLINK("https://www.indeed.com/viewjob?jk=42bf8e69e6dea70b", "https://www.indeed.com/viewjob?jk=42bf8e69e6dea70b")</f>
        <v/>
      </c>
      <c r="F124">
        <f>HYPERLINK("https://relx.wd3.myworkdayjobs.com/en-US/relx/job/Raleigh-NC/Senior-Machine-Learning-Engineer-I_R107736-1", "https://relx.wd3.myworkdayjobs.com/en-US/relx/job/Raleigh-NC/Senior-Machine-Learning-Engineer-I_R107736-1")</f>
        <v/>
      </c>
      <c r="G124" t="inlineStr">
        <is>
          <t>Raleigh, NC, US</t>
        </is>
      </c>
      <c r="H124" s="3" t="n">
        <v>46061</v>
      </c>
      <c r="I124" t="inlineStr">
        <is>
          <t>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This position performs advanced machine learning research, design, and development assignments within a defined functional area or product line. The role is responsible for designing, implementing, training, evaluating, and deploying machine learning models and supporting data pipelines in production environments. This position contributes directly to technical design decisions, development methodologies, and project execution, and collaborates with cross\-functional teams to translate business and product requirements into scalable machine learning solutions. The role may provide technical guidance to less\-experienced machine learning engineers and actively contribute to improving team ML practices.
\*\*\*\*\*Conditions of Employment \- Ability to work a Hybrid schedule reporting to Raleigh, NC Office location\*\*\*\*\*\*\*\*\*\*\*\*\*
Requirements:* 4\+ years of experience in Machine Learning Engineering, Data Science, or Software Engineering with significant ML responsibilities
* BS in Computer Science, Engineering, Mathematics, Statistics, or a related field required; MS or equivalent experience preferred
TECHNICAL SKILLS:* Strong knowledge of machine learning algorithms and techniques, including supervised and unsupervised learning, model evaluation, and optimization
* Strong proficiency in one or more ML development languages (e.g., Python, Java, Scala)
* Hands\-on experience with machine learning frameworks and libraries (e.g., PyTorch, TensorFlow, scikit\-learn)
* Experience designing and maintaining end\-to\-end ML pipelines, including data ingestion, feature engineering, training, validation, and deployment
* Solid understanding of data modeling principles and experience working with structured and unstructured data
* Strong proficiency with SQL and experience working with large\-scale data storage systems
* Experience deploying and monitoring ML models in production environments
* Familiarity with software development best practices, including code reviews, testing, and CI/CD
* Working knowledge of Agile development methodologies
* Ability to research, evaluate, and apply new machine learning techniques and tools
* Ability to diagnose and resolve complex issues related to model performance, data quality, and system integration
* Strong oral and written communication skills
Responsibilities:* Design, develop, and maintain production\-grade machine learning models and supporting pipelines
* Collaborate with product managers, software engineers, and data engineers to define and refine ML requirements and solutions
* Translate complex business problems into well\-defined machine learning tasks and system designs
* Contribute to technical design documents and review designs for ML components and systems
* Implement coding best practices, testing strategies, and code reviews for ML development
* Debug, optimize, and resolve complex issues across the ML lifecycle, including data, models, and deployment
* Monitor model performance and support ongoing model improvements and retraining efforts
* Provide technical guidance and mentorship to junior machine learning engineers
* Stay current with industry trends, tools, and best practices in machine learning and applied AI
* Actively contribute to improving team standards, tooling, and development processes
* Operate effectively across development environments (e.g., Agile) and collaborate with key stakeholders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25">
      <c r="A125" t="inlineStr">
        <is>
          <t>in-c3068179bca1a61b</t>
        </is>
      </c>
      <c r="B125" t="inlineStr">
        <is>
          <t>Machine Learning Engineer III</t>
        </is>
      </c>
      <c r="C125" t="inlineStr">
        <is>
          <t>RELX Group</t>
        </is>
      </c>
      <c r="D125" t="inlineStr">
        <is>
          <t>indeed</t>
        </is>
      </c>
      <c r="E125">
        <f>HYPERLINK("https://www.indeed.com/viewjob?jk=c3068179bca1a61b", "https://www.indeed.com/viewjob?jk=c3068179bca1a61b")</f>
        <v/>
      </c>
      <c r="F125">
        <f>HYPERLINK("https://relx.wd3.myworkdayjobs.com/en-US/relx/job/Raleigh-NC/Machine-Learning-Engineer-III_R107735-1", "https://relx.wd3.myworkdayjobs.com/en-US/relx/job/Raleigh-NC/Machine-Learning-Engineer-III_R107735-1")</f>
        <v/>
      </c>
      <c r="G125" t="inlineStr">
        <is>
          <t>Raleigh, NC, US</t>
        </is>
      </c>
      <c r="H125" s="3" t="n">
        <v>46061</v>
      </c>
      <c r="I125" t="inlineStr">
        <is>
          <t>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This position performs software development and applied machine learning assignments within a defined functional area or product line. The role contributes to the design, implementation, training, evaluation, and deployment of machine learning models and supporting data pipelines under the guidance of senior engineers. This position collaborates closely with cross\-functional teams, including software engineers, data engineers, and product partners, to translate well\-defined business or research requirements into machine learning solutions. The role focuses on building, testing, and improving ML components within existing systems while continuing to develop technical depth and best practices.
\*\*\*\*\*Conditions of Employment \- Ability to work a Hybrid schedule reporting to Raleigh, NC Office location\*\*\*\*\*\*\*\*\*\*\*\*\*
⸻
Requirements:* 1 \- 3\+ years experience in Machine Learning Engineering, Data Science, or Software Engineering with a strong ML focus
* BS in Computer Science, Engineering, Mathematics, Statistics, or a related field, or equivalent practical experience
⸻
TECHNICAL SKILLS:* Working knowledge of machine learning fundamentals, including supervised and unsupervised learning techniques
* Proficiency in at least one programming language commonly used in ML development (e.g., Python, Java, or Scala)
* Experience with common ML libraries and frameworks (e.g., PyTorch, TensorFlow, scikit\-learn)
* Familiarity with data manipulation, feature engineering, and data validation techniques
* Basic understanding of data modeling concepts and data storage systems (e.g., relational databases, data lakes)
* Experience working with SQL and/or other data query languages
* Familiarity with software development methodologies such as Agile
* Understanding of ML model evaluation, experimentation, and performance metrics
* Exposure to ML lifecycle practices including model training, testing, versioning, and deployment
* Ability to read, understand, and contribute to technical design documents
* Ability to debug and resolve moderately complex issues in ML pipelines or model behavior
* Good oral and written communication skills
* Willingness to learn new tools, technologies, and ML best practices
⸻
Responsibilities:* Collaborate with software engineers, data engineers, and product stakeholders to understand requirements and contribute to ML solutions
* Implement machine learning models, data preprocessing pipelines, and evaluation workflows under established designs
* Write and maintain clean, well\-tested, and well\-documented code following team standards
* Assist in debugging, tuning, and improving model performance and data quality issues
* Participate in code reviews and apply feedback to improve code quality and ML practices
* Operate within established development environments and processes (e.g., Agile)
* Support the integration of ML components into production systems
* Contribute to experimentation, analysis, and reporting of model results
* Keep abreast of new machine learning techniques, tools, and industry developments
* Follow best practices for reproducibility, testing, and responsible ML development
* Seek guidance from senior team members and proactively develop technical skills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26">
      <c r="A126" t="inlineStr">
        <is>
          <t>in-eb24c32788c1dd44</t>
        </is>
      </c>
      <c r="B126" t="inlineStr">
        <is>
          <t>Senior Machine Learning Engineer II</t>
        </is>
      </c>
      <c r="C126" t="inlineStr">
        <is>
          <t>RELX Group</t>
        </is>
      </c>
      <c r="D126" t="inlineStr">
        <is>
          <t>indeed</t>
        </is>
      </c>
      <c r="E126">
        <f>HYPERLINK("https://www.indeed.com/viewjob?jk=eb24c32788c1dd44", "https://www.indeed.com/viewjob?jk=eb24c32788c1dd44")</f>
        <v/>
      </c>
      <c r="F126">
        <f>HYPERLINK("https://relx.wd3.myworkdayjobs.com/en-US/relx/job/Raleigh-NC/Senior-Machine-Learning-Engineer-II_R107738-1", "https://relx.wd3.myworkdayjobs.com/en-US/relx/job/Raleigh-NC/Senior-Machine-Learning-Engineer-II_R107738-1")</f>
        <v/>
      </c>
      <c r="G126" t="inlineStr">
        <is>
          <t>Raleigh, NC, US</t>
        </is>
      </c>
      <c r="H126" s="3" t="n">
        <v>46061</v>
      </c>
      <c r="I126" t="inlineStr">
        <is>
          <t>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This position performs highly complex machine learning research, design, and development assignments across multiple systems or product lines. The role provides technical leadership in the design, implementation, evaluation, and deployment of large\-scale machine learning systems and supporting data pipelines. This position contributes direct input to project plans, schedules, development methodologies, and architectural decisions for machine learning solutions. The role collaborates closely with cross\-functional stakeholders and translates complex business and product requirements into robust, scalable machine learning architectures. This position mentors less\-senior machine learning engineers and drives the adoption of best practices across the team.
\*\*\*\*\*Conditions of Employment \- Ability to work a Hybrid schedule reporting to Raleigh, NC Office location\*\*\*\*\*\*\*\*\*\*\*\*\*
Requirements:* 6\+ years of experience in Machine Learning Engineering, Data Science, or Software Engineering with significant applied ML responsibilities
* BS in Computer Science, Engineering, Mathematics, Statistics, or a related field required; MS or PhD or equivalent practical experience preferred
TECHNICAL SKILLS:* Deep expertise in machine learning algorithms and techniques, including supervised, unsupervised, and advanced modeling approaches
* Expert proficiency in one or more ML development languages (e.g., Python, Java, Scala)
* Extensive hands\-on experience with machine learning frameworks and libraries (e.g., PyTorch, TensorFlow, scikit\-learn)
* Proven experience designing and owning end\-to\-end, production\-scale ML systems, including data ingestion, feature platforms, training, evaluation, deployment, and monitoring
* Strong understanding of data modeling principles and experience working with large\-scale structured and unstructured data
* Strong proficiency with SQL and experience working with distributed data storage and processing systems
* Experience deploying, monitoring, and maintaining ML models in complex production environments
* Strong knowledge of software engineering best practices, including system design, testing strategies, CI/CD, and code quality standards
* Advanced knowledge of Agile and other development methodologies
* Strong research skills with the ability to evaluate, adapt, and operationalize new ML techniques
* Ability to diagnose and resolve highly complex issues related to model performance, data quality, system scalability, and reliability
* Strong ability to influence technical direction and align ML solutions with business goals
* Excellent oral and written communication skills
Responsibilities:* Lead the design and implementation of complex, production\-grade machine learning systems across multiple components or services
* Own the technical direction and execution of major ML initiatives or features
* Collaborate with product, engineering, and data stakeholders to shape ML strategy and translate ambiguous problems into scalable solutions
* Provide architectural guidance and review ML system designs and implementations
* Establish and promote best practices for ML development, testing, deployment, and monitoring
* Debug, optimize, and resolve the most complex ML and system\-level issues
* Mentor and technically guide junior and mid\-level machine learning engineers
* Contribute to project planning, estimation, and delivery for ML initiatives
* Evaluate and introduce new tools, frameworks, and methodologies to improve ML platform capabilities
* Ensure ML solutions meet performance, reliability, and quality standards in production
* Operate effectively across development environments and drive cross\-team collaboration
* Keep abreast of industry trends and emerging technologies in machine learning and applied AI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U.S. National Base Pay Range: $115,400 \- $192,300\.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27">
      <c r="A127" t="inlineStr">
        <is>
          <t>in-16854f35b3ffdeff</t>
        </is>
      </c>
      <c r="B127" t="inlineStr">
        <is>
          <t>Machine Learning Engineer</t>
        </is>
      </c>
      <c r="C127" t="inlineStr">
        <is>
          <t>TapestryHealth</t>
        </is>
      </c>
      <c r="D127" t="inlineStr">
        <is>
          <t>indeed</t>
        </is>
      </c>
      <c r="E127">
        <f>HYPERLINK("https://www.indeed.com/viewjob?jk=16854f35b3ffdeff", "https://www.indeed.com/viewjob?jk=16854f35b3ffdeff")</f>
        <v/>
      </c>
      <c r="F127">
        <f>HYPERLINK("https://recruitingbypaycor.com/career/JobIntroduction.action?id=8a78879e9c2b6eb3019c2efe21cd7925&amp;source=Indeed+Free", "https://recruitingbypaycor.com/career/JobIntroduction.action?id=8a78879e9c2b6eb3019c2efe21cd7925&amp;source=Indeed+Free")</f>
        <v/>
      </c>
      <c r="G127" t="inlineStr">
        <is>
          <t>Remote, US</t>
        </is>
      </c>
      <c r="H127" s="3" t="n">
        <v>46061</v>
      </c>
      <c r="I127" t="inlineStr">
        <is>
          <t>**POSITION SUMMARY:**
TapestryHealth is seeking outstanding candidates with strong predictive analytics, machine learning, natural language processing, python automation, and data visualization, experience. Success in this role requires dedication to excellence in helping TapestryHealth to deliver high\-quality care and promote broad adoption of our technology with streamlined, data\-informed processes.
We are looking for a Machine Learning Engineer to analyze large data sets to inform
improvements in our services and operations using advanced Machine Learning, Large
Language Models, AI, and other advanced methods. We will rely on you to build tools and products to extract valuable business insights for both internal users and client users.
In this role, you should be highly analytical with a knack for deriving actionable insights
from data and making business processes more efficient. Critical thinking, problem\-solving, cross\-functional collaboration, and clear communication skills are essential for success in this role.
We also want to see experience with healthcare data and research. Your goal will be to help our company deliver high quality care services with a more efficient and data informed approach.
**PRIMARY RESPONSIBILITIES:**
* Design, develop, and put in production machine learning (ML) solutions
* Collaborate with product managers, engineers, and other stakeholders as a specialist and subject matter expert in machine learning.
* Work across the complete lifecycle of ML model development, including problem definition, data exploration, feature engineering, model training, validation, and deployment.
* Participate in code reviews, testing, and quality assurance processes.
* Troubleshoot and resolve technical issues related to AI model, integration, deployment and backend services.
* Implement system telemetry, A/B testing and other statistical methods to validate the effectiveness of AI models. Ensure the integrity and robustness of ML solutions by developing automated testing and validation processes.
* Document and communicate development processes, system designs, and architectural decisions.
* Ensure the security and compliance of healthcare data, adhering to HIPAA regulations.
**REQUIREMENTS**
* Masters degree in Statistics, Computer Science, or relevant quantitative field
* 2 or more years of experience in healthcare domain
* Proven experience as a Data Scientist / Machine learning engineer in delivering high quality data analyses and implementing high quality predictive analytics in production environments
* Proficiency in using scripting languages such as R, SQL or Python
* Proficiency in using big data analytics tools such as SPARK
* Experience with data engineering orchestration tools such as Prefect, or Airflow
* Ability to own the entire machine learning life cycle from design, training, deployment, and monitoring
* Proficient with MLOPS tools such as MLFlow, Kedro
* Adheres to software engineering best practices such as source code version control (GIT), data version control (DVC), and writes clean modular code
* Strong math skills (statistics \&amp; linear algebra)
* Problem\-solving aptitude
* Excellent communication and presentation skills
**PREFERRED SKILLS**
* Experience in working with team members to promote ideas, issues, and initiatives within a constructive group framework
* Must always represent the organization in a positive and professional manner
* Ability to organize and prioritize tasks
* Ability to work independently, be attentive to detail and maintain a positive attitude.</t>
        </is>
      </c>
    </row>
    <row r="128">
      <c r="A128" t="inlineStr">
        <is>
          <t>in-23016dfc7e09a835</t>
        </is>
      </c>
      <c r="B128" t="inlineStr">
        <is>
          <t>AI/ML Engineer – Consultant or Senior Consultant</t>
        </is>
      </c>
      <c r="C128" t="inlineStr">
        <is>
          <t>Slalom Consulting</t>
        </is>
      </c>
      <c r="D128" t="inlineStr">
        <is>
          <t>indeed</t>
        </is>
      </c>
      <c r="E128">
        <f>HYPERLINK("https://www.indeed.com/viewjob?jk=23016dfc7e09a835", "https://www.indeed.com/viewjob?jk=23016dfc7e09a835")</f>
        <v/>
      </c>
      <c r="F128">
        <f>HYPERLINK("https://jobs.slalom.com//#/post/a0hPh000004wpFxIAI", "https://jobs.slalom.com//#/post/a0hPh000004wpFxIAI")</f>
        <v/>
      </c>
      <c r="G128" t="inlineStr">
        <is>
          <t>Minneapolis, MN, US</t>
        </is>
      </c>
      <c r="H128" s="3" t="n">
        <v>46060</v>
      </c>
      <c r="I128" t="inlineStr">
        <is>
          <t>**AI/ML Engineer – Consultant or Senior Consultant**
 **\*\*\*\*Please note: This role is not eligible for 100% remote work. Employees must currently live/reside within a commutable distance from Minneapolis or St. Paul, MN and must be willing to be onsite at the client and/or Slalom office when needed.\*\*\*\***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**What You’ll Do**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 Design and deliver LLM\-enabled applications (RAG, tool/function calling, structured outputs) that solve client problems in finance and operations.
* Build document intelligence pipelines for financial documents (invoices, statements, contracts, tickets), including ingestion, OCR/layout extraction where needed, entity extraction, normalization, and quality checks.
* Develop and deploy anomaly detection solutions for financial datasets (transactions, journals, reconciliations, forecasts), using statistical, ML, and/or deep learning approaches; define thresholds, alerting, and feedback loops.
Implement agentic workflows that safely orchestrate multi\-step tasks (e.g., triage retrieve reason propose action human approval* execute), with auditability and clear handoffs.
* Integrate AI solutions into enterprise ecosystems (APIs, data platforms, ERPs/work management tools), partnering with client security, data, and architecture teams.
* Establish LLMOps/MLOps practices: evaluation harnesses, prompt/model versioning, test automation, monitoring/observability, cost/performance tuning, and rollback strategies.
 **What You’ll Bring**
* 3\-6 years of experience implementing models or machine learning algorithms into production
* 1\-3 years of professional Managed or IT Professional consulting experience.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with RAG, agentic workflows, fine tuning, or other LLM\-based techniques.
* Experience deploying ML/AI into production, and ability to talk through best practices and pitfalls.
* Understanding of validation frameworks for AI and ML tools, with knowledge of the production\-ready offerings on the market for AI validation.
* Strong Python for ML/AI (e.g., data wrangling, model development, APIs, testing); solid SQL and data modeling fundamentals.
* Hands\-on GenAI experience: RAG, prompt engineering, embeddings/vector search, function/tool calling, agentic orchestration, and/or fine\-tuning.
* Experience with information extraction / entity extraction (e.g., NER, structured extraction from unstructured text, classification, normalization, confidence scoring).
* Experience designing ML/AI systems with production considerations: reliability, latency, cost, observability, privacy/security, and safe failure modes.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 Finance operations domain familiarity: AP/AR, GL, close processes, reconciliations, audit controls, exception handling.
- Workflow/process automation experience (workflow orchestration, ticketing integration, RPA\-style automation, human approval steps).
- Experience with containers and deployment patterns (Docker/Kubernetes), CI/CD, IaC, and cloud\-native ML services.
**Skillset / Tech Stack**
* LLM applications: RAG, embeddings, structured extraction, tool/function calling, agentic workflows
* NLP / Entity extraction: NER, classification, taxonomy mapping, normalization, confidence scoring, evaluation datasets
* Anomaly detection: outlier detection, time\-series anomaly detection, alerting/triage pipelines, feedback loops
* Process automation: workflow orchestration, human\-in\-the\-loop approvals, audit logging, integration with enterprise systems
* Engineering: Python, APIs, testing, CI/CD, observability/monitoring, secure deployment on AWS/Azure/GCP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The targeted base salary pay range at the Consultant level is $106,000 to $133,000 and for a Senior Consultant level $133,000 to $166,000\. In addition, individuals may be eligible for an annual discretionary bonus. Actual compensation will depend upon an individual’s skills, experience, qualifications, location, and other relevant factors. The salary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
 ***\#LI\-KM4***</t>
        </is>
      </c>
    </row>
    <row r="129">
      <c r="A129" t="inlineStr">
        <is>
          <t>in-ccdc127c18c3f3da</t>
        </is>
      </c>
      <c r="B129" t="inlineStr">
        <is>
          <t>Senior Machine Learning Engineer - AV Foundation, AV Labs</t>
        </is>
      </c>
      <c r="C129" t="inlineStr">
        <is>
          <t>Uber</t>
        </is>
      </c>
      <c r="D129" t="inlineStr">
        <is>
          <t>indeed</t>
        </is>
      </c>
      <c r="E129">
        <f>HYPERLINK("https://www.indeed.com/viewjob?jk=ccdc127c18c3f3da", "https://www.indeed.com/viewjob?jk=ccdc127c18c3f3da")</f>
        <v/>
      </c>
      <c r="F129">
        <f>HYPERLINK("https://tnl2.jometer.com/v2/job?jz=5wqzs0e8e95ee119d13c6e2e16eb52d5d4b37KMAAKAAAAABQ&amp;iis=Job%20Board%20-%20Recruitment%20Marketing&amp;iisn=Indeed%20Organic", "https://tnl2.jometer.com/v2/job?jz=5wqzs0e8e95ee119d13c6e2e16eb52d5d4b37KMAAKAAAAABQ&amp;iis=Job%20Board%20-%20Recruitment%20Marketing&amp;iisn=Indeed%20Organic")</f>
        <v/>
      </c>
      <c r="G129" t="inlineStr">
        <is>
          <t>Sunnyvale, CA, US</t>
        </is>
      </c>
      <c r="H129" s="3" t="n">
        <v>46062</v>
      </c>
      <c r="I129" t="inlineStr">
        <is>
          <t>**About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an ML engineer in AV Labs conducting autonomous vehicle modeling and research, with an emphasis on developing foundational and applied techniques that shape the future of autonomous driving. The ideal candidate will formulate research problems, design and evaluate novel modeling approaches, and influence the direction of large\-scale autonomous systems through strong scientific judgment and execution. You will work cross\-functionally with engineers from AV Labs and partner engineering teams which enables Uber's mission of helping people go anywhere and get anything and earn their way.
**What the Candidate Will Need / Bonus Points**\- What You Will Do \-  
* Design, implement and deliver cutting\-edge techniques for autonomous vehicle systems.
* Lead the end\-to\-end model lifecycle and system architecture\-from data and training through evaluation, deployment, and monitoring\-across upstream and downstream dependencies.
* Provide technical leadership through design reviews, mentorship, and hands\-on execution.
* Collaborate closely with engineering teams and product teams across AV Labs to integrate modeling approaches into production pipelines.
* Publish and present original research at top\-tier CV and ML conferences.
\- Basic Qualifications \-  
* PhD or MS with equivalent industry experience in Computer Science, Robotics, or a related field.
* 3\+ years of relevant industry experience in the field of autonomous vehicles and/or computer vision.
* Experience building and deploying ML systems in real\-world production environments.
* Strong understanding of how to connect cutting\-edge modeling techniques to autonomous vehicle systems in a scalable and reliable way.
* Demonstrated technical contributions, such as publications at leading ML and CV conferences (e.g., CVPR, ICCV, ICLR, NeurIPS) or comparable technical outputs.
* Proficiency in Python and modern deep learning frameworks such as PyTorch or TensorFlow.
* Strong communication skills, with experience providing technical leadership through mentorship, design reviews, and cross\-team collaboration.
\- Preferred Qualifications \-  
* Experience with autonomous vehicles research.
* Hands\-on experience in training multimodal LLMs for autonomous vehicle systems or relevant computer vision systems.
Recent publications in one or more of the following areas: 3D perception \&amp; scene understanding, multimodal embedding, diffusion models, gaussian splatting, vision language action models, and world models.  
*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0">
      <c r="A130" t="inlineStr">
        <is>
          <t>in-e6f1d9ba9ec621f7</t>
        </is>
      </c>
      <c r="B130" t="inlineStr">
        <is>
          <t>Staff Machine Learning Engineer - Marketplace</t>
        </is>
      </c>
      <c r="C130" t="inlineStr">
        <is>
          <t>Uber</t>
        </is>
      </c>
      <c r="D130" t="inlineStr">
        <is>
          <t>indeed</t>
        </is>
      </c>
      <c r="E130">
        <f>HYPERLINK("https://www.indeed.com/viewjob?jk=e6f1d9ba9ec621f7", "https://www.indeed.com/viewjob?jk=e6f1d9ba9ec621f7")</f>
        <v/>
      </c>
      <c r="F130">
        <f>HYPERLINK("https://tnl2.jometer.com/v2/job?jz=5wqzs052d82be491a02248c56c074edfaeb9fKMAAKAAAAABQ&amp;iis=Job%20Board%20-%20Recruitment%20Marketing&amp;iisn=Indeed%20Organic", "https://tnl2.jometer.com/v2/job?jz=5wqzs052d82be491a02248c56c074edfaeb9fKMAAKAAAAABQ&amp;iis=Job%20Board%20-%20Recruitment%20Marketing&amp;iisn=Indeed%20Organic")</f>
        <v/>
      </c>
      <c r="G130" t="inlineStr">
        <is>
          <t>Sunnyvale, CA, US</t>
        </is>
      </c>
      <c r="H130" s="3" t="n">
        <v>46062</v>
      </c>
      <c r="I130" t="inlineStr">
        <is>
          <t>**About the Role \&amp; Team**
The Marketplace Signals team at Uber is responsible for building and optimizing foundational marketplace signals that power user experiences and drive marketplace efficiency. Our team ensures that key signals\-such as eyeball ETA, spinner time, and supply reliability indicators\-are leveraged effectively across various Uber products and levers, enabling data\-driven decision\-making and seamless coordination across different business functions.
**What You'll Do*** Develop and optimize ML models to enhance key marketplace signals (e.g., ETA predictions, supply availability metrics, demand forecasts).
* Collaborate with cross\-functional teams (Pricing, Matching, Driver Incentives, etc.) to ensure marketplace signals are effectively utilized.
* Improve operational efficiency by building a centralized, scalable system for marketplace signals that serves multiple use cases.
* Leverage cutting\-edge ML techniques (deep learning, probabilistic modeling, reinforcement learning, etc.) to continuously refine marketplace signals.
**What You'll Need*** Strong problem\-solving skills, with expertise in ML methodologies
* Experience in applying ML, statistics, or optimization techniques to solve large\-scale real\-world problems (e.g. ads tech, recommender systems)
* Experience in ML frameworks (e.g. Tensorflow, Pytorch, or JAX) and complex data pipelines; programming languages such as Python, Spark SQL, Presto, Go, Java
**Why Join Us?*** Work on high\-impact machine learning problems that directly improve Uber's marketplace efficiency.
* Influence key business levers that optimize Uber's pricing, matching, and rider/driver experience.
* Build centralized marketplace signals that reduce redundancy and improve operational efficiency.
* Join a high\-caliber, innovative team tackling some of the hardest ML challenges in the industry.
If you're passionate about using ML to optimize real\-world systems at a massive scale, we'd love to hear from you!
**Basic Qualifications:*** Ph.D. or M.S. in Statistics, Economics, Mathematics, Computer Science, Machine Learning, Operations Research, or other quantitative fields.
* 6\+ years of industry experience in machine learning, including building and deploying ML models at scale.
* Experience in modern deep learning architectures and probabilistic modeling
* Proficiency in programming languages (Python, Java, Scala) and ML frameworks (TensorFlow, PyTorch, Scikit\-Learn),
* Solid understanding of MLOps practices, including design documentation, testing, and source code management with Git.
* Advanced skills in the development and deployment of large\-scale ML models and optimization algorithms
* Strong business and product sense: ability to shape vague questions into well\-defined analyses and success metrics that drive business decisions.
**Preferred Qualifications:*** Expertise in developing causal inference methodologies, experimental designs, and advanced analytical methods.
* Strong experience in building a wide range of models (e.g. causal inference, optimization, ML) for business applications.
* Experience in algorithm development and rapid prototyping.
* Design, develop, and operationalize econometric models to assess challenging causal problems such as product incrementality and long\-term value
* Propose, design, and analyze large\-scale online experiments and interpret the results to draw actionable conclusions.
* Ability to drive clarity on the best modeling solution for a business objective.
Collaborate with cross\-functional teams across disciplines such as product, engineering, and operations to drive system development end\-to\-end from generating ideas to productionizing.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1">
      <c r="A131" t="inlineStr">
        <is>
          <t>in-7cfbde194100cc19</t>
        </is>
      </c>
      <c r="B131" t="inlineStr">
        <is>
          <t>Staff Machine Learning Engineer - Marketplace</t>
        </is>
      </c>
      <c r="C131" t="inlineStr">
        <is>
          <t>Uber</t>
        </is>
      </c>
      <c r="D131" t="inlineStr">
        <is>
          <t>indeed</t>
        </is>
      </c>
      <c r="E131">
        <f>HYPERLINK("https://www.indeed.com/viewjob?jk=7cfbde194100cc19", "https://www.indeed.com/viewjob?jk=7cfbde194100cc19")</f>
        <v/>
      </c>
      <c r="F131">
        <f>HYPERLINK("https://tnl2.jometer.com/v2/job?jz=5wqzs40d711696454f15795d2013b2b6933ebKMAAKAAAAABQ&amp;iis=Job%20Board%20-%20Recruitment%20Marketing&amp;iisn=Indeed%20Organic", "https://tnl2.jometer.com/v2/job?jz=5wqzs40d711696454f15795d2013b2b6933ebKMAAKAAAAABQ&amp;iis=Job%20Board%20-%20Recruitment%20Marketing&amp;iisn=Indeed%20Organic")</f>
        <v/>
      </c>
      <c r="G131" t="inlineStr">
        <is>
          <t>San Francisco, CA, US</t>
        </is>
      </c>
      <c r="H131" s="3" t="n">
        <v>46062</v>
      </c>
      <c r="I131" t="inlineStr">
        <is>
          <t>**About the Role \&amp; Team**
The Marketplace Signals team at Uber is responsible for building and optimizing foundational marketplace signals that power user experiences and drive marketplace efficiency. Our team ensures that key signals\-such as eyeball ETA, spinner time, and supply reliability indicators\-are leveraged effectively across various Uber products and levers, enabling data\-driven decision\-making and seamless coordination across different business functions.
**What You'll Do*** Develop and optimize ML models to enhance key marketplace signals (e.g., ETA predictions, supply availability metrics, demand forecasts).
* Collaborate with cross\-functional teams (Pricing, Matching, Driver Incentives, etc.) to ensure marketplace signals are effectively utilized.
* Improve operational efficiency by building a centralized, scalable system for marketplace signals that serves multiple use cases.
* Leverage cutting\-edge ML techniques (deep learning, probabilistic modeling, reinforcement learning, etc.) to continuously refine marketplace signals.
**What You'll Need*** Strong problem\-solving skills, with expertise in ML methodologies
* Experience in applying ML, statistics, or optimization techniques to solve large\-scale real\-world problems (e.g. ads tech, recommender systems)
* Experience in ML frameworks (e.g. Tensorflow, Pytorch, or JAX) and complex data pipelines; programming languages such as Python, Spark SQL, Presto, Go, Java
**Why Join Us?*** Work on high\-impact machine learning problems that directly improve Uber's marketplace efficiency.
* Influence key business levers that optimize Uber's pricing, matching, and rider/driver experience.
* Build centralized marketplace signals that reduce redundancy and improve operational efficiency.
* Join a high\-caliber, innovative team tackling some of the hardest ML challenges in the industry.
If you're passionate about using ML to optimize real\-world systems at a massive scale, we'd love to hear from you!
**Basic Qualifications:*** Ph.D. or M.S. in Statistics, Economics, Mathematics, Computer Science, Machine Learning, Operations Research, or other quantitative fields.
* 6\+ years of industry experience in machine learning, including building and deploying ML models at scale.
* Experience in modern deep learning architectures and probabilistic modeling
* Proficiency in programming languages (Python, Java, Scala) and ML frameworks (TensorFlow, PyTorch, Scikit\-Learn),
* Solid understanding of MLOps practices, including design documentation, testing, and source code management with Git.
* Advanced skills in the development and deployment of large\-scale ML models and optimization algorithms
* Strong business and product sense: ability to shape vague questions into well\-defined analyses and success metrics that drive business decisions.
**Preferred Qualifications:*** Expertise in developing causal inference methodologies, experimental designs, and advanced analytical methods.
* Strong experience in building a wide range of models (e.g. causal inference, optimization, ML) for business applications.
* Experience in algorithm development and rapid prototyping.
* Design, develop, and operationalize econometric models to assess challenging causal problems such as product incrementality and long\-term value
* Propose, design, and analyze large\-scale online experiments and interpret the results to draw actionable conclusions.
* Ability to drive clarity on the best modeling solution for a business objective.
Collaborate with cross\-functional teams across disciplines such as product, engineering, and operations to drive system development end\-to\-end from generating ideas to productionizing.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2">
      <c r="A132" t="inlineStr">
        <is>
          <t>in-c99f5a20dcbdfd42</t>
        </is>
      </c>
      <c r="B132" t="inlineStr">
        <is>
          <t>Founding AI Engineer</t>
        </is>
      </c>
      <c r="C132" t="inlineStr">
        <is>
          <t>Pocket</t>
        </is>
      </c>
      <c r="D132" t="inlineStr">
        <is>
          <t>indeed</t>
        </is>
      </c>
      <c r="E132">
        <f>HYPERLINK("https://www.indeed.com/viewjob?jk=c99f5a20dcbdfd42", "https://www.indeed.com/viewjob?jk=c99f5a20dcbdfd42")</f>
        <v/>
      </c>
      <c r="F132">
        <f>HYPERLINK("http://www.indeed.com/job/founding-ai-engineer-c99f5a20dcbdfd42", "http://www.indeed.com/job/founding-ai-engineer-c99f5a20dcbdfd42")</f>
        <v/>
      </c>
      <c r="G132" t="inlineStr">
        <is>
          <t>Remote, US</t>
        </is>
      </c>
      <c r="H132" s="3" t="n">
        <v>46062</v>
      </c>
      <c r="I132" t="inlineStr">
        <is>
          <t>**Founding AI Engineer at Pocket**
**About the Company**
At , we’re on a mission to transform the rehab therapy space with end\-to\-end, vertically integrated AI solutions. We’re backed by and our first product, insurance verification, is live with rehab therapy clinics processing thousands of verifications per month. This year, we’re rolling out a suite of new capabilities to streamline how rehab therapy clinics operate using LLM\-based text and voice systems.
**About the Role**
You will report to and work closely with the , who has 8 years of experience developing text and voice AI products for both enterprise and early\-stage startups.
We are looking for senior candidates who have operated in fast\-paced, early\-stage startup environments and exhibit strong engineering judgment around speed, reliability, and complexity trade\-offs.
In this role, you’ll own the end\-to\-end development lifecycle, including data, evaluation, deployment, and reliability. We’re looking for candidates who thrive in high\-trust, high\-ownership environments.
**Key Responsibilities**
* Build speech training \&amp; evaluation frameworks using prompt management, fine\-tuning, and retrieval\-based techniques
* Implement document generation training \&amp; evaluation frameworks for clinical workflows
* Develop test harnesses and monitoring systems for critical AI workflows
* Continuously refine datasets and evaluation methodologies to improve model performance and real\-world alignment
* Build automated pipelines for training, deployment, and monitoring of AI systems
**What We’re Looking For**
* 5\+ years of professional experience in applied ML, data science, or software engineering with at least 2 years in a startup environment
* Experience developing training \&amp; evaluation frameworks for LLM\-based speech processing, including ASR, diarization, TTS, and speech\-to\-speech systems
* Experience deploying AI speech solutions in production settings using REST API’s, containerization and CI/CD pipelines
* Strong Python expertise
**Compensation \&amp; Benefits**
$150K base salary
\~0\.75\-1\.0% equity (stock options) fully diluted at time of grant, vesting over 4 years with a 1 year cliff
Flexible PTO
Health insurance
**Location**
This is a remote position and the company is headquartered in New York City.
**Our Hiring Process**
* Initial Screen (30 minutes)
* Technical Interview (1 hour)
* Systems Design \&amp; Behavioral Interview (1 hour)
* Meet with CEO (30 minutes)
* Meet with both co\-founders (30 minutes)
**First 60 Days**
* Deliver monitoring systems and evaluation harnesses for insurance voice and clinical documentation generation workflows
* Drive a measurable improvement in the AI voice systems through targeted error analysis, data iteration, and model optimization
* Ship 1\-2 production voice agents for real\-time insurance payer interaction
* Improve the documentation generation system through prompt and fine\-tuning based techniques
* Collaborate with the CTO to deliver additional integrations and enhancements to the platform
Pay: $150,000\.00 per year
Benefits:
* Dental insurance
* Health insurance
* Paid time off
Work Location: Remote</t>
        </is>
      </c>
    </row>
    <row r="133">
      <c r="A133" t="inlineStr">
        <is>
          <t>in-e74d188a061ad6ac</t>
        </is>
      </c>
      <c r="B133" t="inlineStr">
        <is>
          <t>Senior AI / ML Engineer (Automation AI and ML)</t>
        </is>
      </c>
      <c r="C133" t="inlineStr">
        <is>
          <t>Spanidea Systems</t>
        </is>
      </c>
      <c r="D133" t="inlineStr">
        <is>
          <t>indeed</t>
        </is>
      </c>
      <c r="E133">
        <f>HYPERLINK("https://www.indeed.com/viewjob?jk=e74d188a061ad6ac", "https://www.indeed.com/viewjob?jk=e74d188a061ad6ac")</f>
        <v/>
      </c>
      <c r="F133">
        <f>HYPERLINK("http://www.indeed.com/job/senior-ai-ml-engineer-automation-ai-and-ml-e74d188a061ad6ac", "http://www.indeed.com/job/senior-ai-ml-engineer-automation-ai-and-ml-e74d188a061ad6ac")</f>
        <v/>
      </c>
      <c r="G133" t="inlineStr">
        <is>
          <t>Remote, US</t>
        </is>
      </c>
      <c r="H133" s="3" t="n">
        <v>46062</v>
      </c>
      <c r="I133" t="inlineStr">
        <is>
          <t>**Role: Senior AI / ML Engineer (Automation \&amp; Agentic AI)**
**Experience:** 12\+ years  
**Location:** USA (Remote / Anywhere in the US)
**Role Overview**
We are looking for a highly experienced **AI / ML Engineer** with a strong **data engineering and applied AI background** to lead automation initiatives across **code generation and test automation**. This role will work closely with core engineering teams to design, build, and scale **AI\-driven and agentic automation solutions** that improve developer productivity and software quality.
**Key Responsibilities**
* Lead and drive **AI\-powered automation** initiatives for **code generation, refactoring, and test automation**
* Design and implement **Agentic AI systems** using modern LLM frameworks and orchestration tools
* Collaborate with engineering teams to embed AI/ML solutions into existing development and CI/CD workflows
* Build, train, fine\-tune, and evaluate ML and LLM models using structured and unstructured data
* Apply advanced **data engineering and MLOps practices** to ensure scalable and reliable AI solutions
* Stay current with the **latest AI/ML, LLM, and Agentic AI advancements** and translate them into practical implementations
* Define best practices, architectures, and governance for AI\-driven automation
**Required Qualifications**
* 12\+ years of experience in **AI/ML engineering**, with a strong **data\-centric background**
* Deep expertise in **machine learning, deep learning, and LLM\-based systems**
* Hands\-on experience with **code generation, test automation, or developer productivity tools**
* Strong understanding of **Agentic AI concepts**, multi\-agent systems, and AI orchestration
* Proficiency in **Python** and modern ML frameworks (TensorFlow, PyTorch, etc.)
* Experience working with large datasets, data pipelines, and feature engineering
* Solid knowledge of **MLOps**, model deployment, and monitoring in production environments
* Ability to work cross\-functionally with senior engineering stakeholders
* Background in software engineering, DevOps, or CI/CD automation
* Experience implementing AI governance, security, and compliance best practices \#IT
Job Types: Full\-time, Contract
Pay: $60\.00 \- $80\.00 per hour
Benefits:
* Employee assistance program
* Health insurance
* Professional development assistance
* Referral program
Experience:
* AI/ML Engineering: 10 years (Required)
* Agentic AI: 3 years (Required)
* Networking Domain: 1 year (Preferred)
Work Location: Remote</t>
        </is>
      </c>
    </row>
    <row r="134">
      <c r="A134" t="inlineStr">
        <is>
          <t>in-cfd61ade8bacab82</t>
        </is>
      </c>
      <c r="B134" t="inlineStr">
        <is>
          <t>Senior Machine Learning Engineer</t>
        </is>
      </c>
      <c r="C134" t="inlineStr">
        <is>
          <t>Minset AI</t>
        </is>
      </c>
      <c r="D134" t="inlineStr">
        <is>
          <t>indeed</t>
        </is>
      </c>
      <c r="E134">
        <f>HYPERLINK("https://www.indeed.com/viewjob?jk=cfd61ade8bacab82", "https://www.indeed.com/viewjob?jk=cfd61ade8bacab82")</f>
        <v/>
      </c>
      <c r="F134">
        <f>HYPERLINK("http://www.indeed.com/job/senior-machine-learning-engineer-cfd61ade8bacab82", "http://www.indeed.com/job/senior-machine-learning-engineer-cfd61ade8bacab82")</f>
        <v/>
      </c>
      <c r="G134" t="inlineStr">
        <is>
          <t>US</t>
        </is>
      </c>
      <c r="H134" s="3" t="n">
        <v>46062</v>
      </c>
      <c r="I134" t="inlineStr">
        <is>
          <t>**About Minset:**
**\-\-\-\-\-\-\-\-\-\-\-\-\-\-\-**
Minset is a VC\-backed, early\-stage deep tech AI startup building advanced AI systems to solve some of the hardest problems in U.S. healthcare Revenue Cycle Management (RCM).
We focus on:
* **Denials management**
* **Autonomous medical coding**
* **Patient payments**
Our work sits at the intersection of **large\-scale ML, GenAI, and real\-world production systems**in a highly regulated domain.
**\-\-\-\-\-\-\-\-\-\-\-\-\-\-\-**
**The Role:**
We’re looking for a Senior Machine Learning Engineer to design, train, and deploy advanced ML and AI models across structured and unstructured healthcare data.
This is a hands\-on role for someone who enjoys building and training models end\-to\-end; from data pipelines and training loops through evaluation and production deployment.
**\-\-\-\-\-\-\-\-\-\-\-\-\-\-\-**
**What You’ll Work On:**
* Training advanced ML models on structured data
* NLP\-first systems operating on clinical and financial unstructured data
* Computer vision models for document understanding
* Pretraining and post\-training of models, including reinforcement learning
* Agentic AI systems with reasoning and tool use
* Training at scale and large experimentation workflows
* End\-to\-end deployment of models into production healthcare systems
**\-\-\-\-\-\-\-\-\-\-\-\-\-\-\-**
**Desired Experience \&amp; Skills:**
*Experience*
* 5\+ years of hands\-on experience in machine learning or applied AI research
* Demonstrated experience training models end\-to\-end (not just consuming APIs)
*Core Technical Skills*
* Expert\-level Python
* Strong experience with PyTorch
* Model optimization experience (e.g., Unsloth or similar tooling)
* Hands\-on experience with distributed training frameworks such as DeepSpeed and Accelerate
* Strong background in NLP; experience with computer vision is a plus
* Experience working with large, text\-heavy, messy datasets
* Solid understanding of optimization, loss \&amp; reward functions, training stability, and evaluation
*LLM \&amp; GenAI Expertise*
* Experience with post\-training techniques (RL, SFT)
* Experience with model pretraining
* Ability to reason about training failure modes and evaluation trade\-offs
* Experience building agentic AI systems (reasoning \+ tool use)
*Data, MLOps \&amp; Cloud*
* Experience building data pipelines; strong SQL skills
* Knowledge of MLOps, model versioning, and production deployment strategies
* Experience with orchestration tools
* Experience with Azure (preferred); GCP is a plus
**\-\-\-\-\-\-\-\-\-\-\-\-\-\-\-**
**What This Role Is Not:**
This role is **not**a fit if your background is primarily:
* Prompt engineering without model training
* API\-only usage of foundation models
* Limited exposure to training loops, optimization, or evaluation
* No experience deploying trained models into production
We’re looking for engineers who like to **train, debug, and ship models**.
**\-\-\-\-\-\-\-\-\-\-\-\-\-\-\-**
**Soft Skills:**
* Excellent problem\-solving skills and comfort working independently
* Strong communication skills with the ability to explain technical concepts to non\-technical stakeholders
* Collaborative mindset and strong sense of ownership
**\-\-\-\-\-\-\-\-\-\-\-\-\-\-\-**
**Other Requirements:**
* Physical residency in the U.S.
* U.S. permanent resident (Green Card holder) or U.S. citizen
**\-\-\-\-\-\-\-\-\-\-\-\-\-\-\-**
**Nice to Have:**
* Contributions to open\-source AI/ML projects
* Published research or technical writing in AI / ML
* Experience in healthcare / RCM
**\-\-\-\-\-\-\-\-\-\-\-\-\-\-\-**
**Benefits:**
* Competitive salary
* Equity (depending on experience / performance)
* 401(k)
* Fully remote work with home office budget
* Health, dental, vision, and life insurance
**\-\-\-\-\-\-\-\-\-\-\-\-\-\-\-**
Job Type: Full\-time
Pay: $180,000\.00 \- $225,000\.00 per year
Benefits:
* 401(k)
* Dental insurance
* Health insurance
* Health savings account
* Life insurance
* Paid time off
* Vision insurance
Application Question(s):
* Have you ever worked in an AI startup?
* Do you have any experience working in the healthcare space?
Education:
* Bachelor's (Required)
Experience:
* Machine learning: 5 years (Preferred)
Location:
* United States (Required)
Work Location: Remote</t>
        </is>
      </c>
    </row>
    <row r="135">
      <c r="A135" t="inlineStr">
        <is>
          <t>in-d6a9cb6b6c3c6a75</t>
        </is>
      </c>
      <c r="B135" t="inlineStr">
        <is>
          <t>AI / Machine Learning Engineer</t>
        </is>
      </c>
      <c r="C135" t="inlineStr">
        <is>
          <t>Connecticut Center for Advanced Technology</t>
        </is>
      </c>
      <c r="D135" t="inlineStr">
        <is>
          <t>indeed</t>
        </is>
      </c>
      <c r="E135">
        <f>HYPERLINK("https://www.indeed.com/viewjob?jk=d6a9cb6b6c3c6a75", "https://www.indeed.com/viewjob?jk=d6a9cb6b6c3c6a75")</f>
        <v/>
      </c>
      <c r="F135">
        <f>HYPERLINK("http://www.indeed.com/job/ai-machine-learning-engineer-d6a9cb6b6c3c6a75", "http://www.indeed.com/job/ai-machine-learning-engineer-d6a9cb6b6c3c6a75")</f>
        <v/>
      </c>
      <c r="G135" t="inlineStr">
        <is>
          <t>East Hartford, CT, US</t>
        </is>
      </c>
      <c r="H135" s="3" t="n">
        <v>46062</v>
      </c>
      <c r="I135" t="inlineStr">
        <is>
          <t>The Connecticut Center for Advanced Technology, Inc. (CCAT) is an applied technology organization and demonstration and training center that supports the manufacturing industry by validating, demonstrating, and scaling the adoption of advanced technologies, enhancing supply chain resiliency, and providing talent development and training to the U.S. Government, OEMs, Tier 1 Suppliers, and the supply base.
CCAT partners with federal and state agencies—including the DOD, DOE, NASA, SBA, and USDOC—through government\-funded and commercial programs that support both defense and civilian manufacturing. Current focus areas include additive manufacturing, composites, advanced design, automation, metrology, and Industry 4\.0 technologies.
**Position Title:** AI / Machine Learning Engineer
**Position Summary:** As a key member of the Digital Engineering \&amp; Automation team, the AI / Machine Learning Engineer will work under the supervision of the Principal Engineer to design, develop, and deploy AI/ML solutions that enhance advanced manufacturing, automation, robotics, quality inspection, and smart factory initiatives. This role focuses on building machine learning models, developing computer vision workflows, implementing predictive analytics, and integrating intelligent algorithms into digital twins, robotics systems, and real\-time production environments. The AI / ML Engineer collaborates with multidisciplinary engineering teams, customers, and technology partners to accelerate the adoption of AI\-enabled automation and Industry 4\.0 solutions.
**Key Responsibilities:** 
* Develop, train, validate, and optimize machine learning and deep learning models for applications such as computer vision, predictive maintenance, anomaly detection, process optimization, and robotics.
* Build neural networks using frameworks such as PyTorch, TensorFlow, Keras, OpenCV, or scikit\-learn.
* Collect, clean, label, and process data from sensors, robots, PLCs, cameras, scanners, and enterprise systems.
* Develop scalable data pipelines and automation for model training and inference.
* Integrate AI/ML models into robotic work cells, automation systems, and digital twin environments.
* Deploy models to edge devices such as NVIDIA Jetson or industrial PCs.
* Develop Python\-based tools, APIs, and microservices to support AI workflows.
* Implement MLOps practices including version control, model tracking, testing, and monitoring.
* Support cloud\-based AI workflows using platforms such as Azure ML or AWS Sagemaker.
* Conduct experiments, analyze results, and translate findings into production\-ready solutions.
* Prepare technical documentation, reports, and presentations for internal teams and customers.
* Support grant\-funded research projects and technical proposals.
* Adhere to all CCAT safety policies, procedures, and laboratory protocols to maintain a safe and compliant work environment.
* Perform all other duties as assigned**.**
**Education:** Bachelor’s degree in Computer Science, Robotics, Electrical Engineering, Data Science, AI/ML, or related field; or equivalent experience.
**Required Qualifications:**
* Minimum 4 years of industrial experience or 4 years of graduate level research developing machine learning or deep learning industrial applications.
* Strong proficiency in Python and common ML frameworks (PyTorch, TensorFlow, scikit\-learn).
* Experience with computer vision, image processing, or sensor data analysis.
* Ability to train, evaluate, and optimize ML models using standard workflows.
* Familiarity with data engineering, model deployment, or MLOps concepts.
* Knowledge of core math fundamentals including linear algebra, probability, and statistics.
* Strong communication and documentation skills.
* Must fulfill ITAR citizenship requirements
**Preferred Qualifications:**
* Graduate degree in Computer Science, Robotics, Electrical Engineering, Data Science, AI/ML, or related field; or equivalent experience.
* Experience with industrial automation, robotics, or manufacturing environments.
* Familiarity with Visual Components simulations, digital twins, or robotics OLP tools.
* Experience deploying AI models to edge devices such as NVIDIA Jetson.
* Knowledge of PLC connectivity (OPC UA, MQTT, REST APIs).
* Experience with cloud ML platforms (Azure, AWS, GCP).
* Experience with industrial cameras, depth sensors, or 3D vision systems.
* Customer\-facing engineering services experience.
**Physical Demands \&amp; Work Environment:** The AI / ML Engineer works primarily in office and lab environments with periodic time in industrial settings. The role involves extended periods of computer use, occasional interaction with robotics and automation equipment, and intermittent lifting of up to 25 pounds. Reasonable accommodation will be made to enable individuals with disabilities to perform the essential functions of the position.
*CCAT is an Equal Opportunity Employer, M/F/D/V. All qualified applicants will receive consideration for employment without regard to race, color, religion, sex, national origin, disability status, protected veteran status, or any other characteristic protected by law. VEVRAA Federal Contractor.* 
Job Type: Full\-time
Pay: $105,000\.00 \- $120,000\.00 per year
Benefits:
* 401(k)
* 401(k) matching
* Dental insurance
* Employee assistance program
* Employee discount
* Flexible schedule
* Flexible spending account
* Health insurance
* Health savings account
* Life insurance
* Paid time off
* Tuition reimbursement
* Vision insurance
Work Location: In person</t>
        </is>
      </c>
    </row>
    <row r="136">
      <c r="A136" t="inlineStr">
        <is>
          <t>in-e347802c6aba7352</t>
        </is>
      </c>
      <c r="B136" t="inlineStr">
        <is>
          <t>AI Engineer</t>
        </is>
      </c>
      <c r="C136" t="inlineStr">
        <is>
          <t>AAIT Health</t>
        </is>
      </c>
      <c r="D136" t="inlineStr">
        <is>
          <t>indeed</t>
        </is>
      </c>
      <c r="E136">
        <f>HYPERLINK("https://www.indeed.com/viewjob?jk=e347802c6aba7352", "https://www.indeed.com/viewjob?jk=e347802c6aba7352")</f>
        <v/>
      </c>
      <c r="F136">
        <f>HYPERLINK("https://recruiting.paylocity.com/recruiting/jobs/Details/3905849/AAIT-Health-LLC/AI-Engineer?source=Indeed_Feed", "https://recruiting.paylocity.com/recruiting/jobs/Details/3905849/AAIT-Health-LLC/AI-Engineer?source=Indeed_Feed")</f>
        <v/>
      </c>
      <c r="G136" t="inlineStr">
        <is>
          <t>Little Rock, AR, US</t>
        </is>
      </c>
      <c r="H136" s="3" t="n">
        <v>46061</v>
      </c>
      <c r="I136" t="inlineStr">
        <is>
          <t>Description:
**About Us**
AAIT Health (Advanced Artificial Intelligence Technology Health) is building a modern, HIPAA\-compliant Electronic Medical Records (EMR) platform. We’re focused on turning today’s best AI and LLM capabilities into reliable, secure, production\-grade workflows embedded directly into the EMR experience, so clinicians and staff can work smarter, faster, and with less administrative burden.
**What You’ll Do**
* Build agentic AI systems that can execute multi\-step workflows (e.g., chart review ? summarize ? recommend next actions ? draft documentation ? route tasks) with appropriate human oversight.
* Design and implement tool\-using LLM workflows (function calling / tools, retrieval, structured outputs, planner–executor patterns, and guardrails).
* Integrate AI capabilities into our EMR via backend services and APIs (e.g., .NET Core services, MySQL, and modern frontend clients).
* Implement retrieval\-augmented generation (RAG) and clinical knowledge workflows that query patient context, incorporate medical reference content, and cite sources with traceability.
* Engineer safety, privacy, and compliance into AI workflows, including PHI\-safe processing, audit logs, role\-based access, minimum\-necessary data, prompt/data redaction, and secure storage.
* Evaluate and improve quality using automated and human\-in\-the\-loop evaluation (e.g., grounding, hallucination rates, task success, latency, and cost).
* Deploy and operate AI services in production, including monitoring, rate limiting, fallbacks, caching, incident response, and model/provider switching.
* Collaborate cross\-functionally with product, clinical SMEs, security/compliance, and engineering to ship AI\-powered features that users trust.
**Role Details**
* Full\-time position with presence in the office required.
* Core schedule: Monday–Thursday 8:00 a.m. to 5:00 p.m. and Friday 8:00 a.m. to 12:00 p.m., with occasional work outside regular business hours as needed.
* Travel may be required.
* The position operates in a professional office environment and involves significant time writing, typing, speaking, listening, standing, sitting, walking, and reaching.
* Operation of standard office equipment, non\-CDL motor vehicles, mobile phones, and related technology is expected.
Requirements:
**You Might Be a Fit If**
* You have strong software engineering fundamentals and production experience (APIs, testing, debugging, performance).
* You have hands\-on experience building with LLMs (OpenAI/Anthropic/others), including tool/function calling, structured outputs, and retrieval\-augmented generation (RAG).
* You’ve integrated AI into real products (not just notebooks or demos) and understand the tradeoffs of latency, cost, and quality.
* You can design for reliability with deterministic interfaces, schema validation, retries, fallbacks, and evaluation.
* You are comfortable working across backend and data, and optionally some frontend integration.
* You communicate clearly, enjoy collaborating with cross\-functional partners, and can explain complex AI behavior to non\-technical stakeholders.
* You are comfortable operating in a startup\-like environment, prioritizing impact and iterating quickly while maintaining quality.
**Bonus Points**
* Experience in healthcare, EMR, or clinical workflows; familiarity with standards such as HL7/FHIR.
* Experience with .NET Core, MySQL, and cloud deployment (Azure is a plus).
* Familiarity with security and compliance practices such as HIPAA and SOC2\-style controls, including RBAC and audit logging.
* Experience building evaluation pipelines (golden datasets, offline eval, red\-teaming, prompt regression tests).
* Experience with vector databases/search or building retrieval layers over relational and document stores.
* Knowledge of PHI de\-identification, redaction, and safe data handling.
**Tech Stack**
* Frontend: React \+ Vite \+ TypeScript
* Backend: .NET Core services
* Database: MySQL
* Cloud: Azure, AWS
* AI: LLM APIs, retrieval/vector search, observability \&amp; evaluation tooling</t>
        </is>
      </c>
    </row>
    <row r="137">
      <c r="A137" t="inlineStr">
        <is>
          <t>in-35b1c7dc7091cba6</t>
        </is>
      </c>
      <c r="B137" t="inlineStr">
        <is>
          <t>Senior AI Engineer, Human–AI Systems</t>
        </is>
      </c>
      <c r="C137" t="inlineStr">
        <is>
          <t>Aptima Inc</t>
        </is>
      </c>
      <c r="D137" t="inlineStr">
        <is>
          <t>indeed</t>
        </is>
      </c>
      <c r="E137">
        <f>HYPERLINK("https://www.indeed.com/viewjob?jk=35b1c7dc7091cba6", "https://www.indeed.com/viewjob?jk=35b1c7dc7091cba6")</f>
        <v/>
      </c>
      <c r="F137">
        <f>HYPERLINK("https://recruiting.paylocity.com/recruiting/jobs/Details/3905896/Aptima-Inc/Senior-AI-Engineer-HumanAI-Systems?source=Indeed_Feed", "https://recruiting.paylocity.com/recruiting/jobs/Details/3905896/Aptima-Inc/Senior-AI-Engineer-HumanAI-Systems?source=Indeed_Feed")</f>
        <v/>
      </c>
      <c r="G137" t="inlineStr">
        <is>
          <t>Fairborn, OH, US</t>
        </is>
      </c>
      <c r="H137" s="3" t="n">
        <v>46061</v>
      </c>
      <c r="I137" t="inlineStr">
        <is>
          <t>Description:  
**Who We Are**
Aptima is a technological leader in the national security industry. Our mission is to drive the future of national security by engineering scalable solutions that fuse technological innovation with human potential to transform how individuals and teams train, develop, and perform in mission\-critical environments.
**How You'll Make an Impact**
The Senior AI Engineer – Human–AI Systems leads the design and technical execution of AI\-enabled systems that integrate human cognition, behavior, and team dynamics with machine intelligence for Department of Defense applications. This role combines expertise in human–AI interaction and behavioral science with applied AI system design and project leadership, serving as a technical lead on multidisciplinary programs and coordinating the work of AI engineers and researchers. The position emphasizes human\-centered system requirements, rigorous evaluation of human–AI performance, and translation of mission needs into operationally effective capabilities, while contributing to proposals, customer engagements, and internal technical excellence.
**Key Responsibilities**
* Lead he design of human–AI teaming concepts, interaction workflows, and mixed\-initiative system behaviors for DoD applications.
* Understand the science that can inform requirements addressing trust, explainability, cognitive workload, team coordination, and teams science.
* Serve as technical lead or task lead on AI and human–AI system development efforts, coordinating work across AI engineers and researchers.
* Translate mission needs and human performance objectives into system requirements, technical architectures, and evaluation plans. Review and guide system implementations to ensure usability, explainability, and operational suitability.
* Design and execute human\-subject experiments and quantitative studies to evaluate trust, workload, decision quality, team effectiveness, and system impact.
* Design, develop, and oversee analytic pipelines and performance metrics to operationalize complex behavioral and organizational constructs using real\-world data.
* Translate quantitative results into clear, actionable insights for technical teams, behavioral scientists, and government stakeholders, bridging theory, data, and system implementation.
* Lead technical contributions to proposals, system designs, and customer deliverables. Present technical work internally and at relevant external forums to include conferences, customer briefings, and other venues.
* Mentor junior staff and promote best practices in human\-centered AI system development. Contribute to internal initiatives for AI system development and evaluation.
Requirements:  
* MS or PhD in cognitive psychology, human factors/HCI, AI/computer science (with human–AI focus), systems engineering, psychology/IO or related field.
* Demonstrated expertise in the science of human cognition, team dynamics, trust in automation, human–AI interaction, and applied behavioral science.
* Strong quantitative modeling and statistical analysis background, including experimental design, regression modeling (linear, generalized, mixed\-effects), multivariate analysis, psychometric modeling, and simulation (e.g., Monte Carlo methods).
* Proficiency in Python and/or R for data analysis, modeling, simulation, visualization, and development of reproducible analytic workflows.
* Experience developing custom metrics, indices, and analytic pipelines to operationalize complex behavioral, organizational, or team constructs using real\-world, imperfect data.
* Experience designing and executing human\-subject experiments and analyzing performance data.
* Experience leading technical tasks or serving as technical lead or deputy PI on government\-funded programs.
* Strong written and verbal communication skills, including proposal and customer\-facing technical work.
* Proven ability to translate quantitative results into clear, actionable insights for technical teams, behavioral scientists, and non\-technical stakeholders, serving as a bridge between disciplines.
* Ability to manage and coordinate multidisciplinary technical teams.
* Ability to obtain and maintain a security clearance; familiarity with DoW research environments preferred.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row>
    <row r="138">
      <c r="A138" t="inlineStr">
        <is>
          <t>in-1c76236ad8f697a1</t>
        </is>
      </c>
      <c r="B138" t="inlineStr">
        <is>
          <t>Sr. Automation/AI Engineer - HR Technology</t>
        </is>
      </c>
      <c r="C138" t="inlineStr">
        <is>
          <t>General Motors (GM)</t>
        </is>
      </c>
      <c r="D138" t="inlineStr">
        <is>
          <t>indeed</t>
        </is>
      </c>
      <c r="E138">
        <f>HYPERLINK("https://www.indeed.com/viewjob?jk=1c76236ad8f697a1", "https://www.indeed.com/viewjob?jk=1c76236ad8f697a1")</f>
        <v/>
      </c>
      <c r="F138">
        <f>HYPERLINK("https://generalmotors.wd5.myworkdayjobs.com/en-US/Careers_GM/job/Remote---United-States/Sr-Automation-AI-Engineer----HR-Technology_JR-202600735", "https://generalmotors.wd5.myworkdayjobs.com/en-US/Careers_GM/job/Remote---United-States/Sr-Automation-AI-Engineer----HR-Technology_JR-202600735")</f>
        <v/>
      </c>
      <c r="G138" t="inlineStr">
        <is>
          <t>Remote, US</t>
        </is>
      </c>
      <c r="H138" s="3" t="n">
        <v>46061</v>
      </c>
      <c r="I138" t="inlineStr">
        <is>
          <t>**Job Description**
**The Role**  
The Automation and AI Engineer is a member of the **HR Technology team** and responsible for designing, building, and implementing intelligent plugins and automations that enhance our enterprise workflows.  
In this role, you will be responsible for executing the HR Automation and AI product roadmap, aligning with HR organization goals and helping maximize value from investments in Agentic AI platforms such as Moveworks and Serval, and other systems like ServiceNow and Workday HCM.  
The ideal candidate has deep technical expertise in integrations, automation, and intelligent workflow design. This senior\-level role requires someone who is not only an exceptional developer but also a strong communicator, partner, and project driver who can work across business and technology teams, i.e. Business COEs, People Services , HR Technology and IT stakeholders to implement scalable solutions.  
**What You'll Do**
* Learn the ins\-and\-outs of the Moveworks/Serval and other AI platforms with hands\-on training and hands\-on project delivery tasks.
* Design, build, and deploy custom plugins for Moveworks or Serval platforms.
* Collaborate closely with key stakeholders across COEs, HR and IT to gather and validate requirements.
* Lead successful implementation of the AI agents \&amp; integrations by working closely with your team as well as key stakeholders.
* Integrate with enterprise systems using APIs, webhooks, OAuth, and other authentication models.
* Conduct technical analysis and workshops with IT and Solution. Architects to design the integrations for these AI agents.
* Develop automation workflows leveraging JSON, XML, and other structured data formats.
* Conduct technical analysis and workshops with IT and Solution Architects to design the integrations for these AI agents.
* Conduct testing, documentation, and deployment of new plugins and enhancements.
* Ensure security, data integrity, and compliance in all integration activities.
* Prepare Solution Design documents for the AI agents and their supporting integrations.
* Analyze platform capabilities and propose creative, scalable technical solutions.
* Maintain integration and plugin roadmap, including feature enhancements and updates.
* Provide technical guidance and best practices to internal teams and stakeholders.
**Your Skills and Abilities (Required Qualifications)**
* Bachelors or Masters in Computer Science or similar areas.
* **6\+ years** of work experience on the HR platforms with heavy focus on **integrations** . *Integrations can either be in context of* ***HCM or HRSD*** *(* ***Discovery, Service Mapping)*** *for example: integrations with other enterprise applications (* ***Workday, PeopleSoft, Oracle, Concur*** *etc.).*
* **3\+ years** of back\-end development experience in at least one programming language ( **Python, Java, C\+\+** etc).
* Strong hands\-on experience **APIs and integrations:**
* Understanding of API technologies ( **REST, SOAP** ) and authentication mechanisms (e.g. **OAuth2, JWT** ).
	+ Understanding of **JSON \&amp; XML** .
	+ Experience using API tools like **Postman or Insomnia.**
* Strong analytical and problem\-solving skills with attention to detail.
* Excellent consulting and communication skills to engage stakeholders, ask the right questions, and simplify complex concepts.
* General understanding of **AI technologies** and terminologies.
**What Will Give You A Competitive Edge (Preferred Qualifications)**
* Agile/Scrum experience esp with **Jira** .
* Experience in **Workday** HCM configuration or integrations
* Experience in **ServiceNow** .
* Experience in **Automation technologies** (Automation Anywhere, ServiceNow RPA, Knime, UiPath etc).
* Hands\-on experience with cloud platforms ( **Azure, AWS, or GCP** )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remote. This means the selected candidate may be based anywhere in the country of work and is not expected to report to a GM worksite unless directed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9">
      <c r="A139" t="inlineStr">
        <is>
          <t>in-1ebd147faab30087</t>
        </is>
      </c>
      <c r="B139" t="inlineStr">
        <is>
          <t>AI Engineer</t>
        </is>
      </c>
      <c r="C139" t="inlineStr">
        <is>
          <t>General Dynamics Information Technology</t>
        </is>
      </c>
      <c r="D139" t="inlineStr">
        <is>
          <t>indeed</t>
        </is>
      </c>
      <c r="E139">
        <f>HYPERLINK("https://www.indeed.com/viewjob?jk=1ebd147faab30087", "https://www.indeed.com/viewjob?jk=1ebd147faab30087")</f>
        <v/>
      </c>
      <c r="F139">
        <f>HYPERLINK("https://www.gdit.com/careers/job/7a9a88511/ai-engineer", "https://www.gdit.com/careers/job/7a9a88511/ai-engineer")</f>
        <v/>
      </c>
      <c r="G139" t="inlineStr">
        <is>
          <t>Washington, DC, US</t>
        </is>
      </c>
      <c r="H139" s="3" t="n">
        <v>46061</v>
      </c>
      <c r="I139" t="inlineStr">
        <is>
          <t>Your Impact
Own your opportunity to work alongside federal civilian agencies. Make an impact by providing services that help the government ensure the well being of U.S. citizens.
Job Description
Own your opportunity to turn data into measurable outcomes for our customers’ most complex challenges. As an AI Engineer. Here, you’ll see the bigger picture on mission initiatives and where your program management career can go at GDIT.  
MEANINGFUL WORK AND PERSONAL IMPACT  
As an AI Engineer, the work you’ll do at GDIT will be impactful to the mission of USPS. You will play a crucial role in optimizing the business functions at USPS.
The integration of AI technologies is essential to streamline these processes and provide data\-driven insights. The ideal candidate will be responsible for developing the AI program focused on automating requirements and test case preparation, utilizing Visual Studio Code, Python, Copilot AI, and other tools provided by the postal service. Strong technical knowledge, a collaborative mindset, and the ability to communicate effectively with stakeholders and team members are essential for success in this role.
WHAT YOU’LL NEED TO SUCCEED  
Bring your expertise and drive for innovation to GDIT.
The AI Engineer must have:  
Education:
* Bachelor’s degree in a relevant field from an accredited College/University is preferred.
* Alternative Path: If the candidate does not possess a relevant four\-year degree, an additional four years of relevant work experience will be required.
Required Experience:
* Minimum of 8\+ years of Information Technology experience.
* A minimum of 2\-3 years of specialized AI development experience in technology or software development using Visual Studio, Crew AI, Co\-Pilot, etc.
* Proven experience leading or contributing to AI/Automation projects in a professional capacity.
* Hands\-on experience in Analytics Support and/or a leadership role is highly desirable.
Required Technical Skills:
* Demonstrated expertise in developing solutions using Visual Studio Code, Python, and other programming languages to harness generative AI and large language models (LLMs).
* Strong knowledge of AI\-related technologies, frameworks, and their integration into enterprise systems.
* Develop AI tool/program to create technical requirements by leveraging current and past business user stories.
* Integrate the existing test automation framework with AI solutions.
* Ensure all AI scripts and programs are fully executable on postal laptops.
* Train designated team members to execute and maintain AI scripts and programs.
Preferred Skills:
* Strong analytical thinking skills and ability to develop creative solutions to complex technical challenges.
* Effective communication skills with the ability to articulate complex technical information to non\-technical stakeholders.
* Demonstrated ability to work in a collaborative team environment with cross\-functional stakeholders.
* Track record of delivering successful AI\-enhanced projects for enterprise systems.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Washington, DC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\#zxc726 \#AIEngineer
Work Requirements
Years of Experience
8 \+ years of related experience* may vary based on technical training, certification(s), *or* degree
Certification
Travel Required
Less than 10%
Salary and Benefit Information
The likely salary range for this position is $111,155 \- $150,385\.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40">
      <c r="A140" t="inlineStr">
        <is>
          <t>in-262d01cabfe0c2b9</t>
        </is>
      </c>
      <c r="B140" t="inlineStr">
        <is>
          <t>Senior Machine Learning Engineer</t>
        </is>
      </c>
      <c r="C140" t="inlineStr">
        <is>
          <t>Information Technology Senior Management Forum</t>
        </is>
      </c>
      <c r="D140" t="inlineStr">
        <is>
          <t>indeed</t>
        </is>
      </c>
      <c r="E140">
        <f>HYPERLINK("https://www.indeed.com/viewjob?jk=262d01cabfe0c2b9", "https://www.indeed.com/viewjob?jk=262d01cabfe0c2b9")</f>
        <v/>
      </c>
      <c r="F140">
        <f>HYPERLINK("https://jobs.itsmfleaders.org/job/f65z6z/senior-machine-learning-engineer/mclean/va", "https://jobs.itsmfleaders.org/job/f65z6z/senior-machine-learning-engineer/mclean/va")</f>
        <v/>
      </c>
      <c r="G140" t="inlineStr">
        <is>
          <t>McLean, VA, US</t>
        </is>
      </c>
      <c r="H140" s="3" t="n">
        <v>46061</v>
      </c>
      <c r="I140" t="inlineStr">
        <is>
          <t>Posted Date
2/09/2026
Description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41">
      <c r="A141" t="inlineStr">
        <is>
          <t>in-7eede3e7e832c4d0</t>
        </is>
      </c>
      <c r="B141" t="inlineStr">
        <is>
          <t>Lead Microsoft365 AI Engineer</t>
        </is>
      </c>
      <c r="C141" t="inlineStr">
        <is>
          <t>Acrisure LLC</t>
        </is>
      </c>
      <c r="D141" t="inlineStr">
        <is>
          <t>indeed</t>
        </is>
      </c>
      <c r="E141">
        <f>HYPERLINK("https://www.indeed.com/viewjob?jk=7eede3e7e832c4d0", "https://www.indeed.com/viewjob?jk=7eede3e7e832c4d0")</f>
        <v/>
      </c>
      <c r="F141">
        <f>HYPERLINK("https://acrisure.wd1.myworkdayjobs.com/en-US/Acrisure/job/100-Ottawa-Ave-Sw----GRAND-RAPIDS-MI/Lead-Microsoft365-AI-Engineer_JR112490", "https://acrisure.wd1.myworkdayjobs.com/en-US/Acrisure/job/100-Ottawa-Ave-Sw----GRAND-RAPIDS-MI/Lead-Microsoft365-AI-Engineer_JR112490")</f>
        <v/>
      </c>
      <c r="G141" t="inlineStr">
        <is>
          <t>Grand Rapids, MI, US</t>
        </is>
      </c>
      <c r="H141" s="3" t="n">
        <v>46061</v>
      </c>
      <c r="I141"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Bachelor’s degree in Computer Science, Engineering, Information Systems, or related field (Master’s preferred).
* 7–10\+ years in engineering roles delivering cloud, AI, or Microsoft 365 solutions.
* 3\+ years hands‑on building conversational AI or Copilot solutions.
\#LI\-CH1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142">
      <c r="A142" t="inlineStr">
        <is>
          <t>in-ada29a5872394cce</t>
        </is>
      </c>
      <c r="B142" t="inlineStr">
        <is>
          <t>Forward Deployed AI Engineer</t>
        </is>
      </c>
      <c r="C142" t="inlineStr">
        <is>
          <t>Voloridge</t>
        </is>
      </c>
      <c r="D142" t="inlineStr">
        <is>
          <t>indeed</t>
        </is>
      </c>
      <c r="E142">
        <f>HYPERLINK("https://www.indeed.com/viewjob?jk=ada29a5872394cce", "https://www.indeed.com/viewjob?jk=ada29a5872394cce")</f>
        <v/>
      </c>
      <c r="F142">
        <f>HYPERLINK("https://ht-jobs.net/7dual4j?s=in", "https://ht-jobs.net/7dual4j?s=in")</f>
        <v/>
      </c>
      <c r="G142" t="inlineStr">
        <is>
          <t>Jupiter, FL, US</t>
        </is>
      </c>
      <c r="H142" s="3" t="n">
        <v>46061</v>
      </c>
      <c r="I142" t="inlineStr">
        <is>
          <t>Voloridge Investment Management was founded by David Vogel in 2009 and is based in Jupiter, FL. We incorporate advanced data science and mathematics into our systematic, market neutral investment strategies to exploit alpha opportunities we consider unique in financial markets. Our firm is comprised of award\-winning predictive modelers, experienced data analysts, advanced technologists, and a group of dynamic business professionals.
As a Forward Deployed AI Engineer, you’ll work at the intersection of engineering and real\-world business context as a builder, problem\-solver, and strategic partner. You’ll embed with users across Voloridge Investment Management and Voloridge Health to understand their challenges, then design and deliver LLM\-powered solutions. This role demands technical judgment and genuine empathy: listening, learning how people work, and translating insights into product direction. You’ll own features end\-to\-end and shape what gets built.
Successful candidates will embrace the cultural principles at Voloridge:
**Drive creativity and find pleasure in your work**: You love coding and technology. It is as much a hobby as it is work. Whether it is following blogs and podcasts, to downloading and trying out new projects from Github or elsewhere you have ideas you want to explore. Learning new things and bringing new ideas and solutions to the challenges we face is a key driver of innovation and excitement.
**Seek continual improvement and roll\-up\-your sleeves:** Be willing to learn whatever technologies, tools, or patterns necessary to solve a problem. These are critical systems, and you cannot avoid a problem because "someone else 'owns' the code" \- learn the code, learn the domain, solve the problem.
**Embrace truth and openness and practice humility and honor:** We are a collection of top\-performers with strong opinions but respect for the ideas of others is a must for finding the right solution. Everyone makes mistakes at times, so we don’t judge others. What is important is uncovering errors quickly, getting fixes in place, and understanding what can be improved for next time.
**Summary of Job Functions**
* Embed with internal users to understand workflows, identify pain points, and deliver AI\-powered solutions that solve real problems
* Engineer prompts, context, and system architecture for LLMs, balancing technical rigor with practical user needs
* Build validation pipelines and evaluation benchmarks for LLM outputs, ensuring correctness, safety, and alignment with user expectations
* Build and maintain RAG pipelines and LLM\-powered data workflows
* Develop cloud\-native solutions on AWS (Lambda, S3, ECS, SageMaker, Step Functions), architecting for LLM\-specific constraints
* Translate user feedback and field insights into product direction, influencing what gets built based on real\-world needs
* Build trust across engineering, product, and business teams; mentor others on AI technologies and best practices
* Identify edge cases, diagnose failure modes, and shape how AI systems learn and improve over time
* Design reliable LLM integrations: error handling, retries, circuit breakers, and monitoring for hallucinations and quality drift
* Optimize LLM API costs through caching, batching, and model selection
* Implement security controls against prompt injection and LLM attack vectors
**Minimum Requirements**
* Strong experience with SQL databases (PostgreSQL, MySQL) and familiarity with NoSQL (MongoDB, DynamoDB, Redis)
* Hands\-on LLM integration experience: prompt engineering and context management
* Proficiency in AWS and infrastructure\-as\-code (Terraform, CloudFormation)
* Solid understanding of microservices and containers (Docker, Kubernetes)
* 4\-year college degree (or higher) in Computer Science or related field
* 3–5 years software engineering with production LLM experience
* Ability to work onsite in our Jupiter, FL office
* Experience working with users to understand needs and iterate on solutions
* Strong problem\-solving orientation: outcomes and empathy over process
* Demonstrated ability to detect and mitigate LLM hallucinations
* Experience with RAG pipelines: embeddings, chunking, vector databases
* Awareness of LLM security risks and mitigation strategies
**Preferred Skills and Previous Experience**
* Experience building agentic AI systems with tool use, multi\-step reasoning, and safety constraints
* 5\+ years Python development experience
* CI/CD and DevOps experience
* Familiarity with financial data and HIPAA
* Deeply curious and high\-agency: you drive solutions without waiting for direction
* Strong communication: you build trust and translate between technical and business audiences
* Understanding of LLM evaluation: metrics, benchmarks, non\-deterministic testing
**Compensation and Benefits**
* Highly competitive base salary
* Profit sharing bonus
* Health, dental, vision, life, disability insurance
* 401K
Voloridge Investment Management is an SEC registered investment advisor and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143">
      <c r="A143" t="inlineStr">
        <is>
          <t>in-d70eb35868f2f007</t>
        </is>
      </c>
      <c r="B143" t="inlineStr">
        <is>
          <t>Machine Learning Engineer II</t>
        </is>
      </c>
      <c r="C143" t="inlineStr">
        <is>
          <t>Uber</t>
        </is>
      </c>
      <c r="D143" t="inlineStr">
        <is>
          <t>indeed</t>
        </is>
      </c>
      <c r="E143">
        <f>HYPERLINK("https://www.indeed.com/viewjob?jk=d70eb35868f2f007", "https://www.indeed.com/viewjob?jk=d70eb35868f2f007")</f>
        <v/>
      </c>
      <c r="F143">
        <f>HYPERLINK("https://tnl2.jometer.com/v2/job?jz=5wqzsdd9039c5554dada73bd5dab055722e9fKMAAKAAAAABQ&amp;iis=Job%20Board%20-%20Recruitment%20Marketing&amp;iisn=Indeed%20Organic", "https://tnl2.jometer.com/v2/job?jz=5wqzsdd9039c5554dada73bd5dab055722e9fKMAAKAAAAABQ&amp;iis=Job%20Board%20-%20Recruitment%20Marketing&amp;iisn=Indeed%20Organic")</f>
        <v/>
      </c>
      <c r="G143" t="inlineStr">
        <is>
          <t>Seattle, WA, US</t>
        </is>
      </c>
      <c r="H143" s="3" t="n">
        <v>46061</v>
      </c>
      <c r="I143"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 Basic Qualifications \-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 Preferred Qualifications \-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4">
      <c r="A144" t="inlineStr">
        <is>
          <t>in-bb5a79d3c7273232</t>
        </is>
      </c>
      <c r="B144" t="inlineStr">
        <is>
          <t>Machine Learning Engineer II</t>
        </is>
      </c>
      <c r="C144" t="inlineStr">
        <is>
          <t>Uber</t>
        </is>
      </c>
      <c r="D144" t="inlineStr">
        <is>
          <t>indeed</t>
        </is>
      </c>
      <c r="E144">
        <f>HYPERLINK("https://www.indeed.com/viewjob?jk=bb5a79d3c7273232", "https://www.indeed.com/viewjob?jk=bb5a79d3c7273232")</f>
        <v/>
      </c>
      <c r="F144">
        <f>HYPERLINK("https://tnl2.jometer.com/v2/job?jz=5wqzs9ba846d9c71ca007bd81e92e160622b7KMAAKAAAAABQ&amp;iis=Job%20Board%20-%20Recruitment%20Marketing&amp;iisn=Indeed%20Organic", "https://tnl2.jometer.com/v2/job?jz=5wqzs9ba846d9c71ca007bd81e92e160622b7KMAAKAAAAABQ&amp;iis=Job%20Board%20-%20Recruitment%20Marketing&amp;iisn=Indeed%20Organic")</f>
        <v/>
      </c>
      <c r="G144" t="inlineStr">
        <is>
          <t>San Francisco, CA, US</t>
        </is>
      </c>
      <c r="H144" s="3" t="n">
        <v>46061</v>
      </c>
      <c r="I144"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 Basic Qualifications \-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 Preferred Qualifications \-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5">
      <c r="A145" t="inlineStr">
        <is>
          <t>in-f1765c0b19f67d77</t>
        </is>
      </c>
      <c r="B145" t="inlineStr">
        <is>
          <t>Machine Learning Engineer II - AV Foundations, AV Labs</t>
        </is>
      </c>
      <c r="C145" t="inlineStr">
        <is>
          <t>Uber</t>
        </is>
      </c>
      <c r="D145" t="inlineStr">
        <is>
          <t>indeed</t>
        </is>
      </c>
      <c r="E145">
        <f>HYPERLINK("https://www.indeed.com/viewjob?jk=f1765c0b19f67d77", "https://www.indeed.com/viewjob?jk=f1765c0b19f67d77")</f>
        <v/>
      </c>
      <c r="F145">
        <f>HYPERLINK("https://tnl2.jometer.com/v2/job?jz=5wqzs24ff3d9fab8d0ecbccd08fd03196d38eKMAAKAAAAABQ&amp;iis=Job%20Board%20-%20Recruitment%20Marketing&amp;iisn=Indeed%20Organic", "https://tnl2.jometer.com/v2/job?jz=5wqzs24ff3d9fab8d0ecbccd08fd03196d38eKMAAKAAAAABQ&amp;iis=Job%20Board%20-%20Recruitment%20Marketing&amp;iisn=Indeed%20Organic")</f>
        <v/>
      </c>
      <c r="G145" t="inlineStr">
        <is>
          <t>Sunnyvale, CA, US</t>
        </is>
      </c>
      <c r="H145" s="3" t="n">
        <v>46061</v>
      </c>
      <c r="I145" t="inlineStr">
        <is>
          <t>**About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an ML engineer in AV Labs conducting autonomous vehicle modeling and research, with an emphasis on developing foundational and applied techniques that shape the future of autonomous driving. The ideal candidate will formulate research problems, design and evaluate novel modeling approaches, and influence the direction of large\-scale autonomous systems through strong scientific judgment and execution. You will work cross\-functionally with engineers from AV Labs and partner engineering teams which enables Uber's mission of helping people go anywhere and get anything and earn their way.
\- What You Will Do \-  
* Design and implement cutting\-edge techniques for autonomous vehicle systems.
* Collaborate closely with engineering teams and product teams across AV Labs to integrate modeling approaches into production pipelines.
* Publish and present original research at top\-tier CV and ML conferences.
\- Basic Qualifications \-  
* PhD or MS with equivalent industry experience in Computer Science, Robotics, or a related field.
* Relevant experience in autonomous vehicles or computer vision, with a strong understanding of how research ideas connect to autonomous vehicle systems.
* Demonstrated technical contributions, including publications at leading ML and CV conferences such as CVPR, ICCV, ICLR, NeurIPS, or similar venues.
* Proficiency in Python and modern deep learning frameworks such as PyTorch or TensorFlow; experience with C\+\+ or deploying models in production environments is a plus.
* Strong communication skills and the ability to collaborate effectively with researchers and engineers across teams.
\- Preferred Qualifications \-  
* Experience with autonomous vehicles research.
* Hands\-on experience in training multimodal LLMs for autonomous vehicle systems or relevant computer vision systems.
* Recent publications in one or more of the following areas: 3D perception \&amp; scene understanding, multimodal embedding, diffusion models, gaussian splatting, vision language action models, and world models.
Experience with real\-world product development and deployment.  
*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6">
      <c r="A146" t="inlineStr">
        <is>
          <t>in-f8a9e526692214d2</t>
        </is>
      </c>
      <c r="B146" t="inlineStr">
        <is>
          <t>Senior Machine Learning Engineer</t>
        </is>
      </c>
      <c r="C146" t="inlineStr">
        <is>
          <t>Information Technology Senior Management Forum</t>
        </is>
      </c>
      <c r="D146" t="inlineStr">
        <is>
          <t>indeed</t>
        </is>
      </c>
      <c r="E146">
        <f>HYPERLINK("https://www.indeed.com/viewjob?jk=f8a9e526692214d2", "https://www.indeed.com/viewjob?jk=f8a9e526692214d2")</f>
        <v/>
      </c>
      <c r="F146">
        <f>HYPERLINK("https://jobs.itsmfleaders.org/job/3czxep/senior-machine-learning-engineer/new-york/ny", "https://jobs.itsmfleaders.org/job/3czxep/senior-machine-learning-engineer/new-york/ny")</f>
        <v/>
      </c>
      <c r="G146" t="inlineStr">
        <is>
          <t>New York, NY, US</t>
        </is>
      </c>
      <c r="H146" s="3" t="n">
        <v>46058</v>
      </c>
      <c r="I146" t="inlineStr">
        <is>
          <t>Posted Date
2/06/2026
Description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li-4317454032</t>
        </is>
      </c>
      <c r="B2" t="inlineStr">
        <is>
          <t>Forward Deployed AI Engineer-Palantir Foundry-Senior Associate</t>
        </is>
      </c>
      <c r="C2" t="inlineStr">
        <is>
          <t>PwC</t>
        </is>
      </c>
      <c r="D2" t="inlineStr">
        <is>
          <t>linkedin</t>
        </is>
      </c>
      <c r="E2" t="inlineStr"/>
      <c r="F2" t="inlineStr"/>
      <c r="G2" t="inlineStr">
        <is>
          <t>San Francisco, CA</t>
        </is>
      </c>
      <c r="H2" t="inlineStr"/>
      <c r="I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li-4317433886</t>
        </is>
      </c>
      <c r="B3" t="inlineStr">
        <is>
          <t>Forward Deployed AI Engineer-Palantir Foundry-Senior Associate</t>
        </is>
      </c>
      <c r="C3" t="inlineStr">
        <is>
          <t>PwC</t>
        </is>
      </c>
      <c r="D3" t="inlineStr">
        <is>
          <t>linkedin</t>
        </is>
      </c>
      <c r="E3" t="inlineStr"/>
      <c r="F3" t="inlineStr"/>
      <c r="G3" t="inlineStr">
        <is>
          <t>Richmond, VA</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li-4317446510</t>
        </is>
      </c>
      <c r="B4" t="inlineStr">
        <is>
          <t>Forward Deployed AI Engineer-Palantir Foundry-Senior Associate</t>
        </is>
      </c>
      <c r="C4" t="inlineStr">
        <is>
          <t>PwC</t>
        </is>
      </c>
      <c r="D4" t="inlineStr">
        <is>
          <t>linkedin</t>
        </is>
      </c>
      <c r="E4" t="inlineStr"/>
      <c r="F4" t="inlineStr"/>
      <c r="G4" t="inlineStr">
        <is>
          <t>Houston, TX</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li-4317444506</t>
        </is>
      </c>
      <c r="B5" t="inlineStr">
        <is>
          <t>Forward Deployed AI Engineer-Palantir Foundry-Senior Associate</t>
        </is>
      </c>
      <c r="C5" t="inlineStr">
        <is>
          <t>PwC</t>
        </is>
      </c>
      <c r="D5" t="inlineStr">
        <is>
          <t>linkedin</t>
        </is>
      </c>
      <c r="E5" t="inlineStr"/>
      <c r="F5" t="inlineStr"/>
      <c r="G5" t="inlineStr">
        <is>
          <t>Fayetteville, AR</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li-4370529996</t>
        </is>
      </c>
      <c r="B6" t="inlineStr">
        <is>
          <t>Applied Scientist II, Amazon Industrial Robotics</t>
        </is>
      </c>
      <c r="C6" t="inlineStr">
        <is>
          <t>Amazon</t>
        </is>
      </c>
      <c r="D6" t="inlineStr">
        <is>
          <t>linkedin</t>
        </is>
      </c>
      <c r="E6" t="inlineStr"/>
      <c r="F6" t="inlineStr"/>
      <c r="G6" t="inlineStr">
        <is>
          <t>Massachusetts, United States</t>
        </is>
      </c>
      <c r="H6" t="inlineStr"/>
      <c r="I6"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PhD, or Master's degree and 4\+ years of CS, CE, ML or related field experience
* Experience with state\-of\-the\-art in robotic manipulation models
* Experience with data generation in simulation and real world
* Experience in developing techniques that utilize multi\-modal sensor data from the arm and hands
**Preferred Qualifications**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A3173326</t>
        </is>
      </c>
    </row>
    <row r="7">
      <c r="A7" t="inlineStr">
        <is>
          <t>li-4346455188</t>
        </is>
      </c>
      <c r="B7" t="inlineStr">
        <is>
          <t>Sr Applied Scientist - Analytics AI, AI Core Infra - AI Analytics and Insights</t>
        </is>
      </c>
      <c r="C7" t="inlineStr">
        <is>
          <t>Amazon</t>
        </is>
      </c>
      <c r="D7" t="inlineStr">
        <is>
          <t>linkedin</t>
        </is>
      </c>
      <c r="E7" t="inlineStr"/>
      <c r="F7" t="inlineStr"/>
      <c r="G7" t="inlineStr">
        <is>
          <t>Seattle, WA</t>
        </is>
      </c>
      <c r="H7" t="inlineStr"/>
      <c r="I7" t="inlineStr">
        <is>
          <t>**Description**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**Role Overview**
 Being that this is for a conversational AI position, here is what our bot replied when we prompted it for a job description of who should help build it: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A3149459</t>
        </is>
      </c>
    </row>
    <row r="8">
      <c r="A8" t="inlineStr">
        <is>
          <t>li-4370544367</t>
        </is>
      </c>
      <c r="B8" t="inlineStr">
        <is>
          <t>AI Engineer - Entry to Expert Level (Maryland)</t>
        </is>
      </c>
      <c r="C8" t="inlineStr">
        <is>
          <t>National Security Agency</t>
        </is>
      </c>
      <c r="D8" t="inlineStr">
        <is>
          <t>linkedin</t>
        </is>
      </c>
      <c r="E8" t="inlineStr"/>
      <c r="F8" t="inlineStr"/>
      <c r="G8" t="inlineStr">
        <is>
          <t>Fort Meade, MD</t>
        </is>
      </c>
      <c r="H8" t="inlineStr"/>
      <c r="I8" t="inlineStr">
        <is>
          <t>**Responsibilities**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
**How To Apply \- External**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You will be asked to certify that you are using your own words and did not use a consultant or artificial intelligence (AI) such as a large language model (LLM) like ChatGPT or Copilot. (Please attach in application)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in this role? Identify one or two relevant Executive Orders or policy initiatives that are significant to you, and explain how you would help implement them if hired. 4\. How has a strong work ethic contributed to your professional, academic or personal achievements? Provide one or two specific examples, and explain how those qualities would enable you to serve effectively in this position. Apply soonest, as job postings can close earlier than stated end dates due to changes in requirements. It is important to review and note the minimum qualifications, as only those applicants who meet the required qualifications will be contacted to continue the employment process. Please populate the resume tool to showcase any relevant work experience and education related to the position and answer any applicable screening questions. Information collected will be used to determine eligibility, and failure to provide accurate information may result in disqualification for this position. A confirmation email will be sent after submission of the first application and also after any future updates to submitted applications. \*\*Due to time sensitive communications regarding applications, please ensure your spam filters are configured to accept email from noreply@intelligencecareers.gov. For job vacancies that include stated testing requirements, also include the following: @uwe.nsa.gov, @nsa.gov, and @pearson.com\*\* U.S. Citizenship is required for all applicants. NSA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Reasonable accommodations may be provided to applicants with disabilities during the application and hiring process where appropriate.
**DCIPS Disclaimer**
* VETERANS AND TRANSITIONING SERVICE MEMBERS\*\* Thank you for your service! The National Security Agency (NSA) is part of the Defense Civilian Intelligence Personnel System (DCIPS). All positions at NSA are in the Excepted Service under Title 10, United States Codes (U.S.C.), Section 1601 appointment authority. Veterans' Preference In accordance with the procedures provided in DoD Instruction 1400\.25, Volume 2005, "DoD Civilian Personnel Management System: Defense Civilian Intelligence Personnel System Employment and Placement," NSA applies veterans' preference, as defined by Section 2108 of Title 5, U.S.C., to eligible candidates. If you are claiming veterans' preference, you are required to provide acceptable documentation of your preference eligibility upon application. Acceptable documentation includes: \- DD\-214: "Certificate of Release or Discharge from Active Duty," which shows dates of service and discharge under honorable conditions (Copy 4\); OR \- Certification of Service: A written document on letterhead from the appropriate branch of the armed forces that certifies the service member is expected to be discharged or released from active duty service in the armed forces under honorable conditions not later than 120 days after the date the certification is signed. The certification should include the military service dates, including the expected discharge or release date; AND \- Standard Form 15 (SF\-15\) Application for 10\-point Veteran Preference (http://www.opm.gov/forms/pdf\_fill/sf15\.pdf). If you are claiming a service\-connected disability of 30 percent or more, the documentation you provide must specifically demonstrate this level of disability; AND \- VA Letter of Disability (for 10pt and Sole Survivorship rating) You may obtain a letter from the Department of Veterans Affairs reflecting your level of disability for preference eligibility by visiting a VA Regional Office, contacting a VA call center, or online (https://www.ebenefits.va.gov/). \*\*Failure to provide sufficient documentation of veterans' preference eligibility may preclude NSA from identifying you as a preference eligible candidate during the hiring selection process.
**Skills**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t>
        </is>
      </c>
    </row>
    <row r="9">
      <c r="A9" t="inlineStr">
        <is>
          <t>li-4370548540</t>
        </is>
      </c>
      <c r="B9" t="inlineStr">
        <is>
          <t>Generative AI / Machine Learning Engineer (Cloud – AWS)</t>
        </is>
      </c>
      <c r="C9" t="inlineStr">
        <is>
          <t>Largeton Group</t>
        </is>
      </c>
      <c r="D9" t="inlineStr">
        <is>
          <t>linkedin</t>
        </is>
      </c>
      <c r="E9" t="inlineStr"/>
      <c r="F9" t="inlineStr"/>
      <c r="G9" t="inlineStr">
        <is>
          <t>Middletown, NJ</t>
        </is>
      </c>
      <c r="H9" t="inlineStr"/>
      <c r="I9" t="inlineStr">
        <is>
          <t>**Job Summary (List Format): Generative AI / Machine Learning Engineer (Cloud – AWS)**
* Utilize and leverage state\-of\-the\-art machine learning tools to generate new text, images, code, and audio from user prompts.
* Employ leading generative AI tools such as ChatGPT and Claude for text, Midjourney and Stable Diffusion for images, and GitHub Copilot for coding assistance.
* Enhance productivity in content creation, design, and software development using AI\-driven solutions.
* Perform code migration tasks, including converting legacy Java applications to newer Java versions.
* Upgrade and modernize legacy C\+\+ applications to newer versions.
* Collaborate in a hybrid work environment (3 days onsite) in Dallas Plano, TX or Middletown, NJ—local candidates only.
* Target candidates: recent graduates with 3\-5 years of experience in AI/ML and cloud technologies.
* Participate in interviews conducted via web or in person.
* Long\-term contract; no H1B/COT/OPT candidates.</t>
        </is>
      </c>
    </row>
    <row r="10">
      <c r="A10" t="inlineStr">
        <is>
          <t>li-4370575327</t>
        </is>
      </c>
      <c r="B10" t="inlineStr">
        <is>
          <t>Machine Learning Engineer</t>
        </is>
      </c>
      <c r="C10" t="inlineStr">
        <is>
          <t>Rec Gen</t>
        </is>
      </c>
      <c r="D10" t="inlineStr">
        <is>
          <t>linkedin</t>
        </is>
      </c>
      <c r="E10" t="inlineStr"/>
      <c r="F10" t="inlineStr"/>
      <c r="G10" t="inlineStr">
        <is>
          <t>Palo Alto, CA</t>
        </is>
      </c>
      <c r="H10" t="inlineStr"/>
      <c r="I10" t="inlineStr">
        <is>
          <t>Senior Machine Learning Engineer
 On\-site \| Palo Alto, California
 Confidential search via external partner
 Overview
 I am representing a well\-funded, early\-stage Silicon Valley startup building a core AI platform from first principles. This is a zero\-to\-one role with real technical ownership, working closely with experienced founders and a small senior engineering team.
 This is a hands\-on engineering role. Not research\-only. Not people management. You will design, build, and ship production ML systems that power real customer\-facing products.
 What this role actually is
 You own ML systems end to end, from problem framing to production impact
 You make architectural decisions, not just model choices
 You decide when ML is the right solution and when it is not
 You build systems that are fast, reliable, observable, and cost\-efficient
 You operate close to product, code, and infrastructure
 This role suits engineers who enjoy ambiguity, responsibility, and building foundational systems rather than iterating on legacy stacks.
 Responsibilities
* Design, build, and deploy production\-grade ML systems solving real\-world problems
* Develop models for high\-quality parsing and extraction across structured and semi\-structured data, including HTML
* Select the right technical approach per problem, including fine\-tuning, RAG, reinforcement learning, hybrid systems, or deterministic solutions
* Fine\-tune and RL\-train models as needed, iterating based on live performance
* Optimise systems for low latency and low cost without sacrificing quality
* Own the full ML lifecycle: data collection, feature engineering, training, evaluation, deployment, monitoring, and iteration
* Build scalable ML pipelines and low\-latency inference systems suitable for production
* Collaborate closely with product and platform engineers to integrate ML into customer\-facing applications
* Define best practices around experimentation, model versioning, evaluation, and monitoring
 Requirements
* 10\+ years of experience in machine learning, applied AI, or related engineering roles
* Strong fundamentals in machine learning, statistics, and algorithms
* Demonstrated experience deploying ML systems into production environments
* Deep hands\-on experience with Python and ML frameworks such as PyTorch, TensorFlow, or scikit\-learn
* Experience with LLMs, embeddings, fine\-tuning, RAG pipelines, and reinforcement learning
* Experience optimising production systems for performance, latency, and cost
* Familiarity with modern ML infrastructure and data stacks, including cloud platforms, feature stores, vector databases, and orchestration tools
* Ability to operate effectively in fast\-moving, ambiguous startup environments
 Nice to have
* Experience building parsing, extraction, or transformation systems
* Background in personalization, search, recommender systems, or NLP
* Early\-stage startup experience or building systems from scratch
* Prior mentorship or technical leadership experience
* Experience working with privacy\-sensitive or regulated data
 Why strong candidates engage with this role
 True zero\-to\-one ML ownership
 Direct access to founders and architectural influence
 Real\-world ML problems, not demos or research theatre
 High accountability and high trust environment
 Competitive compensation, meaningful equity, long\-term upside
 If interested, reply with your resume.</t>
        </is>
      </c>
    </row>
    <row r="11">
      <c r="A11" t="inlineStr">
        <is>
          <t>li-4370568695</t>
        </is>
      </c>
      <c r="B11" t="inlineStr">
        <is>
          <t>Senior Machine Learning Engineer, AI Automation</t>
        </is>
      </c>
      <c r="C11" t="inlineStr">
        <is>
          <t>Unity</t>
        </is>
      </c>
      <c r="D11" t="inlineStr">
        <is>
          <t>linkedin</t>
        </is>
      </c>
      <c r="E11" t="inlineStr"/>
      <c r="F11" t="inlineStr"/>
      <c r="G11" t="inlineStr">
        <is>
          <t>Mountain View, CA</t>
        </is>
      </c>
      <c r="H11" t="inlineStr"/>
      <c r="I11" t="inlineStr">
        <is>
          <t>**The opportunity**
 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offers the chance to solve complex system challenges at massive scale while directly influencing Unity’s revenue growth.
**What You'll Be Doing**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**What We're Looking For**
* You have a Bachelor’s/Master’s level degree in computer science or relevant engineering\-related field or equivalent experience.
* You have 8\-10\+ years of software engineering experience, including 1\-2\+ years working on AI\-powered systems or products.
* You have a good foundational knowledge of or hands\-on experience with LLM orchestration frameworks (e.g., LangChain, LlamaIndex, Semantic Kernel) and prompt engineering using LLM APIs.
* Deep GenAI Knowledge: Expertise in LLM integration, prompt engineering, and the technical trade\-offs of different model architectures for specific ad\-tech use cases.
* RAG \&amp; Data Engineering: Hands\-on experience with vector stores (e.g., Pinecone, Milvus, Weaviate), embedding models, and data orchestration for context\-aware AI.
* MCP Protocol Mastery: Familiarity with the Model Context Protocol (MCP) to build interoperable "plug\-and\-play" connections between AI models and local or remote data sources.
* Scalable Backend Foundations: Strong proficiency in Java, Go, or Python, with a background in building large\-scale distributed systems and real\-time data pipelines (Kafka, Flink, or Spark).
* Experimental Mindset: A "zero\-to\-one" approach to engineering, comfortable with rapid prototyping and iterative testing in a fast\-paced environment.
**You might also have**
* Ad\-Tech Domain Context: Understanding of auction mechanics, bidding algorithms, or advertiser delivery funnels.
**Additional Information**
*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$192,600—$288,800 USD</t>
        </is>
      </c>
    </row>
    <row r="12">
      <c r="A12" t="inlineStr">
        <is>
          <t>li-4361769350</t>
        </is>
      </c>
      <c r="B12" t="inlineStr">
        <is>
          <t>AI Engineer</t>
        </is>
      </c>
      <c r="C12" t="inlineStr">
        <is>
          <t>Vorto</t>
        </is>
      </c>
      <c r="D12" t="inlineStr">
        <is>
          <t>linkedin</t>
        </is>
      </c>
      <c r="E12" t="inlineStr"/>
      <c r="F12" t="inlineStr"/>
      <c r="G12" t="inlineStr">
        <is>
          <t>Denver, CO</t>
        </is>
      </c>
      <c r="H12" t="inlineStr"/>
      <c r="I12" t="inlineStr">
        <is>
          <t>**AI Engineer** 
**Location** 
 : Denver, CO
**About Vorto** 
 Vorto is on a mission to improve America’s Supply Chain efficiency and sustainability. Vorto uses AI technology to reduce empty miles and idle time created in matching shippers and truckers. Additionally, it deploys an AI agentic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**About the Role** 
 We are looking for an
 **AI Engineer**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
 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
 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
 If you want to build AI that actually runs the real world — not demos, not prototypes, but production systems moving billions in freight — this is the role.
**Essential Duties and Responsibilities:** 
* Fine\-tune large language models (LLMs) including LLaMA, Mistral, and Falcon on proprietary datasets to enhance performance in automation and customer support workflows.
* Design and deploy AI agents capable of task execution and decision\-making, leveraging retrieval\-augmented generation (RAG) to improve accuracy and relevance.
* Integrate embedding databases (ChromaDB, FAISS) and graph\-based retrieval (G\-RAG) using Neo4j to boost knowledge retrieval efficiency and contextual understanding.
* Optimize and deploy models using vLLM, TensorRT, and DeepSpeed for low\-latency, scalable inference on Google Cloud and Kubernetes\-based infrastructure.
* Solve complex problems using mechanistic and statistical approaches.
* Develop predictive models for commodity demand, supply forecasting, ETA predictions, and delay detection.
* Optimize logistics simulations and market algorithms to improve operational efficiency.
* Other duties as assigned.
**Requirements:** 
* Experience with ML frameworks such as TensorFlow, PyTorch, or Keras.
* Solid background in algorithms, optimization, neural networks, and reinforcement learning.
* Proven track record of independently delivering complex engineering and ML projects.
* Familiarity with path and function optimization methods including linear programming and simulation\-based search techniques.
* Advanced degree (MS/PhD preferred) in a quantitative field such as Computer Science, Applied Math, or Engineering.
**Compensation:** 
 $120\-500K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AD\&amp;D, Critical Illness, Hospital Indemnity, and Accident Protection Insurance
* Tuition Assistance
* Employee Assistance Program (EAP)
* Free or discounted legal program
* We supply the industry's best hardware and productivity software
*Vorto is an Equal Opportunity Employer.* 
*Disclaimer: This job description is not designed to cover or contain a comprehensive listing of activities, duties or responsibilities that are required of the employee. Other duties, responsibilities and activities may change or be assigned.*</t>
        </is>
      </c>
    </row>
    <row r="13">
      <c r="A13" t="inlineStr">
        <is>
          <t>li-4370565082</t>
        </is>
      </c>
      <c r="B13" t="inlineStr">
        <is>
          <t>Machine Learning Engineer</t>
        </is>
      </c>
      <c r="C13" t="inlineStr">
        <is>
          <t>ServiceNow</t>
        </is>
      </c>
      <c r="D13" t="inlineStr">
        <is>
          <t>linkedin</t>
        </is>
      </c>
      <c r="E13" t="inlineStr"/>
      <c r="F13" t="inlineStr"/>
      <c r="G13" t="inlineStr"/>
      <c r="H13" t="inlineStr"/>
      <c r="I13" t="inlineStr">
        <is>
          <t>**About The Company** 
 Founded in 2004 in sunny San Diego, California, ServiceNow has grown into a global leader in cloud computing and enterprise automation. Driven by a vision to transform how organizations work, ServiceNow offers an intelligent cloud platform that seamlessly connects people, systems, and processes. Serving over 8,100 customers worldwide, including 85% of the Fortune 500®, the company is dedicated to delivering innovative AI\-enhanced technology solutions. With a commitment to making work smarter, faster, and more efficient, ServiceNow continues to pioneer advancements in AI, automation, and digital workflows. Its purpose is to improve the way the world works, fostering a more productive and connected environment for businesses and individuals alike.
**About The Role** 
 We are seeking a highly skilled Staff Machine Learning Engineer to join our Platform Engineering and AI Technology Organization (PLATO) at ServiceNow. This role is pivotal in building and evolving our AI platform, focusing on infrastructure, deployment, and observability features that support AI workloads. The successful candidate will collaborate closely with researchers, AI engineers, and infrastructure teams to optimize GPU cluster performance, scalability, and reliability. Your expertise will contribute to the continuous improvement of our Site Reliability Engineering (SRE) practices by translating operational needs into software solutions and automations. You will be involved in deploying and supporting AI/ML development activities, ensuring high\-quality, scalable, and reusable code adhering to best practices in software engineering. This position requires presence in our Santa Clara office two days per week and offers an exciting opportunity to work at the forefront of AI technology within a dynamic and innovative environment.
**Qualifications** 
* 4\+ years of software development experience with Python, GoLang, Java, or similar languages
* 4\+ years of experience operating highly available distributed workloads on Kubernetes following a DevOps approach
* Proficiency in prompt engineering and developing features based on Large Language Models (LLMs)
* Experience with operating LLMs on NVIDIA GPUs
* Hands\-on experience building VoIP systems using SIP protocol and SBC/PBX/PSTN infrastructures
* Familiarity with AI productivity tools such as Cursor, Windsurf, etc.
* Strong knowledge of Linux\-based distributed systems and J2EE
* Experience with DevOps tools including Helm, Ansible, Prometheus, Splunk, GitLab CI
* Understanding of software\-defined networking, infrastructure as code, and configuration management
* Experience developing secure and compliant software for regulated environments
* Asset: 4\+ years of experience in platform operations, deployments, SRE, and continuous platform improvement
**Responsibilities** 
* Design, develop, and implement infrastructure, platform, deployment, and observability features that support AI workloads
* Collaborate with research, AI engineering, and infrastructure teams to optimize GPU cluster performance and scalability
* Enhance SRE practices by translating operational use cases into software tooling requirements
* Execute deployment and support activities for AI/ML developers, ensuring smooth operations
* Write high\-quality, scalable, and reusable code following best practices such as code reviews and unit testing
* Work closely with product owners to understand detailed requirements and deliver high\-quality solutions
* Operate and maintain large language models (LLMs) on NVIDIA GPUs efficiently
* Mentor colleagues, promote knowledge sharing, and foster a collaborative team environment
* Drive outcomes in projects involving significant technical risk and complexity
**Benefits** 
* Competitive base salary ranging from $173,100 to $303,000, depending on location and experience
* Equity options (when applicable) and variable/incentive compensation
* Comprehensive health plans including flexible spending accounts
* 401(k) plan with company match
* Employee Stock Purchase Plan (ESPP)
* Matching donations program
* Flexible time\-off policies and family leave programs
* Opportunities for continuous learning and professional development
 Equal Opportunity
 ServiceNow is an equal opportunity employer. We are committed to creating an inclusive environment where all qualified applicants receive consideration for employment without regard to race, color, creed, religion, sex, sexual orientation, gender identity or expression, national origin, age, disability, veteran status, or any other protected category. We also consider qualified applicants with arrest or conviction records in accordance with applicable laws.</t>
        </is>
      </c>
    </row>
    <row r="14">
      <c r="A14" t="inlineStr">
        <is>
          <t>li-4182357321</t>
        </is>
      </c>
      <c r="B14" t="inlineStr">
        <is>
          <t>Machine Learning Engineer, Core Engineering</t>
        </is>
      </c>
      <c r="C14" t="inlineStr">
        <is>
          <t>Pinterest</t>
        </is>
      </c>
      <c r="D14" t="inlineStr">
        <is>
          <t>linkedin</t>
        </is>
      </c>
      <c r="E14" t="inlineStr"/>
      <c r="F14" t="inlineStr"/>
      <c r="G14" t="inlineStr">
        <is>
          <t>Palo Alto, CA</t>
        </is>
      </c>
      <c r="H14" t="inlineStr"/>
      <c r="I1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5">
      <c r="A15" t="inlineStr">
        <is>
          <t>li-4361824966</t>
        </is>
      </c>
      <c r="B15" t="inlineStr">
        <is>
          <t>AI/ML Engineer</t>
        </is>
      </c>
      <c r="C15" t="inlineStr">
        <is>
          <t>ChabezTech LLC</t>
        </is>
      </c>
      <c r="D15" t="inlineStr">
        <is>
          <t>linkedin</t>
        </is>
      </c>
      <c r="E15" t="inlineStr"/>
      <c r="F15" t="inlineStr"/>
      <c r="G15" t="inlineStr">
        <is>
          <t>Alpharetta, GA</t>
        </is>
      </c>
      <c r="H15" t="inlineStr"/>
      <c r="I15" t="inlineStr">
        <is>
          <t>**Job Title:** 
 AI/ML Engineer
**Location:** 
 Alpharetta, GA (Day 1 Onsite)
**Experience:** 
 8–12 Years
**Company:** 
 ChabezTech
**Employment Type:** 
 Full\-time (In\-house Product Development)
**About ChabezTech** 
 ChabezTech is a Data Engineering \&amp; AI Products company headquartered in Pennsylvania, focused on building scalable data and AI solutions that drive operational and customer excellence. We design and develop in\-house platforms and products that help enterprises modernize, automate, and innovate using data and AI.
**About the Role** 
 ChabezTech is hiring an experienced
 **AI/ML Engineer** 
 to work on our
 **in\-house AI and data products** 
 . This is not a client\-side or contract role—you will be part of our core engineering team building, deploying, and scaling machine learning solutions that power our own platforms and products.
 You will own the end\-to\-end ML lifecycle, from model development to production deployment, and work closely with product, data, and engineering teams to deliver reliable, scalable AI solutions.
**Key Responsibilities** 
* Design, develop, and deploy machine learning models for real\-world, production use cases
* Build and integrate ML models into applications using REST APIs
* Optimize model performance, scalability, and reliability
* Collaborate with data scientists, software engineers, and product teams
* Implement best practices for model monitoring, versioning, and retraining
* Work with cloud\-based ML platforms to manage the full model lifecycle
**Mandatory Skills** 
* Strong experience in machine learning model development and deployment
* Hands\-on experience integrating ML models via REST APIs
* Solid understanding of ML algorithms and production ML pipelines
* Experience working in enterprise\-scale environments
**Preferred Skills** 
* Experience with Natural Language Processing (NLP)
* Hands\-on exposure to deep learning frameworks (TensorFlow, PyTorch, etc.)
* Experience with cloud ML platforms such as AWS SageMaker or Azure AI
* Familiarity with containerization and MLOps practices
**Qualifications** 
* Bachelor’s or Master’s degree in Computer Science, Engineering, or a related field
* 8–12 years of relevant experience in AI/ML engineering roles
* Strong problem\-solving and communication skills
**Why Join ChabezTech?** 
* Work on
 **core in\-house AI and data products** 
 , not short\-term client projects
* Be part of a team focused on operational excellence and scalable platforms
* Opportunity to work across MLOps, data governance, security, and AI integration
* Flexible, product\-driven environment with real impact on business outcomes
***Thanks \&amp; Regards***
***Utsav Burman***
***Head North America Ops***
***ChabezTech LLC***
***4 Lemoyne Dr \#102, Lemoyne, PA 17043, USA***
***Phone: \+1\-717\-441\-5440 (US) \| \+91\-8097 164 089 ( India )***
***Email: utsav@chabeztech.com \| www.chabeztech.com***
***GSA Multiple Award Schedule (MAS) \| E\-Verify Company***</t>
        </is>
      </c>
    </row>
    <row r="16">
      <c r="A16" t="inlineStr">
        <is>
          <t>li-4366795306</t>
        </is>
      </c>
      <c r="B16" t="inlineStr">
        <is>
          <t>Machine Learning Engineer</t>
        </is>
      </c>
      <c r="C16" t="inlineStr">
        <is>
          <t>Talent Stack</t>
        </is>
      </c>
      <c r="D16" t="inlineStr">
        <is>
          <t>linkedin</t>
        </is>
      </c>
      <c r="E16" t="inlineStr"/>
      <c r="F16" t="inlineStr"/>
      <c r="G16" t="inlineStr"/>
      <c r="H16" t="inlineStr"/>
      <c r="I16" t="inlineStr">
        <is>
          <t>**Member of Technical Staff – Machine Learning Engineer (Secret Clearance)** 
**Location: Washington, DC (Hybrid – DMV) travel to SCIF's as needed** 
**Clearance: Active and transferable Secret Clearance** 
**Salary: $150,000\-$215,000 and 5000 of equity shares** 
 Talent Stack is supporting a confidential, defense\-focused technology client in hiring a Machine Learning Engineer to build and deploy production\-grade AI applications in mission\-critical environments.
**About the Role:** 
**This role is ideal for engineers who enjoy working across machine learning, data engineering, and software engineering, with a strong emphasis on systems design, performance, and real\-world deployment. The work directly supports high\-impact programs in secure and regulated settings. This is NOT a Data Science role.** 
**What We’re Looking For:** 
* Engineers with hands\-on experience deploying ML systems into production
* Strong software engineering fundamentals, not research\-only or experimentation\-focused profiles
* Comfort working across ML models, backend services, and data pipelines
* Experience improving performance, scalability, and reliability of deployed systems
* Engineers who value ownership, maintainability, and usability
* Willingness to work on\-site in secure DC\-area environments (SCIFs) as required
**What You’ll Do:** 
* Design, build, and maintain production ML systems using Python
* Lead platform and system upgrades to improve scalability and performance
* Develop interactive, user\-facing analytics dashboards using a Python\-based SDK
* Optimize data access patterns and runtime performance
* Troubleshoot and resolve issues in live, mission\-critical applications
* Partner closely with Technical Product Managers to enhance usability and delivery
**Required Qualifications:** 
* 4\+ years of professional experience as an ML Engineer, Software Engineer, or similar
* Bachelors degree from a top US based Computer Science program/STEM related degree.
* 4\+ years of Python engineering experience in production environments
* Proven experience deploying and maintaining ML models in live systems
* Solid understanding of software engineering best practices (testing, version control, performance, maintainability)
* Experience working in security\-sensitive, regulated, or mission\-critical environments
* Active Secret clearance
* Prior experience supporting DoD, IC, or federal customers
* Strong systems and performance optimization experience
* Experience building user\-facing analytics or decision\-support tools
**Work Environment:** 
* **Hybrid role based in Washington, DC**
* **40\-hour work week with flexible start/end times**
* **Core hours: 10am–4pm**
* **On\-site work in SCIFs required based on project needs**
* **Occasional travel to U.S. customer sites**
* **Visa sponsorship not available, Must be a US citizen**
**Active and transferable U.S. government–issued security clearance is required prior to start date. Candidates must currently hold an active Secret, (TS) or TS/SCI clearance.** 
**U.S. citizenship is required, as only U.S. citizens are eligible for a security clearance.** 
**Recruitment Agencies Disclaimer:** 
 This position is posted for direct applicants only. We kindly request that external recruiters, staffing agencies, or search firms refrain from submitting candidates. Unsolicited resumes will be treated as direct applications, and no agency fees will be honored.
 Reference \# P3</t>
        </is>
      </c>
    </row>
    <row r="17">
      <c r="A17" t="inlineStr">
        <is>
          <t>li-4182358258</t>
        </is>
      </c>
      <c r="B17" t="inlineStr">
        <is>
          <t>Machine Learning Engineer, Core Engineering</t>
        </is>
      </c>
      <c r="C17" t="inlineStr">
        <is>
          <t>Pinterest</t>
        </is>
      </c>
      <c r="D17" t="inlineStr">
        <is>
          <t>linkedin</t>
        </is>
      </c>
      <c r="E17" t="inlineStr"/>
      <c r="F17" t="inlineStr"/>
      <c r="G17" t="inlineStr">
        <is>
          <t>Seattle, WA</t>
        </is>
      </c>
      <c r="H17" t="inlineStr"/>
      <c r="I1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8">
      <c r="A18" t="inlineStr">
        <is>
          <t>li-4366898356</t>
        </is>
      </c>
      <c r="B18" t="inlineStr">
        <is>
          <t>AI/ML Engineer – (Next-Generation AI Platforms &amp; Workloads)</t>
        </is>
      </c>
      <c r="C18" t="inlineStr">
        <is>
          <t>VeeAR Projects Inc.</t>
        </is>
      </c>
      <c r="D18" t="inlineStr">
        <is>
          <t>linkedin</t>
        </is>
      </c>
      <c r="E18" t="inlineStr"/>
      <c r="F18" t="inlineStr"/>
      <c r="G18" t="inlineStr">
        <is>
          <t>Sunnyvale, CA</t>
        </is>
      </c>
      <c r="H18" t="inlineStr"/>
      <c r="I18"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19">
      <c r="A19" t="inlineStr">
        <is>
          <t>li-4362270276</t>
        </is>
      </c>
      <c r="B19" t="inlineStr">
        <is>
          <t>Entry-Level Python / AI Engineer</t>
        </is>
      </c>
      <c r="C19" t="inlineStr">
        <is>
          <t>Stealth Startup</t>
        </is>
      </c>
      <c r="D19" t="inlineStr">
        <is>
          <t>linkedin</t>
        </is>
      </c>
      <c r="E19" t="inlineStr"/>
      <c r="F19" t="inlineStr"/>
      <c r="G19" t="inlineStr">
        <is>
          <t>San Francisco, CA</t>
        </is>
      </c>
      <c r="H19" t="inlineStr"/>
      <c r="I19" t="inlineStr">
        <is>
          <t>**About the Role** 
 We’re looking for a motivated Entry\-Level Python / AI Engineer to join our growing engineering team in San Francisco. This role is ideal for recent graduates or early\-career engineers who are passionate about Python, machine learning, and building real\-world AI\-driven products.
 You’ll work closely with senior engineers, data scientists, and product teams to design, build, and deploy intelligent systems that impact real users.
**What You’ll Do** 
* Write clean, efficient Python code for AI/ML\-driven applications
* Assist in developing, training, and evaluating machine learning models
* Work with data pipelines, APIs, and backend services
* Collaborate with cross\-functional teams to translate requirements into solutions
* Debug, test, and optimize models and applications
* Learn and apply best practices in software engineering and AI development
**Requirements (Must\-Have)** 
* Bachelor’s degree in Computer Science, Engineering, AI, or related field (or equivalent experience)
* Strong foundation in Python
* Basic understanding of machine learning concepts (supervised/unsupervised learning)
* Familiarity with libraries such as NumPy, Pandas, scikit\-learn, PyTorch, or TensorFlow
* Understanding of data structures, algorithms, and OOP
* Strong problem\-solving and communication skills
**Nice\-to\-Have** 
* Internship or project experience in AI/ML or data science
* Experience with SQL, APIs, or cloud platforms (AWS, GCP, Azure)
* Exposure to LLMs, NLP, or computer vision
* Git/version control experience
**What We Offer** 
* Competitive base salary up to $150,000
* Mentorship from experienced AI and software engineers
* Opportunity to work on cutting\-edge AI products
* Fast learning, high\-impact environment
* Career growth in AI, ML, and software engineering
**Who Should Apply** 
* Recent graduates or engineers with 0–2 years of experience
* Strong Python skills and a genuine interest in AI/ML
* Curious, driven, and eager to learn in a fast\-paced environment</t>
        </is>
      </c>
    </row>
    <row r="20">
      <c r="A20" t="inlineStr">
        <is>
          <t>li-4370511996</t>
        </is>
      </c>
      <c r="B20" t="inlineStr">
        <is>
          <t>AI/ML Engineer</t>
        </is>
      </c>
      <c r="C20" t="inlineStr">
        <is>
          <t>micro1</t>
        </is>
      </c>
      <c r="D20" t="inlineStr">
        <is>
          <t>linkedin</t>
        </is>
      </c>
      <c r="E20" t="inlineStr"/>
      <c r="F20" t="inlineStr"/>
      <c r="G20" t="inlineStr"/>
      <c r="H20" t="inlineStr"/>
      <c r="I20" t="inlineStr">
        <is>
          <t>**Job Title:** 
 AI/ML Engineer
**Job Type:** 
 Full\-Time, Contractual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1">
      <c r="A21" t="inlineStr">
        <is>
          <t>li-4274340488</t>
        </is>
      </c>
      <c r="B21" t="inlineStr">
        <is>
          <t>Machine Learning Engineer</t>
        </is>
      </c>
      <c r="C21" t="inlineStr">
        <is>
          <t>Razorfish</t>
        </is>
      </c>
      <c r="D21" t="inlineStr">
        <is>
          <t>linkedin</t>
        </is>
      </c>
      <c r="E21" t="inlineStr"/>
      <c r="F21" t="inlineStr"/>
      <c r="G21" t="inlineStr">
        <is>
          <t>Birmingham, MI</t>
        </is>
      </c>
      <c r="H21" t="inlineStr"/>
      <c r="I21" t="inlineStr">
        <is>
          <t>**Company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We’re seeking a Machine Learning Engineer to help design, build, and maintain production\-grade ML systems across cloud platforms. This role blends software engineering and ML expertise to translate prototypes into scalable solutions. You’ll own the full ML lifecycle from development and deployment to monitoring and optimization using tools like Databricks, Vertex AI, and other cloud\-native platforms. Strong technical skills, collaboration, and a passion for delivering AI at scale are essential.
 For this role, we expect the candidate to demonstrate a track record of:
* Collaborating with Data Science teams to deploy ML solutions into production.
* Hands\-on MLOps experience, including model deployment, monitoring, and lifecycle management.
* Designing data warehouses and orchestrating data pipelines to support scalable ML operations.
**Responsibilities**
**ML System Development \&amp; Deployment**
* Design, build, and maintain scalable ML pipelines using cloud services (e.g., Vertex AI, Databricks, SageMaker, Azure ML)
* Develop and integrate microservices, REST APIs, and webhooks for ML model serving
* Implement CI/CD pipelines for automated model training, testing, and deployment
* Create robust data processing workflows for model training and inference
**MLOps \&amp; Infrastructure**
* Build and maintain ML infrastructure using modern MLOps practices and tools (e.g., MLflow, Kubeflow, Vertex AI Pipelines)
* Implement model monitoring, versioning, and performance tracking systems
* Design automated retraining pipelines and manage model lifecycle
* Ensure reliability, scalability, and security of models in production
* Optimize inference performance and cost efficiency across cloud platforms
**Software Engineering Excellence**
* Write clean, maintainable, and well\-documented code following best practices
* Implement comprehensive testing strategies including unit, integration, and model testing
* Contribute to technical design reviews and architecture decisions
* Maintain high code quality standards and participate in code reviews
**Cross\-Functional Collaboration**
* Partner with data scientists to productionize research models and prototypes
* Collaborate with data engineers to design efficient data pipelines and feature stores
* Work with product teams to integrate ML capabilities into customer\-facing applications
* Participate in agile development processes and cross\-functional project planning
* Provide technical guidance and mentorship to junior team members
**Qualifications**
**Education \&amp; Experience**
* Bachelor’s degree in Computer Science, Software Engineering, Data Science, Mathematics, or related field
* 3–4 years of professional experience in ML engineering, software engineering, or data science
* 2\+ years of hands\-on experience deploying and maintaining ML models in production
* Experience working in collaborative, cross\-functional team environments
**Technical Skills**
* Programming Languages: Strong proficiency in Python and SQL (2\+ years)
* ML Frameworks: Experience with XGBoost, TensorFlow, PyTorch, sklearn, or Keras
* Cloud Platforms: Solid hands\-on experience with GCP, AWS, or Azure
* ML Platforms: Practical knowledge of Vertex AI, SageMaker, Azure ML, or Databricks
* Analytics \&amp; Feature Engineering: Proficient with BigQuery, Redshift, Azure Synapse
* Distributed Processing: Skilled in Databricks, Apache Spark, Dataflow, Pub/Sub, Kafka
* Workflow Orchestration: Experience with Airflow, Cloud Composer, Jenkins
* Networking \&amp; Security: Understanding of cloud networking, security, and cost optimization
* MLOps \&amp; DevOps: Familiarity with CI/CD, ML lifecycle management
* API Development: Experience with REST APIs and microservices
* Version Control: Proficiency with Git and collaborative development workflows
**Core Competencies**
* Strong understanding of ML algorithms, model evaluation, and validation
* Experience with data preprocessing, feature engineering, and performance tuning
* Solid software engineering fundamentals and coding best practices
* Awareness of data privacy, security, and ethical AI principles
* Excellent collaboration skills with technical and non\-technical stakeholders
* Self\-driven learner with curiosity about emerging ML technologies
**Preferred Qualifications**
**Advanced Technical Skills**
* MLOps Tools: MLflow, Kubeflow, Vertex AI Pipelines
* Containerization: Docker; basic Kubernetes knowledge
* Specialized ML: Exposure to NLP, computer vision, or deep learning
* Modern ML: Familiarity with LLMs, RAG patterns, transformer architectures
**Professional Experience**
* Agile development and cross\-functional collaboration
* Code review and technical documentation practices
* Interest in mentorship and knowledge sharing
* Experience with model validation and software testing principles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$87,210 to $119,300\.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9/1/25\.</t>
        </is>
      </c>
    </row>
    <row r="22">
      <c r="A22" t="inlineStr">
        <is>
          <t>li-4122325478</t>
        </is>
      </c>
      <c r="B22" t="inlineStr">
        <is>
          <t>Sr. Machine Learning Engineer, Applied Research Science</t>
        </is>
      </c>
      <c r="C22" t="inlineStr">
        <is>
          <t>Pinterest</t>
        </is>
      </c>
      <c r="D22" t="inlineStr">
        <is>
          <t>linkedin</t>
        </is>
      </c>
      <c r="E22" t="inlineStr"/>
      <c r="F22" t="inlineStr"/>
      <c r="G22" t="inlineStr">
        <is>
          <t>Palo Alto, CA</t>
        </is>
      </c>
      <c r="H22" t="inlineStr"/>
      <c r="I2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4\+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Publications at top ML conferences
+ Expertise in scalable realtime systems that process stream data
+ Passion for applied ML and the Pinterest product
+ MS/PhD in Computer Science, ML, NLP, Statistics, Information Sciences,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3">
      <c r="A23" t="inlineStr">
        <is>
          <t>li-4370516720</t>
        </is>
      </c>
      <c r="B23" t="inlineStr">
        <is>
          <t>AI/ML Engineer</t>
        </is>
      </c>
      <c r="C23" t="inlineStr">
        <is>
          <t>micro1</t>
        </is>
      </c>
      <c r="D23" t="inlineStr">
        <is>
          <t>linkedin</t>
        </is>
      </c>
      <c r="E23" t="inlineStr"/>
      <c r="F23" t="inlineStr"/>
      <c r="G23" t="inlineStr">
        <is>
          <t>Virginia, United States</t>
        </is>
      </c>
      <c r="H23" t="inlineStr"/>
      <c r="I23" t="inlineStr">
        <is>
          <t>**Job Title:** 
 AI/ML Engineer
**Job Type:** 
 Full\-Time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4">
      <c r="A24" t="inlineStr">
        <is>
          <t>li-4370520662</t>
        </is>
      </c>
      <c r="B24" t="inlineStr">
        <is>
          <t>AI/ML Engineer</t>
        </is>
      </c>
      <c r="C24" t="inlineStr">
        <is>
          <t>micro1</t>
        </is>
      </c>
      <c r="D24" t="inlineStr">
        <is>
          <t>linkedin</t>
        </is>
      </c>
      <c r="E24" t="inlineStr"/>
      <c r="F24" t="inlineStr"/>
      <c r="G24" t="inlineStr">
        <is>
          <t>Virginia, United States</t>
        </is>
      </c>
      <c r="H24" t="inlineStr"/>
      <c r="I24" t="inlineStr">
        <is>
          <t>**Job Title:** 
 AI/ML Engineer
**Job Type:** 
 Full\-Time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5">
      <c r="A25" t="inlineStr">
        <is>
          <t>li-4362071534</t>
        </is>
      </c>
      <c r="B25" t="inlineStr">
        <is>
          <t>Founding Machine Learning Engineer</t>
        </is>
      </c>
      <c r="C25" t="inlineStr">
        <is>
          <t>Shields Group Search</t>
        </is>
      </c>
      <c r="D25" t="inlineStr">
        <is>
          <t>linkedin</t>
        </is>
      </c>
      <c r="E25" t="inlineStr"/>
      <c r="F25" t="inlineStr"/>
      <c r="G25" t="inlineStr">
        <is>
          <t>San Francisco, CA</t>
        </is>
      </c>
      <c r="H25" t="inlineStr"/>
      <c r="I25"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26">
      <c r="A26" t="inlineStr">
        <is>
          <t>li-4336188526</t>
        </is>
      </c>
      <c r="B26" t="inlineStr">
        <is>
          <t>Machine Learning Engineer, Predictive Maintenance</t>
        </is>
      </c>
      <c r="C26" t="inlineStr">
        <is>
          <t>MaintainX</t>
        </is>
      </c>
      <c r="D26" t="inlineStr">
        <is>
          <t>linkedin</t>
        </is>
      </c>
      <c r="E26" t="inlineStr"/>
      <c r="F26" t="inlineStr"/>
      <c r="G26" t="inlineStr">
        <is>
          <t>San Francisco, CA</t>
        </is>
      </c>
      <c r="H26" t="inlineStr"/>
      <c r="I26" t="inlineStr">
        <is>
          <t>MaintainX is the world’s leading mobile\-first Asset and Work Intelligence platform for industrial and frontline environments. We’re a modern, IoT\-enabled, cloud\-based solution that powers maintenance, safety, and operations on physical equipment and facilities.
 We help 12,000\+ organizations—including Duracell, Univar Solutions, Titan America, McDonald’s, Brenntag, Cintas, Xylem, and Shell—achieve operational excellence and reliability at scale.
 Following our $150 million Series D led by Bain Capital Ventures, Bessemer Ventures, August Capital, Amity Ventures, and Ridge Ventures, MaintainX has raised a total of $254 million, valuing the company at $2\.5 billion.
 As we enter our next phase of growth, we’re investing deeply in AI/ML, LLMs, and Industrial IoT to transform how frontline teams operate—predicting failures before they happen, automating workflows, and embedding intelligence into every asset and procedure.
**What You’ll Do**
* Develop and train machine learning models for fault detection and classification based on time\-series sensor data; including vibration, temperature, pressure, flow etc.
* Perform exploratory data analysis (EDA) on vibration, OT and time\-series data to uncover insights and identify patterns indicative of faults or anomalies.
* Experiment with and evaluate various algorithms, including time\-series modeling, signal processing, and statistical methods, to optimize model performance.
* Collaborate with domain experts to validate findings and ensure alignment with real\-world applications.
* Document workflows, experiments, and methodologies to ensure reproducibility and knowledge sharing across the team.
* On\-call duties
**About You**
* Strong foundational knowledge in machine learning, data science, and statistical modeling.
* Familiarity with time\-series modeling techniques and feature engineering.
* Experience in deploying machine learning models on real\-world use cases and continuously improving the model performance with feedback.
* 3\+ years of proven programming skills using standard ML tools such as Python, PyTorch, Tensorflow etc.
* Master’s or Ph.D. in Computer Science, Data Science, Mechanical Engineering, Electrical Engineering, or a related field with a focus on condition monitoring or machine learning applications.
**Bonus Skills**
* Hands\-on experience developing models for OT and vibration analysis, condition monitoring, and fault detection or classification.
* Familiarity with signal processing techniques (e.g., Fourier transforms, wavelet analysis) and their application to OT and vibration data.
**What’s In It For You**
* Competitive salary and meaningful equity opportunities.
* Healthcare, dental, and vision coverage.
* 401(k) / RRSP enrollment program.
* Take what you need PTO.
* A high impact Culture:
+ You’ll work with Smart, Humble Optimists across the globe.
+ Meritocratic environment where ideas and outcomes are publicly celebrated.
**About Us**
 We exist to make the lives of frontline and maintenance teams easier by building software that meets their real\-world needs. Our product transforms how 80% of the global workforce—those who don’t sit behind a desk—manage their operations, assets, and teams.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27">
      <c r="A27" t="inlineStr">
        <is>
          <t>li-4370524548</t>
        </is>
      </c>
      <c r="B27" t="inlineStr">
        <is>
          <t>AI Engineer</t>
        </is>
      </c>
      <c r="C27" t="inlineStr">
        <is>
          <t>micro1</t>
        </is>
      </c>
      <c r="D27" t="inlineStr">
        <is>
          <t>linkedin</t>
        </is>
      </c>
      <c r="E27" t="inlineStr"/>
      <c r="F27" t="inlineStr"/>
      <c r="G27" t="inlineStr"/>
      <c r="H27" t="inlineStr"/>
      <c r="I27" t="inlineStr">
        <is>
          <t>**Job Title:** 
 AI Engineer
**Job Type:** 
 Full\-Time, Contractual
**Job Summary:** 
 Join our customer’s team as an AI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8">
      <c r="A28" t="inlineStr">
        <is>
          <t>li-3981023528</t>
        </is>
      </c>
      <c r="B28" t="inlineStr">
        <is>
          <t>Sr. Machine Learning Engineer, Monetization Engineering</t>
        </is>
      </c>
      <c r="C28" t="inlineStr">
        <is>
          <t>Pinterest</t>
        </is>
      </c>
      <c r="D28" t="inlineStr">
        <is>
          <t>linkedin</t>
        </is>
      </c>
      <c r="E28" t="inlineStr"/>
      <c r="F28" t="inlineStr"/>
      <c r="G28" t="inlineStr">
        <is>
          <t>San Francisco, CA</t>
        </is>
      </c>
      <c r="H28" t="inlineStr"/>
      <c r="I2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9">
      <c r="A29" t="inlineStr">
        <is>
          <t>li-4370449191</t>
        </is>
      </c>
      <c r="B29" t="inlineStr">
        <is>
          <t>ML Engineer – Automatic Computer Use (Windows)</t>
        </is>
      </c>
      <c r="C29" t="inlineStr">
        <is>
          <t>Lenovo</t>
        </is>
      </c>
      <c r="D29" t="inlineStr">
        <is>
          <t>linkedin</t>
        </is>
      </c>
      <c r="E29" t="inlineStr"/>
      <c r="F29" t="inlineStr"/>
      <c r="G29" t="inlineStr">
        <is>
          <t>Chicago, IL</t>
        </is>
      </c>
      <c r="H29" t="inlineStr"/>
      <c r="I29"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**What You Will Do**
* Design, train, and deploy ML models for computer usage and automated task execution, including UI understanding, system control, and workflow automation
* Build and scale Large Action Models (LAMs) that translate user intent into structured plans, tool calls, and executable actions
* Develop agentic AI pipelines that combine perception (screen, UI, system state), reasoning, planning, and execution with strong reliability guarantees
* Implement and evaluate action execution frameworks, including tool orchestration, sandboxed execution, rollback, and failure recovery
* Train and fine\-tune multimodal models (LLMs, VLMs) for screen understanding, element grounding, and instruction\-following
* Partner with OS, application, and platform teams to integrate AI agents deeply into Windows and cross\-device environments
* Build evaluation systems for task success, robustness, latency, and safety in real\-world computer usage scenarios
* Collaborate with product, UX, and security teams to ensure safe, transparent, and controllable AI behavior
* Stay at the forefront of agentic AI, tool\-using LLMs, large action models, and autonomous execution systems
**Basic Qualifications**
* At least 5 years of experience in ML engineering, applied AI, or intelligent systems
* Bachelor’s Degree in Computer Science, Engineering, or a related technical discipline
* Strong experience with LLMs and/or multimodal models for reasoning, planning, or control
* Hands\-on experience building end\-to\-end ML systems, not just models (training → evaluation → deployment)
* Proficiency in Python and experience with modern ML frameworks (PyTorch, JAX, TensorFlow)
* Experience shipping ML\-powered features into production products
**Preferred Qualifications**
* Experience working on computer usage agents, UI understanding, or automated workflow execution
* Familiarity with Large Action Models (LAMs), tool\-using agents, function calling, or planner–executor architectures
* Experience with multimodal learning, including vision \+ language grounding
* Knowledge of reinforcement learning, imitation learning, or human\-in\-the\-loop training
* Experience deploying ML systems on Windows, Android, or edge devices
* Strong intuition for failure modes, safety, and reliability in autonomous systems
* Passion for building AI that actually does things, not just talks about them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30">
      <c r="A30" t="inlineStr">
        <is>
          <t>li-4331190053</t>
        </is>
      </c>
      <c r="B30" t="inlineStr">
        <is>
          <t>Senior Machine Learning Engineer, Computer Vision</t>
        </is>
      </c>
      <c r="C30" t="inlineStr">
        <is>
          <t>Metropolis Technologies</t>
        </is>
      </c>
      <c r="D30" t="inlineStr">
        <is>
          <t>linkedin</t>
        </is>
      </c>
      <c r="E30" t="inlineStr"/>
      <c r="F30" t="inlineStr"/>
      <c r="G30" t="inlineStr">
        <is>
          <t>Los Angeles, CA</t>
        </is>
      </c>
      <c r="H30" t="inlineStr"/>
      <c r="I30"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We are seeking a Senior Machine Learning Engineer to play a key role to join our growing team. As a key member of the Advanced Technologies team, you will play a critical role in designing, developing, and deploying state\-of\-the\-art computer vision and recommendation models that power our core products and solutions. Your work will involve tackling challenging problems in object detection, tracking, OCR, video analytics, and multi\-modal systems. This role involves a unique blend of technical expertise in data and machine learning, innovative thinking, and a passion for data\-driven solutions.  
 What you'll do
 * Design, develop, and deploy advanced computer vision models for real\-world applications, including object detection, itracking, OCR, image search, and scene understanding
* Build and optimize deep learning models, ensuring high accuracy, performance, and scalability for deployment in production environments
* Explore and integrate multi\-modal approaches, leveraging visual, textual, and other data modalities for robust solutions
* Collaborate with cross\-functional teams, including data engineers and software engineers to deliver end\-to\-end solutions
* Lead the design and implementation of scalable pipelines for data processing, model training, and model deployment
* Optimize models for performance on various hardware platforms, including CPUs, GPUs, and edge devices
* Conduct thorough experimentation and A/B testing to validate model effectiveness and ensure alignment with business objectives
* Mentor junior team members, providing technical guidance and fostering professional growth
* Write clean, efficient, and maintainable code while adhering to best practices in software engineering and machine learning
 What we're looking for
 * PhD in Computer Science, Engineering, or a related field, or equivalent work experience
* 5\+ years of hands\-on experience in machine learning and computer vision, with a strong track record of deploying models into production
* Proficiency in Python and ML frameworks (PyTorch/TensorFlow/ONNX/TensorRT)
* Strong experience with model optimization (e.g., quantization, pruning) and deployment on various platforms (cloud, edge, or mobile)
* Familiarity with cloud platforms (AWS, GCP, or Azure), containerization (Docker), and orchestration (ECS, Kubernetes)
* Proven experience in building and maintaining data pipelines (e.g., Airflow)
* Strong understanding of the agile development process and CI/CD pipelines and tools (e.g., Github Actions, Jenkins)
* Excellent communication skills, capable of presenting complex technical information clearly
 While not required, these are a plus:
 * Experience with C\+\+
* Experience in high\-growth, innovative environments
* Publications in top\-tier conferences (e.g., CVPR, ICCV, NeurIPS) are a strong plus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to $200,000\.00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31">
      <c r="A31" t="inlineStr">
        <is>
          <t>li-4318612722</t>
        </is>
      </c>
      <c r="B31" t="inlineStr">
        <is>
          <t>Senior Machine Learning Engineer, Ads</t>
        </is>
      </c>
      <c r="C31" t="inlineStr">
        <is>
          <t>Roblox</t>
        </is>
      </c>
      <c r="D31" t="inlineStr">
        <is>
          <t>linkedin</t>
        </is>
      </c>
      <c r="E31" t="inlineStr"/>
      <c r="F31" t="inlineStr"/>
      <c r="G31" t="inlineStr">
        <is>
          <t>San Mateo, CA</t>
        </is>
      </c>
      <c r="H31" t="inlineStr"/>
      <c r="I3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performance advertising business. Your work will lay the foundation to deliver effective performance ads to our users, and more business values to our advertisers.
 You will build innovative machine\-learning solutions to power ad ranking algorithms, and personalized advertising experiences. With our ads system still in its early stages, this is a unique opportunity to shape and develop a world\-class, ML\-driven advertising platform from the ground up.
**You Will**
* Drive the design and implementation of machine learning solutions for ad ranking algorithms.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**You Have**
* You have 5\+ years of experience designing and building scalable machine learning solutions to solve real\-world production use cases. Experienced with transformer based model training, inference, and product integration are a plus.
* A BS in Computer Science or a related discipline, advanced degrees are a definite plus.
* You have initiated and facilitated challenging technical decisions across multiple teams and organizations.
* While deeply technical, you always start with the needs of the user, whether they are Roblox users or internal engineers.
* You take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$259,030—$311,430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2">
      <c r="A32" t="inlineStr">
        <is>
          <t>li-4336248523</t>
        </is>
      </c>
      <c r="B32" t="inlineStr">
        <is>
          <t>Senior Applied Machine Learning Engineer - Asset Intelligence</t>
        </is>
      </c>
      <c r="C32" t="inlineStr">
        <is>
          <t>MaintainX</t>
        </is>
      </c>
      <c r="D32" t="inlineStr">
        <is>
          <t>linkedin</t>
        </is>
      </c>
      <c r="E32" t="inlineStr"/>
      <c r="F32" t="inlineStr"/>
      <c r="G32" t="inlineStr">
        <is>
          <t>San Francisco, CA</t>
        </is>
      </c>
      <c r="H32" t="inlineStr"/>
      <c r="I32" t="inlineStr">
        <is>
          <t>MaintainX is the world’s leading mobile\-first Asset and Work Intelligence platform for industrial and frontline environments. We’re a modern, IoT\-enabled, cloud\-based solution that powers maintenance, safety, and operations on physical equipment and facilities.
 We help 12,000\+ organizations—including Duracell, Univar Solutions, Titan America, McDonald’s, Brenntag, Cintas, Xylem, and Shell—achieve operational excellence and reliability at scale.
 Following our $150 million Series D led by Bain Capital Ventures, Bessemer Ventures, August Capital, Amity Ventures, and Ridge Ventures, MaintainX has raised a total of $254 million, valuing the company at $2\.5 billion.
 As we enter our next phase of growth, we’re investing deeply in AI/ML, LLMs, and Industrial IoT to transform how frontline teams operate—predicting failures before they happen, automating workflows, and embedding intelligence into every asset and procedure.
 The Role
 We are seeking a highly skilled and motivated
 **Senior Applied Machine Learning Engineer** 
 to guide the technical direction and architecture of our Predictive Maintenance and Asset Intelligence initiatives.
 You’ll combine deep ML expertise with strong software engineering and leadership skills—mentoring engineers, scaling systems, and driving the roadmap for AI\-enabled maintenance intelligence across thousands of industrial sites.
 This role sits at the intersection of ML architecture, IoT data systems, and product impact, shaping the foundation for MaintainX’s predictive and generative AI strategy.
**What You’ll Do**
* Lead technical direction for predictive maintenance, anomaly detection, and LLM\-powered intelligence across MaintainX products.
* Architect end\-to\-end ML systems—from data ingestion and feature engineering to model training, deployment, and monitoring.
* Mentor a growing team of ML and data engineers, instilling best practices for experimentation, evaluation, and model lifecycle management.
* Partner with product and engineering leaders to align AI roadmap with customer needs and business goals.
* Design reliable data and feedback loops that connect customer telemetry and operator feedback to model retraining.
* Drive performance optimization through techniques like quantization, distillation, and scalable inference serving.
* Work with LLM frameworks (LangChain, LlamaIndex, Hugging Face) to build reasoning systems and agentic workflows for asset and work intelligence.
* Ensure ML infrastructure meets production standards for latency, reliability, explainability, and security.
**About You**
* 7\+ years of experience in Machine Learning, Data Science, or Applied AI.
* Expertise in Python, and strong familiarity with PyTorch, TensorFlow, and cloud ML stacks (AWS, Databricks, or similar).
* Proven experience deploying production ML systems—not just prototypes—at scale.
* Strong background in LLMs, time\-series modeling, and anomaly detection for real\-world data.
* Demonstrated ability to lead architectural decisions, mentor engineers, and collaborate across product, data, and platform teams.
* Knowledge of MLOps tooling (Docker, Kubernetes, Weights \&amp; Biases, MLflow, SageMaker).
* Advanced degree (MS/PhD) in Computer Science, Machine Learning, or related field preferred.
**Bonus Skills**
* Experience with OCR for extracting structured data from documents.
* Background in time\-series modeling for predictive maintenance and anomaly detection.
* Familiarity with Industrial IoT systems (sensors, telemetry, edge computing).
* Experience applying reinforcement learning or agentic architectures for decision\-making and control systems.
* Contributions to open\-source ML frameworks or research in reliability, explainability, or digital twins.
**What’s In It For You**
* Competitive salary and meaningful equity opportunities.
* Healthcare, dental, and vision coverage.
* 401(k) / RRSP enrollment program.
* Take what you need PTO.
* A high impact Culture:
+ You’ll work with Smart, Humble Optimists across the globe.
+ Meritocratic environment where ideas and outcomes are publicly celebrated.
**About Us**
 We exist to make the lives of frontline and maintenance teams easier by building software that meets their real\-world needs. Our product transforms how 80% of the global workforce—those who don’t sit behind a desk—manage their operations, assets, and teams.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33">
      <c r="A33" t="inlineStr">
        <is>
          <t>li-4368320285</t>
        </is>
      </c>
      <c r="B33" t="inlineStr">
        <is>
          <t>AI Engineer</t>
        </is>
      </c>
      <c r="C33" t="inlineStr">
        <is>
          <t>Underdog.io -Apply to top tech jobs in 60 seconds. A place where companies apply to you</t>
        </is>
      </c>
      <c r="D33" t="inlineStr">
        <is>
          <t>linkedin</t>
        </is>
      </c>
      <c r="E33" t="inlineStr"/>
      <c r="F33" t="inlineStr"/>
      <c r="G33" t="inlineStr"/>
      <c r="H33" t="inlineStr"/>
      <c r="I33"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34">
      <c r="A34" t="inlineStr">
        <is>
          <t>li-4356711817</t>
        </is>
      </c>
      <c r="B34" t="inlineStr">
        <is>
          <t>Sr. Machine Learning Engineer - S&amp;P Global</t>
        </is>
      </c>
      <c r="C34" t="inlineStr">
        <is>
          <t>Jobs via eFinancialCareers</t>
        </is>
      </c>
      <c r="D34" t="inlineStr">
        <is>
          <t>linkedin</t>
        </is>
      </c>
      <c r="E34" t="inlineStr"/>
      <c r="F34" t="inlineStr"/>
      <c r="G34" t="inlineStr">
        <is>
          <t>New York, NY</t>
        </is>
      </c>
      <c r="H34" t="inlineStr"/>
      <c r="I34" t="inlineStr">
        <is>
          <t>**About the Role:**
**Grade Level (for internal use):**
 10
 **Sr. Machine Learning Engineer**
**The Team:**
 Our machine learning team specializes in working with large datasets to create cutting\-edge AI capabilities that drive enterprise\-wide automation opportunities. We value collaboration both within our team and across the broader Gen AI organization, fostering innovation from a blank slate approach. The team brings together Data Engineers, Data Scientists, Platform Engineers, and Solution Architects to create innovative solutions at enterprise scale using historically rich data.
**Responsibilities and Impact:**
* Play a part in the design and development of scalable machine learning models and algorithms to process large datasets and extract actionable insights
* Engineer end\-to\-end ML pipelines from data ingestion through model deployment and monitoring in production environments
* Collaborate with cross\-functional teams including Data Engineers, Data Scientists, Platform Engineers, and Solution Architects to deliver enterprise\-scale AI solutions
* Research and implement cutting\-edge machine learning techniques and frameworks to solve complex business problems
* Automate solutions that can be deployed across the enterprise, identifying opportunities for process improvement and efficiency gains
* Work in a collaborative environment to execute an innovative capabilities in an enterprise setting
**Compensation/Benefits Information:**
 (This section applies only to US candidates) S\&amp;P Global states that the anticipated base salary range for this position is $108,000 to $170,000\. The final base salary will be based on the individual's geographic location,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**What We're Looking For:**
**Basic Required Qualifications:**
* Master's degree in Computer Science, Machine Learning, Data Science, or related technical field, or equivalent professional experience
* 5\+ years of hands\-on experience in machine learning engineering, model development, and deployment with demonstrated leadership experience
* Proficiency in machine learning frameworks and libraries such as TensorFlow, PyTorch, Scikit\-learn, or similar technologies
* Strong programming skills in languages such as Python, R, or Scala with experience in software development best practices
* Experience with cloud platforms such as AWS, Azure, or Google Cloud Platform for ML model deployment and scaling
* Proven leadership and mentoring abilities with strong analytical and problem\-solving skills
**Additional Preferred Qualifications:**
* Experience with MLOps tools and practices such as MLflow, Kubeflow, or similar platforms for model lifecycle management
* Knowledge of big data technologies such as Spark, Hadoop, or distributed computing frameworks
* Experience with containerization and orchestration technologies such as Docker, Kubernetes, or similar platforms
* Previous experience leading cross\-functional teams and driving technical strategy in collaborative environments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IFTECH202\.1 \- Middle Professional Tier I (EEO Job Group)</t>
        </is>
      </c>
    </row>
    <row r="35">
      <c r="A35" t="inlineStr">
        <is>
          <t>li-4370536747</t>
        </is>
      </c>
      <c r="B35" t="inlineStr">
        <is>
          <t>AI Engineer - 1898 &amp; Co.</t>
        </is>
      </c>
      <c r="C35" t="inlineStr">
        <is>
          <t>1898 &amp; Co.</t>
        </is>
      </c>
      <c r="D35" t="inlineStr">
        <is>
          <t>linkedin</t>
        </is>
      </c>
      <c r="E35" t="inlineStr"/>
      <c r="F35" t="inlineStr"/>
      <c r="G35" t="inlineStr">
        <is>
          <t>Kansas City, MO</t>
        </is>
      </c>
      <c r="H35" t="inlineStr"/>
      <c r="I35" t="inlineStr">
        <is>
          <t>**Description** 
 Software Developer / AI Engineer – 1898 \&amp; Co.
**Description**
 At 1898 \&amp; Co., a division of Burns \&amp; McDonnell, we partner with clients in the energy and critical infrastructure sectors to solve their most complex challenges using data, analytics, and artificial intelligence. Our Business Intelligence \&amp; Analytics and Software Solutions teams bring together deep technical expertise and consulting insight to design and implement AI\-driven solutions that modernize operations, optimize decision\-making, and create measurable business impact. We work at the intersection of emerging technologies and real\-world business problems, helping clients capture the transformative potential of applied AI.
 We are seeking an AI engineer focusing in software development who is passionate about building intelligent systems that deliver business value. This role combines hands\-on technical execution—designing, building, and deploying AI solutions—with client\-facing consulting work. The ideal candidate thrives at the intersection of software engineering, AI innovation, and strategic problem\-solving for clients in the utility, energy, and infrastructure industries.
 What You’ll Do
* Design and implement end\-to\-end AI solutions, from data preparation through deployment, with emphasis on AI search and agentic AI technologies.
* Develop, test, and deploy solutions using platforms such as CrewAI, Azure AI Foundry, and Google Agent Builder, integrating with client systems and workflows.
* Implement retrieval\-augmented generation (RAG) architectures and AI search techniques to enhance knowledge discovery, automation, and decision support.
* Develop production\-quality Python code for model integration, APIs, and data pipelines within scalable cloud\-based environments.
* Collaborate with business stakeholders and technical teams to translate business needs into AI solution designs and implementation plans.
* Work directly with clients to deliver consulting engagements, including assessments, solution design workshops, and proof\-of\-concept projects.
* Communicate complex technical concepts and project results in clear, actionable ways to both technical and non\-technical audiences.
* Stay current with industry developments in AI, agentic systems, and search technologies, and help clients understand how to apply these trends.
* Contribute to business development efforts, including proposals, presentations, and technical demonstrations for prospective clients.
* Mentor and support team members in developing their technical and consulting capabilities.
* Ensure compliance with company standards, quality practices, and safety policies.
* Perform other duties as assigned.
**Preferred Experience \&amp; Skills**
* Hands\-on experience with Generative AI platforms such as CrewAI, Azure OpenAI, Azure AI Foundry, or Google Vertex AI / AgentSpace.
* Experience implementing AI search technologies, including vector databases, semantic search, and RAG pipelines.
* Proficiency in Python and familiarity with APIs, cloud platforms (AWS, Azure, GCP), and deployment best practices.
* Strong understanding of AI solution design and implementation, including data engineering, model orchestration, and performance optimization.
* Experience working in consulting or client\-facing roles, with the ability to translate technical solutions into business value.
* Strong problem\-solving, analytical, and communication skills with the ability to manage ambiguity and complex client environments.
* Experience with modern software development practices and agile methodologies.
* Fluency in multiple programming languages such as Python, TypeScript, and .NET is a plus.
* Experience with databases, particularly SQL Server or PostgreSQL, and knowledge of RESTful API integration.
* Understanding of LLMs and applied AI agent frameworks.
* Familiarity with the electric utility industry or interest in applying AI to energy and critical infrastructure challenges.
**Qualifications**
* Bachelor Degree in computer science or related field and 3 years related professional experience Required or
* Associate Degree and 5 years related professional experience Required or
* High School Diploma/GED and 7 years related professional experience Required
* Strong technical knowledge in computer equipment, storage, back\-ups, operating systems and tools used in an operating environment required.
* Strong attention to detail, facilitation, team building, collaboration, organization, and problem\-solving skills.
* Excellent verbal and written communication skills.
* Ability to work methodically and analytically in a quantitative problem\-solving environment.
* Effective written and oral communications skills.
* Demonstrated critical thinking skills.
* Expert in Microsoft Office Suite (Word, Excel, and PPT).
* Ability to optain applicable certifications.
 This job posting will remain open a minimum of 72 hours and on an ongoing basis until filled.
 EEO/Disabled/Veterans
**Job** 
 Consulting
**Primary Location** 
 US\-MO\-Kansas City
**Schedule:** 
 Full\-time
**Travel:** 
 No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260687
**Job Hire Type** 
 Experienced \#E98 N/A</t>
        </is>
      </c>
    </row>
    <row r="36">
      <c r="A36" t="inlineStr">
        <is>
          <t>li-4370411501</t>
        </is>
      </c>
      <c r="B36" t="inlineStr">
        <is>
          <t>AI Engineer - 1898 &amp; Co.</t>
        </is>
      </c>
      <c r="C36" t="inlineStr">
        <is>
          <t>Burns &amp; McDonnell</t>
        </is>
      </c>
      <c r="D36" t="inlineStr">
        <is>
          <t>linkedin</t>
        </is>
      </c>
      <c r="E36" t="inlineStr"/>
      <c r="F36" t="inlineStr"/>
      <c r="G36" t="inlineStr">
        <is>
          <t>Kansas City, MO</t>
        </is>
      </c>
      <c r="H36" t="inlineStr"/>
      <c r="I36" t="inlineStr">
        <is>
          <t>**Description** 
 Software Developer / AI Engineer – 1898 \&amp; Co.
**Description**
 At 1898 \&amp; Co., a division of Burns \&amp; McDonnell, we partner with clients in the energy and critical infrastructure sectors to solve their most complex challenges using data, analytics, and artificial intelligence. Our Business Intelligence \&amp; Analytics and Software Solutions teams bring together deep technical expertise and consulting insight to design and implement AI\-driven solutions that modernize operations, optimize decision\-making, and create measurable business impact. We work at the intersection of emerging technologies and real\-world business problems, helping clients capture the transformative potential of applied AI.
 We are seeking an AI engineer focusing in software development who is passionate about building intelligent systems that deliver business value. This role combines hands\-on technical execution—designing, building, and deploying AI solutions—with client\-facing consulting work. The ideal candidate thrives at the intersection of software engineering, AI innovation, and strategic problem\-solving for clients in the utility, energy, and infrastructure industries.
 What You’ll Do
* Design and implement end\-to\-end AI solutions, from data preparation through deployment, with emphasis on AI search and agentic AI technologies.
* Develop, test, and deploy solutions using platforms such as CrewAI, Azure AI Foundry, and Google Agent Builder, integrating with client systems and workflows.
* Implement retrieval\-augmented generation (RAG) architectures and AI search techniques to enhance knowledge discovery, automation, and decision support.
* Develop production\-quality Python code for model integration, APIs, and data pipelines within scalable cloud\-based environments.
* Collaborate with business stakeholders and technical teams to translate business needs into AI solution designs and implementation plans.
* Work directly with clients to deliver consulting engagements, including assessments, solution design workshops, and proof\-of\-concept projects.
* Communicate complex technical concepts and project results in clear, actionable ways to both technical and non\-technical audiences.
* Stay current with industry developments in AI, agentic systems, and search technologies, and help clients understand how to apply these trends.
* Contribute to business development efforts, including proposals, presentations, and technical demonstrations for prospective clients.
* Mentor and support team members in developing their technical and consulting capabilities.
* Ensure compliance with company standards, quality practices, and safety policies.
* Perform other duties as assigned.
**Preferred Experience \&amp; Skills**
* Hands\-on experience with Generative AI platforms such as CrewAI, Azure OpenAI, Azure AI Foundry, or Google Vertex AI / AgentSpace.
* Experience implementing AI search technologies, including vector databases, semantic search, and RAG pipelines.
* Proficiency in Python and familiarity with APIs, cloud platforms (AWS, Azure, GCP), and deployment best practices.
* Strong understanding of AI solution design and implementation, including data engineering, model orchestration, and performance optimization.
* Experience working in consulting or client\-facing roles, with the ability to translate technical solutions into business value.
* Strong problem\-solving, analytical, and communication skills with the ability to manage ambiguity and complex client environments.
* Experience with modern software development practices and agile methodologies.
* Fluency in multiple programming languages such as Python, TypeScript, and .NET is a plus.
* Experience with databases, particularly SQL Server or PostgreSQL, and knowledge of RESTful API integration.
* Understanding of LLMs and applied AI agent frameworks.
* Familiarity with the electric utility industry or interest in applying AI to energy and critical infrastructure challenges.
**Qualifications**
* Bachelor Degree in computer science or related field and 3 years related professional experience Required or
* Associate Degree and 5 years related professional experience Required or
* High School Diploma/GED and 7 years related professional experience Required
* Strong technical knowledge in computer equipment, storage, back\-ups, operating systems and tools used in an operating environment required.
* Strong attention to detail, facilitation, team building, collaboration, organization, and problem\-solving skills.
* Excellent verbal and written communication skills.
* Ability to work methodically and analytically in a quantitative problem\-solving environment.
* Effective written and oral communications skills.
* Demonstrated critical thinking skills.
* Expert in Microsoft Office Suite (Word, Excel, and PPT).
* Ability to optain applicable certifications.
 This job posting will remain open a minimum of 72 hours and on an ongoing basis until filled.
 EEO/Disabled/Veterans
**Job** 
 Consulting
**Primary Location** 
 US\-MO\-Kansas City
**Schedule:** 
 Full\-time
**Travel:** 
 No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260687
**Job Hire Type** 
 Experienced \#E98 N/A</t>
        </is>
      </c>
    </row>
    <row r="37">
      <c r="A37" t="inlineStr">
        <is>
          <t>li-4369601360</t>
        </is>
      </c>
      <c r="B37" t="inlineStr">
        <is>
          <t>Sr Machine Learning Engineer</t>
        </is>
      </c>
      <c r="C37" t="inlineStr">
        <is>
          <t>Underdog.io -Apply to top tech jobs in 60 seconds. A place where companies apply to you</t>
        </is>
      </c>
      <c r="D37" t="inlineStr">
        <is>
          <t>linkedin</t>
        </is>
      </c>
      <c r="E37" t="inlineStr"/>
      <c r="F37" t="inlineStr"/>
      <c r="G37" t="inlineStr"/>
      <c r="H37" t="inlineStr"/>
      <c r="I37"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38">
      <c r="A38" t="inlineStr">
        <is>
          <t>li-4370528324</t>
        </is>
      </c>
      <c r="B38" t="inlineStr">
        <is>
          <t>Ai Engineer</t>
        </is>
      </c>
      <c r="C38" t="inlineStr">
        <is>
          <t>Hirenza</t>
        </is>
      </c>
      <c r="D38" t="inlineStr">
        <is>
          <t>linkedin</t>
        </is>
      </c>
      <c r="E38" t="inlineStr"/>
      <c r="F38" t="inlineStr"/>
      <c r="G38" t="inlineStr"/>
      <c r="H38" t="inlineStr"/>
      <c r="I38" t="inlineStr">
        <is>
          <t>**About The Company**
 Fieldguide is a forward\-thinking technology company dedicated to transforming the way businesses leverage data and digital solutions. With a strong emphasis on innovation, quality, and customer satisfaction, Fieldguide specializes in providing tailored software development, consulting, and digital transformation services to clients across various industries. Our team comprises passionate professionals committed to delivering impactful solutions that drive growth and efficiency. As a company, we foster a collaborative and inclusive environment, encouraging continuous learning and professional development to ensure our team remains at the forefront of technological advancements.
**About The Role**
 We are seeking a highly motivated and skilled Software Developer to join our dynamic team at Fieldguide. In this role, you will be responsible for designing, developing, and maintaining high\-quality software solutions that meet our clients’ needs. You will collaborate with cross\-functional teams to understand project requirements, develop innovative features, and ensure seamless integration of new functionalities. The ideal candidate will have a strong technical background, excellent problem\-solving skills, and a keen eye for detail. This position offers an exciting opportunity to work on cutting\-edge projects that make a tangible impact on clients’ businesses, while also providing room for professional growth and development within a supportive environment.
**Qualifications**
 The ideal candidate should possess a bachelor’s degree in Computer Science, Software Engineering, or a related field. Proven experience in software development, preferably with experience in full\-stack development, is essential. Strong proficiency in programming languages such as Java, Python, or JavaScript is required. Familiarity with modern frameworks and libraries, including React, Angular, or Node.js, is highly desirable. Candidates should have a solid understanding of database management systems like SQL or NoSQL, and experience with cloud platforms such as AWS or Azure is a plus. Excellent communication skills, the ability to work well within a team, and a proactive approach to problem\-solving are also important qualities for success in this role.
**Responsibilities**
 Design, develop, and implement scalable software solutions based on client requirements and industry best practices.
 Collaborate with project managers, designers, and other developers to deliver high\-quality products on time and within scope.
 Write clean, efficient, and well\-documented code, ensuring maintainability and ease of updates.
 Conduct code reviews and provide constructive feedback to team members.
 Participate in all phases of the software development lifecycle, including planning, coding, testing, and deployment.
 Identify and troubleshoot bugs or issues in existing applications and implement effective solutions.
 Stay updated with the latest industry trends, technologies, and best practices to continually improve development processes.
 Assist in the estimation of project timelines and resource allocation to ensure project milestones are met.
 Support and mentor junior team members, fostering a collaborative and innovative work environment.
**Benefits**
 At Fieldguide, we believe in supporting our employees’ growth and well\-being. We offer competitive compensation packages, including health insurance, retirement plans, and performance\-based bonuses. Our flexible work arrangements, including remote work options, promote work\-life balance. We also provide ample opportunities for professional development through training, workshops, and conferences. Employees have access to a collaborative and inclusive culture that encourages innovation and continuous learning. Additionally, we celebrate achievements and milestones collectively, fostering a positive and motivating workplace environment.
 Equal Opportunity
 Fieldguide is an equal opportunity employer. We are committed to fostering a diverse and inclusive workplace where all employees are valued and respected. We do not discriminate based on race, ethnicity, gender, age, sexual orientation, disability, or any other protected characteristic. Our recruitment and employment practices are designed to ensure fairness and equal opportunity for all candidates and employees. We believe that diversity drives innovation and helps us better serve our clients and communities.</t>
        </is>
      </c>
    </row>
    <row r="39">
      <c r="A39" t="inlineStr">
        <is>
          <t>li-4370817385</t>
        </is>
      </c>
      <c r="B39" t="inlineStr">
        <is>
          <t>Applied Scientist, New Construction</t>
        </is>
      </c>
      <c r="C39" t="inlineStr">
        <is>
          <t>Zillow</t>
        </is>
      </c>
      <c r="D39" t="inlineStr">
        <is>
          <t>linkedin</t>
        </is>
      </c>
      <c r="E39" t="inlineStr"/>
      <c r="F39" t="inlineStr"/>
      <c r="G39" t="inlineStr"/>
      <c r="H39" t="inlineStr"/>
      <c r="I39" t="inlineStr">
        <is>
          <t>**About The Team**
 The Shopping AI team is at the heart of Zillow Group’s mission to create a seamless digital real estate marketplace. We build and own the machine learning systems that power Zillow’s core user experiences—like personalized search, recommendations, and display optimization—across our apps and websites. Our close\-knit group of engineers and scientists collaborates with product and design to apply the latest AI advancements, tackling large\-scale challenges and shaping the future of home shopping at Zillow.
**About The Role**
 As an Applied Scientist, you will help drive the next generation of ranking, recommendation, and generative AI systems for Zillow’s home\-shopping experience. Your work will directly impact how millions of users discover and shop for homes, as you research, design, and deploy innovative machine learning models that power key product features. You’ll collaborate across disciplines to deliver solutions that make home shopping more intuitive, personalized, and efficient.
 You Will Get To
* Research, design, and prototype new machine learning models for Zillow’s consumer products, including search, ranking, recommendations, and notifications.
* Lead the full model lifecycle: from ideation and offline experimentation on large datasets to online deployment, A/B testing, and ongoing performance monitoring.
* Develop and test novel modeling approaches, such as deep learning architectures and large language models (LLMs), to improve the home\-shopping experience.
* Apply cutting\-edge AI techniques, including LLM\-based retrieval and RAG\-style systems, to create more natural and conversational property search experiences.
* Optimize how and when homes are displayed to users, ensuring relevance and context in every interaction.
* Collaborate with engineers, product managers, and designers to define, execute, and iterate on impactful projects.
* Partner with data engineering and infrastructure teams to leverage large\-scale distributed data systems for feature engineering and model training.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$136,300\.00 \- $217,700\.00 annually. This base pay range is specific to these locations and may not be applicable to other locations. In Colorado, Hawaii, Illinois, Minnesota, Nevada, Ohio, Rhode Island, and Vermont the standard base pay range for this role is $129,500\.00 \- $206,900\.00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Experienced in designing, training, and analyzing machine learning models to solve real\-world business problems, not just academic benchmarks.
* Proficient in Python and familiar with common ML libraries (e.g., PyTorch, TensorFlow, CatBoost, scikit\-learn, Hugging Face) and distributed data systems (e.g., Spark, Hive, Databricks, Airflow).
* Skilled in the scientific lifecycle: hypothesis formation, experiment design, result analysis, and clear communication to technical and non\-technical partners.
* Demonstrated experience in at least one of the following: search/information retrieval, personalized ranking/recommender systems, or generative AI/LLM\-based systems.
* Holds a PhD or Master’s degree in a relevant field (Computer Science, AI, Data Science, or related), or equivalent industry experience (typically 3\-4\+ years with a Master’s, or 1\+ year with a PhD).
* Comfortable working near production systems and collaborating closely with engineers and cross\-functional partners.
* Brings curiosity and excitement for applying generative AI and LLMs to transform the home\-shopping experience.
* Approaches challenges with ownership, scientific rigor, and a growth mindset.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40">
      <c r="A40" t="inlineStr">
        <is>
          <t>li-4370819185</t>
        </is>
      </c>
      <c r="B40" t="inlineStr">
        <is>
          <t>Applied AI Engineer (Automation)</t>
        </is>
      </c>
      <c r="C40" t="inlineStr">
        <is>
          <t>Fusemachines</t>
        </is>
      </c>
      <c r="D40" t="inlineStr">
        <is>
          <t>linkedin</t>
        </is>
      </c>
      <c r="E40" t="inlineStr"/>
      <c r="F40" t="inlineStr"/>
      <c r="G40" t="inlineStr">
        <is>
          <t>New York, NY</t>
        </is>
      </c>
      <c r="H40" t="inlineStr"/>
      <c r="I40"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**Role Overview**
 As an Applied AI Engineer(Automation), you will deliver high\-impact AI and automation solutions for clients—owning work from requirements discovery through prototype and production deployment. You’ll build reliable, maintainable systems that integrate LLMs into real business workflows via APIs, automation platforms, and backend services.
 This is a mid\-to\-senior individual contributor role. You’ll collaborate closely with Solutions Architects, Delivery/Engagement leads, and Product Managers to scope, build, ship, and iterate on client solutions.
 Key Responsibilities
* Design \&amp; Deploy: Design, develop, and deploy tailored AI and automation solutions aligned to client objectives
* Build Workflows \&amp; Services: Translate business problems into production\-grade AI workflows and services using Python, automation tools (n8n/Make/Zapier or similar), and LLM platforms/APIs (e.g., OpenAI, IBM watsonx.ai, Amazon Bedrock), plus retrieval systems
* Agentic Systems: Build and deploy agentic workflows using LangChain, LangGraph, and Google ADK, including tool calling and structured outputs
* Retrieval \&amp; Knowledge Systems: Implement RAG pipelines using vector databases and search technologies (e.g., Pinecone, Elasticsearch, pgvector) and graph databases when appropriate
* Prototype → Production: Ship fast prototypes, then harden them into scalable systems (testing, reliability, deployment, monitoring) independently or with a team
* Client Partnership: Participate in discovery, run technical calls/demos when needed, and communicate tradeoffs clearly to client and internal stakeholders
* Ongoing Support \&amp; Iteration: Improve deployed solutions through feature work, bug fixes, monitoring, prompt/model improvements, and additional automations
* Documentation: Produce clear technical documentation, client demos, and internal playbooks to enable reuse and scalability
* Continuous Learning: Stay current on LLM tooling and delivery best practices to improve quality and speed
 Success in This Role Looks Like
* Solutions consistently meet or exceed client expectations and show measurable impact (time saved, cost reduced, improved conversion/deflection, faster cycle time)
* Clients trust you as a go\-to engineering partner and expand usage of deployed AI workflows
* Deliveries are production\-ready: monitored, testable, documented, and maintainable
**Required Qualifications**
* 3–8 years of software or AI engineering experience (mid\-to\-senior)
* 2–3\+ years of AI Automation, Generative AI, or Agentic AI (mid\-to\-senior)
* Strong Python engineering skills and experience building APIs/services (e.g., FastAPI)
* Hands\-on experience integrating LLMs (e.g., OpenAI APIs or equivalents), including prompt design, structured outputs, and basic evaluation practices
* Experience with at least one workflow automation platform (n8n, Make, Zapier, or similar) and building reliable integrations
* Familiarity with RAG fundamentals and retrieval systems (embeddings, vector search); exposure to vector databases and/or Elasticsearch
* Production engineering fundamentals: Docker, cloud deployment (AWS/GCP/Azure/IBM), and experience with async/queuing patterns (e.g., Celery, Redis, Kafka)
* Comfort operating in a client\-facing environment: technical calls, demos, and collaborating with cross\-functional stakeholders
**Preferred Qualifications**
* Experience with fine\-tuning LLMs or other ML models; broader ML exposure is a plus (not required)
* Familiarity with observability and tracing (e.g., LangSmith, OpenTelemetry) and prompt/version lifecycle management
* Experience with graph databases / knowledge graphs
* Familiarity with data governance and AI governance concepts (PII handling, auditability, access controls, risk awareness)
* Prior consulting experience or work in fast\-paced startup environments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NW3PJq1bzs</t>
        </is>
      </c>
    </row>
    <row r="41">
      <c r="A41" t="inlineStr">
        <is>
          <t>li-4370555574</t>
        </is>
      </c>
      <c r="B41" t="inlineStr">
        <is>
          <t>Machine Learning Engineer</t>
        </is>
      </c>
      <c r="C41" t="inlineStr">
        <is>
          <t>Whatnot</t>
        </is>
      </c>
      <c r="D41" t="inlineStr">
        <is>
          <t>linkedin</t>
        </is>
      </c>
      <c r="E41" t="inlineStr"/>
      <c r="F41" t="inlineStr"/>
      <c r="G41" t="inlineStr"/>
      <c r="H41" t="inlineStr"/>
      <c r="I41" t="inlineStr">
        <is>
          <t>**About The Company**
 Join the Future of Commerce with Whatnot! Whatnot is the largest live shopping platform in North America and Europe dedicated to transforming the way people buy, sell, and discover their favorite items. We are redefining e\-commerce by seamlessly blending community, entertainment, and shopping into a vibrant marketplace tailored for enthusiasts and collectors alike. Our innovative platform hosts live auctions across a diverse range of categories including fashion, beauty, electronics, collectibles such as trading cards and comic books, and even live plants, ensuring there is something for everyone. With a dynamic, remote co\-located team and hubs in the US, UK, Germany, Ireland, and Poland, we are committed to building the future of online marketplaces—together. As one of the fastest\-growing marketplaces, we foster a culture of innovation, collaboration, and passion for creating engaging shopping experiences.
**About The Role**
 We are seeking a highly skilled and motivated Machine Learning Engineer to join our Trust \&amp; Safety team. In this role, you will be responsible for designing, training, and deploying both traditional machine learning models and large language models (LLMs) to detect fraudulent behaviors across our platform. You will lead the end\-to\-end architecture of fraud detection, prevention, and intervention systems, ensuring a balance between robust security measures and a seamless user experience. Your expertise will be pivotal in building intelligent user graphs to model behavioral patterns, collusion networks, and account connectivity, which are essential for proactive fraud detection. You will develop scalable data pipelines and real\-time inference systems capable of supporting high\-volume, low\-latency workloads, enabling us to stay ahead of emerging fraud tactics. Additionally, you will analyze behavioral and adversarial data to uncover new fraud trends and continuously improve detection accuracy. Collaboration with cross\-functional teams such as Trust \&amp; Safety, Payments, and Infrastructure will be key to developing effective features, labels, and model evaluation pipelines. You will also implement model monitoring and drift detection systems to maintain high reliability and responsiveness, contributing to fraud risk orchestration by integrating rules, heuristics, and models for automated decision\-making. Your insights will help define and track key metrics like precision, recall, false\-positive rate, and latency, ensuring our fraud detection systems are both effective and efficient. Staying current with emerging fraud techniques and translating insights into adaptive, production\-ready systems will be a core part of your responsibilities. This role offers flexibility to work remotely or from one of our global office hubs, with the expectation that team members reside within commuting distance of our hubs in San Francisco, New York City, Los Angeles, or Seattle.
**Qualifications**
* Bachelor’s degree in Computer Science, related field, or equivalent work experience
* 2–6 years of experience in machine learning or software engineering, preferably in risk, fraud, or trust \&amp; safety domains
* Proficiency in Python and machine learning libraries such as scikit\-learn, PyTorch, LightGBM
* Strong backend development skills and experience deploying ML models in production environments (batch or real\-time)
* Experience with data analysis and ETL processes using SQL, Spark, DBT
* Familiarity with fraud detection techniques like chargeback prediction, anomaly detection, and graph\-based modeling
* Experience with data orchestration frameworks such as Dagster or Kubeflow and feature store design
* Ability to translate business risk into measurable ML solutions and collaborate effectively across teams
**Responsibilities**
* Design, train, and deploy both traditional ML and LLM\-powered models to detect fraudulent activities across users, payments, and marketplace interactions
* Lead the architecture of fraud detection, prevention, and intervention systems, ensuring seamless user experience and platform security
* Build and maintain intelligent user graphs to analyze behavioral patterns and account connectivity
* Develop scalable data pipelines and real\-time inference systems supporting high\-volume ML workloads
* Conduct behavioral and adversarial data analysis to identify fraud trends and improve detection methods
* Collaborate with Trust \&amp; Safety, Payments, and Infrastructure teams to develop features, labels, and evaluation pipelines
* Implement model monitoring, drift detection, and responsiveness systems to ensure reliability
* Contribute to fraud risk orchestration by integrating rules, heuristics, and models for automated decision\-making
* Define and monitor key metrics such as precision, recall, false\-positive rate, and latency to evaluate system effectiveness
* Stay informed about emerging fraud tactics and translate insights into adaptive, scalable solutions
**Benefits**
* Generous holiday and time\-off policies
* Health insurance options including medical, dental, and vision coverage
* Support for remote work setup and home office allowance
* Monthly allowances for cell phone and internet expenses
* Care benefits and wellness allowances to promote overall well\-being
* Annual childcare allowance and lifetime family planning benefits such as adoption or fertility expenses
* Retirement plans including 401(k) with employer matching (up to 4%) in the US and pension plans internationally
* Monthly dogfood allowance to promote product familiarity and engagement
* Paid parental leave of 16 weeks, plus a gradual return\-to\-work program
* Opportunities for professional growth and development within a collaborative environment
 Equal Opportunity
 Whatnot is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42">
      <c r="A42" t="inlineStr">
        <is>
          <t>li-4370845654</t>
        </is>
      </c>
      <c r="B42" t="inlineStr">
        <is>
          <t>AI/ML Engineer</t>
        </is>
      </c>
      <c r="C42" t="inlineStr">
        <is>
          <t>Node.Digital LLC</t>
        </is>
      </c>
      <c r="D42" t="inlineStr">
        <is>
          <t>linkedin</t>
        </is>
      </c>
      <c r="E42" t="inlineStr"/>
      <c r="F42" t="inlineStr"/>
      <c r="G42" t="inlineStr">
        <is>
          <t>Herndon, VA</t>
        </is>
      </c>
      <c r="H42" t="inlineStr"/>
      <c r="I42"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43">
      <c r="A43" t="inlineStr">
        <is>
          <t>li-4370819373</t>
        </is>
      </c>
      <c r="B43" t="inlineStr">
        <is>
          <t>Machine Learning Engineer - Personalization AI team</t>
        </is>
      </c>
      <c r="C43" t="inlineStr">
        <is>
          <t>Target</t>
        </is>
      </c>
      <c r="D43" t="inlineStr">
        <is>
          <t>linkedin</t>
        </is>
      </c>
      <c r="E43" t="inlineStr"/>
      <c r="F43" t="inlineStr"/>
      <c r="G43" t="inlineStr">
        <is>
          <t>Brooklyn Park, MN</t>
        </is>
      </c>
      <c r="H43" t="inlineStr"/>
      <c r="I43" t="inlineStr">
        <is>
          <t>The pay range is $75,400\.00 \- $135,700\.00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Working at Target means helping all families discover the joy of everyday life. We bring that vision to life through our values and culture. Learn more about Target here.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As a ML/AI Engineer, you will join a Data Sciences team responsible for creating personalized recommendations on Target.com and the Target mobile app. You will play a crucial role in designing, implementing, and optimizing production machine learning solutions and the platforms supporting them.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work experience
* Demonstrated proficiency in Python or Java programming
* Familiarity with ML frameworks such as PyTorch, TensorFlow, XGBoost, and Scikit learning
* Familiarity with software design on Linux/Mac
* Familiarity with software version control such as Git, software test coverage practices and frameworks such as PyTest
* Extensive SQL querying experience
* Experience with CI/CD – Docker, Drone and Kubernetes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Stats, Physics or equivalent industry experience
* Familiarity with cloud ML Ops services such as Vertex AI/Azure ML/Sagemaker
* Proficiency in Python, PySpark, and/or Scala
* Experience in end\-to\-end Machine Learning application development, including data pipelining, model optimization, deployment, and API design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https://tgt.biz/BenefitsForYou\_D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02/26/2026</t>
        </is>
      </c>
    </row>
    <row r="44">
      <c r="A44" t="inlineStr">
        <is>
          <t>li-4333355314</t>
        </is>
      </c>
      <c r="B44" t="inlineStr">
        <is>
          <t>Machine Learning Engineer</t>
        </is>
      </c>
      <c r="C44" t="inlineStr">
        <is>
          <t>Robert Half</t>
        </is>
      </c>
      <c r="D44" t="inlineStr">
        <is>
          <t>linkedin</t>
        </is>
      </c>
      <c r="E44" t="inlineStr"/>
      <c r="F44" t="inlineStr"/>
      <c r="G44" t="inlineStr">
        <is>
          <t>El Segundo, CA</t>
        </is>
      </c>
      <c r="H44" t="inlineStr"/>
      <c r="I44"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45">
      <c r="A45" t="inlineStr">
        <is>
          <t>li-4370810560</t>
        </is>
      </c>
      <c r="B45" t="inlineStr">
        <is>
          <t>AI Engineer</t>
        </is>
      </c>
      <c r="C45" t="inlineStr">
        <is>
          <t>Hydrogen Group</t>
        </is>
      </c>
      <c r="D45" t="inlineStr">
        <is>
          <t>linkedin</t>
        </is>
      </c>
      <c r="E45" t="inlineStr"/>
      <c r="F45" t="inlineStr"/>
      <c r="G45" t="inlineStr">
        <is>
          <t>Juno Beach, FL</t>
        </is>
      </c>
      <c r="H45" t="inlineStr"/>
      <c r="I45" t="inlineStr">
        <is>
          <t>**Job Title:** 
 AI Engineer
**Location:** 
 Juno Beach, FL (preferred) or Remote
**Duration:** 
 12\-month contract
**Pay:** 
 37\-42 USD per hour
 Role Summary
 The AI Engineer designs and delivers production\-ready generative AI applications that solve real business problems. This is a hands\-on engineering role focused on building, deploying, and scaling GenAI applications \- not traditional data science or model training.
 You'll own projects end\-to\-end, from concept and architecture to deployment, working independently while collaborating with business and technical teams.
 Key Responsibilities
* Design and deploy generative AI applications for business use cases
* Convert business needs into scalable GenAI architectures
* Build full\-stack applications and APIs
* Implement LLM solutions (RAG, prompt engineering, tool calling)
* Ensure enterprise\-level reliability, security, and governance
* Apply DevOps best practices (CI/CD, monitoring, cloud deployment)
* Evaluate and prototype new GenAI tools
* Communicate technical concepts to non\-technical stakeholders
* Stay current on GenAI trends and tools
 Required Qualifications
* Bachelor's in CS, IT, Engineering, or related field
* 3\-5\+ years in software or AI engineering
* Strong Python skills
* Experience shipping production software
* Full\-stack development experience
* Cloud experience (AWS, Azure, or GCP)
* DevOps experience (CI/CD, containers, automation)
* API design and integration experience
* Git/GitHub proficiency
* Strong problem\-solving and communication skills
 Preferred
* LLM application experience
* LangChain, LangGraph, AutoGen, or similar
* Energy/utility sector experience
 ...</t>
        </is>
      </c>
    </row>
    <row r="46">
      <c r="A46" t="inlineStr">
        <is>
          <t>li-4370456197</t>
        </is>
      </c>
      <c r="B46" t="inlineStr">
        <is>
          <t>AI Engineer</t>
        </is>
      </c>
      <c r="C46" t="inlineStr">
        <is>
          <t>Quantum Integrators</t>
        </is>
      </c>
      <c r="D46" t="inlineStr">
        <is>
          <t>linkedin</t>
        </is>
      </c>
      <c r="E46" t="inlineStr"/>
      <c r="F46" t="inlineStr"/>
      <c r="G46" t="inlineStr">
        <is>
          <t>New Jersey, United States</t>
        </is>
      </c>
      <c r="H46" t="inlineStr"/>
      <c r="I46" t="inlineStr">
        <is>
          <t>**Role: AI Engineer** 
**Location:** 
 Princeton, NJ (4 days a week, work from our NJ office)
**Employment Type:** 
 Full\-Time
**Experience Level:** 
 Entry\-Level (0–2 years)
**Job Overview:**
 We are seeking a motivated and passionate
 **AI Engineer** 
 to join our growing technology team. The ideal candidate has a strong foundation in ML concepts, programming, and data\-driven thinking.
**Required Qualifications:**
* **Master’s Degree** 
 in
 **Computer Science, Artificial Intelligence, Data Science, Machine Learning** 
 , or a related field (recent graduates encouraged to apply)
* Recent graduates or candidates with up to 2 years of relevant experience
* Strong programming skills in
 **Python** 
 (experience with Java or C\+\+ is a plus)
* Understanding of machine learning algorithms (supervised, unsupervised, deep learning)
* Familiarity with frameworks such as
 **TensorFlow, PyTorch, or Scikit\-learn**
* Knowledge of data structures, algorithms, and software engineering fundamentals
* Basic experience with SQL and data handling
* Strong problem\-solving and analytical skills
* Good communication and teamwork abilities
**Key Responsibilities:**
* Design, develop, and deploy machine learning and AI models
* Work with structured and unstructured data to build predictive and intelligent systems
* Collaborate with software engineers, data scientists, and product teams
* Perform data pre\-processing, feature engineering, and model evaluation
* Optimize and maintain AI models for performance and scalability
* Conduct experiments and document findings clearly
* Stay up to date with the latest AI/ML research and tools
**Preferred Qualifications:**
* Hands\-on experience through internships, academic projects, or research
* Exposure to NLP, Computer Vision, or Generative AI
* Familiarity with cloud platforms (AWS, Azure, or GCP)
* Understanding of MLOps concepts and model deployment
* Experience working with APIs and version control tools like Git
**Thanks \&amp; Regards,** 
**Vandana Shrivastava** 
**US IT Recruiter** 
 O: 609\-632\-0621 ext.130
 E:
 vandana.shrivastava@QuantumIntegrators.com
 www.QuantumIntegrators.com</t>
        </is>
      </c>
    </row>
    <row r="47">
      <c r="A47" t="inlineStr">
        <is>
          <t>li-4370599586</t>
        </is>
      </c>
      <c r="B47" t="inlineStr">
        <is>
          <t>AI Engineer</t>
        </is>
      </c>
      <c r="C47" t="inlineStr">
        <is>
          <t>Hirenza</t>
        </is>
      </c>
      <c r="D47" t="inlineStr">
        <is>
          <t>linkedin</t>
        </is>
      </c>
      <c r="E47" t="inlineStr"/>
      <c r="F47" t="inlineStr"/>
      <c r="G47" t="inlineStr"/>
      <c r="H47" t="inlineStr"/>
      <c r="I47" t="inlineStr">
        <is>
          <t>**About The Company**
 Fieldguide is a dynamic and innovative organization dedicated to delivering cutting\-edge solutions in the technology and data management sectors. With a focus on excellence and customer satisfaction, Fieldguide leverages the latest advancements in technology to help clients streamline their operations, enhance data security, and achieve their strategic objectives. Our company values collaboration, integrity, and continuous learning, fostering an environment where talented professionals can thrive and make a meaningful impact.
**About The Role**
 We are seeking a highly motivated and detail\-oriented Data Analyst to join our team at Fieldguide. In this role, you will be responsible for analyzing complex datasets, generating actionable insights, and supporting decision\-making processes across various departments. The ideal candidate will possess strong analytical skills, proficiency in data visualization tools, and a passion for translating data into strategic business solutions. This position offers an excellent opportunity to work in a fast\-paced environment, collaborate with cross\-functional teams, and contribute to innovative projects that drive the company's growth.
**Qualifications**
* Bachelor’s degree in Data Science, Statistics, Computer Science, or a related field. A master’s degree is preferred.
* Proven experience as a Data Analyst or similar role, with a strong portfolio of data projects.
* Proficiency in SQL, Python, R, or other relevant programming languages.
* Experience with data visualization tools such as Tableau, Power BI, or Looker.
* Strong analytical and problem\-solving skills, with the ability to interpret complex data sets.
* Excellent communication skills, capable of presenting findings clearly to non\-technical stakeholders.
* Ability to work independently and as part of a team in a fast\-paced environment.
**Responsibilities**
* Collect, clean, and organize large datasets from multiple sources to ensure data integrity and accuracy.
* Analyze data to identify trends, patterns, and insights that support business objectives.
* Create detailed reports and dashboards to visualize data findings for various teams and leadership.
* Collaborate with product managers, engineers, and other stakeholders to understand data needs and develop solutions.
* Develop and maintain automated data pipelines and workflows to improve efficiency.
* Monitor data quality and troubleshoot issues related to data collection and processing.
* Stay updated with the latest industry trends and best practices in data analysis and visualization.
* Support ad\-hoc data requests and contribute to strategic planning initiatives.
**Benefits**
 At Fieldguide, we recognize the importance of our employees' well\-being and professional growth. We offer a comprehensive benefits package including competitive salary, health insurance, and paid time off. Employees have access to ongoing training and development programs to enhance their skills and advance their careers. Additionally, we promote a flexible work environment that supports work\-life balance and encourages innovation. Our commitment to a positive and inclusive workplace culture ensures that every team member feels valued and empowered to contribute their best.
 Equal Opportunity
 Fieldguide is an equal opportunity employer. We celebrate diversity and are committed to creating an inclusive environment for all employees. We do not discriminate based on race, ethnicity, gender, age, religion, sexual orientation, disability, or any other protected characteristic. We believe that diverse teams foster creativity, innovation, and better decision\-making, and we are dedicated to providing equal employment opportunities to all qualified candidates.</t>
        </is>
      </c>
    </row>
    <row r="48">
      <c r="A48" t="inlineStr">
        <is>
          <t>li-4359176168</t>
        </is>
      </c>
      <c r="B48" t="inlineStr">
        <is>
          <t>Machine Learning Engineer</t>
        </is>
      </c>
      <c r="C48" t="inlineStr">
        <is>
          <t>Tata Consultancy Services</t>
        </is>
      </c>
      <c r="D48" t="inlineStr">
        <is>
          <t>linkedin</t>
        </is>
      </c>
      <c r="E48" t="inlineStr"/>
      <c r="F48" t="inlineStr"/>
      <c r="G48" t="inlineStr">
        <is>
          <t>Mountain View, CA</t>
        </is>
      </c>
      <c r="H48" t="inlineStr"/>
      <c r="I48" t="inlineStr">
        <is>
          <t>**Job Description**
 Must Have Technical/Functional Skills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robotics perception, VLMs, or multi\-modal AI systems is highly desirable
 Roles \&amp; Responsibilities
* Assist in fine\-tuning NOVA and other vision\-language models for robotic perception tasks
* Curate and preprocess datasets from simulation and real\-world environments
* Evaluate model performance across tasks such as object detection, segmentation, and scene understanding
* Collaborate with simulation engineers to validate models in Isaac Sim and Omniverse environments
* Support real\-world deployment and testing of tuned models on robotic platforms
* Work with GM/AWS teams to optimize data pipelines and model training workflows
* Analyze model outputs and provide feedback for iterative improvements
 Generic Managerial Skills, If any
 The engineer will play a critical role in bridging simulation and deployment pipelines for advanced perception systems.
 Base Salary Range: $130,000 \-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49">
      <c r="A49" t="inlineStr">
        <is>
          <t>li-4370803960</t>
        </is>
      </c>
      <c r="B49" t="inlineStr">
        <is>
          <t>Artificial Intelligence and Machine Learning Engineer</t>
        </is>
      </c>
      <c r="C49" t="inlineStr">
        <is>
          <t>Booz Allen Hamilton</t>
        </is>
      </c>
      <c r="D49" t="inlineStr">
        <is>
          <t>linkedin</t>
        </is>
      </c>
      <c r="E49" t="inlineStr"/>
      <c r="F49" t="inlineStr"/>
      <c r="G49" t="inlineStr">
        <is>
          <t>Bethesda, MD</t>
        </is>
      </c>
      <c r="H49" t="inlineStr"/>
      <c r="I49" t="inlineStr">
        <is>
          <t>**Job Number: R0233584**
 Artificial Intelligence and Machine Learning Engineer
**The Opportunity:**
 Are you ready to embark on a journey where your skills in data and artificial intelligence (AI) will drive innovation and propel businesses into the future? Are you fascinated by the possibilities presented by AI advances? In an increasingly connected world, massive amounts of structured and unstructured data open\-up new opportunities. As an aspiring data scientist and AI engineer, you know you can help turn these complex data sets into useful information to solve global challenges. Across private and public sectors, from fraud detection to cancer research, to national intelligence, you see data scientists turning data into actions and you want to be part of the team.
 As a data scientist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If you are driven by curiosity, thrive in a fast\-paced setting, and have a deep fascination with the potential of AI, this is the place where you can make a significant impact. Join us and be part of a team that's not only shaping the future, but also pushing the boundaries of what's possible.
 Join us. The world can’t wait.
**You Have:**
* 3\+ years of experience leveraging statistical programming languages, such as Python, to develop predictive data models, quantitative analyses, and data visualizations
* 2\+ years of experience in AI, including machine learning, Agentic AI, Generative AI, or Natural Language Processing
* Experience writing clean and maintainable code using programming languages such as Python
* Experience with machine learning libraries and frameworks
* Knowledge of statistical analysis, data preprocessing techniques, and feature engineering
* Ability to take poorly defined problems and convert them into questions for which practical quantitative solutions can be defined
* Ability to work with large, remote data sets
* Ability to employ best practices in software development, including using Git for version control and collaboration with other developers, and testing and code reviews to ensure the quality and reliability of AI solutions
* Ability to obtain and maintain a Public Trust or Suitability/Fitness determination based on client requirements
* Bachelor's degree
**Nice If You Have:**
* Experience with healthcare or medical device industry data
* Experience using tools such as SQL or Spark to query, design, and perform A/B testing to evaluate model performance and measure the impact of AI solutions on business outcomes
* Experience with AWS, GCP, or Salesforce Cloud services
* Experience with Scikit\-Learn, TensorFlow, or PyTorch
* Experience with program automation, CI and CD, DevSecOps, and Agile
* Experience with Agile methodologies and best practices
* Experience with geospatial data analysis, including ArcGIS
* Bachelor's degree in a CS, Machine Learning, Data Science, Engineering, or Mathematics field preferred; Master’s degree in a CS, Machine Learning, Data Science, Engineering, or Mathematics field a plus
**Vetting** 
**:**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0">
      <c r="A50" t="inlineStr">
        <is>
          <t>li-4359213482</t>
        </is>
      </c>
      <c r="B50" t="inlineStr">
        <is>
          <t>Machine Learning Engineer</t>
        </is>
      </c>
      <c r="C50" t="inlineStr">
        <is>
          <t>Tata Consultancy Services</t>
        </is>
      </c>
      <c r="D50" t="inlineStr">
        <is>
          <t>linkedin</t>
        </is>
      </c>
      <c r="E50" t="inlineStr"/>
      <c r="F50" t="inlineStr"/>
      <c r="G50" t="inlineStr">
        <is>
          <t>Bloomfield, CT</t>
        </is>
      </c>
      <c r="H50" t="inlineStr"/>
      <c r="I50" t="inlineStr">
        <is>
          <t>**Job Description**
 Must Have Technical/Functional Skills
 Python, AWS, Machine Learning, Containerization
 Roles \&amp; Responsibilities
* Design and implement ML models for forecasting, classification, and regression tasks (e.g., ARIMA, XGBoost, etc.).
* Develop and deploy scalable AI solutions using AWS services (SageMaker, Lambda, EC2, S3, etc.).
* Build and optimize GenAI applications using frameworks like LangChain, LlamaIndex, or similar.
* Implement RAG pipelines and agent\-based systems for intelligent task automation and knowledge retrieval.
* Collaborate with data scientists, software engineers, and product teams to integrate AI capabilities into products.
* Monitor and maintain AI models in production, ensuring performance and reliability.
* Stay up\-to\-date with the latest advancements in AI/ML and GenAI technologies.
 Generic Managerial Skills, If any
* Proficiency in Python and experience with AWS cloud services.
* Strong understanding of ML algorithms and statistical models (e.g., ARIMA, Random Forest, Neural Networks).
* Experience with GenAI tools and frameworks (e.g., LangChain, Hugging Face Transformers, OpenAI APIs).
* Familiarity with RAG architectures and agent\-based systems.
* Experience with data preprocessing, feature engineering, and model evaluation.
* Knowledge of MLOps practices and tools is a plus.
* Excellent problem\-solving and communication skills.
 Salary Range: $110,000 $135,000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51">
      <c r="A51" t="inlineStr">
        <is>
          <t>li-4362189721</t>
        </is>
      </c>
      <c r="B51" t="inlineStr">
        <is>
          <t>Machine Learning Engineer</t>
        </is>
      </c>
      <c r="C51" t="inlineStr">
        <is>
          <t>Tata Consultancy Services</t>
        </is>
      </c>
      <c r="D51" t="inlineStr">
        <is>
          <t>linkedin</t>
        </is>
      </c>
      <c r="E51" t="inlineStr"/>
      <c r="F51" t="inlineStr"/>
      <c r="G51" t="inlineStr">
        <is>
          <t>Warren, MI</t>
        </is>
      </c>
      <c r="H51" t="inlineStr"/>
      <c r="I51" t="inlineStr">
        <is>
          <t>**Job Description**
 Must Have Technical/Functional Skills
* Assist in fine\-tuning VLA (Vision\-Language Alignment) models for robotic perception and interaction tasks
* Curate and preprocess multi\-modal datasets (images, text, sensor data) from simulation and real\-world sources
* Evaluate model performance for tasks such as semantic understanding, object recognition, and scene interpretation
* Collaborate with simulation engineers to validate models in Isaac Sim and Omniverse environments
* Support real\-world deployment and testing of VLA models on robotic platforms
* Work with AWS teams to optimize training pipelines and model integration workflows
* Analyze model outputs and provide insights for iterative improvements
 Roles \&amp; Responsibilities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2">
      <c r="A52" t="inlineStr">
        <is>
          <t>li-4370852153</t>
        </is>
      </c>
      <c r="B52" t="inlineStr">
        <is>
          <t>AI Engineer, Enterprise Solutions</t>
        </is>
      </c>
      <c r="C52" t="inlineStr">
        <is>
          <t>You.com</t>
        </is>
      </c>
      <c r="D52" t="inlineStr">
        <is>
          <t>linkedin</t>
        </is>
      </c>
      <c r="E52" t="inlineStr"/>
      <c r="F52" t="inlineStr"/>
      <c r="G52" t="inlineStr">
        <is>
          <t>San Francisco, CA</t>
        </is>
      </c>
      <c r="H52" t="inlineStr"/>
      <c r="I52" t="inlineStr">
        <is>
          <t>**you.com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AI is transforming how enterprises sell, support, and operate — surfacing hidden knowledge, automating workflows, and collapsing weeks of effort into minutes. As an AI Engineer, Enterprise Solutions, you'll act like a startup CTO, turning this vision into robust, production\-ready AI solutions that ship fast and deliver measurable wins for our customers. You will get a front seat to AI applications in the economy along with defining and shaping the future.
**Responsibilities**
* **Build and Ship:** 
 Design and develop AI applications primarily in Python. Run evaluations to validate models and package solutions for Kubernetes, AWS, or adapt them to customer on\-premises clusters.
* **Work with Customers:** 
 Lead discovery sessions, guide pilot projects, and ensure successful deployments. Collaborate mostly remotely with occasional on\-site workshops.
* **Run and Improve:** 
 Monitor system performance and reliability. Add to the logging, billing and auth services. Build internal tooling to automate repetitive tasks.
* **Share What You Learn:** 
 Provide feedback on patterns, pain points, and reusable modules to the core product team to influence the future direction of the AI platform.
**Qualifications**
**Required:**
* 2\+ years of experience writing solid production\-quality software.
* Hands\-on experience with LLMs and a solid understanding of machine learning fundamentals.
* Strong customer empathy: ability to listen, ask insightful questions, and translate real\-world pain points into intuitive technical designs.
* Product\-minded approach: focus on outcomes, comfortable shaping scope with product managers, defining success metrics, and making trade\-offs to accelerate learning.
* Excellent communication skills, able to engage effectively with executives and engineers both remotely and on\-site.
* Versatile problem\-solver who thrives in ambiguous environments and enjoys rapid learning.
**Nice to Have** 
**:**
* Experience in forward\-deployed or product\-oriented roles.
* Exposure to regulated industries such as healthcare or finance.
* Proficiency with Terraform or Pulumi and experience across multiple cloud platforms.
* Experience integrating with ERP, CRM, or other large enterprise systems.
 Our salary bands are structured based on a combination of geographic tiers and internal leveling. Compensation is determined by multiple factors assessed during the interview process, with the final offer reflecting these considerations.
 Salary Band
 $165,000—$200,000 USD
**Company Perks:**
* Hubs in San Francisco and New York City offering regular in\-person gatherings and co\-working sessions
* Flexible PTO with U.S. holidays observed and a week shutdown in December to rest and recharge\*
* A competitive health insurance plan covers 100% of the policyholder and 75% for dependents\*
* 12 weeks of paid parental leave in the US\*
* 401k program, 3% match \- vested immediately!\*
* $500 work\-from\-home stipend to be used up to a year of your start date\*
* $1,200 per year Health \&amp; Wellness Allowance to support your personal goals\*
* The chance to collaborate with a team at the forefront of AI research
* Certain perks and benefits are limited to full\-time employees only
*You.com participates in E\-Verify. We will provide the Social Security Administration (SSA) and, if necessary, the Department of Homeland Security (DHS) with information from each new employee's Form I\-9 to confirm work authorization. (English/Spanish: E\-Verify Participation/Right to Work)* 
*We are also an inclusive, equitable, and accessible workplace. Please let us know if you require accommodation for any portion of the recruitment and hiring process.*</t>
        </is>
      </c>
    </row>
    <row r="53">
      <c r="A53" t="inlineStr">
        <is>
          <t>li-4370800480</t>
        </is>
      </c>
      <c r="B53" t="inlineStr">
        <is>
          <t>AI Engineer</t>
        </is>
      </c>
      <c r="C53" t="inlineStr">
        <is>
          <t>General Dynamics Information Technology</t>
        </is>
      </c>
      <c r="D53" t="inlineStr">
        <is>
          <t>linkedin</t>
        </is>
      </c>
      <c r="E53" t="inlineStr"/>
      <c r="F53" t="inlineStr"/>
      <c r="G53" t="inlineStr"/>
      <c r="H53" t="inlineStr"/>
      <c r="I53" t="inlineStr">
        <is>
          <t>****Job Description:****
**Type of Requisition:**
 Pipeline
****Clearance Level Must Currently Possess:****
 None
****Clearance Level Must Be Able To Obtain:****
 None
****Public Trust/Other Required:****
 MBI (T2\)
****Job Family:****
 Data Science and Data Engineering
****Skills:****
**Job Qualifications:**
 Artificial Intelligence Software, Human Resources (HR), Process Improvements
****Certifications:****
 None
****Experience:****
 8 \+ years of related experience
****US Citizenship Required:****
 No
****Job Description:****
 Seize your opportunity to make a personal impact as an
 **AI Engineer** 
 , supporting the United States Postal Service. GDIT is your place to make meaningful contributions to challenging projects and grow a rewarding career.
 At GDIT, people are our differentiator. As an
 **AI Engineer** 
 , you will help ensure today is safe and tomorrow is smarter. Our work depends on an AI Engineer joining our team to optimize HR business functions, including recruitment, employee engagement, performance management, and data analytics in support of USPS Information Technology.
 The integration of AI technologies is essential to streamline these processes and provide data\-driven insights. The ideal candidate will evaluate the existing Human Resource Technology Solutions (HRTS) application landscape, propose solutions to automate and enhance operational efficiency, and develop AI models tailored for HR processes. Strong technical knowledge, a collaborative mindset, and the ability to communicate effectively with stakeholders and team members are essential for success in this role.
**MEANINGFUL WORK AND PERSONAL IMPACT**
* Conduct a comprehensive assessment of the current HRTS applications landscape to identify gaps and opportunities for incorporating AI and Automation solutions.
* Design and recommend solutions for system enhancements, including software updates, integrations, and process improvements.
* Develop, test, and deploy AI models and algorithms specifically targeting HR purposes, driving innovation and improving HR processes.
* Create and maintain project documentation, including project plans, timelines, and progress reports, ensuring a structured approach to project delivery.
* Collaborate and communicate effectively with internal team members, external stakeholders, and business partners to align technical efforts with organizational goals.
****WHAT YOU’LL NEED TO SUCCEED:****
* Education:
+ Bachelor’s degree in a relevant field from an accredited College/University is preferred.
+ Alternative Path: If the candidate does not possess a relevant four\-year degree, an additional four years of relevant work experience will be required.
* Required Experience:
+ Minimum of 8\+ years of Information Technology experience.
+ A minimum of 3\-5 years of experience in software development, with expertise in AI and analytics.
+ Proven experience leading or contributing to AI/Automation projects in a professional capacity.
+ Hands\-on experience in Analytics Support and/or a leadership role is highly desirable.
* Required Technical Skills:
+ Proficiency in Oracle Forms/Reports, SAP ERP, WebSphere, Tomcat, Java, Python, and GitHub.
+ Strong knowledge of AI\-related technologies, frameworks, and their integration into enterprise systems.
* Preferred Skills:
+ Strong analytical thinking skills and ability to develop creative solutions to complex technical challenges.
+ Effective communication skills with the ability to articulate complex technical information to non\-technical stakeholders.
+ Demonstrated ability to work in a collaborative team environment with cross\-functional stakeholders.
+ Track record of delivering successful AI\-enhanced projects for enterprise systems.
*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 Remote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\#zxc726 \#AIengineer
 The likely salary range for this position is $111,155 \- $150,385\.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54">
      <c r="A54" t="inlineStr">
        <is>
          <t>li-4370470070</t>
        </is>
      </c>
      <c r="B54" t="inlineStr">
        <is>
          <t>Machine Learning Engineer</t>
        </is>
      </c>
      <c r="C54" t="inlineStr">
        <is>
          <t>Randstad Digital Americas</t>
        </is>
      </c>
      <c r="D54" t="inlineStr">
        <is>
          <t>linkedin</t>
        </is>
      </c>
      <c r="E54" t="inlineStr"/>
      <c r="F54" t="inlineStr"/>
      <c r="G54" t="inlineStr">
        <is>
          <t>Roanoke, TX</t>
        </is>
      </c>
      <c r="H54" t="inlineStr"/>
      <c r="I54" t="inlineStr">
        <is>
          <t>**Job Summary**
 You establish pipelines and frameworks that allow research models to move seamlessly into production.
 You enable RAG\-based apps and agentic workflows to be deployed reliably.
 You ensure services are scalable, secure, and easy to integrate across teams.
 You provide clarity on how different ML models fit different business problems.
 Learning from and sharing knowledge and skills with your peers to enhance the team's total impact to the organization.
 location: Roanoke, Texas
 job type: Contract
 salary: $71 \- 72 per hour
 work hours: 8am to 5pm
 education: Bachelors
**Responsibilities**
* Bachelor's or Master's in Computer Science, Artificial Intelligence, Machine Learning, or related field.
* 8\+ years of software engineering experience in APIs, cloud deployments, and system integration.
* 3\-5 years in ML engineering, with 2\+ years in agentic or multi\-agent systems.
* Proven must have experience building and deploying RAG pipelines using embedding models and vector search.
* Must have hands\-on experience with vector databases such as FAISS, Pinecone, Weaviate, or Milvus.
* Must have experience with agent orchestration frameworks (LangChain, CrewAI, LangGraph, AutoGen etc ).
* Strong background in cloud\-native software engineering and microservices architecture.
* Concrete understanding of traditional ML models and their usecses.
* Programming: Advanced Python skills; familiarity with C\+\+, Java, or .NET is a plus.
* Cloud Platforms: Proficiency with AWS services (S3, Lambda, ECS, SageMaker, etc.).
* Databases: Experience with Oracle, Snowflake, vector databases, and knowledge graphs (e.g., Neo4j, RDF/SPARQL).
* DevOps: CI/CD pipelines, Docker, Kubernetes, GitHub Actions.
* AI Ethics: Understanding of Responsible AI principles and ability to identify and mitigate ethical risks.
* Good to have if you have exposure or worked on tools which aid for continuous model evaluation and alerting.
* Stay updated with the latest advancements in Machine Learning world and integrate them into projects.
* Communicate complex technical concepts to non\-technical stakeholders.
**Qualifications**
 Integration expertise: You can take research outputs and turn them into production\-ready APIs and applications.
 ML/GenAI awareness: You understand which types of models are used for which problems, and can connect them effectively to real\-world data.
 System design: You know how to containerize, scale, and monitor services.
 Engineering discipline: You bring CI/CD, versioning, and logging best practices to ML/GenAI deployment.
 Experience building observability systems for agent performance tracking (e.g., Prometheus, Grafana, OpenTelemetry).
 Strong grasp of AI safety, fairness, and governance.
 Ability to research, evaluate, and implement emerging tools and frameworks.
 Demonstrated success in proof\-of\-concept development, experimentation, optimization, and production deployment.
 Proficiency in designing scalable, distributed systems and cloud\-native applications.
 Collaborative mindset with strong communication and problem\-solving skills.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55">
      <c r="A55" t="inlineStr">
        <is>
          <t>li-4326356989</t>
        </is>
      </c>
      <c r="B55" t="inlineStr">
        <is>
          <t>Machine Learning Engineer</t>
        </is>
      </c>
      <c r="C55" t="inlineStr">
        <is>
          <t>Recruiting from Scratch</t>
        </is>
      </c>
      <c r="D55" t="inlineStr">
        <is>
          <t>linkedin</t>
        </is>
      </c>
      <c r="E55" t="inlineStr"/>
      <c r="F55" t="inlineStr"/>
      <c r="G55" t="inlineStr">
        <is>
          <t>San Francisco, CA</t>
        </is>
      </c>
      <c r="H55" t="inlineStr"/>
      <c r="I55"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56">
      <c r="A56" t="inlineStr">
        <is>
          <t>li-4367255190</t>
        </is>
      </c>
      <c r="B56" t="inlineStr">
        <is>
          <t>Machine Learning Engineer</t>
        </is>
      </c>
      <c r="C56" t="inlineStr">
        <is>
          <t>Aquent Scout</t>
        </is>
      </c>
      <c r="D56" t="inlineStr">
        <is>
          <t>linkedin</t>
        </is>
      </c>
      <c r="E56" t="inlineStr"/>
      <c r="F56" t="inlineStr"/>
      <c r="G56" t="inlineStr"/>
      <c r="H56" t="inlineStr"/>
      <c r="I56" t="inlineStr">
        <is>
          <t>**Job Summary:** 
 Scout is a SaaS web platform providing a B2B recruitment marketplace for employers and search firms. Our vision is to optimize candidate\-to\-job matching and improve time\-to\-hire of the very best candidates for our customers. As a Staff Engineer you will join a collaborative team working to enhance and innovate our web service to expand to new customers and further improve efficiencies. Scout has a well established engineering department that includes teams dedicated to product research \&amp; design, technical infrastructure, machine learning, software development, customer support and quality assurance.
 Our Staff Software Engineers are called upon to design and troubleshoot some of our most complex features and technical improvements. They plan and drive large projects that may span multiple teams and services as well as make individual contributions. Staff Engineers take a broad view of the Engineering team, looking for technical efficiencies and customer needs.
 We are seeking creative thinkers and leaders with an expertise in machine learning applications and data science, who thrive in a fast\-paced environment and have a high level of ownership and responsibility for the success of the team. Scout has a supportive culture that encourages respect, individual growth and continual improvement. This is a fully remote opportunity that offers an exceptional work/life balance.
**Supervisory Responsibilities:** 
* May participate in interviews for new hires
* Leads complex and/or cross\-team projects involving Technical or Product features focused on machine learning applications and data science:
* Independently defines requirements \&amp; assignments of Technical projects.
* Collaborates with Product Managers to refine and estimate customer features.
* Identifies solutions for bottlenecks \&amp; roadblocks.
* May lead the agile development process (daily standups, planning, and retrospectives); seeks to meet commitments and proactively resolve blockers
* Encourages collaboration between team members.
* Handles releases and cross\-team dependencies
**Duties/Responsibilities/Primary Function:** 
* Initiates cross\-team discussions around process and architecture improvements
* Designs integrations with third\-party services and application components
* Sets short to medium\-term strategic technical direction; able to look ahead 6\-12 months and identify the areas of greatest need and create plans to improve them.
* Writes large designs, that often cover several components
* Coaches team to learn and apply improvements.
* Has deep subject matter expertise in one or more technical / business areas; guides and mentors other engineers in those subjects.
* Collaborate with peers to prioritize work and be in alignment with strategic goals
* Handle interruptions extremely well, seeks to help others reach team goals
* Keeps up\-to\-date with relevant advances in the field
**Required Skills/Abilities/Profile:** 
* CS fundamentals (data structure and algorithms)
* Deep knowledge of modern web applications
* Expert in Python
* Expert knowledge of feature engineering, preprocessing techniques, and machine learning algorithms
* Must be comfortable translating a high\-level business goal into a dataset, proposing appropriate objective functions, training and productionizing the model for the business need
* Experience with scikit\-learn and pandas
* Experience with PyTorch or Tensorflow
* A strong conceptual understanding of Transformers
* Experience with task queues and distributed systems
* Experience building highly fault tolerant systems
* Expert/Proficient with Git
* Proficient with Docker (Kubernetes is a plus)
* Experience with AWS is a plus
* Expert problem solving, troubleshooting and debugging skills
* Excellent design \&amp; organizational skills
* Excellent communication and collaboration skills, including experience working with cross\-functional teams.
* Ability to work independently in a remote environment requiring minimal direction/oversight
* Continual improvement and self\-learning
* Experience with Redis preferred
* Experience with MongoDB or SQL preferred
**Education and Experience:** 
* 7\+ years of professional experience in software development, with at least 5 years in machine learning
* Bachelor Degree in Computer Science or related field is a plus
**Physical Requirements:**</t>
        </is>
      </c>
    </row>
    <row r="57">
      <c r="A57" t="inlineStr">
        <is>
          <t>li-4366495566</t>
        </is>
      </c>
      <c r="B57" t="inlineStr">
        <is>
          <t>AI ML Engineer</t>
        </is>
      </c>
      <c r="C57" t="inlineStr">
        <is>
          <t>Tata Consultancy Services</t>
        </is>
      </c>
      <c r="D57" t="inlineStr">
        <is>
          <t>linkedin</t>
        </is>
      </c>
      <c r="E57" t="inlineStr"/>
      <c r="F57" t="inlineStr"/>
      <c r="G57" t="inlineStr">
        <is>
          <t>Sunrise, FL</t>
        </is>
      </c>
      <c r="H57" t="inlineStr"/>
      <c r="I57" t="inlineStr">
        <is>
          <t>**Job Description**
 Job Title : AI ML Engineer
 Experience Required \- 8\+ Years
 Must Have Technical/Functional Skills
* Strong proficiency in Python and AI/ML fundamentals
* Hands\-on experience with LLMs, LangChain, LangGraph, and agent\-based workflows
* Prompt engineering, RAG pipelines, vector databases (FAISS, Pinecone, Chroma)
* Experience deploying models using APIs, microservices, Docker, and cloud platforms (AWS/GCP/Azure)
* Knowledge of model evaluation, fine\-tuning, and performance optimization
* Understanding of software engineering best practices, version control, and scalable system design
* Experience on Scalable and secure AI architectures, performance, cost, and latency optimization
 Roles \&amp; Responsibilities
 Design and implement AI/ML solutions from POC to production
 Translate business requirements into scalable AI architectures
 Own model lifecycle: training, deployment, monitoring, retraining
 Deploy models into production with CI/CD pipelines
 Monitor model performance, drift, latency, and cost
 Ensure reliability, scalability, and security of AI systems
 Mentor junior AI/ML engineers and review code/designs
 Lead technical discussions and architecture reviews
 Provide guidance on best practices and standards
 Work closely with Product Owners, Architects, and Program Managers
 Present technical solutions to business and customer stakeholders
 Support proposal development and technical estimations
 Ensure AI solutions meet enterprise governance, security, and compliance standards
 Salary Range \- $100000 to $125000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58">
      <c r="A58" t="inlineStr">
        <is>
          <t>li-4370438498</t>
        </is>
      </c>
      <c r="B58" t="inlineStr">
        <is>
          <t>Full-Stack AI Engineer</t>
        </is>
      </c>
      <c r="C58" t="inlineStr">
        <is>
          <t>Doodle</t>
        </is>
      </c>
      <c r="D58" t="inlineStr">
        <is>
          <t>linkedin</t>
        </is>
      </c>
      <c r="E58" t="inlineStr"/>
      <c r="F58" t="inlineStr"/>
      <c r="G58" t="inlineStr">
        <is>
          <t>Denver, CO</t>
        </is>
      </c>
      <c r="H58" t="inlineStr"/>
      <c r="I58" t="inlineStr">
        <is>
          <t>Doodle is a B2B SaaS platform used by millions of professionals to coordinate meetings and collaboration across teams and companies. We are expanding from a scheduling product into a broader productivity and coordination platform, which creates meaningful technical challenges at scale.
 We need a Full\-Stack AI Engineer who is as comfortable with mathematical modeling and research as they are with deploying production\-grade code. You will own the entire lifecycle: from choosing the right architecture to building the data pipelines that feed it.
**What You’ll Do**
* Design \&amp; Build: Move beyond LLM prompts. You will architect end\-to\-end intelligent systems using the right tool for the job—whether that’s a Gradient Boosted Tree, a Transformer, or a custom CNN.
* Own the Pipeline: Build and maintain the "plumbing" (Airflow, dbt) and the "orchesteration" (MLflow, ZenML) of our AI products.
* Research \&amp; Experiment: Apply a research\-oriented mindset to solve complex problems like multi\-hop reasoning, model quantization for edge devices, and advanced retrieval.
* Evaluate \&amp; Refine: Don't just ship it—verify it. You'll build frameworks to detect hallucinations, measure regression, and ensure our models are safe and explainable.
**What you bring:**
 We are looking for a practitioner with deep foundations. You should have:
* Strong ML Fundamentals: Proven experience solving problems with traditional ML (XGBoost, LightGBM) and deep feature engineering.
* Deep Learning Expertise: Hands\-on experience with CNNs, RNNs, or Transformers. You understand what happens inside the model, not just how to call an API.
* Research Background: A strong plus. You can read a paper and implement the findings.
* The Full\-Stack Mindset: Proficiency in Python and ML frameworks (PyTorch, TensorFlow, Scikit\-Learn), plus experience with the modern data stack (SQL, dbt, Airflow).
**What You Get**
* Competitive compensation aligned with experience
* Flexible working setup
* Time and budget for learning and development
* Real ownership over features and technical decisions
* A collaborative, low ego engineering environment
* A product used by millions of professionals worldwide
**Hiring Stages**
* Application Review
* Technical Interview with Coding Challenge
* Exec Interview
* HR Interview (incl. Bryq Personality Assessment)
* Final Steps
 You must have the legal right to work in the country you are applying for. We are unable to sponsor visas or support relocation.
**So, Get in Touch!**
 At Doodle, we’re committed to providing an environment of mutual trust and respect, where equal employment opportunities (EEO) are available to all applicants and teammates without regard to age, race, color, disability, religion, gender and sexual orientation. Diversity and inclusion are of utmost importance to us. We’re committed to building a team that represents a variety of backgrounds, perspectives and skills. The more inclusive we are, the better our work and our products will be. We want to hear from you, so please don’t hesitate to apply!</t>
        </is>
      </c>
    </row>
    <row r="59">
      <c r="A59" t="inlineStr">
        <is>
          <t>li-4370812570</t>
        </is>
      </c>
      <c r="B59" t="inlineStr">
        <is>
          <t>AI &amp; ML Engineer</t>
        </is>
      </c>
      <c r="C59" t="inlineStr">
        <is>
          <t>Booz Allen Hamilton</t>
        </is>
      </c>
      <c r="D59" t="inlineStr">
        <is>
          <t>linkedin</t>
        </is>
      </c>
      <c r="E59" t="inlineStr"/>
      <c r="F59" t="inlineStr"/>
      <c r="G59" t="inlineStr">
        <is>
          <t>Chantilly, VA</t>
        </is>
      </c>
      <c r="H59" t="inlineStr"/>
      <c r="I59" t="inlineStr">
        <is>
          <t>**Job Number: R0233490**
 AI \&amp; ML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our client's cyber mission. As a machine learning engineer on our national security team, you’ll train, test, deploy, and maintain models that learn from data.
 In this role, you’ll own and define the direction of mission\-critical solutions by applying best\-fit ML algorithms and technologies. You’ll be part of a large community of machine learning engineers across the company and collaborate with users, software engineers, and data scientists to deliver world\-class solutions to develop and deploy novel AI and ML solutions to tackle novel cyber challenges. Your skills and extensive technical expertise will guide clients as they navigate the landscape of ML algorithms, tools, and frameworks.
 Work with us to solve real\-world challenges and define ML strategy for our cyber national security clients.
 Join us. The world can’t wait.
**You Have:**
* 3\+ years of experience building and deploying AI and ML solutions into production
* Experience with Python programming
* Experience with object\-oriented programming and best practices
* Experience adapting and fine\-tuning open\-source models such as YOLO or BERT
* Experience building applications leveraging LLMs for automation tasks such as text summarization
* Experience with containerization technology such as Docker
* TS/SCI clearance with a polygraph
* Bachelor's degree
**Nice If You Have:**
* Experience with Reverse Engineering
* Experience with vector databases such as Qdrant and relational databases such as Postgres
* Experience with on\-prem compute
* Knowledge of MITRE ATT\&amp;CK framework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0">
      <c r="A60" t="inlineStr">
        <is>
          <t>li-4362096964</t>
        </is>
      </c>
      <c r="B60" t="inlineStr">
        <is>
          <t>Gen AI Engineer</t>
        </is>
      </c>
      <c r="C60" t="inlineStr">
        <is>
          <t>Tata Consultancy Services</t>
        </is>
      </c>
      <c r="D60" t="inlineStr">
        <is>
          <t>linkedin</t>
        </is>
      </c>
      <c r="E60" t="inlineStr"/>
      <c r="F60" t="inlineStr"/>
      <c r="G60" t="inlineStr">
        <is>
          <t>Frederick, MD</t>
        </is>
      </c>
      <c r="H60" t="inlineStr"/>
      <c r="I60" t="inlineStr">
        <is>
          <t>**Job Description**
 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 AI Systems Integration \&amp; Deployment
* Build scalable microservices and APIs for GenAI and agentic components.
* Deploy models and agents using Azure ML or Kubernetes\-based stacks.
*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
**Qualifications:** 
 BACHELOR OF COMPUTER SCIENCE</t>
        </is>
      </c>
    </row>
    <row r="61">
      <c r="A61" t="inlineStr">
        <is>
          <t>li-4359698794</t>
        </is>
      </c>
      <c r="B61" t="inlineStr">
        <is>
          <t>Staff Machine Learning Engineer, Ads - Quora (Remote)</t>
        </is>
      </c>
      <c r="C61" t="inlineStr">
        <is>
          <t>Quora</t>
        </is>
      </c>
      <c r="D61" t="inlineStr">
        <is>
          <t>linkedin</t>
        </is>
      </c>
      <c r="E61" t="inlineStr"/>
      <c r="F61" t="inlineStr"/>
      <c r="G61" t="inlineStr"/>
      <c r="H61" t="inlineStr"/>
      <c r="I61"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Monetization team works on challenging problems every day. Our Machine Learning Engineers are tasked with optimizing the advertising product at Quora. The team covers the entire Machine Learning Ads lifecycle from end\-to\-end, including ads targeting, ranking and auction dynamics, and quality measurement. Engrained in our culture is the desire to constantly learn and improve, and our engineers are encouraged to think big and experiment with new ideas. Using continuous deployment, we quickly see our changes in the product and make fast iterations. Our engineers focus on creating polished products and writing high\-quality code by designing APIs and abstractions that are extensible and maintainable. As a remote\-first company, our engineers have a high degree of flexibility and autonomy. Everyone on the engineering team has a huge impact on our product, revenue and company.
 Since we first launched our advertising platform, we've grown to support thousands of advertisers who are reaching over 300 million\+ monthly unique visitors on Quora. Our journey is just beginning as we continue to build new products from the ground up and tackle exciting challenges at scale. Today, we're working on a broad range of areas to grow our ads product to drive more value to our users and advertisers. As a member of the Ads Machine Learning team, you will have a chance to work with a diverse and talented global team of engineers and collaborate closely with cross\-functional partners to help advertisers reach their performance goals through next\-generation targeting and bidding products and to build a stronger connection between Quora users and its business products.
**Responsibilities**
* Improve our existing machine learning systems using your core coding skills and ML knowledge
* Take end to end ownership of machine learning systems \- from data pipelines, feature engineering, candidate extraction, model training, as well as integration into our production systems
* Apply state\-of\-the\-art machine learning algorithms at scale and serving for next\-generation targeting and bidding products that directly impact the company’s top line metrics
* Collaborate with ML platform and product engineers to build scalable and efficient machine learning systems in the production environment
* Work with product and business teams on new innovative features for ad targeting and bidding to optimize advertisement performance
* Identify new opportunities to apply machine learning to different parts of the Ads product to drive value for our users and advertisers
**Minimum Requirements**
* Availability for meetings and impromptu communication during Quora's “coordination hours" (Mon\-Fri: 9am\-3pm Pacific Time)
* 5\+ years of professional software development experience in machine learning
* Previous experience working in Adtech, developing ad targeting/retrieval/recommender systems
* Previous experience building large scale ranking/recommendation systems
* Good understanding of mathematical foundations of machine learning algorithms
* Highly proficient coding ability writing Python
* BS, MS or PhD in Computer Science, Engineering or a related technical field
**Preferred Requirements**
* Experience with leading large\-scale multi\-engineer projects
* Experience in productized reinforcement learning
* Experience working with CTR, CVR, auto\-bidding and auction systems
* Effective communicator with strong leadership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$189,507 \- $320,613 USD \+ equity \+ benefits.
* Canada candidates only: For Toronto and Vancouver based applicants, the salary range is $248,526 \- $336,370 CAD \+ equity \+ benefits. For all other locations in Canada, the salary range is $231,958 \- $313,946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https://www.careers.quora.com/applicant\-privacy\-notice</t>
        </is>
      </c>
    </row>
    <row r="62">
      <c r="A62" t="inlineStr">
        <is>
          <t>li-4367293938</t>
        </is>
      </c>
      <c r="B62" t="inlineStr">
        <is>
          <t>Gen AI Engineer</t>
        </is>
      </c>
      <c r="C62" t="inlineStr">
        <is>
          <t>Tata Consultancy Services</t>
        </is>
      </c>
      <c r="D62" t="inlineStr">
        <is>
          <t>linkedin</t>
        </is>
      </c>
      <c r="E62" t="inlineStr"/>
      <c r="F62" t="inlineStr"/>
      <c r="G62" t="inlineStr">
        <is>
          <t>Frederick, MD</t>
        </is>
      </c>
      <c r="H62" t="inlineStr"/>
      <c r="I62" t="inlineStr">
        <is>
          <t>**Job Description**
 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 AI Systems Integration \&amp; Deployment
* Build scalable microservices and APIs for GenAI and agentic components.
* Deploy models and agents using Azure ML or Kubernetes\-based stacks.
*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
**Qualifications:** 
 BACHELOR OF COMPUTER SCIENCE</t>
        </is>
      </c>
    </row>
    <row r="63">
      <c r="A63" t="inlineStr">
        <is>
          <t>li-4360053064</t>
        </is>
      </c>
      <c r="B63" t="inlineStr">
        <is>
          <t>Data &amp; AI Engineer</t>
        </is>
      </c>
      <c r="C63" t="inlineStr">
        <is>
          <t>Tata Consultancy Services</t>
        </is>
      </c>
      <c r="D63" t="inlineStr">
        <is>
          <t>linkedin</t>
        </is>
      </c>
      <c r="E63" t="inlineStr"/>
      <c r="F63" t="inlineStr"/>
      <c r="G63" t="inlineStr">
        <is>
          <t>Redmond, WA</t>
        </is>
      </c>
      <c r="H63" t="inlineStr"/>
      <c r="I63" t="inlineStr">
        <is>
          <t>**Job Description**
**Must Have Technical/Functional Skills:**
* Minimum 6 years of hands\-on experience in data engineering roles, preferably in eCommerce, digital marketing, or consumer\-facing applications
* Strong knowledge in data modelling and propose best practices in data area.
* Proven experience delivering big data projects in enterprise environments with global scale
* Strong foundation in SQL, Python, and cloud data platforms (Azure preferred)
* CCore Data Engineering Competencies; Data Concepts \&amp; Data Modelling; Digital : Big Data Platforms; data pipelines design; Microsoft fabric data agents; Azure AI Services; AI and ML Integration; Analytical and problem solving skills; Performance tuning and monitoring; Digital : PySpark; ecommerce domain knowledge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$64,000\-$100,000 a year</t>
        </is>
      </c>
    </row>
    <row r="64">
      <c r="A64" t="inlineStr">
        <is>
          <t>li-4360181305</t>
        </is>
      </c>
      <c r="B64" t="inlineStr">
        <is>
          <t>Gen AI Engineer</t>
        </is>
      </c>
      <c r="C64" t="inlineStr">
        <is>
          <t>Tata Consultancy Services</t>
        </is>
      </c>
      <c r="D64" t="inlineStr">
        <is>
          <t>linkedin</t>
        </is>
      </c>
      <c r="E64" t="inlineStr"/>
      <c r="F64" t="inlineStr"/>
      <c r="G64" t="inlineStr">
        <is>
          <t>Chicago, IL</t>
        </is>
      </c>
      <c r="H64" t="inlineStr"/>
      <c r="I64" t="inlineStr">
        <is>
          <t>**Job Description**
 Gen AI Engineers
 Must Have Technical/Functional Skills
* Fundamental knowledge of Machine Learning, Deep Learning, and NLP concepts
* Ability to apply AI/ML theories to practical business use cases.
* Proficiency in Python programming language
* Experience writing reusable, efficient, and testable code.
* Experience with Generative AI tools (e.g., Microsoft Co\-Pilot)
* Understanding of code generation and AI\-assisted development.
* Familiarity with Cloud technologies (AWS, Azure, or GCP)
* Experience deploying or integrating models in a cloud environment.
* Strong analytical and problem\-solving skills
* Ability to break down complex problems and build practical solutions.
 Roles \&amp; Responsibilities
 Technical and Business POC validation
* Hands\-on experience with AI/ML libraries like TensorFlow or PyTorch
* Familiarity with Prompt Engineering and working with LLM APIs (e.g., OpenAI, Anthropic)
* Basic understanding of model evaluation metrics (precision, recall, etc.)
* Knowledge of data preprocessing and feature engineering techniques
* Exposure to Java\-based AI integrations or backend development
 Salary Range\- $60,000\-$100,000 a year
**Qualifications:** 
 BACHELOR OF COMPUTER SCIENCE</t>
        </is>
      </c>
    </row>
    <row r="65">
      <c r="A65" t="inlineStr">
        <is>
          <t>li-4361902244</t>
        </is>
      </c>
      <c r="B65" t="inlineStr">
        <is>
          <t>Gen AI Engineer</t>
        </is>
      </c>
      <c r="C65" t="inlineStr">
        <is>
          <t>Tata Consultancy Services</t>
        </is>
      </c>
      <c r="D65" t="inlineStr">
        <is>
          <t>linkedin</t>
        </is>
      </c>
      <c r="E65" t="inlineStr"/>
      <c r="F65" t="inlineStr"/>
      <c r="G65" t="inlineStr">
        <is>
          <t>Irving, TX</t>
        </is>
      </c>
      <c r="H65" t="inlineStr"/>
      <c r="I65" t="inlineStr">
        <is>
          <t>**Job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 AI workflow development
* Prompt engineering
* Deployment and maintenance of AI models across all environments including Production.
* Code review, testing and documentation
* Continuous learning in Generative AI related fields
 Salary Range: $120,000 to $150,000 per year
**Qualifications:** 
 BACHELOR OF COMPUTER SCIENCE</t>
        </is>
      </c>
    </row>
    <row r="66">
      <c r="A66" t="inlineStr">
        <is>
          <t>li-4365882724</t>
        </is>
      </c>
      <c r="B66" t="inlineStr">
        <is>
          <t>Gen AI Engineer</t>
        </is>
      </c>
      <c r="C66" t="inlineStr">
        <is>
          <t>Tata Consultancy Services</t>
        </is>
      </c>
      <c r="D66" t="inlineStr">
        <is>
          <t>linkedin</t>
        </is>
      </c>
      <c r="E66" t="inlineStr"/>
      <c r="F66" t="inlineStr"/>
      <c r="G66" t="inlineStr">
        <is>
          <t>Irving, TX</t>
        </is>
      </c>
      <c r="H66" t="inlineStr"/>
      <c r="I66" t="inlineStr">
        <is>
          <t>**Job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 AI workflow development
* Prompt engineering
* Deployment and maintenance of AI models across all environments including Production.
* Code review, testing and documentation
* Continuous learning in Generative AI related fields
 Salary Range: $120,000 to $150,000 per year
**Qualifications:** 
 BACHELOR OF COMPUTER SCIENCE</t>
        </is>
      </c>
    </row>
    <row r="67">
      <c r="A67" t="inlineStr">
        <is>
          <t>li-4361971512</t>
        </is>
      </c>
      <c r="B67" t="inlineStr">
        <is>
          <t>Gen AI Engineer</t>
        </is>
      </c>
      <c r="C67" t="inlineStr">
        <is>
          <t>Tata Consultancy Services</t>
        </is>
      </c>
      <c r="D67" t="inlineStr">
        <is>
          <t>linkedin</t>
        </is>
      </c>
      <c r="E67" t="inlineStr"/>
      <c r="F67" t="inlineStr"/>
      <c r="G67" t="inlineStr">
        <is>
          <t>Plano, TX</t>
        </is>
      </c>
      <c r="H67" t="inlineStr"/>
      <c r="I67" t="inlineStr">
        <is>
          <t>**Job Description**
 Must Have Technical/Functional Skills
* Gen AI – prompt engineering
* Connecting LLMs
* Agentic AI
* Model Context Protocol
 \- Handon experience\-
 Roles \&amp; responsibilities
* Gen AI – prompt engineering
* Connecting LLMs
* Agentic AI
* Model Context Protocol
* Handon experience
 Generic Managerial Skills, If any
 No managerial skills required, but the candidate should be able to manage and run production calls in case critical
 Issues with any dependencies/ hand holding.
 Key Words to search in Resume
* Gen AI – prompt engineering
* Connecting LLMs
* Agentic AI
* Model Context Protocol
* Handon experience
 Salary Range: $120,000 to $140,000 per year
**Qualifications:** 
 BACHELOR OF COMPUTER SCIENCE</t>
        </is>
      </c>
    </row>
    <row r="68">
      <c r="A68" t="inlineStr">
        <is>
          <t>li-4367330016</t>
        </is>
      </c>
      <c r="B68" t="inlineStr">
        <is>
          <t>Senior Generative &amp; Agentic AI Engineer</t>
        </is>
      </c>
      <c r="C68" t="inlineStr">
        <is>
          <t>CriticalRiver Inc.</t>
        </is>
      </c>
      <c r="D68" t="inlineStr">
        <is>
          <t>linkedin</t>
        </is>
      </c>
      <c r="E68" t="inlineStr"/>
      <c r="F68" t="inlineStr"/>
      <c r="G68" t="inlineStr">
        <is>
          <t>Pleasanton, CA</t>
        </is>
      </c>
      <c r="H68" t="inlineStr"/>
      <c r="I68" t="inlineStr">
        <is>
          <t>**CriticalRiver Inc. \| Full\-Time** 
**Pleasanton, CA (Hybrid work)** 
 CriticalRiver is seeking a
 **Generative \&amp; Agentic AI Engineer** 
 to lead the design and delivery of next\-generation AI solutions for our global clients. In this role, you’ll define AI strategy, architect intelligent systems, and mentor a team building real\-world generative and agentic AI applications.
**What you will do:** 
* Define and drive the strategy for generative and agentic AI initiatives
* Architect and build multi\-agent systems, RAG pipelines, and custom LLM solutions
* Lead and mentor a high\-performing AI engineering team
* Hands\-on development, fine\-tuning, and deployment of AI models and agents
* Evaluate and implement AI platforms and frameworks (LangGraph, LlamaIndex, Hugging Face, OpenAI, Google Vertex AI, Azure AI, Claude)
**What you will bring:** 
* Senior/lead experience in AI/ML with strong focus on NLP and LLMs
* Hands\-on expertise in generative AI, agent orchestration, prompt engineering, guardrails, and RAG
* Experience building autonomous or multi\-agent systems (LangGraph, CrewAI, ADK, or similar)
* Strong Python skills and experience with PyTorch/TensorFlow
* Ability to prototype AI\-driven business use cases using tools like Cursor, Copilot, Claude Code, Bolt, or V0
* Strong leadership and communication skills
**Nice to Have** 
* Experience with international (US/EU) clients
* Cloud GenAI experience (Google Gemini, AWS Bedrock, Azure OpenAI)
* Open\-source contributions or published AI work</t>
        </is>
      </c>
    </row>
    <row r="69">
      <c r="A69" t="inlineStr">
        <is>
          <t>li-4370469069</t>
        </is>
      </c>
      <c r="B69" t="inlineStr">
        <is>
          <t>Applied AI Engineer-Vice President</t>
        </is>
      </c>
      <c r="C69" t="inlineStr">
        <is>
          <t>hackajob</t>
        </is>
      </c>
      <c r="D69" t="inlineStr">
        <is>
          <t>linkedin</t>
        </is>
      </c>
      <c r="E69" t="inlineStr"/>
      <c r="F69" t="inlineStr"/>
      <c r="G69" t="inlineStr">
        <is>
          <t>Columbus, OH</t>
        </is>
      </c>
      <c r="H69" t="inlineStr"/>
      <c r="I69" t="inlineStr">
        <is>
          <t>***hackajob** 
 is collaborating with
 **J.P. Morgan** 
 to connect them with exceptional tech professionals for this role.*
**Job Description**
 As Applied AI Engineer\-Vice President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5\+ years applied AI experience
* Proven track record of building and scaling software and or machine learning platforms in high\-growth or enterprise environments
* 10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0">
      <c r="A70" t="inlineStr">
        <is>
          <t>li-4370451494</t>
        </is>
      </c>
      <c r="B70" t="inlineStr">
        <is>
          <t>Senior AI Engineer</t>
        </is>
      </c>
      <c r="C70" t="inlineStr">
        <is>
          <t>Jobs via Dice</t>
        </is>
      </c>
      <c r="D70" t="inlineStr">
        <is>
          <t>linkedin</t>
        </is>
      </c>
      <c r="E70" t="inlineStr"/>
      <c r="F70" t="inlineStr"/>
      <c r="G70" t="inlineStr">
        <is>
          <t>Atlanta, GA</t>
        </is>
      </c>
      <c r="H70" t="inlineStr"/>
      <c r="I70" t="inlineStr">
        <is>
          <t>Dice is the leading career destination for tech experts at every stage of their careers. Our client, INFT Solutions inc, is seeking the following. Apply via Dice today!
**Senior AI Engineer to deploy AI Agents.**
**100% remote (prefer East Coast candidates)**
 Mission: Build and deploy AI agents that automate marketing workflows and accelerate insight generation while maintaining data security and reliability.
**Responsibilities:**
 Build agentic workflows integrated with martech \+ data stack
 Implement retrieval from docs, dashboards, and campaign data
 Create evaluation harnesses, monitoring, and guardrails
 Partner with Delivery, Martech and VP, Marketing to ship weekly improvements
**Requirements: Python, SQL, APIs, LLM tool\-calling, deployment experience; strong communication; evidence of shipped automation; Co\-pilot experience a plus**</t>
        </is>
      </c>
    </row>
    <row r="71">
      <c r="A71" t="inlineStr">
        <is>
          <t>li-4370457260</t>
        </is>
      </c>
      <c r="B71" t="inlineStr">
        <is>
          <t>AI/ML Engineer with Agentic AI Exp. @ New York, NY. (Need local or ready to relocate)</t>
        </is>
      </c>
      <c r="C71" t="inlineStr">
        <is>
          <t>Jobs via Dice</t>
        </is>
      </c>
      <c r="D71" t="inlineStr">
        <is>
          <t>linkedin</t>
        </is>
      </c>
      <c r="E71" t="inlineStr"/>
      <c r="F71" t="inlineStr"/>
      <c r="G71" t="inlineStr">
        <is>
          <t>New York, NY</t>
        </is>
      </c>
      <c r="H71" t="inlineStr"/>
      <c r="I71"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;/p\&gt;
**Job Title:** 
 AI/ML Engineer with Agentic AI Exp.
**Location:** 
 New York, NY.
**Duration:** 
 FULLTIME.
**Key Responsibilities:**
 Agentic System Design Develop autonomous context aware and multiagent systems capable of reasoning planning and tool utilization.
 LLM RAG Integration Build and optimize RAG pipelines including chunking embeddings vector search and reranking to improve agent accuracy.
 Agentic Framework Development Use frameworks like Lang Chain Lang Graph or Auto\-Gen to create reusable agentic components and skills.
 Production Deployment ML Ops Deploy agentic AI solutions to cloud platforms AWSGoogle Cloud Platform ensuring scalability reliability and low latency.
 Evaluation Optimization Implement evaluation pipelines for agent performance and refine prompts or finetune models to enhance decision\-making.
 Collaboration Work with cross functional teams Product Data Engineering to translate complex business needs into autonomous workflows.
**Required Skills Qualifications:**
 Core AIML Experience 3 years in ML engineering specifically with LLMs agents or complex automation.
 Frameworks Libraries Proficiency in Lang Chain Lang Graph Auto Gen Hugging Face and Vector Databases eg Pinecone Milvus.
 Programming Strong Python skills for data manipulation and model development.
 Production Engineering Experience with CICD Docker Kubernetes and Cloud Services AWS or Google Cloud Platform or Azure.
 Education BS or MS in Computer Science Artificial Intelligence or a related field.
 Benefits/perks listed below may vary depending on the nature of your employment with LTIMindtree ( LTIM ):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 s COVID\-19 vaccination mandate for approval, in accordance with applicable state and federal law, by the date of hire. Any request is subject to review through LTIMindtree s applicable processes.</t>
        </is>
      </c>
    </row>
    <row r="72">
      <c r="A72" t="inlineStr">
        <is>
          <t>li-4370450586</t>
        </is>
      </c>
      <c r="B72" t="inlineStr">
        <is>
          <t>Senior Data + AI/ML Engineer</t>
        </is>
      </c>
      <c r="C72" t="inlineStr">
        <is>
          <t>Jobs via Dice</t>
        </is>
      </c>
      <c r="D72" t="inlineStr">
        <is>
          <t>linkedin</t>
        </is>
      </c>
      <c r="E72" t="inlineStr"/>
      <c r="F72" t="inlineStr"/>
      <c r="G72" t="inlineStr">
        <is>
          <t>Walnut Creek, CA</t>
        </is>
      </c>
      <c r="H72" t="inlineStr"/>
      <c r="I72" t="inlineStr">
        <is>
          <t>Dice is the leading career destination for tech experts at every stage of their careers. Our client, SolutionIT, Inc., is seeking the following. Apply via Dice today!
 Solution IT Inc. is looking for
 **Senior Data \+ AI/ML Engineer** 
 for one of its clients
 **Walnut Creek, CA(Hybrid)**
**Job Title: Senior Data \+ AI/ML Engineer**
**Responsibilities**
* Architected and led end\-to\-end data and AI platforms, spanning data ingestion, processing, model training etc.
* Strong experience with Python and ML frameworks such as TensorFlow, PyTorch, scikit\-learn etc.
* Solid understanding of supervised and unsupervised learning including classification, clustering, and predictive modeling techniques.
* Expert level experience with AWS, including designing, deploying and managing production grade AI/ML solutions using service such as S3 ,EC2,EKS/ECS, Lambda, RDS, IAM etc.
* Proven experience working designing and building large scale, complex datasets including data transformation, normalization and data quality management etc.
* Hands on experience deploying and operating ML workloads in AWS GovCloud with strong knowledge of security, compliance, and government cloud constraints.
* Strong experience designing and implementing Retrieval\-Augmented Generation (RAG) architectures, including document generation, vector and LLM integration.
* Experience integrating LLMs with structured and unstructured data to generate accurate, explainable and context aware responses.
* Strong understanding of ML Ops and LLM Ops practices, including model / version management, prompt management, evaluation, monitoring and retraining.
* Experience building scalable batch and real time pipelines for data engineering, ML and generative AI workloads.
* Familiarity with data security, privacy and compliance requirements in regulated or public sector environments.
* Excellent communication and collaboration skills with the ability to work independently and drive technical initiatives.
**Work Site** 
 :
 **Walnut Creek, CA (Hybrid 2/3 days per week onsite)**
**Duration: 6\+ Months**
**Expected Start Date** 
 :
 **Immediate \- 2 weeks**
**Number of Positions: 01**
 Please send your responses back to</t>
        </is>
      </c>
    </row>
    <row r="73">
      <c r="A73" t="inlineStr">
        <is>
          <t>li-4370436746</t>
        </is>
      </c>
      <c r="B73" t="inlineStr">
        <is>
          <t>AWS Cloud Gen AI Engineer 100% Remote</t>
        </is>
      </c>
      <c r="C73" t="inlineStr">
        <is>
          <t>Jobs via Dice</t>
        </is>
      </c>
      <c r="D73" t="inlineStr">
        <is>
          <t>linkedin</t>
        </is>
      </c>
      <c r="E73" t="inlineStr"/>
      <c r="F73" t="inlineStr"/>
      <c r="G73" t="inlineStr">
        <is>
          <t>New Jersey, United States</t>
        </is>
      </c>
      <c r="H73" t="inlineStr"/>
      <c r="I73" t="inlineStr">
        <is>
          <t>Dice is the leading career destination for tech experts at every stage of their careers. Our client, Apetan Consulting, is seeking the following. Apply via Dice today!
 AWS Cloud Gen AI Engineer 100% Remote
 searching for recent grads with 3\-5 years experience to use tools and leverage machine learning to create new text, images, code and audio based on user prompts. Leading tools include
 **CHATGPT** 
 and
 **Claude** 
 for text,
 **Midjourney** 
 and
 **Stable Diffusion** 
 for images and
 **GitHub Copilot** 
 for coding assistance. These tools boost productivity in content creation, design and software development
 Convert old Java versions to new versions
 Convert old C\+\+ apps to newer versions
 Best Regards,</t>
        </is>
      </c>
    </row>
    <row r="74">
      <c r="A74" t="inlineStr">
        <is>
          <t>li-4370438731</t>
        </is>
      </c>
      <c r="B74" t="inlineStr">
        <is>
          <t>Principal AI/ML Engineer – Contact Center Intelligence</t>
        </is>
      </c>
      <c r="C74" t="inlineStr">
        <is>
          <t>Jobs via Dice</t>
        </is>
      </c>
      <c r="D74" t="inlineStr">
        <is>
          <t>linkedin</t>
        </is>
      </c>
      <c r="E74" t="inlineStr"/>
      <c r="F74" t="inlineStr"/>
      <c r="G74" t="inlineStr">
        <is>
          <t>New York, NY</t>
        </is>
      </c>
      <c r="H74" t="inlineStr"/>
      <c r="I74" t="inlineStr">
        <is>
          <t>Dice is the leading career destination for tech experts at every stage of their careers. Our client, XPath Solutions LLC, is seeking the following. Apply via Dice today!
**Principal AI/ML Engineer – Contact Center Intelligence**
 On site interview in NY is mandatory!
**Location:** 
 New York, NY
*(Hybrid preferred; on\-site collaboration required for key initiatives. Relocation support available for top candidates.)*
**Mandatory Experience \=** 
 Contact Center Intelligence
**Mandatory Total years of experience** 
 \= 13\+ Years
**Job Summary**
 We are hiring a
 **Principal AI/ML Engineer** 
 to lead the
 **hands\-on design, development, and scaling** 
 of next\-generation AI solutions for contact centers. This is a
 **senior individual contributor** 
 role focused on building
 **production\-grade Generative AI and Agentic AI applications** 
 tightly integrated with
 **contact center intelligence** 
 .
 With
 **15\+ years of AI/ML experience** 
 (deep focus on NLP and conversational systems) and
 **2\+ years delivering GenAI/Agentic AI in production** 
 , you will architect and deploy
 **autonomous, tool\-using, reasoning agents** 
 that manage complex customer journeys—independently or in collaboration with human agents. You will work across
 **AWS, Azure, and Google Cloud** 
 to deliver scalable, secure, and compliant AI systems that measurably improve
 **containment, CSAT, FCR, and operational efficiency** 
 .
**Key Responsibilities**
**Agentic AI \&amp; Generative AI Engineering**
* Design, build, and deploy Agentic AI systems for contact centers, including:
+ Multi\-agent orchestration
+ Reasoning and planning patterns (ReAct, Plan\-and\-Execute)
+ Tool calling (APIs, CRM systems, knowledge bases)
+ Memory management (short\-term and long\-term)
+ Self\-correction and feedback loops
* Integrate LLMs (GPT\-series, Claude, Llama, Gemini, fine\-tuned open models) into real\-time contact center workflows for:
+ Response generation
+ Conversation summarization
+ Agent assist and coaching
+ Dynamic intent resolution
+ Personalized scripting and post\-call analytics
**Contact Center Intelligence \&amp; NLP**
* Build advanced NLP\-powered intelligence features, including:
+ Intent classification and routing
+ Entity extraction
+ Sentiment and emotion detection
+ Dialogue management
+ Multilingual support
* Develop multimodal pipelines (voice \+ text) using ASR/TTS technologies (e.g., Whisper, Google Speech, Azure Cognitive Services)
**Cloud\-Native AI Platforms**
* Deliver end\-to\-end solutions using major cloud ecosystems:
+ AWS: Bedrock, SageMaker, Amazon Connect, Lex/Q, Lambda
+ Azure: Azure OpenAI, AI Bot Service, Cognitive Services, Azure ML
+ Google Cloud: Vertex AI, Dialogflow CX, Contact Center AI Insights, Gemini models
**End\-to\-End AI Lifecycle Ownership**
* Own the full AI lifecycle:
+ Data preparation and feature engineering
+ Model selection, fine\-tuning, and prompt engineering
+ RAG pipelines and vector search
+ Agent framework integration (LangChain, LangGraph, LlamaIndex, CrewAI, AutoGen, Semantic Kernel)
+ Evaluation (human\-in\-the\-loop, automated metrics)
+ MLOps (CI/CD, monitoring, drift detection, scaling)
* Optimize AI systems to directly improve contact center KPIs, including automation rate, AHT reduction, FCR improvement, and proactive engagement
**Leadership, Governance \&amp; Collaboration**
* Collaborate with product, engineering, contact center operations, and compliance teams to translate business needs into production\-ready AI capabilities
* Mentor senior engineers, perform code and model reviews, and define best practices
* Ensure responsible AI implementation, including bias mitigation, guardrails, explainability, and safety layers
* Ensure compliance with GDPR, CCPA, TCPA, and voice interaction regulations
* Stay ahead of emerging GenAI and Agentic AI trends; prototype innovations and contribute to internal thought leadership
**Required Qualifications**
* 15\+ years of professional experience in AI/ML engineering
* 10\+ years specializing in NLP and conversational AI systems (chatbots, voice agents, IVR/NLU)
* 2\+ years of deep, hands\-on production experience with Generative AI and Agentic AI
* Proven expertise delivering Contact Center Intelligence on AWS, Azure, or Google Cloud
* Strong proficiency in:
+ Python
+ PyTorch, TensorFlow, Hugging Face Transformers
+ Agentic frameworks (LangChain/LangGraph, LlamaIndex, CrewAI, AutoGen)
+ RAG, embeddings, vector databases (Pinecone, Weaviate, etc.)
+ Voice AI pipelines (ASR, TTS, spoken dialogue systems)
* Demonstrated impact improving contact center metrics (e.g., 30%\+ containment lift, CSAT gains)
* Experience with MLOps (MLflow, Kubeflow, SageMaker Pipelines) and cloud infrastructure (Docker, Kubernetes, serverless)
* Bachelor’s or Master’s degree in Computer Science, AI/ML, or related field (PhD a plus)
**Preferred Qualifications**
* Experience with CCaaS platforms (Genesys, Five9, NICE CXone, Avaya)
* CRM integrations (Salesforce, Dynamics 365\)
* Delivery of multi\-modal, real\-time agentic systems
* Open\-source contributions, publications, or patents in AI/NLP
* Deep knowledge of ethical and responsible AI in regulated environments
* Strong communication and stakeholder influence skills</t>
        </is>
      </c>
    </row>
    <row r="75">
      <c r="A75" t="inlineStr">
        <is>
          <t>li-4370438906</t>
        </is>
      </c>
      <c r="B75" t="inlineStr">
        <is>
          <t>Lead Microsoft365 AI Engineer</t>
        </is>
      </c>
      <c r="C75" t="inlineStr">
        <is>
          <t>Acrisure</t>
        </is>
      </c>
      <c r="D75" t="inlineStr">
        <is>
          <t>linkedin</t>
        </is>
      </c>
      <c r="E75" t="inlineStr"/>
      <c r="F75" t="inlineStr"/>
      <c r="G75" t="inlineStr">
        <is>
          <t>Austin, TX</t>
        </is>
      </c>
      <c r="H75" t="inlineStr"/>
      <c r="I75"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76">
      <c r="A76" t="inlineStr">
        <is>
          <t>li-4370439848</t>
        </is>
      </c>
      <c r="B76" t="inlineStr">
        <is>
          <t>Lead Microsoft365 AI Engineer</t>
        </is>
      </c>
      <c r="C76" t="inlineStr">
        <is>
          <t>Acrisure</t>
        </is>
      </c>
      <c r="D76" t="inlineStr">
        <is>
          <t>linkedin</t>
        </is>
      </c>
      <c r="E76" t="inlineStr"/>
      <c r="F76" t="inlineStr"/>
      <c r="G76" t="inlineStr"/>
      <c r="H76" t="inlineStr"/>
      <c r="I76"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77">
      <c r="A77" t="inlineStr">
        <is>
          <t>li-4370877166</t>
        </is>
      </c>
      <c r="B77" t="inlineStr">
        <is>
          <t>Applied Scientist</t>
        </is>
      </c>
      <c r="C77" t="inlineStr">
        <is>
          <t>Huzzle.com</t>
        </is>
      </c>
      <c r="D77" t="inlineStr">
        <is>
          <t>linkedin</t>
        </is>
      </c>
      <c r="E77">
        <f>HYPERLINK("https://www.linkedin.com/jobs/view/4370877166", "https://www.linkedin.com/jobs/view/4370877166")</f>
        <v/>
      </c>
      <c r="F77" t="inlineStr"/>
      <c r="G77" t="inlineStr"/>
      <c r="H77" t="inlineStr"/>
      <c r="I77" t="inlineStr">
        <is>
          <t>**Founding Applied Scientist** 
**Location:** 
 Hybrid / San Francisco
**Compensation:** 
 $140k–$240k base \+ equity \+ bonus
 This role sits at the intersection of
 **applied research and frontier\-lab GTM** 
 . You will anticipate upcoming data needs at leading AI labs, turn those insights into concrete data products, and drive early pilots with top frontier teams.
**I. Applied Research** 
* Anticipate future human data requirements by tracking recent research papers and gathering insight through your network.
* Translate research signals into executable data projects (across SFT / RLHF data, evals, RL environments, etc.)
* Scope projects end\-to\-end and cordinate with operations to support execution through early iterations.
* Work on internal data initiatives and
 **run experiments you're excited about!**
**II. Frontier Lab GTM** 
* Prepare data and project proposals for frontier AI labs.
* Lead technical GTM conversations with researchers.
* Secure pilots with leading AI labs.
**Role Evolution** 
 This role can evolve into a
 **higher\-level position** 
 , such as
 **Founding GM, Huzzle Labs** 
 , with ownership over long\-term strategy, hiring, and investments.
**Team \&amp; Company** 
 Huzzle is a team of \~30 across Berlin, London, and San Francisco. We work primarily remotely, with hubs in Berlin and London, and plan to establish a physical presence in SF.
 Huzzle is backed by the co\-founder of Hugging Face, researchers from Magic, Meta, and Applied Intuition, and investors including 10X Founders, Emerge Capital, and Angel Invest.</t>
        </is>
      </c>
    </row>
    <row r="78">
      <c r="A78" t="inlineStr">
        <is>
          <t>li-4315758490</t>
        </is>
      </c>
      <c r="B78" t="inlineStr">
        <is>
          <t>Applied Scientist III</t>
        </is>
      </c>
      <c r="C78" t="inlineStr">
        <is>
          <t>Uber Freight</t>
        </is>
      </c>
      <c r="D78" t="inlineStr">
        <is>
          <t>linkedin</t>
        </is>
      </c>
      <c r="E78">
        <f>HYPERLINK("https://www.linkedin.com/jobs/view/4315758490", "https://www.linkedin.com/jobs/view/4315758490")</f>
        <v/>
      </c>
      <c r="F78" t="inlineStr"/>
      <c r="G78" t="inlineStr">
        <is>
          <t>Chicago, IL</t>
        </is>
      </c>
      <c r="H78" t="inlineStr"/>
      <c r="I78" t="inlineStr">
        <is>
          <t>**Schedule: Full Time Employment**
**Job Type: Hybrid**
**Salary Type: Salary**
**Req \#:1756**
**About The Role**
 As an Applied Scientist III at Uber Freight, you will develop and implement advanced machine learning, statistical, economic, and optimization approaches to solve complex business problems and improve performance. You will apply modeling skills and data\-driven methods to enhance our core product experience and top line business metrics. You’ll collaborate closely with Product, Operations, and Engineering teams to turn insights into impact.
**What The Candidate Will Do**
* Develop creative solutions and build prototypes to business problems using algorithms based on machine learning, causal inference, statistics, and optimization.
* Collaborate with engineering and product teams to productionize these solutions and create a lasting impact.
* Drive clarity and solve ambiguous, challenging business problems using data\-driven approaches, with an emphasis on understanding causal relationships when applicable.
* Propose and guide robust frameworks of data analysis to drive business insights and inform decision\-making.
* Contribute to establishing standard methodologies for data science, including modeling, coding, analytics, and experimentation.
* Leverage data to understand product performance and identify improvement opportunities, including analyzing potential causal factors.
* Design product experiments and interpret results to draw detailed and impactful conclusions.
* Communicate findings and insights to senior management and cross\-functional teams.
* Provide recommendations to assist quick product ideation and feature launch decisions.
* Build intelligent data\-driven products to provide the best user experience.
**Basic Qualifications**
* Bachelor’s degree in Statistics, Machine Learning, Operations Research, Economics, Computer Science, or another related field
* 3 years of related experience
* Demonstrated proficiency in programming languages like Python or R for purposes of model development and analysis
* Proficiency in SQL for data manipulation and analysis
* Proficiency in building and managing data pipelines for purposes of model development or analysis
* Proficiency in designing, launching, and analyzing A/B tests or other types of online experiments
**Preferred Qualifications**
* Master’s or Ph.D. in Statistics, Machine Learning, Operations Research, Economics, Computer Science, or a related field
* Strong knowledge of experimental design and analysis
* Expertise in observational causal inference or statistical analysis
* Ability to use a programming language like Python or R to work efficiently at scale with large data sets
* Proficiency in Spark for data manipulation and analysis at scale
* Experience working on fraud, recommendation or dynamic pricing algorithms in a production environment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**About Uber Freight**
 Uber Freight helps companies move goods more reliably and efficiently. We bring together the technology, people, and transportation capacity they need, using real‑time data from millions of shipments to guide smarter decisions. That helps customers spot issues early, avoid costly surprises, and deliver on time. Uber Freight works with 1 in 3 Fortune 500 shippers across North America and manages over $17B in freight. Learn more at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
 For Chicago\-based roles: The salary range for this role is $128,750\.00 \- $151,950\.00</t>
        </is>
      </c>
    </row>
    <row r="79">
      <c r="A79" t="inlineStr">
        <is>
          <t>li-4370932048</t>
        </is>
      </c>
      <c r="B79" t="inlineStr">
        <is>
          <t>Applied Scientist II, Amazon Fulfillment Technology (AFT) Science</t>
        </is>
      </c>
      <c r="C79" t="inlineStr">
        <is>
          <t>Amazon</t>
        </is>
      </c>
      <c r="D79" t="inlineStr">
        <is>
          <t>linkedin</t>
        </is>
      </c>
      <c r="E79">
        <f>HYPERLINK("https://www.linkedin.com/jobs/view/4370932048", "https://www.linkedin.com/jobs/view/4370932048")</f>
        <v/>
      </c>
      <c r="F79" t="inlineStr"/>
      <c r="G79" t="inlineStr">
        <is>
          <t>Bellevue, WA</t>
        </is>
      </c>
      <c r="H79" t="inlineStr"/>
      <c r="I79" t="inlineStr">
        <is>
          <t>**Description**
 The Amazon Fulfillment Technology (AFT) Science team is seeking an exceptional Applied Scientist with strong operations research and optimization expertise to develop production solutions for one of the most complex systems in the world: Amazon's Fulfillment Network. At AFT Science, we design, build, and deploy optimization, statistics, machine learning, and GenAI/LLM solutions that power production systems running across Amazon Fulfillment Centers worldwide. We solve a wide range of challenges encountered throughout the network, including labor planning and staffing, pick scheduling, stow guidance, and capacity risk management. We are tasked with developing innovative, scalable, and reliable science\-driven production solutions that exceed the published state of the art, enabling systems to run frequently (ranging from every few minutes to every few hours per use case) and continuously across our large\-scale network.
 Key job responsibilities
**Responsibilities**
 As an Applied Scientist, you will collaborate with other scientists, software engineers, product managers, and operations leaders to develop optimization\-driven solutions using a variety of tools and observe direct impact on process efficiency and associate experience in the fulfillment network. Key responsibilities include:
* Develop understanding and domain knowledge of operational processes, system architecture and functions, and business requirements
* Deep dive into data and code to identify opportunities for continuous improvement and/or disruptive new approaches
* Develop scalable mathematical models for production systems to derive optimal or near\-optimal solutions for existing and new challenges
* Create prototypes and simulations for agile experimentation of devised solutions
* Advocate for technical solutions with business stakeholders, engineering teams, and senior leadership
* Partner with engineers to integrate prototypes into production systems
* Design experiments to test new or incremental solutions launched in production and build metrics to track performance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Technology (AFT) designs, develops, and operates end\-to\-end fulfillment technology solutions for all Amazon Fulfillment Centers (FCs). We harmonize the physical and virtual worlds so Amazon customers can get what they want, when they want it.
 The AFT Science team has expertise in operations research, optimization, statistics, machine learning, and GenAI/LLM. We also possess deep domain expertise in operational processes within FCs and their challenges. We prioritize advancements that support AFT tech teams and focus areas rather than specific fields of research or individual business partners. We influence each stage of innovation from inception to deployment, which includes both developing novel solutions and improving existing approaches. Resulting production systems rely on a diverse set of technologies; our teams therefore invest in multiple specialties as the needs of each focus area evolve.
**Basic Qualifications**
* PhD, or Master's degree and 4\+ years of science, technology, engineering or related field experience
* 3\+ years of building models for business application experience
* Experience programming in Java, C\+\+, Python or related language
* Master's degree in operations research, applied mathematics, theoretical computer science, or equivalent, or PhD and 7\+ years of industry or academic research experience
**Preferred Qualifications**
* PhD in Operations Research, Statistics, Applied Mathematics, Engineering, Computer Science or related field, or Bachelor's degree
* Experience in labor planning, managing and coaching employee performance
* Experience demonstrating software engineering skills in a previous intership, work experience, coding competitions, or publications, or experience with programming/scripting (Batch, VB, PowerShell, Java, C\#, Chef, Perl, Ruby and/or PHP) and experience that includes strong analytical skills, attention to detail, and effective communication abilities
* Experience in analyzing data to drive decisions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A3177196</t>
        </is>
      </c>
    </row>
    <row r="80">
      <c r="A80" t="inlineStr">
        <is>
          <t>li-4370916075</t>
        </is>
      </c>
      <c r="B80" t="inlineStr">
        <is>
          <t>Applied AI Engineer</t>
        </is>
      </c>
      <c r="C80" t="inlineStr">
        <is>
          <t>Sapien</t>
        </is>
      </c>
      <c r="D80" t="inlineStr">
        <is>
          <t>linkedin</t>
        </is>
      </c>
      <c r="E80">
        <f>HYPERLINK("https://www.linkedin.com/jobs/view/4370916075", "https://www.linkedin.com/jobs/view/4370916075")</f>
        <v/>
      </c>
      <c r="F80" t="inlineStr"/>
      <c r="G80" t="inlineStr"/>
      <c r="H80" t="inlineStr"/>
      <c r="I80" t="inlineStr">
        <is>
          <t>**Who We Are**
 Sapien is rethinking how finance teams operate in the age of AI. We’re building toward an
 **autonomous CFO** 
 —systems that run company financials end\-to\-end. Our platform analyzes complex financial data in real time to increase decision cadence, prevent costly mistakes, and surface value. Sapien has caught multi\-million\-dollar errors, saved thousands of jobs, and returned significant dollars to customers’ bottom lines.
 We partner with traditional businesses—manufacturing, healthcare, restaurants, and large enterprises—to deeply understand and automate their financial workflows. We’re HQ’d by Madison Square Park in NYC and backed by
 **General Catalyst, Neo** 
 , and top operators from Google, OpenAI, Microsoft, Ramp, and Stripe (over
 **$9M** 
 raised).
**The role**
 You'll build the AI agent capabilities that power Sapien's autonomous finance operations. This means designing novel architectures for reasoning over complex financial data, implementing verifiable and observable agent workflows, and building systems that learn and adapt to each company's unique operations.
 This is a research\-meets\-product role. You'll work on cutting\-edge agent capabilities—from observability and library learning to semantic search and multi\-modal parsing—and ship them directly into production for customers.
**What You'll Do**
* Design and implement agent architectures that enable observability, human\-in\-the\-loop verification, and precise context control across complex financial workflows.
* Build library learning systems that reduce LLM dependencies by learning reusable patterns for planning, code generation, and data localization from customer interactions.
* Create graph\-based company representations and develop efficient search methods using embeddings, semantic clustering, and custom retrieval strategies.
* Build multi\-modal parsers that unify diverse financial data sources (Excel, ERPs, CRMs) into coherent, queryable schemas that agents can reason over.
* Design benchmarking and evaluation suites that quantify Sapien's accuracy, reliability, and business impact across different customer workflows.
**What We're Looking For**
* Strong algorithmic thinking. Demonstrated through ML research, competitive programming, mathematics, or building novel systems from scratch.
* Experience with modern agent frameworks, LLMs, and AI systems: fine\-tuning, retrieval augmentation, tool use, or agentic architectures.
* Comfort working end\-to\-end: from implementing research ideas and prototyping architectures to deploying production systems and iterating on real customer feedback.
**How You Work (values We Care About)**
* Adaptability: You thrive on diverse, open\-ended problems. One day you're implementing a new agent architecture, the next you're debugging a customer data issue—and you bring the same intensity to both.
* Ownership: You take problems from research paper to production. You don't wait for direction—you identify what needs to happen and drive it to completion.
* Opinionated: You have strong technical perspectives on what works and what doesn't. You push back on approaches you disagree with and make the team's thinking sharper.
* Mission\-driven: You're energized by building AI that transforms how businesses run. You connect technical decisions to real customer outcomes and care deeply about the impact.
* Collaborative excellence: You share knowledge, give thoughtful feedback, and invest in making the team better. You bring new ideas from papers and discussions to elevate everyone's thinking.</t>
        </is>
      </c>
    </row>
    <row r="81">
      <c r="A81" t="inlineStr">
        <is>
          <t>li-4370919586</t>
        </is>
      </c>
      <c r="B81" t="inlineStr">
        <is>
          <t>Machine Learning Engineer II</t>
        </is>
      </c>
      <c r="C81" t="inlineStr">
        <is>
          <t>Uber</t>
        </is>
      </c>
      <c r="D81" t="inlineStr">
        <is>
          <t>linkedin</t>
        </is>
      </c>
      <c r="E81">
        <f>HYPERLINK("https://www.linkedin.com/jobs/view/4370919586", "https://www.linkedin.com/jobs/view/4370919586")</f>
        <v/>
      </c>
      <c r="F81" t="inlineStr"/>
      <c r="G81" t="inlineStr">
        <is>
          <t>San Francisco, CA</t>
        </is>
      </c>
      <c r="H81" t="inlineStr"/>
      <c r="I81"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**Basic Qualifications**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**Preferred Qualifications**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2">
      <c r="A82" t="inlineStr">
        <is>
          <t>li-4370895835</t>
        </is>
      </c>
      <c r="B82" t="inlineStr">
        <is>
          <t>Machine Learning Engineer</t>
        </is>
      </c>
      <c r="C82" t="inlineStr">
        <is>
          <t>Kunai, part of the PwC Network</t>
        </is>
      </c>
      <c r="D82" t="inlineStr">
        <is>
          <t>linkedin</t>
        </is>
      </c>
      <c r="E82">
        <f>HYPERLINK("https://www.linkedin.com/jobs/view/4370895835", "https://www.linkedin.com/jobs/view/4370895835")</f>
        <v/>
      </c>
      <c r="F82">
        <f>HYPERLINK("https://job-boards.greenhouse.io/kunai/jobs/5047121007?gh_src=6686709f7us&amp;urlHash=zYb_", "https://job-boards.greenhouse.io/kunai/jobs/5047121007?gh_src=6686709f7us&amp;urlHash=zYb_")</f>
        <v/>
      </c>
      <c r="G82" t="inlineStr"/>
      <c r="H82" t="inlineStr"/>
      <c r="I82" t="inlineStr">
        <is>
          <t>Kunai builds full\-stack technology solutions for banks, credit and payment networks, infrastructure providers, and their customers. Together, we are changing the world’s relationship with financial services. At Kunai, we help our clients modernize, capitalize on emerging trends, and evolve their business for the coming decades by remaining tech\-agnostic and human\-centered.
 We seek remote, experienced Machine Learning Engineers for a client project at a major financial institution. You will build ETL pipelines and integrate with APIs hosted on a GenAI platform.
**Required Skills:**
* 5\+ yrs of Python development experience
* 3\+ yrs of Node.js development experience
* 3\+ yrs of TypeScript development experience
* 3\+ yrs of AWS w/focus on DevOps/SRE
* ETL pipelining for Machine Learning platforms
**Salary Range:**
 $120,000 \- $205,000 annually
 This range reflects the base salary that we reasonably expect to pay for Senior Software Engineers. Actual compensation may vary depending on relevant factors including experience, skills and location.
 Our success over the past 20 years is rooted in our exceptional team, which thrives in a culture of collaboration, creativity, and continuous learning.
 We are proud to offer our employees a range of benefits, including competitive compensation, professional development opportunities, and flexible work arrangements, all designed to help them thrive. As we continue to expand, we remain committed to cultivating an environment where people feel valued, have a voice, and are given the tools to grow—both personally and professionally—while pushing the boundaries of innovation in the fintech industry.
**Minimum Degree Required:**
* Bachelor’s Degree, in lieu of a degree, demonstrating in addition to the minimum years of experience required for the role, three years of specialized training and/or progressively responsible work experience in technology for each missing year of college is required</t>
        </is>
      </c>
    </row>
    <row r="83">
      <c r="A83" t="inlineStr">
        <is>
          <t>li-4359814646</t>
        </is>
      </c>
      <c r="B83" t="inlineStr">
        <is>
          <t>Machine Learning Engineer</t>
        </is>
      </c>
      <c r="C83" t="inlineStr">
        <is>
          <t>Open Talent</t>
        </is>
      </c>
      <c r="D83" t="inlineStr">
        <is>
          <t>linkedin</t>
        </is>
      </c>
      <c r="E83">
        <f>HYPERLINK("https://www.linkedin.com/jobs/view/4359814646", "https://www.linkedin.com/jobs/view/4359814646")</f>
        <v/>
      </c>
      <c r="F83" t="inlineStr"/>
      <c r="G83" t="inlineStr">
        <is>
          <t>Mountain View, CA</t>
        </is>
      </c>
      <c r="H83" t="inlineStr"/>
      <c r="I83" t="inlineStr">
        <is>
          <t>**Founding AI/ML Engineer (Production) \- California (SF/Palo Alto)** 
**$450k \- $500k\+ Base \+ Founding Equity** 
***This role requires US Citizenship due to regulatory constraints.***
**Most of the Valley is obsessed with LLM wrappers for HR or marketing. We’re using them to run multi\-ton autonomous machines; \&amp; fast.** 
 We’re a Top 10 hard\-tech startup with real hardware \&amp; real customers. We aren't a research lab \&amp; we don't do R\&amp;D for the sake of it. Our machines are in the field globally right now. We need a
 **Founding AI/ML Engineer** 
 to build the production intelligence layer that turns complex logic into physical movement.
**The Squad** 
 You’ll be joining a high\-density team from SpaceX, Palantir, \&amp; Anduril. We’ve cut out the corporate theater\-no bloated meetings, no process for the sake of process, \&amp; zero ego. As a founding hire, you aren't just training models; you’re architecting the engine of the company.
**The Work: Moving Atoms** 
 In this role, an unreliable model isn't just a "bug"\-it’s a physical failure. You’ll own the stack from fine\-tuning to field deployment.
* **Mission\-Critical Logic:** 
 Fine\-tuning \&amp; deploying models that handle real\-time operational decisions where precision is the only metric that matters.
* **The Pipeline:** 
 Building the RAG systems, data flywheels, \&amp; retrieval logic that allow our robots to understand their environment with sub\-100ms latency.
* **Hardened Evals:** 
 Designing the testing frameworks \&amp; grounding suites required for heavy hardware. You ensure the "reasoning" holds up when things get messy in the real world.
* **Full Autonomy:** 
 You pick the tools, define the architecture, \&amp; own the deployment.
**The Profile** 
 We want builders who are bored with digital\-only products \&amp; want to solve hard problems grounded in physics.
* **Production Grit:** 
 You’ve shipped \&amp; maintained ML systems in high\-bar environments (SpaceX, Tesla, or similar).
* **Systems Thinking:** 
 You understand the full lifecycle\-from raw telemetry \&amp; fine\-tuning to inference optimization \&amp; hardware constraints.
* **High\-Bar Pedigree:** 
 You come from a place where "production\-ready" means it works every time, \&amp; shipping broken code isn't an option.
**The Deal** 
* **Comp:** 
 $450k \- $500k\+ base \+
 **Meaningful Founding Equity** 
 .
* **Location:** 
 SF / Palo Alto \- On\-site.
* **Process:** 
**1 week, 0 take\-homes. No leet code.** 
 We move as fast as we ship.
1. **Technical Deep Dive:** 
 A conversation about a complex system you actually built \&amp; shipped.
2. **Practical Pairing:** 
 Solving a real\-world production problem with the team. No Leetcode.
3. **Founder Chat:** 
 A focus on judgment, trade\-offs, \&amp; vision.
 If you’re ready to build something that actually moves, let’s talk.
**TL;DR** 
* **Role:** 
 Founding AI/ML (Production focus)
* **The Mission:** 
 Critical intelligence for heavy robotics
* **The Team:** 
 Ex\-SpaceX, Palantir, Anduril
* **The Comp:** 
 $450k \- $500k\+ base \+ Equity
* **The Speed:** 
 1\-week process. Zero BS.
 All applicants will receive a response within 72 hours.
**Equal Opportunity** 
 We're hiring for an Equal Opportunity Employer.
 \*All our new jobs are posted here 1st:
**linkedin.com/in/sufyanbashir/**</t>
        </is>
      </c>
    </row>
    <row r="84">
      <c r="A84" t="inlineStr">
        <is>
          <t>li-4370555574</t>
        </is>
      </c>
      <c r="B84" t="inlineStr">
        <is>
          <t>Machine Learning Engineer</t>
        </is>
      </c>
      <c r="C84" t="inlineStr">
        <is>
          <t>Whatnot</t>
        </is>
      </c>
      <c r="D84" t="inlineStr">
        <is>
          <t>linkedin</t>
        </is>
      </c>
      <c r="E84">
        <f>HYPERLINK("https://www.linkedin.com/jobs/view/4370555574", "https://www.linkedin.com/jobs/view/4370555574")</f>
        <v/>
      </c>
      <c r="F84">
        <f>HYPERLINK("https://www.wiraa.com/job-description/us939D67A1B62F0077FB5A2654EE1C0933?source=Linkedin&amp;urlHash=lVvd", "https://www.wiraa.com/job-description/us939D67A1B62F0077FB5A2654EE1C0933?source=Linkedin&amp;urlHash=lVvd")</f>
        <v/>
      </c>
      <c r="G84" t="inlineStr"/>
      <c r="H84" t="inlineStr"/>
      <c r="I84" t="inlineStr">
        <is>
          <t>**About The Company**
 Join the Future of Commerce with Whatnot! Whatnot is the largest live shopping platform in North America and Europe dedicated to transforming the way people buy, sell, and discover their favorite items. We are redefining e\-commerce by seamlessly blending community, entertainment, and shopping into a vibrant marketplace tailored for enthusiasts and collectors alike. Our innovative platform hosts live auctions across a diverse range of categories including fashion, beauty, electronics, collectibles such as trading cards and comic books, and even live plants, ensuring there is something for everyone. With a dynamic, remote co\-located team and hubs in the US, UK, Germany, Ireland, and Poland, we are committed to building the future of online marketplaces—together. As one of the fastest\-growing marketplaces, we foster a culture of innovation, collaboration, and passion for creating engaging shopping experiences.
**About The Role**
 We are seeking a highly skilled and motivated Machine Learning Engineer to join our Trust \&amp; Safety team. In this role, you will be responsible for designing, training, and deploying both traditional machine learning models and large language models (LLMs) to detect fraudulent behaviors across our platform. You will lead the end\-to\-end architecture of fraud detection, prevention, and intervention systems, ensuring a balance between robust security measures and a seamless user experience. Your expertise will be pivotal in building intelligent user graphs to model behavioral patterns, collusion networks, and account connectivity, which are essential for proactive fraud detection. You will develop scalable data pipelines and real\-time inference systems capable of supporting high\-volume, low\-latency workloads, enabling us to stay ahead of emerging fraud tactics. Additionally, you will analyze behavioral and adversarial data to uncover new fraud trends and continuously improve detection accuracy. Collaboration with cross\-functional teams such as Trust \&amp; Safety, Payments, and Infrastructure will be key to developing effective features, labels, and model evaluation pipelines. You will also implement model monitoring and drift detection systems to maintain high reliability and responsiveness, contributing to fraud risk orchestration by integrating rules, heuristics, and models for automated decision\-making. Your insights will help define and track key metrics like precision, recall, false\-positive rate, and latency, ensuring our fraud detection systems are both effective and efficient. Staying current with emerging fraud techniques and translating insights into adaptive, production\-ready systems will be a core part of your responsibilities. This role offers flexibility to work remotely or from one of our global office hubs, with the expectation that team members reside within commuting distance of our hubs in San Francisco, New York City, Los Angeles, or Seattle.
**Qualifications**
* Bachelor’s degree in Computer Science, related field, or equivalent work experience
* 2–6 years of experience in machine learning or software engineering, preferably in risk, fraud, or trust \&amp; safety domains
* Proficiency in Python and machine learning libraries such as scikit\-learn, PyTorch, LightGBM
* Strong backend development skills and experience deploying ML models in production environments (batch or real\-time)
* Experience with data analysis and ETL processes using SQL, Spark, DBT
* Familiarity with fraud detection techniques like chargeback prediction, anomaly detection, and graph\-based modeling
* Experience with data orchestration frameworks such as Dagster or Kubeflow and feature store design
* Ability to translate business risk into measurable ML solutions and collaborate effectively across teams
**Responsibilities**
* Design, train, and deploy both traditional ML and LLM\-powered models to detect fraudulent activities across users, payments, and marketplace interactions
* Lead the architecture of fraud detection, prevention, and intervention systems, ensuring seamless user experience and platform security
* Build and maintain intelligent user graphs to analyze behavioral patterns and account connectivity
* Develop scalable data pipelines and real\-time inference systems supporting high\-volume ML workloads
* Conduct behavioral and adversarial data analysis to identify fraud trends and improve detection methods
* Collaborate with Trust \&amp; Safety, Payments, and Infrastructure teams to develop features, labels, and evaluation pipelines
* Implement model monitoring, drift detection, and responsiveness systems to ensure reliability
* Contribute to fraud risk orchestration by integrating rules, heuristics, and models for automated decision\-making
* Define and monitor key metrics such as precision, recall, false\-positive rate, and latency to evaluate system effectiveness
* Stay informed about emerging fraud tactics and translate insights into adaptive, scalable solutions
**Benefits**
* Generous holiday and time\-off policies
* Health insurance options including medical, dental, and vision coverage
* Support for remote work setup and home office allowance
* Monthly allowances for cell phone and internet expenses
* Care benefits and wellness allowances to promote overall well\-being
* Annual childcare allowance and lifetime family planning benefits such as adoption or fertility expenses
* Retirement plans including 401(k) with employer matching (up to 4%) in the US and pension plans internationally
* Monthly dogfood allowance to promote product familiarity and engagement
* Paid parental leave of 16 weeks, plus a gradual return\-to\-work program
* Opportunities for professional growth and development within a collaborative environment
 Equal Opportunity
 Whatnot is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85">
      <c r="A85" t="inlineStr">
        <is>
          <t>li-4370911903</t>
        </is>
      </c>
      <c r="B85" t="inlineStr">
        <is>
          <t>Senior Machine Learning Engineer - 1</t>
        </is>
      </c>
      <c r="C85" t="inlineStr">
        <is>
          <t>Parspec</t>
        </is>
      </c>
      <c r="D85" t="inlineStr">
        <is>
          <t>linkedin</t>
        </is>
      </c>
      <c r="E85">
        <f>HYPERLINK("https://www.linkedin.com/jobs/view/4370911903", "https://www.linkedin.com/jobs/view/4370911903")</f>
        <v/>
      </c>
      <c r="F85" t="inlineStr"/>
      <c r="G85" t="inlineStr">
        <is>
          <t>San Mateo, CA</t>
        </is>
      </c>
      <c r="H85" t="inlineStr"/>
      <c r="I85" t="inlineStr">
        <is>
          <t>**About Parspec**
 Founded in 2021, Parspec is revolutionizing material procurement for the $13 trillion USD construction industry by digitizing and organizing the industry's product data. Our proprietary AI technology maintains a current and comprehensive catalogue of millions of products, enabling our customers to identify products that best meet their needs \- instantly. Trusted by top designers, builders, distributors and sales agents and backed by leading venture investors, Parspec is paving the way for a more innovative, connected, and sustainable future in construction. Join us in building transformative technology that reshapes one of the world’s oldest and largest industries.
**The Opportunity**
 We are seeking a highly skilled
 **Senior Machine Learning Engineer** 
 to join our AI team and play a pivotal role in developing state\-of\-the\-art discovery and extraction systems. As a senior member of the team, you will lead the design, development, and deployment of sophisticated machine learning models, specifically focusing on search ranking, recommendation engines, and high\-precision document extraction. You will work on complex data science problems while collaborating closely with business, product, and engineering teams to deliver impactful AI\-driven features that are central to our product offering.
 This is a unique opportunity to be at the forefront of innovation, leveraging advanced AI technologies like LLMs and vector databases to transform an industry ripe for digital disruption.
**What You Will Achieve And Key Responsibilities**
**AI System Development**
* Search \&amp; Recommendation Systems: Lead the design and implementation of advanced Search, Ranking, and Recommendation systems to help customers navigate millions of technical products.
* Doc Extraction \&amp; NLP: Develop high\-precision NLP and document extraction pipelines to digitize and structure complex construction data from unstructured sources.
* Advanced Architecture: Research and implement novel deep learning architectures, focusing on hybrid retrieval models and fine\-tuned LLMs.
* Production Deployment: Develop, train, and deploy deep learning and machine learning models that are scalable, extensible, and integrated into production environments.
* Agentic Workflows: Architect autonomous or semi\-autonomous agents that can plan and execute multi\-step discovery tasks.
**Full Product Lifecycle Participation**
* Technical Leadership: Collaborate with product managers and UX designers to integrate AI components into fully functional systems, providing technical guidance on feasibility and architecture.
* End\-to\-End Ownership: Participate in the complete product lifecycle—from concept design to development, integration, testing, and deployment.
**Scalable Solutions**
* High\-Volume Data: Build products that handle large data volumes efficiently while remaining highly scalable for onboarding new clients.
* Pipeline Design: Design complete end\-to\-end data and ML pipelines, ensuring seamless integration and monitoring in production.
**Research \&amp; Collaboration**
* R\&amp;D Initiatives: Work closely with the leadership team on research efforts to explore cutting\-edge technologies, such as vector databases and embedding\-based retrieval.
* Excellence Standards: Uphold a culture of engineering excellence by maintaining high standards in code quality, documentation, and innovation
**Why This Matters**
 Your contributions will be instrumental in advancing Parspec’s AI capabilities, enabling us to build intelligent systems that solve real\-world problems in construction technology. By developing scalable AI solutions, you will help digitize an industry while driving innovation through state\-of\-the\-art machine learning techniques.
**Minimum Qualifications**
* Education: Bachelor’s or Master’s degree (PhD preferred) in Science or Engineering with strong programming and analytical skills.
* ML Expertise: Strong conceptual understanding of machine learning principles, specifically in NLP, Search, or Ranking.
* Technical Skills: Hands\-on experience implementing ML projects in Python using libraries like NumPy, scikit\-learn, and pandas.
* Deep Learning: Proficiency in training and fine\-tuning deep learning models using PyTorch or TensorFlow.
* Leadership: Proven ability to lead technical initiatives from concept to operation while navigating complex challenges.
**Preferred Qualifications**
* Specialized Infrastructure: Deep experience with Vector Databases (e.g., Pinecone, Milvus) and optimizing embedding models for retrieval.
* Fine\-tuning: Experience fine\-tuning LLMs for specialized domain tasks and ranking signals.
* AI Agent Orchestration: Hands\-on experience with agentic frameworks (e.g., LangGraph, AutoGen, or CrewAI) for building complex, multi\-step reasoning chains.
* Planning \&amp; Memory: Experience implementing agentic "memory" (long\-term/short\-term) and planning strategies (like ReAct or Tree of Thoughts).
* Data Structures: Expert knowledge of algorithms and data structures.
* Research \&amp; Community: A track record of publications in top\-tier conferences (e.g., NeurIPS, SIGIR, KDD, ACL) or significant contributions to open\-source ML projects.
**What we offer**
* Competitive salary and benefits, including family insurance coverage, free health teleconsultations, and learning/upskilling budgets
* Equity in the company
* Flexible hours and a hybrid work setup
* Unlimited PTO
* Opportunity to grow with a fast\-scaling company transforming a large market
* Preferred Location: San Mateo, with regular in\-office presence
**Join Us – Lead the Transformation!**
 At Parspec, we recognize that traditional job descriptions don’t always capture the full range of your unique abilities—and that’s perfectly okay. You may not meet every requirement, but if you bring a mix of experiences, fresh perspectives, and a passion that aligns with our mission, we want to hear from you!
 The Parspec team believes that varied backgrounds drive better outcomes and fuel innovation. We are a team of self\-starters that lead from every seat. We think big, set a standard of excellence and are committed to diversity and a discrimination\-free workplace. We welcome applicants from all walks of life to join us and help shape the future at Parspec.
 How to Apply
 Submit your application and resume highlighting your achievements. Apply now and help drive transformative change in one of the world’s oldest and largest industries!</t>
        </is>
      </c>
    </row>
    <row r="86">
      <c r="A86" t="inlineStr">
        <is>
          <t>li-4370886850</t>
        </is>
      </c>
      <c r="B86" t="inlineStr">
        <is>
          <t>Machine Learning Engineer II</t>
        </is>
      </c>
      <c r="C86" t="inlineStr">
        <is>
          <t>Uber</t>
        </is>
      </c>
      <c r="D86" t="inlineStr">
        <is>
          <t>linkedin</t>
        </is>
      </c>
      <c r="E86">
        <f>HYPERLINK("https://www.linkedin.com/jobs/view/4370886850", "https://www.linkedin.com/jobs/view/4370886850")</f>
        <v/>
      </c>
      <c r="F86">
        <f>HYPERLINK("https://tnl2.jometer.com/v2/job?jz=5wqzsdd9039c5554dada73bd5dab055722e9fKMALBBQAAADQ&amp;iis=Job%20Board%20-%20Recruitment%20Marketing&amp;iisn=LinkedIn&amp;urlHash=fT0_", "https://tnl2.jometer.com/v2/job?jz=5wqzsdd9039c5554dada73bd5dab055722e9fKMALBBQAAADQ&amp;iis=Job%20Board%20-%20Recruitment%20Marketing&amp;iisn=LinkedIn&amp;urlHash=fT0_")</f>
        <v/>
      </c>
      <c r="G86" t="inlineStr">
        <is>
          <t>Seattle, WA</t>
        </is>
      </c>
      <c r="H86" t="inlineStr"/>
      <c r="I86"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As an ML Engineer, you'll help translate business and security needs into concrete ML problems, build models and features, and take them into production. You'll be part of a team working on greenfield projects at the intersection of ML, security, and infrastructure, shaping how Uber secures AI at scale.
**What The Candidate Will Need / Bonus Points**
 \-\-\-\- What the Candidate Will Do \-\-\-\-
* Support framing business and security problems as ML tasks.
* Build and iterate ML models that enable risk\-adaptive, real\-time decisions.
* Engineer features from Uber's risk systems, logs, and contextual signals.
* Deploy and maintain ML pipelines in production, ensuring reliability and scalability.
* Collaborate with senior engineers to integrate ML into Uber's authentication and authorization systems.
**Basic Qualifications**
* 3\+ years experience building and deploying ML models in production, with hands\-on work in feature engineering, training, and evaluation.
* Proficiency in Python and ML frameworks (PyTorch, TensorFlow, or similar).
* Strong foundation in ML algorithms: tree\-based models (XGBoost, LightGBM), classical methods (logistic regression, SVMs), and exposure to neural networks (CNNs, RNNs, Transformers).
* Ability to analyze business/security requirements and support translating them into ML use cases.
**Preferred Qualifications**
* Experience with risk, fraud, anomaly detection, or security\-related ML systems.
* Familiarity with large\-scale data/infra systems (Kafka, Hive, Spark, Flink, Pinot).
* Exposure to handling challenges such as imbalanced data, feedback loops, or iterative retraining.
* Strong communication skills and ability to work cross\-functionally with infra, risk, and security teams.
 For San Francisco, CA\-based roles: The base salary range for this role is USD$171,000 per year \- USD$190,000 per year. For Seattle, WA\-based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7">
      <c r="A87" t="inlineStr">
        <is>
          <t>li-4370565082</t>
        </is>
      </c>
      <c r="B87" t="inlineStr">
        <is>
          <t>Machine Learning Engineer</t>
        </is>
      </c>
      <c r="C87" t="inlineStr">
        <is>
          <t>ServiceNow</t>
        </is>
      </c>
      <c r="D87" t="inlineStr">
        <is>
          <t>linkedin</t>
        </is>
      </c>
      <c r="E87">
        <f>HYPERLINK("https://www.linkedin.com/jobs/view/4370565082", "https://www.linkedin.com/jobs/view/4370565082")</f>
        <v/>
      </c>
      <c r="F87" t="inlineStr"/>
      <c r="G87" t="inlineStr"/>
      <c r="H87" t="inlineStr"/>
      <c r="I87" t="inlineStr">
        <is>
          <t>**About The Company** 
 Founded in 2004 in sunny San Diego, California, ServiceNow has grown into a global leader in cloud computing and enterprise automation. Driven by a vision to transform how organizations work, ServiceNow offers an intelligent cloud platform that seamlessly connects people, systems, and processes. Serving over 8,100 customers worldwide, including 85% of the Fortune 500®, the company is dedicated to delivering innovative AI\-enhanced technology solutions. With a commitment to making work smarter, faster, and more efficient, ServiceNow continues to pioneer advancements in AI, automation, and digital workflows. Its purpose is to improve the way the world works, fostering a more productive and connected environment for businesses and individuals alike.
**About The Role** 
 We are seeking a highly skilled Staff Machine Learning Engineer to join our Platform Engineering and AI Technology Organization (PLATO) at ServiceNow. This role is pivotal in building and evolving our AI platform, focusing on infrastructure, deployment, and observability features that support AI workloads. The successful candidate will collaborate closely with researchers, AI engineers, and infrastructure teams to optimize GPU cluster performance, scalability, and reliability. Your expertise will contribute to the continuous improvement of our Site Reliability Engineering (SRE) practices by translating operational needs into software solutions and automations. You will be involved in deploying and supporting AI/ML development activities, ensuring high\-quality, scalable, and reusable code adhering to best practices in software engineering. This position requires presence in our Santa Clara office two days per week and offers an exciting opportunity to work at the forefront of AI technology within a dynamic and innovative environment.
**Qualifications** 
* 4\+ years of software development experience with Python, GoLang, Java, or similar languages
* 4\+ years of experience operating highly available distributed workloads on Kubernetes following a DevOps approach
* Proficiency in prompt engineering and developing features based on Large Language Models (LLMs)
* Experience with operating LLMs on NVIDIA GPUs
* Hands\-on experience building VoIP systems using SIP protocol and SBC/PBX/PSTN infrastructures
* Familiarity with AI productivity tools such as Cursor, Windsurf, etc.
* Strong knowledge of Linux\-based distributed systems and J2EE
* Experience with DevOps tools including Helm, Ansible, Prometheus, Splunk, GitLab CI
* Understanding of software\-defined networking, infrastructure as code, and configuration management
* Experience developing secure and compliant software for regulated environments
* Asset: 4\+ years of experience in platform operations, deployments, SRE, and continuous platform improvement
**Responsibilities** 
* Design, develop, and implement infrastructure, platform, deployment, and observability features that support AI workloads
* Collaborate with research, AI engineering, and infrastructure teams to optimize GPU cluster performance and scalability
* Enhance SRE practices by translating operational use cases into software tooling requirements
* Execute deployment and support activities for AI/ML developers, ensuring smooth operations
* Write high\-quality, scalable, and reusable code following best practices such as code reviews and unit testing
* Work closely with product owners to understand detailed requirements and deliver high\-quality solutions
* Operate and maintain large language models (LLMs) on NVIDIA GPUs efficiently
* Mentor colleagues, promote knowledge sharing, and foster a collaborative team environment
* Drive outcomes in projects involving significant technical risk and complexity
**Benefits** 
* Competitive base salary ranging from $173,100 to $303,000, depending on location and experience
* Equity options (when applicable) and variable/incentive compensation
* Comprehensive health plans including flexible spending accounts
* 401(k) plan with company match
* Employee Stock Purchase Plan (ESPP)
* Matching donations program
* Flexible time\-off policies and family leave programs
* Opportunities for continuous learning and professional development
 Equal Opportunity
 ServiceNow is an equal opportunity employer. We are committed to creating an inclusive environment where all qualified applicants receive consideration for employment without regard to race, color, creed, religion, sex, sexual orientation, gender identity or expression, national origin, age, disability, veteran status, or any other protected category. We also consider qualified applicants with arrest or conviction records in accordance with applicable laws.</t>
        </is>
      </c>
    </row>
    <row r="88">
      <c r="A88" t="inlineStr">
        <is>
          <t>li-4370624022</t>
        </is>
      </c>
      <c r="B88" t="inlineStr">
        <is>
          <t>Machine Learning Engineer - iWork Team</t>
        </is>
      </c>
      <c r="C88" t="inlineStr">
        <is>
          <t>Apple</t>
        </is>
      </c>
      <c r="D88" t="inlineStr">
        <is>
          <t>linkedin</t>
        </is>
      </c>
      <c r="E88">
        <f>HYPERLINK("https://www.linkedin.com/jobs/view/4370624022", "https://www.linkedin.com/jobs/view/4370624022")</f>
        <v/>
      </c>
      <c r="F88">
        <f>HYPERLINK("https://jobs.apple.com/en-us/details/200638411?board_id=17682&amp;urlHash=XvLT", "https://jobs.apple.com/en-us/details/200638411?board_id=17682&amp;urlHash=XvLT")</f>
        <v/>
      </c>
      <c r="G88" t="inlineStr">
        <is>
          <t>Cupertino, CA</t>
        </is>
      </c>
      <c r="H88" t="inlineStr"/>
      <c r="I88" t="inlineStr">
        <is>
          <t>**Summary**
 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
**Responsibilities**
* Build, refine, and ship ML\-driven features that elevate the Keynote experience.
* Design and implement user\-facing workflows, data models, inference paths, and supporting algorithms for AI\-powered functionality.
* Partner with ML platform and OS teams to adopt new frameworks, system APIs, and platform\-level enhancements across all supported environments.
* Drive performance, reliability, and usability improvements in both ML and non\-ML areas of the codebase.
* Participate in code reviews, testing, and infrastructure development to maintain high engineering standards.
**Minimum Qualifications**
* Bachelor of Arts or Bachelor of Science in Computer Science, Computer Engineering, or Data Science.
* Experience building and deploying software in a compiled programming language.
* Familiarity with machine learning concepts.
* Practical experience applying ML in production or product\-adjacent environments.
**Preferred Qualifications**
* Experience working on a team of software developers.
* Experience with Swift and/or Objective\-C.
* Experience working with large, legacy, or multi\-platform codebases.
* A collaborative mindset and eagerness to ask questions, share knowledge, and iterate based on feedback.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9">
      <c r="A89" t="inlineStr">
        <is>
          <t>li-4370892163</t>
        </is>
      </c>
      <c r="B89" t="inlineStr">
        <is>
          <t>AI Engineer</t>
        </is>
      </c>
      <c r="C89" t="inlineStr">
        <is>
          <t>Akkodis Group Nordics</t>
        </is>
      </c>
      <c r="D89" t="inlineStr">
        <is>
          <t>linkedin</t>
        </is>
      </c>
      <c r="E89">
        <f>HYPERLINK("https://www.linkedin.com/jobs/view/4370892163", "https://www.linkedin.com/jobs/view/4370892163")</f>
        <v/>
      </c>
      <c r="F89">
        <f>HYPERLINK("https://www.akkodis.com/en-us/careers/jobs/-ai-engineer-tampa/US_EN_6_973631_1615764&amp;urlHash=8V6A", "https://www.akkodis.com/en-us/careers/jobs/-ai-engineer-tampa/US_EN_6_973631_1615764&amp;urlHash=8V6A")</f>
        <v/>
      </c>
      <c r="G89" t="inlineStr">
        <is>
          <t>Tampa, FL</t>
        </is>
      </c>
      <c r="H89" t="inlineStr"/>
      <c r="I89" t="inlineStr">
        <is>
          <t>Akkodis is seeking an
 **AI Engineer** 
 for a
 **Contract** 
 with a client in
 **Tampa, FL.** 
 This role requires deep experience in machine learning frameworks to design robust APIs and deploy production‑ready AI models.
**Rate Range:** 
 $42/hour to $44/hour; The rate may be negotiable based on experience, education, geographic location, and other factors.
**AI Engineer Job Responsibilities Include**
* Design, build, and maintain scalable backend services and APIs using Node.js (TypeScript) and Python, ensuring robust architecture, security, and performance.
* Integrate and operationalize AI/ML models (Scikit‑learn, TensorFlow) with Azure ML for training, deployment, and monitoring of production\-grade AI features.
* Develop responsive React (TypeScript) frontends, implementing state management, routing, and component libraries to support complex user workflows.
* Implement AI functionality with LangChain and related JavaScript/Python libraries to enable intelligent, context\-aware application features.
* Collaborate cross‑functionally with product, UX/UI, data scientists, and ML engineers in an Agile environment; participate in design reviews and backlog grooming.
* Ensure code quality and reliability via unit/integration tests, CI/CD pipelines, code reviews, and continuous improvement of observability and performance.
**Required Qualifications**
* Bachelor’s degree in computer science, Engineering, Information Technology, or a related technical field (or equivalent hands‑on experience).
* 8–10 years of experience in full‑stack development with strong exposure to AI/ML technologies.
* Proven expertise in building scalable backend systems using Node.js, TypeScript, and Python, with experience integrating production‑ready AI/ML models.
* Strong frontend development skills using React (TypeScript) and demonstrated experience deploying AI‑powered solutions using tools such as Scikit‑learn, TensorFlow, Azure ML, or LangChain.
 If you are interested in this role, then please click APPLY NOW. For other opportunities available at Akkodis, or any questions, feel free to contact me at
 **Vikas.Tomar@** 
**akkodisgroup.com.**
**Pay Details:** 
 $42\.00 to $44\.00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90">
      <c r="A90" t="inlineStr">
        <is>
          <t>li-4370601513</t>
        </is>
      </c>
      <c r="B90" t="inlineStr">
        <is>
          <t>AI Engineer (GenAI)</t>
        </is>
      </c>
      <c r="C90" t="inlineStr">
        <is>
          <t>Oscar Faye</t>
        </is>
      </c>
      <c r="D90" t="inlineStr">
        <is>
          <t>linkedin</t>
        </is>
      </c>
      <c r="E90">
        <f>HYPERLINK("https://www.linkedin.com/jobs/view/4370601513", "https://www.linkedin.com/jobs/view/4370601513")</f>
        <v/>
      </c>
      <c r="F90" t="inlineStr"/>
      <c r="G90" t="inlineStr">
        <is>
          <t>New York, United States</t>
        </is>
      </c>
      <c r="H90" t="inlineStr"/>
      <c r="I90" t="inlineStr">
        <is>
          <t>*\*\*Please be advised, this role is not eligible for visa sponsorship now or in the future\*\** 
**The Role** 
 The derivatives market handles trillions of dollars daily, yet much of its underlying technology remains outdated. Our client, an ambitious fintech startup, is modernizing this landscape by building high\-performance infrastructure designed for the next generation of financial services.
 As an AI\-focused Software Engineer, you will build generative AI workflows to increase efficiency across the derivatives landscape. You will own the evaluation and context engineering infrastructure, ensuring high\-quality, reliable, and explainable model outputs.
**Key Responsibilities:** 
* Design retrieval, grounding, and validation pipelines for complex financial data.
* Build tools for knowledge extraction from trade documents and term sheets.
* Integrate AI reasoning into workflows for settlement, valuation, and risk management.
* Work closely with financial engineers to enhance data consistency across trade lifecycles.
**Tech Stack** 
* **Backend:** 
 Python (Primary), Java, Serverless compute.
* **AI:** 
 Latest foundation models, AI\-native architecture.
* **Data/Cloud:** 
 NoSQL (MongoDB/DynamoDB), AWS/GCP, IAC (CDK/Terraform).
* **Frontend:** 
 TypeScript / React.
* **DevOps:** 
 Fully automated SDLC (GitHub, Logfire, Vercel) for rapid intraday deployment.
**What You’ll Bring** 
* **Education:** 
 Bachelor’s degree in Computer Science, Mathematics, Financial Engineering, or a related field.
* **Coding:** 
 Strong proficiency in Python (Java knowledge is a plus).
* **AI Expertise:** 
 Proficiency in prompt engineering and structured output generation (JSON, Pydantic schemas).
* **Infrastructure:** 
 Experience with cloud providers and deployment tools (Terraform/CDK).
* **Systems Design:** 
 A strong understanding of both traditional and AI\-specific SDLC and software design principles.
* **Presence:** 
 Ability to work in\-person at our NYC office.
**Bonus Points** 
* Experience with RAG pipelines
 **,** 
 vector databases, or fine\-tuning LLMs (OpenAI, Anthropic, Gemini).
* Experience building AI agents for financial data tasks.
* Understanding of derivative data models and trade representations.
* Familiarity with frameworks like LangChain, PydanticAI, or LlamaIndex.
**What's in it for you** 
 An opportunity to work with a founding team composed of seasoned quants and engineers from top\-tier financial institutions who have a proven track record of launching market\-leading products. They are now focused on developing a sophisticated, AI\-native platform capable of managing the world's most complex financial transactions. This is a chance to join a lean, elite team and build the core systems that will define how these markets operate for years to come.
**Compensation** 
 Up to $200K base \+ equity, based on experience</t>
        </is>
      </c>
    </row>
    <row r="91">
      <c r="A91" t="inlineStr">
        <is>
          <t>li-4370886295</t>
        </is>
      </c>
      <c r="B91" t="inlineStr">
        <is>
          <t>Applied AI Engineer</t>
        </is>
      </c>
      <c r="C91" t="inlineStr">
        <is>
          <t>DeepRec.ai</t>
        </is>
      </c>
      <c r="D91" t="inlineStr">
        <is>
          <t>linkedin</t>
        </is>
      </c>
      <c r="E91">
        <f>HYPERLINK("https://www.linkedin.com/jobs/view/4370886295", "https://www.linkedin.com/jobs/view/4370886295")</f>
        <v/>
      </c>
      <c r="F91" t="inlineStr"/>
      <c r="G91" t="inlineStr">
        <is>
          <t>San Francisco, CA</t>
        </is>
      </c>
      <c r="H91" t="inlineStr"/>
      <c r="I91" t="inlineStr">
        <is>
          <t>**AI Applied Engineer**
**$200,000 \- $300,000**
**San Francisco, Hybrid**
**Permanent / Full\-time**
 A product\-led AI start\-up is building one of the most widely adopted AI work companions in the world, operating at massive real\-user scale with millions of professionals relying on it daily. The challenge problem now is designing AI systems that reliably support complex knowledge work across preparation, collaboration, and follow\-through, inside products people trust. This role is ideal for someone who wants to work across AI engineering, product thinking, and ultimately shape how AI actually shows up in day\-to\-day professional workflows.
**Why This Role Matters** 
* Own how AI supports high\-stakes knowledge work
* Design multi\-step AI workflows that users rely on repeatedly
* Help define how agent\-like systems behave inside a consumer\-grade product
* Work beyond prompt design into evaluation, iteration, and reliability
**What You’ll Do** 
* Own the end\-to\-end design of AI\-first workflows for preparation, collaboration, and follow\-up
* Design and iterate multi\-step LLM / agentic systems, spanning intent understanding, planning, tool invocation, memory usage, and refinement loops
* Build reusable AI skills, prompts, templates, and evaluation pipelines that can power multiple product experiences
* Define success metrics for AI behaviour, run experiments, and use real interaction data to improve usefulness and reliability
* Partner closely with engineering and ML teams to ship quickly while maintaining a high bar for product quality and user experience
**What You Bring** 
* Proven experience shipping AI/ML powered products end to end
* Strong working understanding of LLM systems: prompting, tool calling, retrieval, context construction, evaluation, and common failure modes
* Ability to translate user needs into clear flows, specs, and examples, including edge cases and expected behaviours
* Comfort working directly with data and interaction logs to debug issues and compare variants
* Hands\-on experience designing agent\-like workflows involving multi\-step plans, multiple tools, and refinement or self\-correction</t>
        </is>
      </c>
    </row>
    <row r="92">
      <c r="A92" t="inlineStr">
        <is>
          <t>li-4370624023</t>
        </is>
      </c>
      <c r="B92" t="inlineStr">
        <is>
          <t>Machine Learning Engineer - iWork Team</t>
        </is>
      </c>
      <c r="C92" t="inlineStr">
        <is>
          <t>Apple</t>
        </is>
      </c>
      <c r="D92" t="inlineStr">
        <is>
          <t>linkedin</t>
        </is>
      </c>
      <c r="E92">
        <f>HYPERLINK("https://www.linkedin.com/jobs/view/4370624023", "https://www.linkedin.com/jobs/view/4370624023")</f>
        <v/>
      </c>
      <c r="F92" t="inlineStr"/>
      <c r="G92" t="inlineStr">
        <is>
          <t>Pittsburgh, PA</t>
        </is>
      </c>
      <c r="H92" t="inlineStr"/>
      <c r="I92" t="inlineStr">
        <is>
          <t>**Summary**
 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
**Responsibilities**
* Build, refine, and ship ML\-driven features that elevate the Keynote experience.
* Design and implement user\-facing workflows, data models, inference paths, and supporting algorithms for AI\-powered functionality.
* Partner with ML platform and OS teams to adopt new frameworks, system APIs, and platform\-level enhancements across all supported environments.
* Drive performance, reliability, and usability improvements in both ML and non\-ML areas of the codebase.
* Participate in code reviews, testing, and infrastructure development to maintain high engineering standards.
**Minimum Qualifications**
* Bachelor of Arts or Bachelor of Science in Computer Science, Computer Engineering, or Data Science.
* Experience building and deploying software in a compiled programming language.
* Familiarity with machine learning concepts.
* Practical experience applying ML in production or product\-adjacent environments.
**Preferred Qualifications**
* Experience working on a team of software developers.
* Experience with Swift and/or Objective\-C.
* Experience working with large, legacy, or multi\-platform codebases.
* A collaborative mindset and eagerness to ask questions, share knowledge, and iterate based on feedback.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3">
      <c r="A93" t="inlineStr">
        <is>
          <t>li-4370884314</t>
        </is>
      </c>
      <c r="B93" t="inlineStr">
        <is>
          <t>Senior AI Engineer (ML/DL)</t>
        </is>
      </c>
      <c r="C93" t="inlineStr">
        <is>
          <t>Volkswagen of America, Inc</t>
        </is>
      </c>
      <c r="D93" t="inlineStr">
        <is>
          <t>linkedin</t>
        </is>
      </c>
      <c r="E93">
        <f>HYPERLINK("https://www.linkedin.com/jobs/view/4370884314", "https://www.linkedin.com/jobs/view/4370884314")</f>
        <v/>
      </c>
      <c r="F93" t="inlineStr"/>
      <c r="G93" t="inlineStr">
        <is>
          <t>Belmont, CA</t>
        </is>
      </c>
      <c r="H93" t="inlineStr"/>
      <c r="I93" t="inlineStr">
        <is>
          <t>Job description:
 Worldwide, the Volkswagen Group has a long tradition of dramatic innovations. The Volkswagen Group with its headquarters in Wolfsburg, Germany is one of the world’s leading automobile manufacturers and the largest carmaker in Europe. The Group comprises twelve brands from seven European countries: Volkswagen Passenger Cars, Audi, SEAT, ŠKODA, Bentley, Bugatti, Lamborghini, Porsche, Ducati, Volkswagen Commercial Vehicles, Scania and MAN.
**Brief Role Description** 
 At the Innovation \&amp; Engineering Center California (IECC), we represent the Volkswagen Group in applied research and development. Located in the heart of Silicon Valley, we create bold new ideas for the Volkswagen, Audi, Bentley, Lamborghini, Bugatti and Porsche brands. We’re a team of engineers, designers, scientists, and psychologists looking to develop innovations for future generations of cars, and to transfer technologies from many industries and research institutions into the automotive domain. Our mission is to drive change which means we are not only impacting one of the world’s largest car makers, but also the lives of millions of people. Are you ready to join us?
**Role Summary** 
 This role will be tasked with applying machine learning/deep learning to the automotive industry. Applications could include autonomous driving, manufacturing, design etc. This is more than a purely academic role – you will likely need to integrate the modules you build into real cars and also think about questions around testability and proving safety. Working in our facility requires a high level of independence and an ability to deal with lots of ambiguity. The incumbent will not be given clear cut projects – instead this individual and subsequent team will be responsible for coming up with the “next big thing” that nobody has thought of as yet, building it and selling it.
 To be considered, Candidates MUST have extensive experience in the following: 
 **Computer Vision, Deep Learning, forecasting, transformers, CNNs. You must also possess strong experience building data models.** 
**Role Responsibilities** 
**Role Responsibilities** 
**Machine Learning Development** 
* Maintains, as well as furthers, enhances existing machine learning modules for autonomous vehicles.
* Designs and implements new machine learning based approaches based on existing frameworks.
* Keeps up to speed with the state of the art of academic research and technology in the industry.
* Coordinates with engineers at the ICC and in Germany on the development of autonomous driving software.
* Transfers technologies and solutions to Volkswagen Group development divisions.
**Process Documentation and Representation** 
* Develops technical specifications and documentation.
* Represents Volkswagen Group in the technical community, such as at conferences.
**Qualification requirements** 
**Qualifications** 
 •        6 \- 8 years of professional experience post graduate degree 
 **PREFERRED** 
 •        4\+ years’ Deep Learning experience post graduate degree 
 **PREFERRED** 
**Education Requirements:** 
 •        Master’s Degree in Computer Science or equivalent.
**Education Desired** 
 •        
 **PhD Strongly Preferred** 
**Required Skills:** 
**Deep Learning** 
 :               
 Proficiency in deep learning techniques and frameworks
**Machine Learning** 
 :          
 Strong understanding of traditional machine learning algorithms and their applications.
**Computer Vision** 
 :            
 Expertise in computer vision, including object detection, image segmentation, and image recognition
**Natural Language Processing (NLP)** 
 :
 Proficiency in NLP techniques, including sentiment analysis, text generation, and language understanding models. Experience with multimodal language modeling and applications.
**Neural Network Architectures:** 
 Deep understanding of various neural network architectures such as 
 **CNNs, RNNs, and Transformers** 
 .
**Reinforcement Learning:** 
 Familiarity with reinforcement learning algorithms and their applications in AI.
**Data Preprocessing:** 
 Skills in data cleaning, feature engineering, and data augmentation.
**Model Training and Tuning:** 
 Experience in training, fine\-tuning, and optimizing AI models.
**Model Deployment:** 
 Knowledge of model deployment techniques, including containerization (Docker) and orchestration (Kubernetes).
**Documentation:** 
 Strong documentation skills for model architecture, code, and processes.
**Desired Skills:** 
**AI Ethics:** 
 Awareness of ethical considerations in AI, including bias mitigation and fairness.
 Legal and Regulatory Knowledge:
 Understanding of AI\-related legal and regulatory considerations, including data privacy and intellectual
 property.
**Data Management:** 
 Proficiency in data storage and management systems, including databases and data lakes.
**Cloud Computing:** 
 Familiarity with cloud platforms like AWS, Azure, or GCP, and their AI services.
**Work Flexibility** 
 •        Travel is estimated to be 5\-10%, as needed within U.S. and overseas.
**Skills** 
* Teamwork
* Moral Responsibility
* Sense of Responsibility
* Customer Centricity
* Curiosity
* Complexity Management
 Compensation Data
 In the Silicon Valley, the salary range for this role will be $170,000 \- $210,000, depending on education and years of relevant experience. 
 **Salary is determined by geographical location and adjusted accordingly.** 
  Other benefits for this position include:
 ·       Eligibility for annual performance bonus
 ·       Healthcare benefits
 ·       401(k), with company match
 ·       Defined contribution retirement program.
 ·       Tuition reimbursement
 ·       Company lease car program
 ·       Paid time off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t>
        </is>
      </c>
    </row>
    <row r="94">
      <c r="A94" t="inlineStr">
        <is>
          <t>li-4361808240</t>
        </is>
      </c>
      <c r="B94" t="inlineStr">
        <is>
          <t>AI/ML Engineer</t>
        </is>
      </c>
      <c r="C94" t="inlineStr">
        <is>
          <t>Averity</t>
        </is>
      </c>
      <c r="D94" t="inlineStr">
        <is>
          <t>linkedin</t>
        </is>
      </c>
      <c r="E94">
        <f>HYPERLINK("https://www.linkedin.com/jobs/view/4361808240", "https://www.linkedin.com/jobs/view/4361808240")</f>
        <v/>
      </c>
      <c r="F94" t="inlineStr"/>
      <c r="G94" t="inlineStr">
        <is>
          <t>New York, NY</t>
        </is>
      </c>
      <c r="H94" t="inlineStr"/>
      <c r="I94" t="inlineStr">
        <is>
          <t>**Who We Are** 
 We’re a Private Equity / investment firm embarking on setting up our A.I. specific arm of the company. The goal is to build AI\-powered tools to transform how we manage due diligence, investor relations, and portfolio operations across more than 50 portfolio companies.
 Our leadership team is deeply invested in building this capability from the ground up. We’ve completed our first proof\-of\-concept project with a contract engineer and now we’re ready to bring on a Founding AI/ML Engineer to own and expand this function.
 This is a rare opportunity to join a greenfield initiative — you’ll have full ownership over the technical direction, collaborate directly with leadership, and build tools that have both internal and portfolio\-wide impact.
**What’s The Job** 
 As a AI/ML Engineer, you’ll be the driving force behind the design, development, and deployment of our core AI and data products. You’ll operate across the full stack — from data infrastructure and modeling to product integration — with the autonomy to shape our systems and tooling choices.
**What You’ll Do:** 
* Lead development of internal AI systems from scratch — including RAG pipelines, intelligent document processing (e.g. automating DDQ and NDA workflows), and investor relations tools.
* Partner closely with the Head of Product to define requirements and co\-develop solutions for both internal operations and portfolio companies.
* Build production\-ready models that can be customized and deployed across 50\+ portfolio companies, supporting a range of use cases.
* Work hands\-on across the stack (Python, SQL, backend integrations) to ship features quickly and iterate based on feedback.
* Collaborate directly with leadership — including the CEO, Head of Investments, and Product team — to identify new opportunities where AI can improve efficiency and insight.
* Define the long\-term technical roadmap, making key decisions on frameworks, infrastructure, and best practices (current preference is PyTorch, but you’ll have the freedom to choose).
 This is not a pure research or data science role — it’s an applied engineering position where you’ll translate ideas into usable, production\-ready systems.
**What Skills We’re Looking For** 
*Core Profile:* 
* **You must have a Computer Science Degree** 
 (Masters preferred)
* 5\+ years of hands\-on experience in Software \+ ML engineering.
* Proven experience taking projects end\-to\-end — from concept to production — not just analysis or experimentation.
* Deep technical skills across Python, data pipelines, model development, backend architecture, and AI/ML application.
* Familiarity with latest AI technologies \&amp; tools; fine\-tuning models, RAGs etc.
* Comfortable in a blank\-slate environment with minimal existing infrastructure.
* Excited by both the technical and business impact of their work — able to propose and own new ideas that improve efficiency and outcomes.
*Bonus / Preferred Backgrounds:* 
* Experience at both Big Tech (technical rigor) and startups (ownership and agility).
* Prior exposure to building or deploying AI tools in production.
* Strong communication skills — able to collaborate with product and business stakeholders effectively.
* Entrepreneurial mindset — enjoys working independently with high autonomy and accountability.
*Who typically isn’t a fit:* 
* Specialists limited to data science, consulting, or research\-only roles.
* Engineers who haven’t owned full product lifecycles or operated without large support teams.
**Compensation:** 
* $400,000 \- $600,000 Base Salary \+ Bonus (based on experience)
* Full benefits package</t>
        </is>
      </c>
    </row>
    <row r="95">
      <c r="A95" t="inlineStr">
        <is>
          <t>li-4369985239</t>
        </is>
      </c>
      <c r="B95" t="inlineStr">
        <is>
          <t>AI/ML Engineer</t>
        </is>
      </c>
      <c r="C95" t="inlineStr">
        <is>
          <t>Capgemini</t>
        </is>
      </c>
      <c r="D95" t="inlineStr">
        <is>
          <t>linkedin</t>
        </is>
      </c>
      <c r="E95">
        <f>HYPERLINK("https://www.linkedin.com/jobs/view/4369985239", "https://www.linkedin.com/jobs/view/4369985239")</f>
        <v/>
      </c>
      <c r="F95">
        <f>HYPERLINK("https://careers.capgemini.com/job/New-York%2C-NY-AIML-Engineer-NY-10001/1291500401/?feedId=388933&amp;utm_source=LinkedInJobPostings&amp;urlHash=ni4u", "https://careers.capgemini.com/job/New-York%2C-NY-AIML-Engineer-NY-10001/1291500401/?feedId=388933&amp;utm_source=LinkedInJobPostings&amp;urlHash=ni4u")</f>
        <v/>
      </c>
      <c r="G95" t="inlineStr">
        <is>
          <t>New York, NY</t>
        </is>
      </c>
      <c r="H95" t="inlineStr"/>
      <c r="I9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8\-10 years of relevant experience across AI, data science, and application development
 Role Overview
 We are seeking a Senior Prompt Engineer / AI Specialist / Technical Analyst to support enterprise scale Generative AI and LLM based solutions, including Service Assist AI and Agent Desktop aligned initiatives. This role focuses on prompt engineering, model integration, AI workflow design, and full stack enablement, working across multiple AI models and platforms including OpenAI and other enterprise LLM providers.
 The ideal candidate must have data science and machine learning foundations with strong Python and full stack engineering skills with Angular, and can translate business problems into effective, secure, and scalable AI powered solutions.
 Must Have
* 8\-10 years of experience across AI, data science, machine learning, or full stack engineering roles.
* Strong hands on experience with LLMs and prompt engineering.
* Experience integrating OpenAI and other AI/LLM platforms via APIs.
* Strong proficiency in Python for AI workflows, services, and data processing.
* Solid understanding of data science and ML fundamentals (model evaluation, feature engineering, experimentation).
* Full stack exposure with Angular, HTML, CSS, and TypeScript.
* Core Banking or Financial/Wealth management domain working experience required
 Good to Have
* Experience with Service Assist AI, conversational AI, or agent assist platforms.
* Exposure to embeddings, vector databases, or RAG architectures.
* Familiarity with AI governance, responsible AI frameworks, and risk controls.
* Cloud or AI platform certifications."
 The base compensation range for this role in the posted location is: 85440 \- 95440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6">
      <c r="A96" t="inlineStr">
        <is>
          <t>li-4370610318</t>
        </is>
      </c>
      <c r="B96" t="inlineStr">
        <is>
          <t>AIML - Sr Machine Learning Engineer</t>
        </is>
      </c>
      <c r="C96" t="inlineStr">
        <is>
          <t>Apple</t>
        </is>
      </c>
      <c r="D96" t="inlineStr">
        <is>
          <t>linkedin</t>
        </is>
      </c>
      <c r="E96">
        <f>HYPERLINK("https://www.linkedin.com/jobs/view/4370610318", "https://www.linkedin.com/jobs/view/4370610318")</f>
        <v/>
      </c>
      <c r="F96" t="inlineStr"/>
      <c r="G96" t="inlineStr">
        <is>
          <t>Cupertino, CA</t>
        </is>
      </c>
      <c r="H96" t="inlineStr"/>
      <c r="I96" t="inlineStr">
        <is>
          <t>**Summary**
 Do you want to play a part in the next revolution in Foundation Models? Contribute to model hill climbing for Apple Intelligence features that leverage Apple Foundation Models, and work with the people who built the intelligent products that helps millions of people get things done — just by asking or typing!
 The vision for the AI/ML FM Data organization is to improve Foundation Models by leveraging data from a variety of sources: crawl, license, vendor and internal crowd\-sourcing. As a Sr ML Engineering on the team, you will drive ML innovations, identify key opportunity areas where data can play a crucial role and experiment with various data augmentation strategies to improve model training efficiency and performance..
**Description**
 We are looking for people with a track record in building models and model\-driven products to affect user experiences. Join us, and impact hundreds of millions of customers across billions of their interactions with foundation model powered Apple Intelligence features, that are available on iPhone, iPad, HomePod, Mac, Watch, CarPlay, and tv across more than 30 languages.
* Algorithm development: Define signals that are important in prompts, responses and CoT reasoning steps. These usually require a fine\-tuned model for specific use cases.
* Model evaluation: Understand the importance of a balanced eval\-set. Ability to perform error analysis to figure out how to improve model capabilities
* Ablation experiments: Test your data augmentation strategies via ablation experiments. Comfortable debugging training errors, and tune hyper\-parameters and data mixture to achieve desired outcome.
* Data processing and data filtering: Ability to efficiently process and filter very large amounts of data, often times messy
**Minimum Qualifications**
* 5\+ years of hands on ML engineering experiences.
* Master or PhDs in Computer Science, Electric Engineering or Mathematics.
* Have prior experience as an ML modeler/scientist/researcher. Knowledgeable in classic machine learning algorithms (SVM, Random Forest, Naive Bayes, KNN etc), as well as comfortable with more modern deep learning frameworks (PyTorch, Tensorflow, Jax).
* Familiarity with multi\-modal data and large models including image and video.
* Possess strong software engineering skills and mindset. Have a high bar for engineering code quality and scalability.
**Preferred Qualifications**
* Hands on experiences with different phases in LLM model training, including LoRA, SFT, RLHF, reward modeling.
* A good communicator with clear and concise, active listening and empathy skills.
* Are self\-motivated and curious. Strive to continually learn on the job.
* Have demonstrated creative and critical thinking with an innate drive to improve how things work. Have a high tolerance for ambiguity.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7">
      <c r="A97" t="inlineStr">
        <is>
          <t>li-4359568045</t>
        </is>
      </c>
      <c r="B97" t="inlineStr">
        <is>
          <t>Founding AI/ML Engineer (Production) - NYC - $250k-$500k+ + Founding Equity</t>
        </is>
      </c>
      <c r="C97" t="inlineStr">
        <is>
          <t>Open Talent</t>
        </is>
      </c>
      <c r="D97" t="inlineStr">
        <is>
          <t>linkedin</t>
        </is>
      </c>
      <c r="E97">
        <f>HYPERLINK("https://www.linkedin.com/jobs/view/4359568045", "https://www.linkedin.com/jobs/view/4359568045")</f>
        <v/>
      </c>
      <c r="F97" t="inlineStr"/>
      <c r="G97" t="inlineStr">
        <is>
          <t>New York, NY</t>
        </is>
      </c>
      <c r="H97" t="inlineStr"/>
      <c r="I97"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98">
      <c r="A98" t="inlineStr">
        <is>
          <t>li-4359826559</t>
        </is>
      </c>
      <c r="B98" t="inlineStr">
        <is>
          <t>AI/ML Engineer / Defence / $500k+ / NYC</t>
        </is>
      </c>
      <c r="C98" t="inlineStr">
        <is>
          <t>Open Talent</t>
        </is>
      </c>
      <c r="D98" t="inlineStr">
        <is>
          <t>linkedin</t>
        </is>
      </c>
      <c r="E98">
        <f>HYPERLINK("https://www.linkedin.com/jobs/view/4359826559", "https://www.linkedin.com/jobs/view/4359826559")</f>
        <v/>
      </c>
      <c r="F98" t="inlineStr"/>
      <c r="G98" t="inlineStr">
        <is>
          <t>New York, United States</t>
        </is>
      </c>
      <c r="H98" t="inlineStr"/>
      <c r="I98"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99">
      <c r="A99" t="inlineStr">
        <is>
          <t>li-4370914951</t>
        </is>
      </c>
      <c r="B99" t="inlineStr">
        <is>
          <t>Staff Machine Learning Engineer - Marketplace</t>
        </is>
      </c>
      <c r="C99" t="inlineStr">
        <is>
          <t>Uber</t>
        </is>
      </c>
      <c r="D99" t="inlineStr">
        <is>
          <t>linkedin</t>
        </is>
      </c>
      <c r="E99">
        <f>HYPERLINK("https://www.linkedin.com/jobs/view/4370914951", "https://www.linkedin.com/jobs/view/4370914951")</f>
        <v/>
      </c>
      <c r="F99" t="inlineStr"/>
      <c r="G99" t="inlineStr">
        <is>
          <t>Sunnyvale, CA</t>
        </is>
      </c>
      <c r="H99" t="inlineStr"/>
      <c r="I99" t="inlineStr">
        <is>
          <t>**About The Role \&amp; Team**
 The Marketplace Signals team at Uber is responsible for building and optimizing foundational marketplace signals that power user experiences and drive marketplace efficiency. Our team ensures that key signals\-such as eyeball ETA, spinner time, and supply reliability indicators\-are leveraged effectively across various Uber products and levers, enabling data\-driven decision\-making and seamless coordination across different business functions.
**What You'll Do**
* Develop and optimize ML models to enhance key marketplace signals (e.g., ETA predictions, supply availability metrics, demand forecasts).
* Collaborate with cross\-functional teams (Pricing, Matching, Driver Incentives, etc.) to ensure marketplace signals are effectively utilized.
* Improve operational efficiency by building a centralized, scalable system for marketplace signals that serves multiple use cases.
* Leverage cutting\-edge ML techniques (deep learning, probabilistic modeling, reinforcement learning, etc.) to continuously refine marketplace signals.
**What You'll Need**
* Strong problem\-solving skills, with expertise in ML methodologies
* Experience in applying ML, statistics, or optimization techniques to solve large\-scale real\-world problems (e.g. ads tech, recommender systems)
* Experience in ML frameworks (e.g. Tensorflow, Pytorch, or JAX) and complex data pipelines; programming languages such as Python, Spark SQL, Presto, Go, Java
**Why Join Us?**
* Work on high\-impact machine learning problems that directly improve Uber's marketplace efficiency.
* Influence key business levers that optimize Uber's pricing, matching, and rider/driver experience.
* Build centralized marketplace signals that reduce redundancy and improve operational efficiency.
* Join a high\-caliber, innovative team tackling some of the hardest ML challenges in the industry.
 If you're passionate about using ML to optimize real\-world systems at a massive scale, we'd love to hear from you!
**Basic Qualifications**
* Ph.D. or M.S. in Statistics, Economics, Mathematics, Computer Science, Machine Learning, Operations Research, or other quantitative fields.
* 6\+ years of industry experience in machine learning, including building and deploying ML models at scale.
* Experience in modern deep learning architectures and probabilistic modeling
* Proficiency in programming languages (Python, Java, Scala) and ML frameworks (TensorFlow, PyTorch, Scikit\-Learn),
* Solid understanding of MLOps practices, including design documentation, testing, and source code management with Git.
* Advanced skills in the development and deployment of large\-scale ML models and optimization algorithms
* Strong business and product sense: ability to shape vague questions into well\-defined analyses and success metrics that drive business decisions.
**Preferred Qualifications:**
* Expertise in developing causal inference methodologies, experimental designs, and advanced analytical methods.
* Strong experience in building a wide range of models (e.g. causal inference, optimization, ML) for business applications.
* Experience in algorithm development and rapid prototyping.
* Design, develop, and operationalize econometric models to assess challenging causal problems such as product incrementality and long\-term value
* Propose, design, and analyze large\-scale online experiments and interpret the results to draw actionable conclusions.
* Ability to drive clarity on the best modeling solution for a business objective.
* Collaborate with cross\-functional teams across disciplines such as product, engineering, and operations to drive system development end\-to\-end from generating ideas to productionizing.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0">
      <c r="A100" t="inlineStr">
        <is>
          <t>li-4370601456</t>
        </is>
      </c>
      <c r="B100" t="inlineStr">
        <is>
          <t>Machine Learning Engineer III</t>
        </is>
      </c>
      <c r="C100" t="inlineStr">
        <is>
          <t>LexisNexis</t>
        </is>
      </c>
      <c r="D100" t="inlineStr">
        <is>
          <t>linkedin</t>
        </is>
      </c>
      <c r="E100">
        <f>HYPERLINK("https://www.linkedin.com/jobs/view/4370601456", "https://www.linkedin.com/jobs/view/4370601456")</f>
        <v/>
      </c>
      <c r="F100">
        <f>HYPERLINK("https://relx.wd3.myworkdayjobs.com/LexisNexisLegal/job/Raleigh-NC/Machine-Learning-Engineer-III_R107735/apply?source=LinkedIn&amp;urlHash=P4tp", "https://relx.wd3.myworkdayjobs.com/LexisNexisLegal/job/Raleigh-NC/Machine-Learning-Engineer-III_R107735/apply?source=LinkedIn&amp;urlHash=P4tp")</f>
        <v/>
      </c>
      <c r="G100" t="inlineStr">
        <is>
          <t>Raleigh, NC</t>
        </is>
      </c>
      <c r="H100" t="inlineStr"/>
      <c r="I100" t="inlineStr">
        <is>
          <t>**About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This position performs
 **software development and applied machine learning** 
 assignments within a defined functional area or product line. The role
 **contributes to the design, implementation, training, evaluation, and deployment of machine learning models and supporting data pipelines** 
 under the guidance of senior engineers. This position collaborates closely with cross\-functional teams, including software engineers, data engineers, and product partners, to translate well\-defined business or research requirements into machine learning solutions. The role
 **focuses on building, testing, and improving ML components within existing systems while continuing to develop technical depth and best practices.**
* Conditions of Employment \- Ability to work a Hybrid schedule reporting to Raleigh, NC Office location\*\*\*\*\*\*\*\*\*\*\*\*\*
 ⸻
**Requirements**
* 1 \- 3\+ years experience in Machine Learning Engineering, Data Science, or Software Engineering with a strong ML focus
* BS in Computer Science, Engineering, Mathematics, Statistics, or a related field, or equivalent practical experience
 ⸻
**Technical Skills**
* Working knowledge of machine learning fundamentals, including supervised and unsupervised learning techniques
* Proficiency in at least one programming language commonly used in ML development (e.g., Python, Java, or Scala)
* Experience with common ML libraries and frameworks (e.g., PyTorch, TensorFlow, scikit\-learn)
* Familiarity with data manipulation, feature engineering, and data validation techniques
* Basic understanding of data modeling concepts and data storage systems (e.g., relational databases, data lakes)
* Experience working with SQL and/or other data query languages
* Familiarity with software development methodologies such as Agile
* Understanding of ML model evaluation, experimentation, and performance metrics
* Exposure to ML lifecycle practices including model training, testing, versioning, and deployment
* Ability to read, understand, and contribute to technical design documents
* Ability to debug and resolve moderately complex issues in ML pipelines or model behavior
* Good oral and written communication skills
* Willingness to learn new tools, technologies, and ML best practices
 ⸻
**Responsibilities**
* Collaborate with software engineers, data engineers, and product stakeholders to understand requirements and contribute to ML solutions
* Implement machine learning models, data preprocessing pipelines, and evaluation workflows under established designs
* Write and maintain clean, well\-tested, and well\-documented code following team standards
* Assist in debugging, tuning, and improving model performance and data quality issues
* Participate in code reviews and apply feedback to improve code quality and ML practices
* Operate within established development environments and processes (e.g., Agile)
* Support the integration of ML components into production systems
* Contribute to experimentation, analysis, and reporting of model results
* Keep abreast of new machine learning techniques, tools, and industry developments
* Follow best practices for reproducibility, testing, and responsible ML development
* Seek guidance from senior team members and proactively develop technical skills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is>
      </c>
    </row>
    <row r="101">
      <c r="A101" t="inlineStr">
        <is>
          <t>li-4370900622</t>
        </is>
      </c>
      <c r="B101" t="inlineStr">
        <is>
          <t>AI Engineer</t>
        </is>
      </c>
      <c r="C101" t="inlineStr">
        <is>
          <t>Actalent</t>
        </is>
      </c>
      <c r="D101" t="inlineStr">
        <is>
          <t>linkedin</t>
        </is>
      </c>
      <c r="E101">
        <f>HYPERLINK("https://www.linkedin.com/jobs/view/4370900622", "https://www.linkedin.com/jobs/view/4370900622")</f>
        <v/>
      </c>
      <c r="F101">
        <f>HYPERLINK("https://jsv3.recruitics.com/redirect?rx_cid=3374&amp;rx_jobId=JP-005818812&amp;rx_url=https%3A%2F%2Fars2.equest.com%2F%3Ficid%3Dlinkedin_recruitics%26response_id%3D9b89173245d8a4ca2c5db1f659db1875%26rx_campaign%3DLinkedin1%26rx_ch%3Dconnector%26rx_group%3D432887%26rx_id%3D6973f728-05f5-11f1-9b07-cd657555b795%26rx_job%3DJP-005818812%26rx_medium%3Dpost%26rx_r%3Dnone%26rx_source%3DLinkedin%26rx_ts%3D20260210T001203Z%26rx_vp%3Dslots&amp;urlHash=2ubl", "https://jsv3.recruitics.com/redirect?rx_cid=3374&amp;rx_jobId=JP-005818812&amp;rx_url=https%3A%2F%2Fars2.equest.com%2F%3Ficid%3Dlinkedin_recruitics%26response_id%3D9b89173245d8a4ca2c5db1f659db1875%26rx_campaign%3DLinkedin1%26rx_ch%3Dconnector%26rx_group%3D432887%26rx_id%3D6973f728-05f5-11f1-9b07-cd657555b795%26rx_job%3DJP-005818812%26rx_medium%3Dpost%26rx_r%3Dnone%26rx_source%3DLinkedin%26rx_ts%3D20260210T001203Z%26rx_vp%3Dslots&amp;urlHash=2ubl")</f>
        <v/>
      </c>
      <c r="G101" t="inlineStr">
        <is>
          <t>Aurora, CO</t>
        </is>
      </c>
      <c r="H101" t="inlineStr"/>
      <c r="I101" t="inlineStr">
        <is>
          <t>**Job Title: AI Engineer** 
**Job Description**
 This position is ideal for an AI/ML Engineer seeking to tackle new and challenging problems. You will be involved in the development of AI/ML algorithms across various disciplines, including object detection/classification, natural language processing, reinforcement learning, and large language models. Our team consists of outstanding researchers and software developers who are keen to mentor and share their expertise. We welcome candidates of all experience levels, as there are multiple positions available.
**Responsibilities**
* Develop and implement AI/ML algorithms for various applications.
* Collaborate with a team of researchers and software developers.
* Engage in problem\-solving and innovative thinking to address complex challenges.
* Contribute to projects involving object detection/classification, natural language processing, reinforcement learning, and large language models.
**Essential Skills**
* Proficiency in using PyTorch for AI/ML development.
**Additional Skills \&amp; Qualifications**
* A strong desire to learn and grow in the field of AI/ML.
* Open to all experience levels.
**Work Environment**
 Work alongside a diverse and talented team of researchers and developers who are eager to share their knowledge and mentor new team members. The environment promotes continuous learning and development in the dynamic field of AI/ML.
**Job Type \&amp; Location**
 This is a Permanent position based out of Aurora, CO.
**Pay And Benefits**
 The pay range for this position is $100000\.00 \- $240000\.00/yr.
 Comprehensive medical/vision/dental insurance packages Company contributions to qualified HSA accounts 401k retirement plan with industry leading company contributions 3 weeks of vacation accrual per year plus time off for sick leave and unscheduled life events 13 paid holidays Upfront tuition assistance for approved degree programs Annual bonus program based on company and employee performance Company paid life insurance, AD\&amp;D, Short\-Term and Long\-Term disability insurance 4 weeks paid Parental Leave Employee assistance program (EAP)
**Workplace Type**
 This is a fully onsite position in Aurora,CO.
**Application Deadline**
 This position is anticipated to close on Feb 23,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102">
      <c r="A102" t="inlineStr">
        <is>
          <t>li-4370868917</t>
        </is>
      </c>
      <c r="B102" t="inlineStr">
        <is>
          <t>Machine Learning Engineer II - AV Foundations, AV Labs</t>
        </is>
      </c>
      <c r="C102" t="inlineStr">
        <is>
          <t>Uber</t>
        </is>
      </c>
      <c r="D102" t="inlineStr">
        <is>
          <t>linkedin</t>
        </is>
      </c>
      <c r="E102">
        <f>HYPERLINK("https://www.linkedin.com/jobs/view/4370868917", "https://www.linkedin.com/jobs/view/4370868917")</f>
        <v/>
      </c>
      <c r="F102" t="inlineStr"/>
      <c r="G102" t="inlineStr">
        <is>
          <t>Sunnyvale, CA</t>
        </is>
      </c>
      <c r="H102" t="inlineStr"/>
      <c r="I102" t="inlineStr">
        <is>
          <t>**About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an ML engineer in AV Labs conducting autonomous vehicle modeling and research, with an emphasis on developing foundational and applied techniques that shape the future of autonomous driving. The ideal candidate will formulate research problems, design and evaluate novel modeling approaches, and influence the direction of large\-scale autonomous systems through strong scientific judgment and execution. You will work cross\-functionally with engineers from AV Labs and partner engineering teams which enables Uber's mission of helping people go anywhere and get anything and earn their way.
* What You Will Do
* Design and implement cutting\-edge techniques for autonomous vehicle systems.
* Collaborate closely with engineering teams and product teams across AV Labs to integrate modeling approaches into production pipelines.
* Publish and present original research at top\-tier CV and ML conferences.
* Basic Qualifications
* PhD or MS with equivalent industry experience in Computer Science, Robotics, or a related field.
* Relevant experience in autonomous vehicles or computer vision, with a strong understanding of how research ideas connect to autonomous vehicle systems.
* Demonstrated technical contributions, including publications at leading ML and CV conferences such as CVPR, ICCV, ICLR, NeurIPS, or similar venues.
* Proficiency in Python and modern deep learning frameworks such as PyTorch or TensorFlow; experience with C\+\+ or deploying models in production environments is a plus.
* Strong communication skills and the ability to collaborate effectively with researchers and engineers across teams.
* Preferred Qualifications
* Experience with autonomous vehicles research.
* Hands\-on experience in training multimodal LLMs for autonomous vehicle systems or relevant computer vision systems.
* Recent publications in one or more of the following areas: 3D perception \&amp; scene understanding, multimodal embedding, diffusion models, gaussian splatting, vision language action models, and world models.
* Experience with real\-world product development and deployment.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3">
      <c r="A103" t="inlineStr">
        <is>
          <t>li-4370926496</t>
        </is>
      </c>
      <c r="B103" t="inlineStr">
        <is>
          <t>Staff Machine Learning Engineer - Marketplace</t>
        </is>
      </c>
      <c r="C103" t="inlineStr">
        <is>
          <t>Uber</t>
        </is>
      </c>
      <c r="D103" t="inlineStr">
        <is>
          <t>linkedin</t>
        </is>
      </c>
      <c r="E103">
        <f>HYPERLINK("https://www.linkedin.com/jobs/view/4370926496", "https://www.linkedin.com/jobs/view/4370926496")</f>
        <v/>
      </c>
      <c r="F103" t="inlineStr"/>
      <c r="G103" t="inlineStr">
        <is>
          <t>San Francisco, CA</t>
        </is>
      </c>
      <c r="H103" t="inlineStr"/>
      <c r="I103" t="inlineStr">
        <is>
          <t>**About The Role \&amp; Team**
 The Marketplace Signals team at Uber is responsible for building and optimizing foundational marketplace signals that power user experiences and drive marketplace efficiency. Our team ensures that key signals\-such as eyeball ETA, spinner time, and supply reliability indicators\-are leveraged effectively across various Uber products and levers, enabling data\-driven decision\-making and seamless coordination across different business functions.
**What You'll Do**
* Develop and optimize ML models to enhance key marketplace signals (e.g., ETA predictions, supply availability metrics, demand forecasts).
* Collaborate with cross\-functional teams (Pricing, Matching, Driver Incentives, etc.) to ensure marketplace signals are effectively utilized.
* Improve operational efficiency by building a centralized, scalable system for marketplace signals that serves multiple use cases.
* Leverage cutting\-edge ML techniques (deep learning, probabilistic modeling, reinforcement learning, etc.) to continuously refine marketplace signals.
**What You'll Need**
* Strong problem\-solving skills, with expertise in ML methodologies
* Experience in applying ML, statistics, or optimization techniques to solve large\-scale real\-world problems (e.g. ads tech, recommender systems)
* Experience in ML frameworks (e.g. Tensorflow, Pytorch, or JAX) and complex data pipelines; programming languages such as Python, Spark SQL, Presto, Go, Java
**Why Join Us?**
* Work on high\-impact machine learning problems that directly improve Uber's marketplace efficiency.
* Influence key business levers that optimize Uber's pricing, matching, and rider/driver experience.
* Build centralized marketplace signals that reduce redundancy and improve operational efficiency.
* Join a high\-caliber, innovative team tackling some of the hardest ML challenges in the industry.
 If you're passionate about using ML to optimize real\-world systems at a massive scale, we'd love to hear from you!
**Basic Qualifications**
* Ph.D. or M.S. in Statistics, Economics, Mathematics, Computer Science, Machine Learning, Operations Research, or other quantitative fields.
* 6\+ years of industry experience in machine learning, including building and deploying ML models at scale.
* Experience in modern deep learning architectures and probabilistic modeling
* Proficiency in programming languages (Python, Java, Scala) and ML frameworks (TensorFlow, PyTorch, Scikit\-Learn),
* Solid understanding of MLOps practices, including design documentation, testing, and source code management with Git.
* Advanced skills in the development and deployment of large\-scale ML models and optimization algorithms
* Strong business and product sense: ability to shape vague questions into well\-defined analyses and success metrics that drive business decisions.
**Preferred Qualifications:**
* Expertise in developing causal inference methodologies, experimental designs, and advanced analytical methods.
* Strong experience in building a wide range of models (e.g. causal inference, optimization, ML) for business applications.
* Experience in algorithm development and rapid prototyping.
* Design, develop, and operationalize econometric models to assess challenging causal problems such as product incrementality and long\-term value
* Propose, design, and analyze large\-scale online experiments and interpret the results to draw actionable conclusions.
* Ability to drive clarity on the best modeling solution for a business objective.
* Collaborate with cross\-functional teams across disciplines such as product, engineering, and operations to drive system development end\-to\-end from generating ideas to productionizing.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4">
      <c r="A104" t="inlineStr">
        <is>
          <t>li-4370606246</t>
        </is>
      </c>
      <c r="B104" t="inlineStr">
        <is>
          <t>Senior Machine Learning Engineer I</t>
        </is>
      </c>
      <c r="C104" t="inlineStr">
        <is>
          <t>LexisNexis</t>
        </is>
      </c>
      <c r="D104" t="inlineStr">
        <is>
          <t>linkedin</t>
        </is>
      </c>
      <c r="E104">
        <f>HYPERLINK("https://www.linkedin.com/jobs/view/4370606246", "https://www.linkedin.com/jobs/view/4370606246")</f>
        <v/>
      </c>
      <c r="F104" t="inlineStr"/>
      <c r="G104" t="inlineStr">
        <is>
          <t>Raleigh, NC</t>
        </is>
      </c>
      <c r="H104" t="inlineStr"/>
      <c r="I104" t="inlineStr">
        <is>
          <t>**About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**About the Team:** 
 LexisNexis Legal \&amp; Professional, which serves customers in more than 150 countries with 11,800 employees worldwide, is part of RELX (www.relx.com),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The company employs over 2,000 technologists, data scientists, and experts to develop, test, and validate solutions in line with RELX Responsible AI Principles (https://stories.relx.com/responsible\-ai\-principles/index.html).
**About The Role**
 This position
 **performs advanced machine learning research, design, and development** 
 assignments within a defined functional area or product line. The role is responsible for
 **designing, implementing, training, evaluating, and deploying machine learning models and supporting data pipelines in production environments.** 
 This position contributes directly to technical design decisions, development methodologies, and project execution, and collaborates with cross\-functional teams to translate business and product requirements into scalable machine learning solutions. The role may provide technical guidance to less\-experienced machine learning engineers and actively contribute to improving team ML practices.
* Conditions of Employment \- Ability to work a Hybrid schedule reporting to Raleigh, NC Office location\*\*\*\*\*\*\*\*\*\*\*\*\*
**Requirements**
* 4\+ years of experience in Machine Learning Engineering, Data Science, or Software Engineering with significant ML responsibilities
* BS in Computer Science, Engineering, Mathematics, Statistics, or a related field required; MS or equivalent experience preferred
**Technical Skills**
* Strong knowledge of machine learning algorithms and techniques, including supervised and unsupervised learning, model evaluation, and optimization
* Strong proficiency in one or more ML development languages (e.g., Python, Java, Scala)
* Hands\-on experience with machine learning frameworks and libraries (e.g., PyTorch, TensorFlow, scikit\-learn)
* Experience designing and maintaining end\-to\-end ML pipelines, including data ingestion, feature engineering, training, validation, and deployment
* Solid understanding of data modeling principles and experience working with structured and unstructured data
* Strong proficiency with SQL and experience working with large\-scale data storage systems
* Experience deploying and monitoring ML models in production environments
* Familiarity with software development best practices, including code reviews, testing, and CI/CD
* Working knowledge of Agile development methodologies
* Ability to research, evaluate, and apply new machine learning techniques and tools
* Ability to diagnose and resolve complex issues related to model performance, data quality, and system integration
* Strong oral and written communication skills
**Responsibilities**
* Design, develop, and maintain production\-grade machine learning models and supporting pipelines
* Collaborate with product managers, software engineers, and data engineers to define and refine ML requirements and solutions
* Translate complex business problems into well\-defined machine learning tasks and system designs
* Contribute to technical design documents and review designs for ML components and systems
* Implement coding best practices, testing strategies, and code reviews for ML development
* Debug, optimize, and resolve complex issues across the ML lifecycle, including data, models, and deployment
* Monitor model performance and support ongoing model improvements and retraining efforts
* Provide technical guidance and mentorship to junior machine learning engineers
* Stay current with industry trends, tools, and best practices in machine learning and applied AI
* Actively contribute to improving team standards, tooling, and development processes
* Operate effectively across development environments (e.g., Agile) and collaborate with key stakeholders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is>
      </c>
    </row>
    <row r="105">
      <c r="A105" t="inlineStr">
        <is>
          <t>li-4370908501</t>
        </is>
      </c>
      <c r="B105" t="inlineStr">
        <is>
          <t>AI Engineer II, R37</t>
        </is>
      </c>
      <c r="C105" t="inlineStr">
        <is>
          <t>Lensa</t>
        </is>
      </c>
      <c r="D105" t="inlineStr">
        <is>
          <t>linkedin</t>
        </is>
      </c>
      <c r="E105">
        <f>HYPERLINK("https://www.linkedin.com/jobs/view/4370908501", "https://www.linkedin.com/jobs/view/4370908501")</f>
        <v/>
      </c>
      <c r="F105">
        <f>HYPERLINK("https://lensa.com/cgw/83c3c0dfdd334db18c2f2e6404b5fcd6tjo1?jpsi=directemployers_no_redirect&amp;publisher_preference=easier_apply&amp;utm_campaign=Engineers&amp;utm_medium=slot&amp;utm_source=linkedin&amp;utm_term=jse&amp;urlHash=59mW", "https://lensa.com/cgw/83c3c0dfdd334db18c2f2e6404b5fcd6tjo1?jpsi=directemployers_no_redirect&amp;publisher_preference=easier_apply&amp;utm_campaign=Engineers&amp;utm_medium=slot&amp;utm_source=linkedin&amp;utm_term=jse&amp;urlHash=59mW")</f>
        <v/>
      </c>
      <c r="G105" t="inlineStr">
        <is>
          <t>Detroit, MI</t>
        </is>
      </c>
      <c r="H105" t="inlineStr"/>
      <c r="I10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R1 RCM. Clicking "Apply Now" or "Read more" on Lensa redirects you to the job board/employer site. Any information collected there is subject to their terms and privacy notice.
 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an AI Engineer II in R37, you will contribute to AI\-driven solutions that support business outcomes while developing your technical expertise. You will work on AI systems for unstructured data problems in healthcare, implement models under guidance from senior team members, and help build systems that measure AI performance.
**What you will do as an AI Engineer II, R37:**
* Support AI feature development: Contribute to AI capabilities for retrieval, ranking, categorization, and generative AI features on unstructured healthcare data, following established patterns and best practices.
* Participate in AI projects: Work collaboratively on AI projects from requirements gathering through deployment, supporting stakeholders in delivering models and software that meet business objectives with guidance from senior engineers.
* Assist in model implementation: Help build reliable AI systems for production environments, learning proper monitoring and operational practices for deployed models while ensuring quality standards.
* Apply established methodologies: Use appropriate evaluation datasets, metrics, and model architectures following team guidelines to build effective AI solutions that connect to business outcomes.
* Learn and collaborate: Work closely with product managers, senior engineers, and other team members to integrate AI capabilities, while actively developing your technical skills and contributing to team knowledge sharing.
**We would love to hear from you if you have:**
* Experience working with AI/ML systems in production environments, including exposure to search, ranking, or generative AI applications
* Familiarity with prototyping new AI solutions and contributing to projects that moved from concept to implementation
* Understanding of AI development lifecycle components, from model selection through basic productionization with senior guidance
* Growing experience in connecting technical modeling work with business value through collaboration with stakeholders
* Hands\-on experience with tools like PyTorch, TensorFlow, and working with pre\-trained models from platforms like Hugging Face, plus exposure to deployment tools such as Databricks, AWS Bedrock, or Azure ML
**While it is not** 
**required** 
**,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$140,000\.00\-$200,000\.00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(http://go.r1rcm.com/benefits)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(https://f.hubspotusercontent20\.net/hubfs/4941928/California%20Consent%20Notice.pdf)
 To learn more, visit: R1RCM.com
 Visit us on Facebook (https://www.facebook.com/R1RCM)
 R1 is the leader in healthcare revenue management, helping providers achieve new levels of performance through smart orchestration. A pioneer in the industry, R1 created the first Healthcare Revenue Operating System: a modular, intelligent platform that integrates automation, AI, and human expertise to strengthen the entire revenue cycle. With more than 20 years of experience, R1 partners with 1,000 providers, including 95 of the top 100 U.S. health systems, and handles over 270 million payer transactions annually. This scale provides unmatched operational insight to help healthcare organizations unlock greater long\-term value. To learn more, visit: https://www.r1rcm.com .
 If you have questions about this posting, please contact support@lensa.com</t>
        </is>
      </c>
    </row>
    <row r="106">
      <c r="A106" t="inlineStr">
        <is>
          <t>li-4370937409</t>
        </is>
      </c>
      <c r="B106" t="inlineStr">
        <is>
          <t>Senior Machine Learning Engineer - AV Foundation, AV Labs</t>
        </is>
      </c>
      <c r="C106" t="inlineStr">
        <is>
          <t>Uber</t>
        </is>
      </c>
      <c r="D106" t="inlineStr">
        <is>
          <t>linkedin</t>
        </is>
      </c>
      <c r="E106">
        <f>HYPERLINK("https://www.linkedin.com/jobs/view/4370937409", "https://www.linkedin.com/jobs/view/4370937409")</f>
        <v/>
      </c>
      <c r="F106">
        <f>HYPERLINK("https://tnl2.jometer.com/v2/job?jz=5wqzs0e8e95ee119d13c6e2e16eb52d5d4b37KMAGUCAAAABQ&amp;iis=Job%20Board%20-%20Recruitment%20Marketing&amp;iisn=LinkedIn&amp;urlHash=iU3r", "https://tnl2.jometer.com/v2/job?jz=5wqzs0e8e95ee119d13c6e2e16eb52d5d4b37KMAGUCAAAABQ&amp;iis=Job%20Board%20-%20Recruitment%20Marketing&amp;iisn=LinkedIn&amp;urlHash=iU3r")</f>
        <v/>
      </c>
      <c r="G106" t="inlineStr">
        <is>
          <t>Sunnyvale, CA</t>
        </is>
      </c>
      <c r="H106" t="inlineStr"/>
      <c r="I106" t="inlineStr">
        <is>
          <t>**About The Role**
 Uber is launching AV Labs to accelerate the autonomous technology ecosystem. We're building out a high\-velocity team of multi\-disciplinary experts to turn real\-world operations into high\-quality data for our autonomous partners. This team will be focused on the hardest problem in AV today: unlocking real\-world, long\-tail driving data. Autonomy is now a data race\-and Uber has an edge: We collect rare, real\-world driving data at a scale and capital efficiency no one else can match (millions of Uber trips every hour across cities, conditions, and edge cases create the data autonomy has been missing). We will build platforms that harness scale and real\-world complexity to reimagine how the world moves.
 You will be an ML engineer in AV Labs conducting autonomous vehicle modeling and research, with an emphasis on developing foundational and applied techniques that shape the future of autonomous driving. The ideal candidate will formulate research problems, design and evaluate novel modeling approaches, and influence the direction of large\-scale autonomous systems through strong scientific judgment and execution. You will work cross\-functionally with engineers from AV Labs and partner engineering teams which enables Uber's mission of helping people go anywhere and get anything and earn their way.
**What The Candidate Will Need / Bonus Points**
 \-\-\-\- What You Will Do \-\-\-\-
* Design, implement and deliver cutting\-edge techniques for autonomous vehicle systems.
* Lead the end\-to\-end model lifecycle and system architecture\-from data and training through evaluation, deployment, and monitoring\-across upstream and downstream dependencies.
* Provide technical leadership through design reviews, mentorship, and hands\-on execution.
* Collaborate closely with engineering teams and product teams across AV Labs to integrate modeling approaches into production pipelines.
* Publish and present original research at top\-tier CV and ML conferences.
**Basic Qualifications**
* PhD or MS with equivalent industry experience in Computer Science, Robotics, or a related field.
* 3\+ years of relevant industry experience in the field of autonomous vehicles and/or computer vision.
* Experience building and deploying ML systems in real\-world production environments.
* Strong understanding of how to connect cutting\-edge modeling techniques to autonomous vehicle systems in a scalable and reliable way.
* Demonstrated technical contributions, such as publications at leading ML and CV conferences (e.g., CVPR, ICCV, ICLR, NeurIPS) or comparable technical outputs.
* Proficiency in Python and modern deep learning frameworks such as PyTorch or TensorFlow.
* Strong communication skills, with experience providing technical leadership through mentorship, design reviews, and cross\-team collaboration.
**Preferred Qualifications**
* Experience with autonomous vehicles research.
* Hands\-on experience in training multimodal LLMs for autonomous vehicle systems or relevant computer vision systems.
* Recent publications in one or more of the following areas: 3D perception \&amp; scene understanding, multimodal embedding, diffusion models, gaussian splatting, vision language action models, and world models.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7">
      <c r="A107" t="inlineStr">
        <is>
          <t>li-4270926366</t>
        </is>
      </c>
      <c r="B107" t="inlineStr">
        <is>
          <t>Staff ML Engineer, Product</t>
        </is>
      </c>
      <c r="C107" t="inlineStr">
        <is>
          <t>Rocket Money</t>
        </is>
      </c>
      <c r="D107" t="inlineStr">
        <is>
          <t>linkedin</t>
        </is>
      </c>
      <c r="E107">
        <f>HYPERLINK("https://www.linkedin.com/jobs/view/4270926366", "https://www.linkedin.com/jobs/view/4270926366")</f>
        <v/>
      </c>
      <c r="F107" t="inlineStr"/>
      <c r="G107" t="inlineStr"/>
      <c r="H107" t="inlineStr"/>
      <c r="I107" t="inlineStr">
        <is>
          <t>ABOUT ROCKET MONEY 🔮
 Rocket Money's mission is to empower people to live their best financial lives. Rocket Money offers members a unique understanding of their finances and a suite of valuable services that save them time and money – ultimately giving them a leg up on their financial journey.
 ABOUT THE TEAM 🤝
 Machine Learning Engineers at Rocket Money further our mission by building products that deepen customer relationships with our many financial products. Our work ranges from transaction enrichment to personalization to cross\-functional tools that support various AI product initiatives. We work closely with product teams to develop features that help customers understand, track, and improve their personal finances. We have a strong preference for team players that are comfortable collaborating across teams, know how to support strategy with ML and AI powered user experiences, can deliver scalable and high quality user experiences, and understand the effects of their products on end users. At the Staff level, Machine Learning Engineers are expected to build broad expertise into our products and the ML solutions that power them as well as drive technical progress for the team.
 ABOUT THE ROLE 🤹
 As a Staff Machine Learning Engineer at Rocket Money, you will be at the forefront of our ML and AI product development, bringing your expertise to design, implement, and maintain sophisticated ML systems that drive our product experiences. You will:
* Lead the architecture and development of complex AI and ML powered features across Rocket Money's product suite, proactively identifying technical challenges before they become issues.
* Design, implement, and maintain robust evaluation frameworks. You ensure that ML/AI systems can be constantly improved and create frameworks so that others can do the same.
* Develop novel new product experiences that you are uniquely positioned to enable for users. Help Rocket Money capitalize on it’s unique dataset and scale. Guide others to help generate impact through effective technical leadership and partnership with product.
* Own end to end development and implementation of ML and AI product features in collaboration with cross\-functional product development teams. Rigorous technical critique and oversight coupled with effective communication of business impact are musts.
* Provide technical mentorship, fostering an environment where everyone can contribute to high\-impact work. You will raise the level of everyone around you.
 Potential Projects:
* Develop comprehensive evaluation and ML Ops frameworks that enable systematic assessment of model performance, supporting rapid iteration and improvement of AI/ML product features.
* Scale transaction metadata generation systems to billions of financial transactions in a consumer facing app. Implement AI assisted transaction management and personalization features such as personalized categories, income and rent detection, and subscription identification.
* Implement effective user feedback mechanisms that enable measurement of ML feature product quality and constant improvement.
* Architect user facing predictive features that depend on fast moving and large scale user transaction data.
 ABOUT YOU 🦄
* 8\+ years of professional experience in machine learning engineering or data science roles, with a proven track record of designing and implementing ML systems at consumer tech scale and speed.
* Extensive hands\-on experience integrating ML and AI methods into production workflows, including creating evaluation tooling and effective user feedback mechanisms to support rapid product development cycles and systematic model evaluation.
* Experience with prompt engineering and management, creating robust systems for testing and optimizing LLM\-based applications.
* Expert\-level proficiency in Python, SQL, and at least a handful of common ML frameworks. Working Typescript knowledge is a plus. You understand ML methods at a fundamental level \- deep experience in NLP techniques is a plus.
* You are a master at taking ambiguous problems, creating clarity, and breaking down work into manageable chunks for implementation. You’ve owned the development, launch, and maintenance for several scaled ML/AI powered product experiences.
* You understand basic software engineering and computer science fundamentals and have applied them at consumer grade scale to build ML powered products in production environments.
* You are a technical leader who can identify both emergent technical opportunities and gaps relative to best practice. Your strong communication skills enable your team to capitalize on these opportunities and generate impact.
* *You care about products and user experiences, not publications* 
 . You are a practitioner first and thrive at the (messy) intersection of the real world and cutting edge approaches.
 WE OFFER 💫
* Health, Dental \&amp; Vision Plans
* Competitive Pay
* 401k Matching
* Unlimited PTO
* Lunch daily (in\-office only)
* Snacks \&amp; Coffee (in\-office only)
* Commuter benefits (in\-office only)
 Additional information: Salary range of $210,000 \- $260,000/year \+ bonus \+ benefits. Base pay offered may vary depending on job\-related knowledge, skills, and experience.
 Rocket Money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Pursuant to the San Francisco Fair Chance Ordinance, we will consider for employment qualified applicants with arrest and conviction records.</t>
        </is>
      </c>
    </row>
    <row r="108">
      <c r="A108" t="inlineStr">
        <is>
          <t>li-4370483960</t>
        </is>
      </c>
      <c r="B108" t="inlineStr">
        <is>
          <t>AI / ML Engineer (W2 Position)</t>
        </is>
      </c>
      <c r="C108" t="inlineStr">
        <is>
          <t>Jobs via Dice</t>
        </is>
      </c>
      <c r="D108" t="inlineStr">
        <is>
          <t>linkedin</t>
        </is>
      </c>
      <c r="E108">
        <f>HYPERLINK("https://www.linkedin.com/jobs/view/4370483960", "https://www.linkedin.com/jobs/view/4370483960")</f>
        <v/>
      </c>
      <c r="F108">
        <f>HYPERLINK("https://click.appcast.io/t/NywIEX0r1tlvrhXzgRiFtVC_XfgGi6DkT9gniW8rXZc=&amp;urlHash=E4ff", "https://click.appcast.io/t/NywIEX0r1tlvrhXzgRiFtVC_XfgGi6DkT9gniW8rXZc=&amp;urlHash=E4ff")</f>
        <v/>
      </c>
      <c r="G108" t="inlineStr">
        <is>
          <t>Jersey City, NJ</t>
        </is>
      </c>
      <c r="H108" t="inlineStr"/>
      <c r="I108" t="inlineStr">
        <is>
          <t>Dice is the leading career destination for tech experts at every stage of their careers. Our client, Systems Management Group, Inc, is seeking the following. Apply via Dice today!
**Role:** 
 AI / ML Engineer (W2 Position)
**Location** 
 : Jersey City, NJ
**Experience** 
 : 10\+ years
**Job Description:**
* Strong hands\-on experience with Python (NumPy, Pandas, SciPy)
* Solid experience in Machine Learning algorithms and statistical modeling
* Expertise in ML libraries
* Experience with data preprocessing, feature engineering, and model evaluation
* Strong SQL skills and experience working with large datasets
* Experience with REST APIs and model integration
* Familiarity with Git, CI/CD pipelines, and Agile development
 \-\-
 Thanks \&amp; Regards,
 RaviKiran
 ravikiran(.)m@smg\-llc(.)us</t>
        </is>
      </c>
    </row>
    <row r="109">
      <c r="A109" t="inlineStr">
        <is>
          <t>li-4370908665</t>
        </is>
      </c>
      <c r="B109" t="inlineStr">
        <is>
          <t>Fullstack AI Engineer/ Onsite/ Houston, TX</t>
        </is>
      </c>
      <c r="C109" t="inlineStr">
        <is>
          <t>Motion Recruitment</t>
        </is>
      </c>
      <c r="D109" t="inlineStr">
        <is>
          <t>linkedin</t>
        </is>
      </c>
      <c r="E109">
        <f>HYPERLINK("https://www.linkedin.com/jobs/view/4370908665", "https://www.linkedin.com/jobs/view/4370908665")</f>
        <v/>
      </c>
      <c r="F109" t="inlineStr"/>
      <c r="G109" t="inlineStr">
        <is>
          <t>Houston, TX</t>
        </is>
      </c>
      <c r="H109" t="inlineStr"/>
      <c r="I109" t="inlineStr">
        <is>
          <t>We are on a mission to redefine workforce scaling — enabling businesses to instantly expand their capabilities without hiring, overhead, or human constraints by delivering
 **digital employees** 
 that operate faster, scale instantly, and work around the clock.
 Our team is based in the heart of
 **downtown Austin** 
 , where a tight\-knit group of experienced SaaS operators and engineers are building a foundational product from the ground up. We’re committed to solving tough challenges, creating simple solutions, and fostering a culture built on trust, ownership, and optimism.
 Why You Should Join Us
* Be a key contributor in building a game\-changing product from day one
* Solve meaningful problems that impact real industries and people
* Collaborate with a seasoned team that’s taken SaaS businesses from zero to success
* Thrive in a dynamic, in\-person startup environment in vibrant Austin
 What You’ll Do
* Design, develop, and maintain scalable production systems and APIs
* Integrate and deploy AI/LLM\-powered automation to streamline complex workflows
* Work across the entire tech stack — from backend services to frontend applications
* Contribute to architecture and technical strategy in a fast\-paced startup setting
* Prototype and iterate rapidly to deliver new features and capabilities
* Partner with cross\-functional teams to align engineering work with business objectives
* Manage integration with legacy systems while ensuring compliance with regulatory standards
 What We’re Looking For
* Startup mindset \&amp; initiative: A self\-starter who excels in ambiguity and fast\-moving environments, driving results independently
* AI \&amp; innovation focus: Hands\-on experience with large language models, automation frameworks, or AI\-powered products, and a practical understanding of generative AI in production
* Technical excellence: 3\+ years building and maintaining production\-grade software, with strong engineering fundamentals and sound judgment
* Full\-stack development skills: Proficiency with REST APIs, web frameworks, relational databases, and modern backend languages; experience with NodeJS / NestJS, Prisma, PostgreSQL, OpenAI / Gemini, and Google Cloud Platform is a plus
* Collaborative spirit: Excellent communicator who thrives working closely with teammates across disciplines
**Posted By:** 
 Joshua Cairns</t>
        </is>
      </c>
    </row>
    <row r="110">
      <c r="A110" t="inlineStr">
        <is>
          <t>li-4370486741</t>
        </is>
      </c>
      <c r="B110" t="inlineStr">
        <is>
          <t>Gen AI Engineer</t>
        </is>
      </c>
      <c r="C110" t="inlineStr">
        <is>
          <t>Jobs via Dice</t>
        </is>
      </c>
      <c r="D110" t="inlineStr">
        <is>
          <t>linkedin</t>
        </is>
      </c>
      <c r="E110">
        <f>HYPERLINK("https://www.linkedin.com/jobs/view/4370486741", "https://www.linkedin.com/jobs/view/4370486741")</f>
        <v/>
      </c>
      <c r="F110" t="inlineStr"/>
      <c r="G110" t="inlineStr">
        <is>
          <t>Plano, TX</t>
        </is>
      </c>
      <c r="H110" t="inlineStr"/>
      <c r="I110" t="inlineStr">
        <is>
          <t>Dice is the leading career destination for tech experts at every stage of their careers. Our client, Vbeyond Corporation, is seeking the following. Apply via Dice today!
**Gen AI Engineer**
**Plano, TX**
**Full\-Time Permanent role**
**We need an immediate joiner and are unable to process the visa transfer at this time for this role**
**Must Have Technical/Functional Skills**
* Gen AI prompt engineering
* Connecting LLMs
* Agentic AI
* Model Context Protocol
* Hands\-on experience
**Roles \&amp; responsibilities:**
* Gen AI prompt engineering
* Connecting LLMs
* Agentic AI
* Model Context Protocol
* Hands\-on experience
**Generic Managerial Skills, If Any**
* No managerial skills required, but the candidate should be able to manage and run production calls in case critical
* Issues with any dependencies/ hand holding.
**Key Words in Resume**
* Gen AI prompt engineering
* Connecting LLMs
* Agentic AI
* Model Context Protocol</t>
        </is>
      </c>
    </row>
    <row r="111">
      <c r="A111" t="inlineStr">
        <is>
          <t>li-4370494559</t>
        </is>
      </c>
      <c r="B111" t="inlineStr">
        <is>
          <t>Looking for Senior AI/ML Engineer  Agentic AI &amp; LLM Orchestration @New York, NY 10001 (Onsite)</t>
        </is>
      </c>
      <c r="C111" t="inlineStr">
        <is>
          <t>Jobs via Dice</t>
        </is>
      </c>
      <c r="D111" t="inlineStr">
        <is>
          <t>linkedin</t>
        </is>
      </c>
      <c r="E111">
        <f>HYPERLINK("https://www.linkedin.com/jobs/view/4370494559", "https://www.linkedin.com/jobs/view/4370494559")</f>
        <v/>
      </c>
      <c r="F111" t="inlineStr"/>
      <c r="G111" t="inlineStr">
        <is>
          <t>New York, NY</t>
        </is>
      </c>
      <c r="H111" t="inlineStr"/>
      <c r="I111" t="inlineStr">
        <is>
          <t>Dice is the leading career destination for tech experts at every stage of their careers. Our client, Savvients Inc, is seeking the following. Apply via Dice today!
 Job Title Consultant \| CRM \| SFDC Force.com
 Work Location \&amp; Reporting Address New York, NY 10001
 Vendor Rate $90\.00/Hr.
 Contract duration 12
 Target Start Date 05 Feb 2026
 Job Details:
 Must Have Skills
 agentic AI systems
 LLM orchestration
 Data Science Pipelines
**Detailed Job Description**
 We are seeking a Senior AIML Engineer with deep expertise in agentic AI systems, LLM orchestration, and end to end model development.
 The ideal candidate will own the design and deployment of LLM powered agents, develop ML pipelines for segmentation NBA, and build retrieval augmented intelligence using Elasticsearch.
 This role requires hands on experience with Amazon Bedrock, SageMaker, TensorFlow PyTorch, and the ability to create high quality prompts, agent policies, tool schemas, and evaluation
**Minimum Years Of Experience**
 8\-10 years
 Certifications Needed :No
 Top 3 responsibilities you would expect the Subcon to shoulder and execute
 agentic
 orchestration
 Data Science Pipelines
 Interview Process (Is face to face required?) Yes, Project Code :Country Intelligence</t>
        </is>
      </c>
    </row>
    <row r="112">
      <c r="A112" t="inlineStr">
        <is>
          <t>li-4370603279</t>
        </is>
      </c>
      <c r="B112" t="inlineStr">
        <is>
          <t>Urgent Need: AI/ML Engineer - Malvern, PA OR Charlotte, NC (Hybrid)</t>
        </is>
      </c>
      <c r="C112" t="inlineStr">
        <is>
          <t>Jobs via Dice</t>
        </is>
      </c>
      <c r="D112" t="inlineStr">
        <is>
          <t>linkedin</t>
        </is>
      </c>
      <c r="E112">
        <f>HYPERLINK("https://www.linkedin.com/jobs/view/4370603279", "https://www.linkedin.com/jobs/view/4370603279")</f>
        <v/>
      </c>
      <c r="F112">
        <f>HYPERLINK("https://click.appcast.io/t/Mxcc7YzstvcFmuDrhbRE4qKLCLfatciliWLYGSNq5UQ=&amp;urlHash=8ZKv", "https://click.appcast.io/t/Mxcc7YzstvcFmuDrhbRE4qKLCLfatciliWLYGSNq5UQ=&amp;urlHash=8ZKv")</f>
        <v/>
      </c>
      <c r="G112" t="inlineStr">
        <is>
          <t>Malvern, PA</t>
        </is>
      </c>
      <c r="H112" t="inlineStr"/>
      <c r="I112" t="inlineStr">
        <is>
          <t>Dice is the leading career destination for tech experts at every stage of their careers. Our client, Drevol LLC, is seeking the following. Apply via Dice today!
 Hi,
 Hope you are doing well.
 This is Tahir from Drevol LLC. Please find below the job description for your reference and please let me know if you are interested in this position.
**Job Title: AI/ML Engineer**
**Location: Malvern, PA OR Charlotte, NC (Hybrid)**
**Duration: 12 Months**
**Responsibilities**
 Platform Development: Contribute to the development of our AI platform, ensuring scalability, reliability, and efficiency. Support some full stack applications to help manage our AI platform.
 Communicate with your scrum team, vendors, and clients so they understand the project's technical implications, dependencies, and potential conflicts.
 Evaluate the impacts of change requests on own/shared technologies and effectively persuades and influences others on ideas.
 Deploy cloud platforms to support and meet business needs. Identifies, recommends, and implements opportunities for improvement and performance issue solutions.
**Qualifications**
 Minimum of 7\-8\+ years related technical working experience.
 Undergraduate degree in a related field or the equivalent combination of training and experience.
 Robust experience with Terraform
 Robust experience with AWS CloudFormation, Lambda, Step functions, IAM, DynamoDB, and S3
 Robust experience and understanding of Python
 Bonus – familiarity with Google Cloud Platform
 Knowledge around AI Concepts such as: RAG, knowledge base, and agents</t>
        </is>
      </c>
    </row>
    <row r="113">
      <c r="A113" t="inlineStr">
        <is>
          <t>li-4370489617</t>
        </is>
      </c>
      <c r="B113" t="inlineStr">
        <is>
          <t>Lead AI Engineer at Remote</t>
        </is>
      </c>
      <c r="C113" t="inlineStr">
        <is>
          <t>Jobs via Dice</t>
        </is>
      </c>
      <c r="D113" t="inlineStr">
        <is>
          <t>linkedin</t>
        </is>
      </c>
      <c r="E113">
        <f>HYPERLINK("https://www.linkedin.com/jobs/view/4370489617", "https://www.linkedin.com/jobs/view/4370489617")</f>
        <v/>
      </c>
      <c r="F113" t="inlineStr"/>
      <c r="G113" t="inlineStr"/>
      <c r="H113" t="inlineStr"/>
      <c r="I113" t="inlineStr">
        <is>
          <t>Dice is the leading career destination for tech experts at every stage of their careers. Our client, Gtech LLC, is seeking the following. Apply via Dice today!
**Role: Lead AI Engineer**
**Location: Remote**
**Duration: 12\+ Months**
**Interview Mode: Video**
 Lead AI Engineer who has experience with architecture and design, working w/ multiple engineering teams to design solutions to develop frameworks across a portfolio.
**Position Overview:**
 We are seeking a highly skilled and experienced Senior Lead AI Developer to join our dynamic team. The ideal candidate will be an expert in AI technologies, with a strong background in full stack Python development, GenAI application design, and document processing pipelines. You will lead and manage development tasks, coordinate with cross\-functional teams, and drive the successful delivery of cutting\-edge AI solutions in a production environment.
**Key Responsibilities:**
* Lead the design, development, and testing of full stack (frontend, backend, API) Python applications.
* Design and implement GenAI applications using Retrieval\-Augmented Generation (RAG) in production settings.
* Build and optimize document ingestion pipelines and document processing workflows utilizing vector databases (e.g., MongoDB Atlas).
* Manage and coordinate development tasks, collaborating with internal and external teams to ensure project success.
* Oversee the full software development lifecycle, delivering high\-quality solutions with minimal supervision.
* Design and develop AI/ML models for data analytics, prediction, and forecasting.
* Deploy and maintain AI applications on cloud platforms such as Azure and Google Cloud Platform (Google Cloud Platform).
* Integrate and leverage AgenticAI and MCP technologies in AI solutions.
* Communicate effectively with technical and non\-technical stakeholders, providing clear updates and documentation.
**Required Qualifications:**
* Proven expertise in AI technologies and frameworks.
* Extensive experience in full stack Python development (frontend, backend, API).
* Demonstrated success in designing and deploying GenAI applications using RAG architecture in production and hands\-on experience building document ingestion pipelines with vector databases (MongoDB Atlas preferred).
* Strong leadership skills with experience managing development tasks and coordinating teams.
* Excellent verbal and written communication skills.
* Ability to lead projects independently with minimal supervision.
* Solid background in data analytics, prediction, and forecasting using AI/ML models.
* Experience deploying AI applications to cloud platforms (Azure, Google Cloud Platform).
* Familiarity with AgenticAI and MCP technologies.</t>
        </is>
      </c>
    </row>
    <row r="114">
      <c r="A114" t="inlineStr">
        <is>
          <t>li-4370605171</t>
        </is>
      </c>
      <c r="B114" t="inlineStr">
        <is>
          <t>Sr. Data Scientist/AI ML Engineer - Onsite</t>
        </is>
      </c>
      <c r="C114" t="inlineStr">
        <is>
          <t>Jobs via Dice</t>
        </is>
      </c>
      <c r="D114" t="inlineStr">
        <is>
          <t>linkedin</t>
        </is>
      </c>
      <c r="E114">
        <f>HYPERLINK("https://www.linkedin.com/jobs/view/4370605171", "https://www.linkedin.com/jobs/view/4370605171")</f>
        <v/>
      </c>
      <c r="F114">
        <f>HYPERLINK("https://click.appcast.io/t/mck62OqxYVvP2esTiUQMhc3L3FMWSr02GuTdiG_-R-Y=&amp;urlHash=F3m6", "https://click.appcast.io/t/mck62OqxYVvP2esTiUQMhc3L3FMWSr02GuTdiG_-R-Y=&amp;urlHash=F3m6")</f>
        <v/>
      </c>
      <c r="G114" t="inlineStr">
        <is>
          <t>Walnut Creek, CA</t>
        </is>
      </c>
      <c r="H114" t="inlineStr"/>
      <c r="I114" t="inlineStr">
        <is>
          <t>Dice is the leading career destination for tech experts at every stage of their careers. Our client, Acunor Infotech, is seeking the following. Apply via Dice today!
**Job Title Senior Data \+ AI/ML Engineer**
**Location:** 
 Walnut Creek, CA (Hybrid 2/3 days per week onsite) Candidates MUST be local to Bay area.
**Duration:** 
 6\+ Months
**Job Description:**
* Architected and led end\-to\-end data and AI platforms, spanning data ingestion, processing, model training etc.
* Strong experience with Python and ML frameworks such as TensorFlow, PyTorch, scikit\-learn etc.
* Solid understanding of supervised and unsupervised learning including classification, clustering, and predictive modeling techniques.
* Expert level experience with AWS, including designing, deploying and managing production grade AI/ML solutions using service such as S3 ,EC2,EKS/ECS, Lambda, RDS, IAM etc.
* Proven experience working designing and building large scale, complex datasets including data transformation, normalization and data quality management etc.
* Hands on experience deploying and operating ML workloads in AWS GovCloud with strong knowledge of security, compliance, and government cloud constraints.
* Strong experience designing and implementing Retrieval\-Augmented Generation (RAG) architectures, including document generation, vector and LLM integration.
* Experience integrating LLMs with structured and unstructured data to generate accurate, explainable and context aware responses.
* Strong understanding of ML Ops and LLM Ops practices, including model / version management, prompt management, evaluation, monitoring and retraining.
* Experience building scalable batch and real time pipelines for data engineering, ML and generative AI workloads.
* Familiarity with data security, privacy and compliance requirements in regulated or public sector environments.
* Excellent communication and collaboration skills with the ability to work independently and drive technical initiatives.</t>
        </is>
      </c>
    </row>
    <row r="115">
      <c r="A115" t="inlineStr">
        <is>
          <t>li-4370485751</t>
        </is>
      </c>
      <c r="B115" t="inlineStr">
        <is>
          <t>AI Engineer / Semantic Modeler</t>
        </is>
      </c>
      <c r="C115" t="inlineStr">
        <is>
          <t>Jobs via Dice</t>
        </is>
      </c>
      <c r="D115" t="inlineStr">
        <is>
          <t>linkedin</t>
        </is>
      </c>
      <c r="E115">
        <f>HYPERLINK("https://www.linkedin.com/jobs/view/4370485751", "https://www.linkedin.com/jobs/view/4370485751")</f>
        <v/>
      </c>
      <c r="F115" t="inlineStr"/>
      <c r="G115" t="inlineStr">
        <is>
          <t>Seattle, WA</t>
        </is>
      </c>
      <c r="H115" t="inlineStr"/>
      <c r="I115" t="inlineStr">
        <is>
          <t>Dice is the leading career destination for tech experts at every stage of their careers. Our client, TekShapers, is seeking the following. Apply via Dice today!
**AI Engineer / Semantic Modeler**
 Seattle, WA / St. Louis, MO / Plano, TX / Dallas, TX / Houston, TX
 Fulltime
 Job Details:
 Must Have Technical/Functional Skills
 We are seeking a skilled AI Data Engineer and/or Semantic Modeler to join our dynamic team. The ideal candidate will be responsible for designing, developing, and maintaining metric store and semantic models that support AI and machine learning initiatives. This role requires a strong understanding of data architecture, data modeling, and AI technologies.
 Technical Skills:
 AI technologies such as dbt metricflow, neo4j knowledge graph, AtScale, AWS Quicksight, AWS Neptune
 Expertise in SQL and Data Modeling and experience with relational databases (e.g., Redshift, RDS, Databricks)
 Roles \&amp; Responsibilities
 Define data model specific to business requirements
 Standardize metrics and KPIs
 Setup metric store tool such as DBT metricflow / DBT Semantic Layer tool
 Map semantic model to data layer
 Design, develop and fine tune models based on business requirements
 Execute Gen AI use cases wherever applicable
 Maintain MLOps for the automation and monitoring of ML pipelines
 Stay updated with the latest trends in AI, data engineering, and semantic technologies
 Must have experience in AI technologies such as dbt metricflow, neo4j knowledge graph, AtScale, AWS Quicksight, AWS Neptune
 "Tekshapers is an equal opportunity employer and will consider all applications without regards to race, sex, age, color, religion, national origin, veteran status, disability, sexual orientation, gender identity, genetic information or any characteristic protected by law."</t>
        </is>
      </c>
    </row>
    <row r="116">
      <c r="A116" t="inlineStr">
        <is>
          <t>li-4370487697</t>
        </is>
      </c>
      <c r="B116" t="inlineStr">
        <is>
          <t>Cyber &amp; AI Engineer</t>
        </is>
      </c>
      <c r="C116" t="inlineStr">
        <is>
          <t>Jobs via Dice</t>
        </is>
      </c>
      <c r="D116" t="inlineStr">
        <is>
          <t>linkedin</t>
        </is>
      </c>
      <c r="E116">
        <f>HYPERLINK("https://www.linkedin.com/jobs/view/4370487697", "https://www.linkedin.com/jobs/view/4370487697")</f>
        <v/>
      </c>
      <c r="F116" t="inlineStr"/>
      <c r="G116" t="inlineStr"/>
      <c r="H116" t="inlineStr"/>
      <c r="I116" t="inlineStr">
        <is>
          <t>Dice is the leading career destination for tech experts at every stage of their careers. Our client, Cloud Destinations LLC, is seeking the following. Apply via Dice today!
 My name is Boopathi, and I m a Senior Technical Recruiter at Cloud Destinations LLC.
 Please see the below job description and let me know if you are interested in this position.
**Role:** 
 Cyber AI Engineer
**Location** 
 :
 **Remote \- must work EST hours**
**Duration: 6\+ Months**
**Responsibilities**
 The Cyber \&amp; AI Engineer is responsible for designing, securing, and operating AI\-enabled systems across the enterprise. This role focuses on embedding security, privacy, and governance directly into AI architectures and production workflows. The engineer partners closely with machine learning, platform, and application teams to proactively identify threats, implement secure\-by\-default controls, and ensure AI systems are resilient against misuse, abuse, and adversarial behavior.
**Location: Remote \- must work EST hours**
**Key Responsibilities**
* Design and implement secure AI system architectures, including LLM\-based and ML\-driven applications.
* Conduct threat modeling for AI and LLM use cases, identifying risks across data, models, APIs, and infrastructure.
* Perform adversarial and abuse testing to uncover prompt injection, data leakage, model misuse, and other AI\-specific threats.
* Embed data privacy and secure\-by\-default controls, including data minimization, access controls, and auditability.
* Design and manage IAM and secrets management for AI services, pipelines, and integrations.
* Secure APIs and system integrations, enforcing authentication, authorization, and rate limiting.
* Implement monitoring, logging, and alerting for AI systems to support detection and response.
* Support incident response and post\-incident analysis for AI and security events.
* Drive vulnerability management across AI platforms, dependencies, and infrastructure.
* Build and maintain security automation to scale detection, enforcement, and remediation.
* Collaborate with ML, platform, and software engineering teams to embed governance and guardrails into production AI workflows.
* Contribute to security standards, architecture documentation, and best practices for AI systems.
**Required Qualifications**
* Strong background in security engineering, cybersecurity, or systems engineering.
* Experience designing and securing production systems, preferably with AI or ML components.
* Hands\-on experience with threat modeling and secure architecture design.
* Knowledge of IAM, secrets management, and API security.
* Experience with monitoring, incident response, and vulnerability management.
* Proficiency in automation or scripting (e.g., Python, Bash, or similar).
* Ability to work cross\-functionally with engineering and ML teams.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2026-02-10T04:25:52Z</dcterms:created>
  <dcterms:modified xsi:type="dcterms:W3CDTF">2026-02-10T04:25:52Z</dcterms:modified>
</cp:coreProperties>
</file>