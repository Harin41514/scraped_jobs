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in-1831810d53a35761</t>
        </is>
      </c>
      <c r="B2" t="inlineStr">
        <is>
          <t>Data Scientist III - Financial Crimes Modeling</t>
        </is>
      </c>
      <c r="C2" t="inlineStr">
        <is>
          <t>TD Bank</t>
        </is>
      </c>
      <c r="D2" t="inlineStr">
        <is>
          <t>indeed</t>
        </is>
      </c>
      <c r="E2" t="inlineStr"/>
      <c r="F2" t="inlineStr"/>
      <c r="G2" t="inlineStr">
        <is>
          <t>New York, NY, US</t>
        </is>
      </c>
      <c r="H2" s="2" t="n">
        <v>46061</v>
      </c>
      <c r="I2" t="inlineStr">
        <is>
          <t>**Work Location:**
New York, New York, United States of America
**Hours:**
40
**Pay Details:**
$96,130 \- $155,950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The Data Scientist III provides technical leadership across the overall Analytics function which may have an enterprise mandate. This role generally provides deep technical knowledge and expertise in client interactions to explain complex data analysis related material.
**Department Overview:**
The US Financial Crime Risk Modeling \&amp; Advanced Analytics team within US Financial Crime department is responsible for developing, maintaining, and enhancing the Enterprise Anti\-Money Laundering / Counter\-Terrorism Financing (AML/CTF) models/AI solutions to comply with regulatory requirements/changes and internal policies, support TD's global AML/CTF strategies, address emerging risks, and be in accordance with best industry practice.
We are seeking a Data Science specialist to join us to innovate, drive, and support initiatives and business as usual operations in multiple functional areas including, but not limited to, customer rating, sanctions screening, transaction monitoring, emerging risk, model performance monitoring, analytics and reporting.
**Depth \&amp; Scope:**
* Generally accountable for a significant business management area that typically has enterprise\-wide impact or accountability
* Enterprise or functional expert, requiring broad managerial and deep specialized knowledge at the enterprise, business, regulatory and industry levels
* Undertakes and completes a variety of complex initiatives requiring seasoned specialist knowledge and/or the integration of cross functional processes
* Position typically deals with senior/executive management
* Works independently on activities related to analysis, design and support of technical data management solutions on various projects ranging in complexity and size
* Focuses on longer\-range planning for functional area (e.g. 12 months or greater)
* May manage and prioritize multiple projects at a given time
**Education \&amp; Experience:**
* Undergraduate degree or advanced technical degree preferred (e.g., math, physics, engineering, finance or computer science) Graduate's degree preferred with either progressive project work experience or
* 5\+ year of relevant experience; higher degree education and research tenure can be counted
**Preferred Skills:**
* In lieu of 5\+ years of relevant experience, we will consider 3\+ years of relevant experience
* Proficient with Python or equivalent programming language and SQL
* Experience in Financial Crimes / Compliance Risk Analytics is a plus
* Experience in optimization / testing / tuning of AML/CTF solutions, particularly transaction monitoring systems
* Experience in machine learning model development, validation, and deployment; experience with LLM\-based solutions a plus
* Familiarity with cloud platforms (Azure) and modern data stack tools a plus
**Customer Accountabilities:**
* Works closely with business owners to identify opportunities and serves as an ambassador for data science
* Is familiar with the business context and data infrastructure and can translate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Collaborates with other partners, such as data and business analysts, software engineers, data engineers, and application developers to develop scalable and sustainable data science solutions that retains long term benefit to the business
**Shareholder Accountabilities:**
* Analytical thought leadership and stays current on developments in data mining and the application of data science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enhances performance
* Adheres to enterprise frameworks or methodologies that relate to activities for business area
* Ensures respective programs/policies/practices are well managed, meet business needs, comply with internal and external requirements, and align with business priorities
* Participates in cross\-functional/enterprise initiatives as a subject matter expert helping to identify risk/provide guidance for complex situations
* Monitors service, productivity and assesses efficiency levels within own function and implements continuous process/performance improvements where opportunities exist
* Leads/facilitates and/or implements action/remediation plans to address performance/risk/governance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**\#LI\_AMCBCorporate**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3">
      <c r="A3" t="inlineStr">
        <is>
          <t>in-c90a64e25bdaf7bf</t>
        </is>
      </c>
      <c r="B3" t="inlineStr">
        <is>
          <t>Lead Data Scientist</t>
        </is>
      </c>
      <c r="C3" t="inlineStr">
        <is>
          <t>Restaurant Brands International</t>
        </is>
      </c>
      <c r="D3" t="inlineStr">
        <is>
          <t>indeed</t>
        </is>
      </c>
      <c r="E3" t="inlineStr"/>
      <c r="F3" t="inlineStr"/>
      <c r="G3" t="inlineStr">
        <is>
          <t>Miami, FL, US</t>
        </is>
      </c>
      <c r="H3" s="2" t="n">
        <v>46061</v>
      </c>
      <c r="I3"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The Lead Data Scientist at RBI is responsible for building and operationalizing the data and machine learning infrastructure that powers enterprise forecasting and AI\-driven insights. This role owns the pipelines, feature layers, and evaluation frameworks required to support scalable forecasting across sales, labor, inventory, and other operational domains, ensuring predictive outputs are accurate, governed, and grounded in source\-of\-truth enterprise data.
In addition, the role supports the development of RBI’s semantic and AI layers by modeling core datasets and enabling safe, performant natural language access to both descriptive and predictive insights. The team member partners closely with AI Engineering, Data Science, Finance, Operations, and Technology teams to deliver trusted, production\-grade ML systems and data products that accelerate decision\-making across the organization.
RBI follows a 5 day, in\-office work schedule to support collaboration. Candidates should be comfortable working onsite 5 days per week out of our office in **Miami, FL**.
Role \&amp; Responsibilities:
**Forecasting \&amp; Machine Learning Engineering**
* Design and operationalize enterprise forecasting pipelines and feature layers supporting sales, labor, inventory, and additional predictive domains.
* Build reusable, abstracted ML components that integrate cleanly with RBI’s data ecosystem without embedding forecasting logic in application code.
* Implement ML engineering best practices for time\-series and predictive workloads, including versioned data pipelines, feature stores, experimentation scaffolding, and automated drift detection.
* Ensure all predictive outputs are governed, explainable, and linked to authoritative data sources with full lineage.
**Data \&amp; Platform Engineering**
* Own the onboarding, transformation, and modeling of enterprise data into Snowflake to support ML, forecasting, and analytics workloads.
* Design high\-performance data models and pipelines optimized for both batch and real\-time consumption.
* Optimize data structures for correctness, scalability, and permissioning across multiple business functions and AI applications.
**Semantic \&amp; AI Layer Enablement**
* Support the buildout of RBI’s semantic and AI layers to unlock natural language access to both descriptive and predictive insights.
* Partner with AI Engineering and Functional Data Engineers to define governed semantic models and ensure consistent metric definitions across the enterprise.
* Enable Cortex and approved AI tools with clean, well\-structured datasets and metadata to improve accuracy and grounding of AI responses.
**Governance, Quality, and Trust**
* Implement enterprise governance policies, RBAC frameworks, and documentation to ensure safe and compliant use of data and predictive outputs.
* Develop evaluation datasets, regression tests, and ML validation frameworks to detect drift and ensure reliable performance over time.
* Collaborate with data stewards and security stakeholders to manage PII, enforce quality expectations, and maintain auditability for forecasting and ML workflows.
**Cross\-Functional Collaboration**
* Work with Finance, Operations, Marketing, Technology, and Product teams to enable forecasting capabilities and integrate predictive insights into planning workflows.
* Translate business requirements into scalable ML\-ready data assets and semantic models.
* Advocate for data and model architecture best practices that accelerate enterprise AI adoption.
Qualifications \&amp; Skills:
* 5\+ years in data engineering or analytics engineering with production experience on Snowflake or equivalent cloud data warehouses.
* Strong SQL expertise and advanced data modeling skills (star/snowflake schemas, semantic modeling, metadata management).
* Proficiency in Python and experience operationalizing ML workloads in production.
* Familiarity with ML frameworks such as PyTorch, TensorFlow, Scikit\-Learn, or MLlib.
* Experience with time\-series forecasting, predictive modeling, or ML feature engineering.
* Experience enabling NLQ or semantic\-layer systems (Cortex or similar) is a plus.
* Experience with ELT tooling (e.g., AWS Glue) and data quality or observability frameworks.
* Strong understanding of governance, PII handling, and audit requirements (e.g., SOX\-adjacent constraints).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4">
      <c r="A4" t="inlineStr">
        <is>
          <t>in-7a5857098d3f9aae</t>
        </is>
      </c>
      <c r="B4" t="inlineStr">
        <is>
          <t>Data Scientist / Data Science Consultant – 1898 &amp; Co.</t>
        </is>
      </c>
      <c r="C4" t="inlineStr">
        <is>
          <t>Burns &amp; McDonnell</t>
        </is>
      </c>
      <c r="D4" t="inlineStr">
        <is>
          <t>indeed</t>
        </is>
      </c>
      <c r="E4" t="inlineStr"/>
      <c r="F4" t="inlineStr"/>
      <c r="G4" t="inlineStr">
        <is>
          <t>Kansas City, MO, US</t>
        </is>
      </c>
      <c r="H4" s="2" t="n">
        <v>46061</v>
      </c>
      <c r="I4" t="inlineStr">
        <is>
          <t>**Description** Description
At 1898 \&amp; Co., we help clients unlock the power of data and analytics to make smarter, faster, and more impactful business decisions. Our Business Intelligence \&amp; Analytics team partners with organizations across the energy, utility, and critical infrastructure sectors to design, develop, and implement data\-driven solutions that solve complex operational and strategic challenges. As part of Burns \&amp; McDonnell, we combine deep industry knowledge with advanced analytics and AI capabilities to deliver measurable results for our clients.
We are seeking a data scientist who can provide consulting solutions that will leverage data and analytics to answer complex questions and influence business strategy. This role involves developing and applying standards of practice around data retrieval, manipulation, reporting, and analytics while executing high\-quality, insightful solutions that drive business value. The ideal candidate is passionate about using data science to solve real\-world problems and thrives in a collaborative, consulting\-focused environment.
What You’ll Do
* Collaborate with engineering, product, and consulting teams to build advanced data analytics and AI solutions.
* Design and develop end\-to\-end data science workflows, including data preprocessing, modeling, evaluation, and deployment.
* Conduct studies using data wrangling, statistical analysis, and machine learning to create solutions that improve performance, identify inefficiencies, or optimize business outcomes.
* Partner with data engineers and IT professionals to ensure seamless integration of data science models and tools within client environments.
* Conduct research into the application of analytics and AI to new problem domains and emerging business needs.
* Apply a pragmatic, business\-focused problem\-solving approach to deliver high\-value, reliable, and scalable solutions.
* Document methodologies, summarize findings, and develop data visualizations to communicate insights clearly to internal stakeholders and clients.
* Stay current on emerging trends in data science, AI, and analytics technologies, and contribute to thought leadership within the organization.
* Provide expert advice and recommendations on data science methodologies, frameworks, and best practices.
* Support proposal development, client presentations, and business development activities as part of a consulting team.
* Mentor and train colleagues on data science tools, modeling techniques, and consulting best practices.
* Ensure compliance with company standards, quality processes, and safety policies.
* Perform other duties as assigned.
Preferred Experience \&amp; Skills
* Experience designing and implementing end\-to\-end data science solutions within enterprise or consulting environments.
* Proficiency with data analytics and processing frameworks such as Spark, Hadoop, or Flink.
* Hands\-on experience with statistical and machine learning techniques across supervised and unsupervised methods.
* Familiarity with commercial analytics tools such as SAS or SPSS and BI tools like ThoughtSpot, Tableau, or Power BI.
* Experience building data visualizations and presenting analytical findings to executive and business audiences.
* Proficiency with Python, SQL, or other programming languages commonly used for data science and analytics.
* Experience working within the electric utility industry or applying analytics to energy, infrastructure, or engineering domains.
* Strong problem\-solving and critical\-thinking skills with the ability to manage ambiguity and competing priorities.
* Ability to communicate technical concepts to non\-technical stakeholders clearly and persuasively.
* Experience collaborating with cross\-functional teams including engineers, IT professionals, and business leaders.
**Qualifications**
* Bachelor Degree in Data Analytics, Computer Science, Information Systems, Statistics, Engineering, Math, or related field and 3 years of related experience Required
* Demonstrated application of analytics processing engines such as Spark, Hadoop, Flink, Storm
* Experience with a commercial analytics tooling such as SAS, SPSS.
* Experience with Business Intelligence tools such as ThoughtSpot, Tableau or Power BI.
* Demonstrated application of data wrangling and supporting tools.
* Demonstrated application of statistical analytics and machine learning. Experience with a variety of machine learning algorithms and an understanding of the application of other algorithms.
* Experience with the domain of problems of an Electric Utility strongly preferred.
* Experience in utility analytics in a technology vendor or utility environment.
* Ability to work with team members and clients to assess needs, provide assistance, and resolve problems.
* Strong problem\-solving and analytical skills.
* Ability to present and explain technical concepts to business audiences.
This job posting will remain open a minimum of 72 hours and on an ongoing basis until filled.
EEO/Disabled/Veterans
**Job** Database
**Primary Location** US\-MO\-Kansas City
**Schedule:** Full\-time
**Travel:** Yes, 50 % of the Time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**Req ID:** 260688
**Job Hire Type** Experienced \#LI\-EH \#E98 N/A</t>
        </is>
      </c>
    </row>
    <row r="5">
      <c r="A5" t="inlineStr">
        <is>
          <t>in-f0ab5c7950a1644f</t>
        </is>
      </c>
      <c r="B5" t="inlineStr">
        <is>
          <t>Environmental Data Scientist</t>
        </is>
      </c>
      <c r="C5" t="inlineStr">
        <is>
          <t>Groundwater &amp; Environmental Services</t>
        </is>
      </c>
      <c r="D5" t="inlineStr">
        <is>
          <t>indeed</t>
        </is>
      </c>
      <c r="E5" t="inlineStr"/>
      <c r="F5" t="inlineStr"/>
      <c r="G5" t="inlineStr">
        <is>
          <t>Blacksburg, VA, US</t>
        </is>
      </c>
      <c r="H5" s="2" t="n">
        <v>46061</v>
      </c>
      <c r="I5" t="inlineStr">
        <is>
          <t>**Groundwater \&amp; Environmental Services, Inc. (GES)**, an industry leader with a reputation for excellence in providing environmental consulting, engineering, compliance, and technical field services to clients in diverse market sectors, seeks an **Environmental** **Data Scientist** based out of our **Blacksburg, VA** office**.** The data scientist holds a crucial position within Environmental Informatics team, contributing to the understanding and management of contaminated environmental projects. This role is responsible for maintaining and administering the environmental analytical databases, ensuring data integrity. Additionally, the successful candidate will utilize advanced modeling techniques to simulate groundwater flow, quality, and potential interactions with surface water. The data scientist collaborates with hydrogeologists, engineers, and other staff to address interdisciplinary project questions. This role is a critical part of a centralized team supporting diverse projects across the US. **Duties and Responsibilities:**  
Database Administration:* Administrate the established environmental database and related tools. Apply and refine protocols and procedures for data entry, validation, and quality assurance. Regularly update and optimize database structures to accommodate evolving business needs.
* Collect, compile, and organize data from various sources, including field measurements, monitoring networks, and remote sensing.
* Perform data processing, transformation, and analysis to derive meaningful information.
* Collaborate with cross\-functional teams to integrate datasets.
* Contribute to the development of innovative approaches for assessment and management of environmental data.
Groundwater Modeling:* Develop, calibrate, and validate groundwater models using software such as MODFLOW, FEFLOW, or equivalent using multiple model interfaces, i.e. Groundwater Vistas, Model Muse, or Visual MODFLOW.
* Conduct scenario analyses to simulate the impacts of various factors on groundwater flow, quantity and quality. Interpret model results and provide actionable insights to project teams.
* Stay abreast of the latest advancements in groundwater modeling techniques, tools, and methodologies.
 **Skills \&amp; Requirements:**  
* Advanced degree (MSc or PhD) in hydrogeology, environmental engineering, geosciences, or a related field.
* Excellent analytical, problem\-solving, and critical\-thinking abilities.
* Proficiency in groundwater modeling software (e.g., MODFLOW, FEFLOW)
* Experience with transforming data through GIS tools (e.g., ArcGIS Pro, QGIS).
* Awareness of asynchronous field collection tools and web map application development is a plus.
* Strong programming skills in languages including Python, MATLAB, or R for data analysis and model development.
* Experience in database design, administration, and SQL programming, specifically EQuIS is a plus.
* Effective communication skills, both verbal and written, for technical and non\-technical audiences.
* Ability to work independently and collaboratively in a multidisciplinary environment.
* Knowledge of statistical methods and uncertainty analysis techniques.
* Prior experience in groundwater research, modeling, or database administration is preferred.
* Coursework or research project applications with artificial intelligence and/or machine learning would be beneficial
 **Our comprehensive benefits include:** Hybrid work model, medical, dental, vision, prescription card, 401k, FSA, LTD, STD, New Parent Leave, 529 CollegeBound Fund, Tuition Assistance, Bonus Plan, and more. **Groundwater \&amp; Environmental Services, Inc. (GES)** believes that diversity and inclusion among our staff is critical to our success, and we seek to recruit, develop and retain the most talented people from a diverse candidate pool. At GES, we are committed to providing an environment of mutual respect where equal employment opportunities are available to all applicants and employees without regard to race, color, religion, gender, pregnancy, national origin, age, disability, marital status, sexual orientation, gender identity or expression, military and veteran status, and any other characteristic protected by law.</t>
        </is>
      </c>
    </row>
    <row r="6">
      <c r="A6" t="inlineStr">
        <is>
          <t>in-056130a84edac28d</t>
        </is>
      </c>
      <c r="B6" t="inlineStr">
        <is>
          <t>Data Scientist IINew</t>
        </is>
      </c>
      <c r="C6" t="inlineStr">
        <is>
          <t>BILL</t>
        </is>
      </c>
      <c r="D6" t="inlineStr">
        <is>
          <t>indeed</t>
        </is>
      </c>
      <c r="E6" t="inlineStr"/>
      <c r="F6" t="inlineStr"/>
      <c r="G6" t="inlineStr">
        <is>
          <t>San Jose, CA, US</t>
        </is>
      </c>
      <c r="H6" s="2" t="n">
        <v>46061</v>
      </c>
      <c r="I6"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 **Our Beliefs:**
* Data reveals hidden truths that enable better investments.
* Our products are stronger when our roadmaps are data\-informed.
* Great data science and analytics thought partners help product teams be more strategic and successful.
#### **The Opportunity:**
We are looking for an experienced Data Scientist to join our team. This role is a strategic and integral part of our company, supporting the core product platform and partnering with others on the team to unlock value through solutions modeling. This role will give you the chance to own an end\-to\-end predictive human\-in\-the\-loop solution directly used by Sales and Product teams.
### **Responsibilities:**
* **Model Development:** Design, develop, and implement predictive models, machine learning algorithms, and statistical analyses to solve complex business problems and extract actionable insights. Think product engagement, card decline, potential to spend, etc.
* **Data Analysis:** Analyze high volume, complex transaction activity to assess patterns and trends for card declines and correlate with other customer outcomes.
* **Cross\-Functional Collaboration:** Communicate findings, trade\-offs, and limitations clearly with internal and external stakeholders (tech and non\-tech) at various levels.
* **Innovation:** Stay updated with the latest developments in data science and machine learning, and apply them to improve existing processes and methodologies. Deploy AI tools that enhance customer insights and engagement, and contribute to improving data confidence and automation in analytics workflows.
* **Opportunity Identification:** Enrich our evolving data stack via contributing to data features/models via AWS Sagemaker/Databrick or other means.
**We’d love to chat if you have:**
* **Advanced Degree or Proven Experience:** Master’s in Data Science, Computer Science, Statistics, Mathematics, or a related field and a minimum of 2 years of experience in a data science role, with a track record of delivering high\-impact projects into production.
* **Technical Expertise:** Strong background in statistical analysis, machine learning techniques, and programming languages such as Python or R in a cloud\-based environment.
* **Problem\-Solving Skills:** Ability to analyze complex business problems and develop data\-driven solutions that actually influence the end\-user’s workflow.
* **Communication Skills:** Excellent communication and presentation skills, with the ability to explain complex technical concepts to both technical and non\-technical audiences.
* **Collaborative Mindset:** Experience working in cross\-functional teams and partnering with other departments to drive business outcomes.
\#LI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$121,700 \- $145,800 USD**What’s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7">
      <c r="A7" t="inlineStr">
        <is>
          <t>in-ee0dd5703da2e534</t>
        </is>
      </c>
      <c r="B7" t="inlineStr">
        <is>
          <t>DATA SCIENTIST</t>
        </is>
      </c>
      <c r="C7" t="inlineStr">
        <is>
          <t>US Defense Information Systems Agency</t>
        </is>
      </c>
      <c r="D7" t="inlineStr">
        <is>
          <t>indeed</t>
        </is>
      </c>
      <c r="E7" t="inlineStr"/>
      <c r="F7" t="inlineStr"/>
      <c r="G7" t="inlineStr">
        <is>
          <t>Scott AFB, IL, US</t>
        </is>
      </c>
      <c r="H7" s="2" t="n">
        <v>46061</v>
      </c>
      <c r="I7" t="inlineStr">
        <is>
          <t>**Summary**
-----------
**This position is being recruited under 10 USC 1599f into the Cyber Excepted Service and does NOT convey eligibility to be converted to the Competitive Service. It has been identified as a position necessary to carry out and support the mission of the US Cyber Command.**  
It is in the Professional Work Category at the Senior Work Level within the CES Occupational Structure. It is located in the DISA OC/DISA GLOBAL.
**This job is open to**
-----------------------
### **The public**
U.S. Citizens, Nationals or those who owe allegiance to the U.S.
### **Clarification from the agency**
All U.S. Citizens.
**Duties**
----------
* Serve as technical advisor on data management and data analytics related to network operations and cyber security of a global communications network.
* Apply professional knowledge of computer science, mathematical, and statistical theories to gather, analyze, design, and construct new processes for modeling, interpreting, and reporting security alert and system log data.
* Identify data sources, develop complex data models to create relationships and correlations between data sources and data points, and create data visualizations and reports that provide insights to stakeholders.
* Incorporate programming language and machine learning to improve data reliability, efficiency, and quality for analysis missions, organizational goals, and future planning.
* Conduct data collection, cleaning and integration for multiple complex data sets, including working with both structured and unstructured data to complete qualitative and quantitative statistical analysis.
**Requirements**
----------------
### **Conditions of employment**
* Must be a U.S. Citizen.
* Males born after 12\-31\-59 must be registered or exempt from Selective Service.
* This national security position, which may require access to classified information, requires a favorable suitability review and security clearance as a condition of employment. Failure to maintain security eligibility may result in termination.
* In accordance with the DoD 8140 policy series, the position is subject to completing Foundational Qualifications in 9 months and completing Residential Qualification requirements overall in 12 months.
* This is a drug testing position.
* This is a mission essential position.
### **Qualifications**
In order to qualify for this position, you must meet the requirements described below.  
**Basic Requirements:**
**Degree: Mathematics, statistics, computer science, data science or field directly related to the position. The degree must be in a major field of study (at least at the baccalaureate level) that is appropriate for the position.**
OR
**Combination of education and experience: Courses equivalent to a major field of study (30 semester hours) as shown in paragraph A above, plus additional education or appropriate experience.**  
**AND**
**Qualifying Experience:**  
To qualify at the GG\-13, your resume must describe at least one year of experience that demonstrates the competencies necessary for immediate success in the position. Experience refers to any paid or unpaid experience, including volunteer work and Military service, that would be considered equivalent to work normally performed at the next lower grade level in the federal service. For this position, qualifying experience is defined as: **Experience performing exploratory analysis and critical thinking on new and archival data sources collected from network devices to solve complex problems. Experience preparing and disseminating analytical reports, dashboards, and visualizations to support data\-driven decision making by senior leadership.**  
**Volunteer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to paid employment. You will receive credit for all qualifying experience, including volunteer experience.  
Candidates must describe how they meet the qualifying experience and/or selective placement factor(s) within the body of their resume. All qualifications must be met within 30 days after the closing date of this announcement.
### **Education**
**There is no substitution of education for the** **qualifying experienceat the GG\-13 grade level.**
### **Additional information**
* This is an Excepted Service position and does not confer eligibility to be converted to the Competitive Service. **It is being recruited under 10 U.S.C. 1599f into the Cyber Excepted Service (CES) personnel system.**
* *If you are a current Federal Career/Career\-Conditional employee, you will be placed on an Excepted appointment* *under 10 U.S.C. 1599f.*
* Telework availability will be based upon the mission requirements and supervisory determination.
* This is a mission essential position. The nature of the position's duties and the organization's operational mission requires the incumbent to physically report to their duty station in certain situations where non\-essential employees are excused, such as during national emergencies, extreme weather situations, mission critical systems outages, and/or other scenarios as deemed appropriate at the highest levels of the organization's chain of command
* Subject to pre\-employment and random drug testing.
* This position requires the incumbent to travel away from their normal duty station to other locations within the continental United States (CONUS) and/or other locations outside the continental United States (OCONUS) up to 10 percent of the time.
* In accordance with DoD 8140 policy series, the position is subjected to completing Foundational Qualifications in 9 months and completing Residential Qualification requirements in 12 months and any future Cybersecurity Workforce qualification/credentialing requirements as defined by the DoD 8140 policy series for the position's required CYBER Work Role(s)
* A three year trial period may be required if you have not previously completed a trial or probationary period in the excepted or competitive service.
* Individuals tentatively selected for drug testing designated positions at the Defense Information Systems Agency will be required to submit to urinalysis for illegal drugs prior to appointment or placement.
* We may use this announcement to fill additional vacancies within 90 days of the closing date.
* Moving costs MAY be paid.
* Recruitment, relocation, or retention incentives MAY be authorized.
* For more information on veterans' preference click here.
* The Department of Defense (DoD) policy on employment of annuitants issued March 18, 2004 will be used in determining eligibility of annuitants.
* ***This position is NOT subject to the limitations imposed by the DOD Priority Placement Program per Secretary of Defense Memorandum dated 09 MAR 2018\.***
* For more information on the Cyber Excepted Service Personnel System, click here.
* All applicants are encouraged to apply electronically. If you are unable to apply on\-line, you may contact 317\-212\-0454 for assistance.
* If selected, the authorized rate of pay may exceed the stated maximum salary rate range under certain circumstances.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application process is complete, a review of your resume and supporting documentation will be made and compared against your responses to the applicant questionnaire to determine if you are qualified for this job. If, after reviewing your resume and or supporting documentation, a determination is made that you have inflated your qualifications and or experience, you may lose consideration for this position. Please follow all instructions carefully. Errors or omissions may affect your rating.  
COMPETENCIES:  
TECHNICAL PROFICIENCY  
SELF MANAGEMENT  
You can preview the Questionnaire here:https://apply.usastaffing.gov/ViewQuestionnaire/12871879  
Criminal History Inquiries\- If you apply to this position and are selected, we will not ask about your criminal history before you receive a conditional job offer. If you believe you were asked about your criminal history improperly, contact the agency @ dfas.indianapolis\-in.zh.mbx.ssc\-cc@mail.mil
**Required Documents**
----------------------
FOR THIS JOB ANNOUNCEMENT THE FOLLOWING SUPPORTING DOCUMENTS ARE REQUIRED AS THEY APPLY STATED BELOW AND MUST BE RECEIVED BY THE CLOSE OF THE ANNOUNCEMENT. NOT ALL DOCUMENTS WILL APPLY TO EVERYONE.  
* **Resume:** A two\-page maximum resume is required. Applicant guidance on the two page resume requirement may be found at https://www.opm.gov/policy\-data\-oversight/hiring\-information/merit\-hiring\-plan\-resources/applicant\-guidance\-on\-the\-two\-page\-resume\-limit/ Learn more about the new resume requirements
* Complete initial Eligibility Questionnaire: Your resume must demonstrate the quality of your work as it relates to the experience requirements outlined in the job announcement.
* **Transcripts** (if applicable) If you are substituting education for specialized experience you must submit all of your transcripts. The absence of this information will result in an ineligible rating.
* **SF\-50** \- Current and former federal employees, including those currently working for the agency, must submit their SF\-50 (Notification of Personnel Action) reflecting their highest grade held on a permanent basis for at least 52 weeks, tenure, and appointment type. Failure to provide this document may result in disqualification.
* **Veterans Preference Documentation (if applicable)**: Candidates claiming Veterans Preference must submit a DD\-214 (Member Copy 4\), or, if you are CURRENTLY serving on active duty, a statement of service from your unit which states the date you entered on active duty, the date you are separating, and the campaign medals you have received. For those supplying the statement of service, preference will be verified by a DD\-214 (Member Copy 4\) upon separation from the military. Veterans with a service\-connected disability must also submit a VA letter dated 1991 or later. DoD Components with CES positions apply Veterans' Preference to preference eligible candidates, as defined by Section 2108 of the Title 5 U.S.C. in accordance with the procedures provided in DoD Instruction 1400\.25, Volume 3005, "CES Employment and Placement."
* **Military Spouse Preference (MSP) Eligible:** Military Spouse Preference applicants, must be selected and placed at the highest grade level for which they have applied and been determined best qualified up to and including the full performance level. You must include a completed copy of the Military Spouse PPP Self\-Certification Checklist dated within 30 days along with the documents identified on the checklist to verify your eligibility for Military Spouse Preference. To download the checklist, select "Save" or "Save As" instead of "Open." https://www.esd.whs.mil/Directives/forms/dd3000\_3499/DD3145\-4/
* **Military Reserve (MR) and National Guard (NG) Technicians PPP Eligible:** MR and NG technicians PPP applicants must be selected and placed at the full performance level if determined well qualified. You must include a completed copy of the Military Reserve and National Guard Technician PPP Self\-Certification Checklist to verify your eligibility for Military Reserve and National Guard Technician preference. Click here to obtain a copy of the Military Reserve and National Guard Technician PPP Self\-Certification Checklist.
* **Military Reserve (MR) and National Guard (NG) Technicians Receiving Disability Retirement PPP Eligible:** MR and NG technicians receiving disability retirement PPP applicants must be selected and placed at the full performance level if determined well qualified. You must include a completed copy of the Military Reserve and National Guard Technician Disability PPP Self\-Certification Checklist to verify your eligibility for Military Reserve and National Guard Technician Disability preference. Click here to obtain a copy of the Military Reserve and National Guard Technician Disability PPP Self\-Certification Checklist.
* **Retained Grade PPP Eligible:** Retained Grade PPP applicants, must be selected and placed at the full performance level if determined well qualified. You must include a completed copy of the Retained Grade PPP Self\-Certification Checklist to verify your eligibility for Retained Grade preference. Click here to obtain a copy of the Retained Grade PPP Self\-Certification Checklist.
Your complete Application Package (containing the above required documents) must be received no later than 11:59 pm Eastern Time on 02/19/2026\.WARNING: Failure to submit a complete application package including any required documentation by 11:59 PM (EST) on 02/19/2026, or at the time of application for announcements with an extended closing date, may result in an ineligible rating and loss of consideration. To verify that your application is complete, log into your USAJOBS account, select Application Status and More Information. The Details page will display the status of your application. It is the applicant's responsibility to verify that information entered, uploaded is received, legible and accurate. HR will not modify answers submitted by an applicant.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apply for this position, you must provide a complete Application Package. See required documents below.
* Your Resume
* Your resume MUST include the following information for each job listed: Job title; duties (be as detailed as possible); month \&amp; year start/end dates (e.g. June 2007 to April 2008\); and full\- time or part\-time status (include hours worked per week). Read more about what should I include in my federal resume at USAJOBS.
* DO NOT include the following information: Classified or government sensitive information; Social Security Number; Photos of yourself; Personal information, such as age, sex, religious affiliation, etc.; or encrypted and digitally signed documents. Read more about what should I leave out of my resume? at USAJOBS
* A complete Assessment Questionnaire (if applicable)
* Other required supporting documents: (SEE THE SECTION OF THIS ANNOUNCEMENT ENTITLED "REQUIRED DOCUMENTS" FOR MORE INFORMATION ON WHAT SUPPORTING DOCUMENTS MAY BE NEEDED)
Click 'Apply Online' to create an account or log in to your existing USAJOBS account.
* Follow the prompts to complete the assessment questionnaire and upload required documents.
* Please ensure you click the Submit My Answers button to submit your application.
* Check application status by logging into your USAJOBS account, clicking Application Status, then More Information for this position. Return to an incomplete application by logging into your USAJOBS account and clicking Update Application in the vacancy announcement. You must re\-select your resume and other documents from your USAJOBS account or your application will be incomplete.
### **Agency contact information**
HR Customer Care Center
Phone
(317\) 212\-0454
Email
dfas.indianapolis\-in.zh.mbx.dfasmeritcc@mail.mil
Address
*DISA \- OC*  
*6910 Cooper Road*  
*Fort Meade, MD 20755\-7088*  
*US*### **Next steps**
Once the complete application package is received you will receive an acknowledgement email that your submission was successful. The content of your application package will be used to assess your qualifications for the job, and to determine whether you will be referred to the hiring manager for further consideration and possible interviews. We will notify you of the outcome after each of these steps has been completed. After making a tentative job offer, we will conduct a suitability/security background investigation.  
(317\) 212\-0454  
dfas.indianapolis\-in.zh.mbx.dfasmeritcc@mail.mil
**Overview**
------------
Accepting applications
Open \&amp; closing dates
02/09/2026 to 02/19/2026
Salary
$109,137 to \- $141,880 per year
Pay scale \&amp; grade
GG 13
Location
1 vacancy in the following location:
Scott AFB, IL
Remote job
No
Telework eligible
Yes—as determined by the agency policy.
Travel Required
Occasional travel \- You may be expected to travel for this position.
Relocation expenses reimbursed
Yes—You may qualify for reimbursement of relocation expenses in accordance with agency policy.
Appointment type
Permanent
Work schedule
Full\-time
Service
Excepted
Promotion potential
None
Job family (Series)
* 1560 Data Science Series
Supervisory status
No
Security clearance
Sensitive Compartmented Information
Drug test
Yes
Position sensitivity and risk
Special\-Sensitive (SS)/High Risk
Trust determination process
* National security
Financial disclosure
No
Bargaining unit status
No
Announcement number
CES\-12871879\-26\-BLL
Control number
856718600</t>
        </is>
      </c>
    </row>
    <row r="8">
      <c r="A8" t="inlineStr">
        <is>
          <t>in-ae576f56c7aa08b9</t>
        </is>
      </c>
      <c r="B8" t="inlineStr">
        <is>
          <t>Applied Scientist, Safety ML</t>
        </is>
      </c>
      <c r="C8" t="inlineStr">
        <is>
          <t>Amazon.com</t>
        </is>
      </c>
      <c r="D8" t="inlineStr">
        <is>
          <t>indeed</t>
        </is>
      </c>
      <c r="E8" t="inlineStr"/>
      <c r="F8" t="inlineStr"/>
      <c r="G8" t="inlineStr">
        <is>
          <t>San Francisco, CA, US</t>
        </is>
      </c>
      <c r="H8" s="2" t="n">
        <v>46037</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9">
      <c r="A9" t="inlineStr">
        <is>
          <t>in-f7e5c7155cfa7ac1</t>
        </is>
      </c>
      <c r="B9" t="inlineStr">
        <is>
          <t>Applied Scientist, Safety ML</t>
        </is>
      </c>
      <c r="C9" t="inlineStr">
        <is>
          <t>Amazon.com</t>
        </is>
      </c>
      <c r="D9" t="inlineStr">
        <is>
          <t>indeed</t>
        </is>
      </c>
      <c r="E9" t="inlineStr"/>
      <c r="F9" t="inlineStr"/>
      <c r="G9" t="inlineStr">
        <is>
          <t>Seattle, WA, US</t>
        </is>
      </c>
      <c r="H9" s="2" t="n">
        <v>46037</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0">
      <c r="A10" t="inlineStr">
        <is>
          <t>in-83e2ba7864f3759b</t>
        </is>
      </c>
      <c r="B10" t="inlineStr">
        <is>
          <t>Data Scientist</t>
        </is>
      </c>
      <c r="C10" t="inlineStr">
        <is>
          <t>Insight</t>
        </is>
      </c>
      <c r="D10" t="inlineStr">
        <is>
          <t>indeed</t>
        </is>
      </c>
      <c r="E10" t="inlineStr"/>
      <c r="F10" t="inlineStr"/>
      <c r="G10" t="inlineStr">
        <is>
          <t>Chandler, AZ, US</t>
        </is>
      </c>
      <c r="H10" s="2" t="n">
        <v>46035</v>
      </c>
      <c r="I10" t="inlineStr">
        <is>
          <t>**Requisition Number: 103517**
**Data Scientist**
 **Location:** This is Hybrid in the following locations:
Chandler, AZ, Austin, TX, Chicago, IL, \&amp; Charlotte, NC
 **Insight at a Glance**
* 14,000\+ engaged teammates globally
* \#20 on Fortune’s World's Best Workplaces™ list
* $9\.2 billion in revenue
* Received 35\+ industry and partner awards in the past year
* $1\.4M\+ total charitable contributions in 2023 by Insight globally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organisations through complex digital decisions.
**About the role**
Insight Enterprise is seeking a skilled and pragmatic Data Scientist to join our Agent Builder Factory, a suite of agile pods dedicated to driving AI transformation across our lines of business. You will be a key player in the entire model lifecycle, from exploring raw business data to deploying production\-ready AI agents. If you're passionate about leveraging machine learning to solve real\-world business problems and thrive in an agile, fast\-paced environment, this role is for you.
As a Data Scientist you will:
* Develop and tune a range of machine learning models, including regression, classification, and time\-series forecasting.
* Apply your expertise to solve critical business problems, such as predicting inventory needs and scoring the likelihood of an opportunity closing.
* Perform in\-depth exploratory data analysis using PySpark and SQL to uncover key insights and understand complex business data.
* Create powerful, predictive features from diverse raw data sources (e.g., sales history, client activity) to enhance model accuracy and performance.
* Utilize the Databricks Feature Store to manage and share model features, ensuring consistency and reusability across projects.
**What we’re looking for**
* Experience: Proven experience as a Data Scientist with a portfolio of completed projects.
* Technical Skills:
* Python: Expert proficiency with core data science libraries such as Pandas for data manipulation and scikit\-learn for machine learning models.
* Data \&amp; Analytics: Strong skills in SQL and PySpark for data exploration and feature engineering.
* MLOps: Direct, hands\-on experience with the Databricks platform, specifically Databricks Feature Store, Databricks Jobs \&amp; Workflows, and MLflow.
* Problem\-Solving: Strong analytical and problem\-solving skills with the ability to translate ambiguous business problems into well\-defined data science solutions.
* Communication: Excellent verbal and written communication skills with the ability to present complex technical findings to diverse audiences.
* Education: Bachelor's or Master's degree in a quantitative field such as Computer Science, Statistics, Mathematics, or a related discipline
**What you can expect**  
We’re legendary for taking care of you, your family and to help you engage with your local community. We want you to enjoy a full, meaningful life and own your career at Insight. Some of our benefits include:
* Freedom to work from another location—even an international destination—for up to 30 consecutive calendar days per year.
But what really sets us apart are our core values of Hunger, Heart, and Harmony, which guide everything we do, from building relationships with teammates, partners, and clients to making a positive impact in our communities.
**Join us today, your ambITious journey starts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*When you apply, please tell us the pronouns you use and any reasonable adjustments you may need during the interview process.*  
*At Insight, we celebrate diversity of skills and experience so even if you don’t feel like your skills are a perfect match \- we still want to hear from you!*
 *Insight does not accept unsolicited resumes from recruiters or employment agencies. Unsolicited resumes will be treated as direct applications from the candidate, and recruiters or agencies who submit candidates for this position without a prior, written vendor agreement will not be eligible for any form of compensation, even if the candidate is hired.*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 Arizona (US\-AZ) \|\| United States (US) \|\| IT Infrastructure \&amp; Support \|\| None \|\| US \- Chandler,AZ \|\|</t>
        </is>
      </c>
    </row>
    <row r="11">
      <c r="A11" t="inlineStr">
        <is>
          <t>in-d649e3f33e4b7e4e</t>
        </is>
      </c>
      <c r="B11" t="inlineStr">
        <is>
          <t>Applied Scientist, LLM Code Agents, Kiro Science</t>
        </is>
      </c>
      <c r="C11" t="inlineStr">
        <is>
          <t>Amazon.com</t>
        </is>
      </c>
      <c r="D11" t="inlineStr">
        <is>
          <t>indeed</t>
        </is>
      </c>
      <c r="E11" t="inlineStr"/>
      <c r="F11" t="inlineStr"/>
      <c r="G11" t="inlineStr">
        <is>
          <t>Santa Clara, CA, US</t>
        </is>
      </c>
      <c r="H11" s="2" t="n">
        <v>46035</v>
      </c>
      <c r="I1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2">
      <c r="A12" t="inlineStr">
        <is>
          <t>in-ebb87df3560ff622</t>
        </is>
      </c>
      <c r="B12" t="inlineStr">
        <is>
          <t>Applied Scientist, LLM Code Agents, Kiro Science</t>
        </is>
      </c>
      <c r="C12" t="inlineStr">
        <is>
          <t>Amazon.com</t>
        </is>
      </c>
      <c r="D12" t="inlineStr">
        <is>
          <t>indeed</t>
        </is>
      </c>
      <c r="E12" t="inlineStr"/>
      <c r="F12" t="inlineStr"/>
      <c r="G12" t="inlineStr">
        <is>
          <t>Seattle, WA, US</t>
        </is>
      </c>
      <c r="H12" s="2" t="n">
        <v>46035</v>
      </c>
      <c r="I1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3">
      <c r="A13" t="inlineStr">
        <is>
          <t>in-cf866af53da0cb0d</t>
        </is>
      </c>
      <c r="B13" t="inlineStr">
        <is>
          <t>Senior Data Scientist, Amazon Stores Finance Science, Amazon Stores Finance Science</t>
        </is>
      </c>
      <c r="C13" t="inlineStr">
        <is>
          <t>Amazon.com</t>
        </is>
      </c>
      <c r="D13" t="inlineStr">
        <is>
          <t>indeed</t>
        </is>
      </c>
      <c r="E13" t="inlineStr"/>
      <c r="F13" t="inlineStr"/>
      <c r="G13" t="inlineStr">
        <is>
          <t>Bellevue, WA, US</t>
        </is>
      </c>
      <c r="H13" s="2" t="n">
        <v>46034</v>
      </c>
      <c r="I13"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
      <c r="A14" t="inlineStr">
        <is>
          <t>in-e00a738821470df3</t>
        </is>
      </c>
      <c r="B14" t="inlineStr">
        <is>
          <t>Senior Data Scientist, Amazon Stores Finance Science, Amazon Stores Finance Science</t>
        </is>
      </c>
      <c r="C14" t="inlineStr">
        <is>
          <t>Amazon.com</t>
        </is>
      </c>
      <c r="D14" t="inlineStr">
        <is>
          <t>indeed</t>
        </is>
      </c>
      <c r="E14" t="inlineStr"/>
      <c r="F14" t="inlineStr"/>
      <c r="G14" t="inlineStr">
        <is>
          <t>Seattle, WA, US</t>
        </is>
      </c>
      <c r="H14" s="2" t="n">
        <v>46034</v>
      </c>
      <c r="I14"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5">
      <c r="A15" t="inlineStr">
        <is>
          <t>in-cc0ff6f0478c89d8</t>
        </is>
      </c>
      <c r="B15" t="inlineStr">
        <is>
          <t>Senior Data Scientist, Amazon Stores Finance Science, Amazon Stores Finance Science</t>
        </is>
      </c>
      <c r="C15" t="inlineStr">
        <is>
          <t>Amazon.com</t>
        </is>
      </c>
      <c r="D15" t="inlineStr">
        <is>
          <t>indeed</t>
        </is>
      </c>
      <c r="E15" t="inlineStr"/>
      <c r="F15" t="inlineStr"/>
      <c r="G15" t="inlineStr">
        <is>
          <t>Sunnyvale, CA, US</t>
        </is>
      </c>
      <c r="H15" s="2" t="n">
        <v>46034</v>
      </c>
      <c r="I15"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6">
      <c r="A16" t="inlineStr">
        <is>
          <t>in-1f907de8b9f4c8c0</t>
        </is>
      </c>
      <c r="B16" t="inlineStr">
        <is>
          <t>Applied Scientist, Last Mile Delivery Automation</t>
        </is>
      </c>
      <c r="C16" t="inlineStr">
        <is>
          <t>Amazon.com</t>
        </is>
      </c>
      <c r="D16" t="inlineStr">
        <is>
          <t>indeed</t>
        </is>
      </c>
      <c r="E16" t="inlineStr"/>
      <c r="F16" t="inlineStr"/>
      <c r="G16" t="inlineStr">
        <is>
          <t>Santa Clara, CA, US</t>
        </is>
      </c>
      <c r="H16" s="2" t="n">
        <v>46026</v>
      </c>
      <c r="I1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in-6bcb50c8d9e09130</t>
        </is>
      </c>
      <c r="B17" t="inlineStr">
        <is>
          <t>Applied Scientist, Last Mile Delivery Automation</t>
        </is>
      </c>
      <c r="C17" t="inlineStr">
        <is>
          <t>Amazon.com</t>
        </is>
      </c>
      <c r="D17" t="inlineStr">
        <is>
          <t>indeed</t>
        </is>
      </c>
      <c r="E17" t="inlineStr"/>
      <c r="F17" t="inlineStr"/>
      <c r="G17" t="inlineStr">
        <is>
          <t>Bellevue, WA, US</t>
        </is>
      </c>
      <c r="H17" s="2" t="n">
        <v>46026</v>
      </c>
      <c r="I1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in-48f3a6b7832c8c88</t>
        </is>
      </c>
      <c r="B18" t="inlineStr">
        <is>
          <t>Senior Applied Scientist, Distributed SQL</t>
        </is>
      </c>
      <c r="C18" t="inlineStr">
        <is>
          <t>Amazon Web Services</t>
        </is>
      </c>
      <c r="D18" t="inlineStr">
        <is>
          <t>indeed</t>
        </is>
      </c>
      <c r="E18" t="inlineStr"/>
      <c r="F18" t="inlineStr"/>
      <c r="G18" t="inlineStr">
        <is>
          <t>East Palo Alto, CA, US</t>
        </is>
      </c>
      <c r="H18" s="2" t="n">
        <v>46012</v>
      </c>
      <c r="I1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9">
      <c r="A19" t="inlineStr">
        <is>
          <t>in-f8a4cd75ed57ef6d</t>
        </is>
      </c>
      <c r="B19" t="inlineStr">
        <is>
          <t>Senior Applied Scientist, Distributed SQL</t>
        </is>
      </c>
      <c r="C19" t="inlineStr">
        <is>
          <t>Amazon Web Services</t>
        </is>
      </c>
      <c r="D19" t="inlineStr">
        <is>
          <t>indeed</t>
        </is>
      </c>
      <c r="E19" t="inlineStr"/>
      <c r="F19" t="inlineStr"/>
      <c r="G19" t="inlineStr">
        <is>
          <t>Seattle, WA, US</t>
        </is>
      </c>
      <c r="H19" s="2" t="n">
        <v>46012</v>
      </c>
      <c r="I1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
      <c r="A20" t="inlineStr">
        <is>
          <t>in-1834fc06b8cf4ba8</t>
        </is>
      </c>
      <c r="B20" t="inlineStr">
        <is>
          <t>Principal Applied Scientist, Kiro Science</t>
        </is>
      </c>
      <c r="C20" t="inlineStr">
        <is>
          <t>Amazon Web Services</t>
        </is>
      </c>
      <c r="D20" t="inlineStr">
        <is>
          <t>indeed</t>
        </is>
      </c>
      <c r="E20" t="inlineStr"/>
      <c r="F20" t="inlineStr"/>
      <c r="G20" t="inlineStr">
        <is>
          <t>Santa Clara, CA, US</t>
        </is>
      </c>
      <c r="H20" s="2" t="n">
        <v>45999</v>
      </c>
      <c r="I2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
      <c r="A21" t="inlineStr">
        <is>
          <t>in-ac1640479403fee8</t>
        </is>
      </c>
      <c r="B21" t="inlineStr">
        <is>
          <t>Principal Applied Scientist, Kiro Science</t>
        </is>
      </c>
      <c r="C21" t="inlineStr">
        <is>
          <t>Amazon Web Services</t>
        </is>
      </c>
      <c r="D21" t="inlineStr">
        <is>
          <t>indeed</t>
        </is>
      </c>
      <c r="E21" t="inlineStr"/>
      <c r="F21" t="inlineStr"/>
      <c r="G21" t="inlineStr">
        <is>
          <t>New York, NY, US</t>
        </is>
      </c>
      <c r="H21" s="2" t="n">
        <v>45999</v>
      </c>
      <c r="I2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2">
      <c r="A22" t="inlineStr">
        <is>
          <t>in-2c11a5283f42b271</t>
        </is>
      </c>
      <c r="B22" t="inlineStr">
        <is>
          <t>Sr. Applied Scientist, Amazon Ads</t>
        </is>
      </c>
      <c r="C22" t="inlineStr">
        <is>
          <t>Amazon.com</t>
        </is>
      </c>
      <c r="D22" t="inlineStr">
        <is>
          <t>indeed</t>
        </is>
      </c>
      <c r="E22" t="inlineStr"/>
      <c r="F22" t="inlineStr"/>
      <c r="G22" t="inlineStr">
        <is>
          <t>Sunnyvale, CA,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in-b75596992237bf3a</t>
        </is>
      </c>
      <c r="B23" t="inlineStr">
        <is>
          <t>Sr. Applied Scientist, Amazon Ads</t>
        </is>
      </c>
      <c r="C23" t="inlineStr">
        <is>
          <t>Amazon.com</t>
        </is>
      </c>
      <c r="D23" t="inlineStr">
        <is>
          <t>indeed</t>
        </is>
      </c>
      <c r="E23" t="inlineStr"/>
      <c r="F23" t="inlineStr"/>
      <c r="G23" t="inlineStr">
        <is>
          <t>Brooklyn, NY,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in-29f96141779d5642</t>
        </is>
      </c>
      <c r="B24" t="inlineStr">
        <is>
          <t>Sr. Applied Scientist, Amazon Ads</t>
        </is>
      </c>
      <c r="C24" t="inlineStr">
        <is>
          <t>Amazon.com</t>
        </is>
      </c>
      <c r="D24" t="inlineStr">
        <is>
          <t>indeed</t>
        </is>
      </c>
      <c r="E24" t="inlineStr"/>
      <c r="F24" t="inlineStr"/>
      <c r="G24" t="inlineStr">
        <is>
          <t>Tukwila, WA,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in-8f70f402e8379b42</t>
        </is>
      </c>
      <c r="B25" t="inlineStr">
        <is>
          <t>Sr. Applied Scientist, Amazon Ads</t>
        </is>
      </c>
      <c r="C25" t="inlineStr">
        <is>
          <t>Amazon.com</t>
        </is>
      </c>
      <c r="D25" t="inlineStr">
        <is>
          <t>indeed</t>
        </is>
      </c>
      <c r="E25" t="inlineStr"/>
      <c r="F25" t="inlineStr"/>
      <c r="G25" t="inlineStr">
        <is>
          <t>Palo Alto, CA, US</t>
        </is>
      </c>
      <c r="H25" s="2" t="n">
        <v>45998</v>
      </c>
      <c r="I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
      <c r="A26" t="inlineStr">
        <is>
          <t>in-78f4c95ac6e781f7</t>
        </is>
      </c>
      <c r="B26" t="inlineStr">
        <is>
          <t>Sr. Applied Scientist, Amazon Ads</t>
        </is>
      </c>
      <c r="C26" t="inlineStr">
        <is>
          <t>Amazon.com</t>
        </is>
      </c>
      <c r="D26" t="inlineStr">
        <is>
          <t>indeed</t>
        </is>
      </c>
      <c r="E26" t="inlineStr"/>
      <c r="F26" t="inlineStr"/>
      <c r="G26" t="inlineStr">
        <is>
          <t>Boston, MA, US</t>
        </is>
      </c>
      <c r="H26" s="2" t="n">
        <v>45998</v>
      </c>
      <c r="I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
      <c r="A27" t="inlineStr">
        <is>
          <t>in-3d53a23886dbc982</t>
        </is>
      </c>
      <c r="B27" t="inlineStr">
        <is>
          <t>Sr. Applied Scientist, Amazon Ads</t>
        </is>
      </c>
      <c r="C27" t="inlineStr">
        <is>
          <t>Amazon.com</t>
        </is>
      </c>
      <c r="D27" t="inlineStr">
        <is>
          <t>indeed</t>
        </is>
      </c>
      <c r="E27" t="inlineStr"/>
      <c r="F27" t="inlineStr"/>
      <c r="G27" t="inlineStr">
        <is>
          <t>Corvallis, OR, US</t>
        </is>
      </c>
      <c r="H27" s="2" t="n">
        <v>45998</v>
      </c>
      <c r="I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
      <c r="A28" t="inlineStr">
        <is>
          <t>in-2ee5f610f6eb5ee2</t>
        </is>
      </c>
      <c r="B28" t="inlineStr">
        <is>
          <t>Sr. Applied Scientist, Amazon Ads</t>
        </is>
      </c>
      <c r="C28" t="inlineStr">
        <is>
          <t>Amazon.com</t>
        </is>
      </c>
      <c r="D28" t="inlineStr">
        <is>
          <t>indeed</t>
        </is>
      </c>
      <c r="E28" t="inlineStr"/>
      <c r="F28" t="inlineStr"/>
      <c r="G28" t="inlineStr">
        <is>
          <t>New York, NY, US</t>
        </is>
      </c>
      <c r="H28" s="2" t="n">
        <v>45998</v>
      </c>
      <c r="I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
      <c r="A29" t="inlineStr">
        <is>
          <t>in-4bd9fcad8cf0ba18</t>
        </is>
      </c>
      <c r="B29" t="inlineStr">
        <is>
          <t>Sr. Applied Scientist, Amazon Ads</t>
        </is>
      </c>
      <c r="C29" t="inlineStr">
        <is>
          <t>Amazon.com</t>
        </is>
      </c>
      <c r="D29" t="inlineStr">
        <is>
          <t>indeed</t>
        </is>
      </c>
      <c r="E29" t="inlineStr"/>
      <c r="F29" t="inlineStr"/>
      <c r="G29" t="inlineStr">
        <is>
          <t>Seattle, WA,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in-0dc731aeadd6429f</t>
        </is>
      </c>
      <c r="B30" t="inlineStr">
        <is>
          <t>Sr. Applied Scientist, Amazon Ads</t>
        </is>
      </c>
      <c r="C30" t="inlineStr">
        <is>
          <t>Amazon.com</t>
        </is>
      </c>
      <c r="D30" t="inlineStr">
        <is>
          <t>indeed</t>
        </is>
      </c>
      <c r="E30" t="inlineStr"/>
      <c r="F30" t="inlineStr"/>
      <c r="G30" t="inlineStr">
        <is>
          <t>Boulder, CO,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in-8e8aca0041f7e299</t>
        </is>
      </c>
      <c r="B31" t="inlineStr">
        <is>
          <t>Sr. Applied Scientist, Amazon Ads</t>
        </is>
      </c>
      <c r="C31" t="inlineStr">
        <is>
          <t>Amazon.com</t>
        </is>
      </c>
      <c r="D31" t="inlineStr">
        <is>
          <t>indeed</t>
        </is>
      </c>
      <c r="E31" t="inlineStr"/>
      <c r="F31" t="inlineStr"/>
      <c r="G31" t="inlineStr">
        <is>
          <t>Santa Monica, CA,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in-952b51f78d3244df</t>
        </is>
      </c>
      <c r="B32" t="inlineStr">
        <is>
          <t>Principal Applied Scientist, Sponsored Products and Brands</t>
        </is>
      </c>
      <c r="C32" t="inlineStr">
        <is>
          <t>Amazon.com</t>
        </is>
      </c>
      <c r="D32" t="inlineStr">
        <is>
          <t>indeed</t>
        </is>
      </c>
      <c r="E32" t="inlineStr"/>
      <c r="F32" t="inlineStr"/>
      <c r="G32" t="inlineStr">
        <is>
          <t>New York, NY, US</t>
        </is>
      </c>
      <c r="H32" s="2" t="n">
        <v>45979</v>
      </c>
      <c r="I3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in-b04b94bd56be230f</t>
        </is>
      </c>
      <c r="B33" t="inlineStr">
        <is>
          <t>Principal Applied Scientist, Sponsored Products and Brands</t>
        </is>
      </c>
      <c r="C33" t="inlineStr">
        <is>
          <t>Amazon.com</t>
        </is>
      </c>
      <c r="D33" t="inlineStr">
        <is>
          <t>indeed</t>
        </is>
      </c>
      <c r="E33" t="inlineStr"/>
      <c r="F33" t="inlineStr"/>
      <c r="G33" t="inlineStr">
        <is>
          <t>Seattle, WA, US</t>
        </is>
      </c>
      <c r="H33" s="2" t="n">
        <v>45979</v>
      </c>
      <c r="I3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in-9358ca5a536f8e1a</t>
        </is>
      </c>
      <c r="B34" t="inlineStr">
        <is>
          <t>Applied Scientist, Personalization, DTx Science</t>
        </is>
      </c>
      <c r="C34" t="inlineStr">
        <is>
          <t>Amazon.com</t>
        </is>
      </c>
      <c r="D34" t="inlineStr">
        <is>
          <t>indeed</t>
        </is>
      </c>
      <c r="E34" t="inlineStr"/>
      <c r="F34" t="inlineStr"/>
      <c r="G34" t="inlineStr">
        <is>
          <t>Seattle, WA, US</t>
        </is>
      </c>
      <c r="H34" s="2" t="n">
        <v>45979</v>
      </c>
      <c r="I3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5">
      <c r="A35" t="inlineStr">
        <is>
          <t>in-41e83cdb8d6bcbbf</t>
        </is>
      </c>
      <c r="B35" t="inlineStr">
        <is>
          <t>Applied Scientist, Personalization, DTx Science</t>
        </is>
      </c>
      <c r="C35" t="inlineStr">
        <is>
          <t>Amazon.com</t>
        </is>
      </c>
      <c r="D35" t="inlineStr">
        <is>
          <t>indeed</t>
        </is>
      </c>
      <c r="E35" t="inlineStr"/>
      <c r="F35" t="inlineStr"/>
      <c r="G35" t="inlineStr">
        <is>
          <t>New York, NY, US</t>
        </is>
      </c>
      <c r="H35" s="2" t="n">
        <v>45979</v>
      </c>
      <c r="I3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6">
      <c r="A36" t="inlineStr">
        <is>
          <t>in-07446c51c1ed42df</t>
        </is>
      </c>
      <c r="B36" t="inlineStr">
        <is>
          <t>Senior Applied Scientist, Sponsored Products and Brands</t>
        </is>
      </c>
      <c r="C36" t="inlineStr">
        <is>
          <t>Amazon.com</t>
        </is>
      </c>
      <c r="D36" t="inlineStr">
        <is>
          <t>indeed</t>
        </is>
      </c>
      <c r="E36" t="inlineStr"/>
      <c r="F36" t="inlineStr"/>
      <c r="G36" t="inlineStr">
        <is>
          <t>New York, NY, US</t>
        </is>
      </c>
      <c r="H36" s="2" t="n">
        <v>45979</v>
      </c>
      <c r="I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7">
      <c r="A37" t="inlineStr">
        <is>
          <t>in-caf2e5dbce914de7</t>
        </is>
      </c>
      <c r="B37" t="inlineStr">
        <is>
          <t>Senior Applied Scientist, Sponsored Products and Brands</t>
        </is>
      </c>
      <c r="C37" t="inlineStr">
        <is>
          <t>Amazon.com</t>
        </is>
      </c>
      <c r="D37" t="inlineStr">
        <is>
          <t>indeed</t>
        </is>
      </c>
      <c r="E37" t="inlineStr"/>
      <c r="F37" t="inlineStr"/>
      <c r="G37" t="inlineStr">
        <is>
          <t>Seattle, WA, US</t>
        </is>
      </c>
      <c r="H37" s="2" t="n">
        <v>45979</v>
      </c>
      <c r="I3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8">
      <c r="A38" t="inlineStr">
        <is>
          <t>in-0bca4749ed015e6e</t>
        </is>
      </c>
      <c r="B38" t="inlineStr">
        <is>
          <t>Principal Applied Scientist, Amazon AGI</t>
        </is>
      </c>
      <c r="C38" t="inlineStr">
        <is>
          <t>Amazon.com</t>
        </is>
      </c>
      <c r="D38" t="inlineStr">
        <is>
          <t>indeed</t>
        </is>
      </c>
      <c r="E38" t="inlineStr"/>
      <c r="F38" t="inlineStr"/>
      <c r="G38" t="inlineStr">
        <is>
          <t>Boston, MA, US</t>
        </is>
      </c>
      <c r="H38" s="2" t="n">
        <v>45964</v>
      </c>
      <c r="I3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in-7704b6767ca72007</t>
        </is>
      </c>
      <c r="B39" t="inlineStr">
        <is>
          <t>Principal Applied Scientist, Amazon AGI</t>
        </is>
      </c>
      <c r="C39" t="inlineStr">
        <is>
          <t>Amazon.com</t>
        </is>
      </c>
      <c r="D39" t="inlineStr">
        <is>
          <t>indeed</t>
        </is>
      </c>
      <c r="E39" t="inlineStr"/>
      <c r="F39" t="inlineStr"/>
      <c r="G39" t="inlineStr">
        <is>
          <t>San Francisco, CA, US</t>
        </is>
      </c>
      <c r="H39" s="2" t="n">
        <v>45964</v>
      </c>
      <c r="I3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in-7f8365d5e7b93877</t>
        </is>
      </c>
      <c r="B40" t="inlineStr">
        <is>
          <t>Applied Scientist, AWS Agentic AI</t>
        </is>
      </c>
      <c r="C40" t="inlineStr">
        <is>
          <t>Amazon Web Services</t>
        </is>
      </c>
      <c r="D40" t="inlineStr">
        <is>
          <t>indeed</t>
        </is>
      </c>
      <c r="E40" t="inlineStr"/>
      <c r="F40" t="inlineStr"/>
      <c r="G40" t="inlineStr">
        <is>
          <t>New York, NY, US</t>
        </is>
      </c>
      <c r="H40" s="2" t="n">
        <v>45962</v>
      </c>
      <c r="I4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in-60ac4c9b37c8864f</t>
        </is>
      </c>
      <c r="B41" t="inlineStr">
        <is>
          <t>Applied Scientist, AWS Agentic AI</t>
        </is>
      </c>
      <c r="C41" t="inlineStr">
        <is>
          <t>Amazon Web Services</t>
        </is>
      </c>
      <c r="D41" t="inlineStr">
        <is>
          <t>indeed</t>
        </is>
      </c>
      <c r="E41" t="inlineStr"/>
      <c r="F41" t="inlineStr"/>
      <c r="G41" t="inlineStr">
        <is>
          <t>Santa Clara, CA, US</t>
        </is>
      </c>
      <c r="H41" s="2" t="n">
        <v>45962</v>
      </c>
      <c r="I4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in-009e1ba453e12e77</t>
        </is>
      </c>
      <c r="B42" t="inlineStr">
        <is>
          <t>Applied Scientist, AWS Agentic AI</t>
        </is>
      </c>
      <c r="C42" t="inlineStr">
        <is>
          <t>Amazon Web Services</t>
        </is>
      </c>
      <c r="D42" t="inlineStr">
        <is>
          <t>indeed</t>
        </is>
      </c>
      <c r="E42" t="inlineStr"/>
      <c r="F42" t="inlineStr"/>
      <c r="G42" t="inlineStr">
        <is>
          <t>Seattle, WA, US</t>
        </is>
      </c>
      <c r="H42" s="2" t="n">
        <v>45962</v>
      </c>
      <c r="I4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in-fd503a5bcd05ba46</t>
        </is>
      </c>
      <c r="B43" t="inlineStr">
        <is>
          <t>Applied Scientist, Prime Video - Content Understanding, Localization &amp; Enrichment Team</t>
        </is>
      </c>
      <c r="C43" t="inlineStr">
        <is>
          <t>Amazon.com</t>
        </is>
      </c>
      <c r="D43" t="inlineStr">
        <is>
          <t>indeed</t>
        </is>
      </c>
      <c r="E43" t="inlineStr"/>
      <c r="F43" t="inlineStr"/>
      <c r="G43" t="inlineStr">
        <is>
          <t>San Francisco, CA, US</t>
        </is>
      </c>
      <c r="H43" s="2" t="n">
        <v>45943</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44">
      <c r="A44" t="inlineStr">
        <is>
          <t>in-40ea40a3ef6f55e0</t>
        </is>
      </c>
      <c r="B44" t="inlineStr">
        <is>
          <t>Applied Scientist, Prime Video - Content Understanding, Localization &amp; Enrichment Team</t>
        </is>
      </c>
      <c r="C44" t="inlineStr">
        <is>
          <t>Amazon.com</t>
        </is>
      </c>
      <c r="D44" t="inlineStr">
        <is>
          <t>indeed</t>
        </is>
      </c>
      <c r="E44" t="inlineStr"/>
      <c r="F44" t="inlineStr"/>
      <c r="G44" t="inlineStr">
        <is>
          <t>Seattle, WA, US</t>
        </is>
      </c>
      <c r="H44" s="2" t="n">
        <v>45943</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45">
      <c r="A45" t="inlineStr">
        <is>
          <t>in-c2c682a1fe49f3c0</t>
        </is>
      </c>
      <c r="B45" t="inlineStr">
        <is>
          <t>Principal Applied Scientist, Advertiser Growth, Amazon Sponsored Products &amp; Brands</t>
        </is>
      </c>
      <c r="C45" t="inlineStr">
        <is>
          <t>Amazon.com</t>
        </is>
      </c>
      <c r="D45" t="inlineStr">
        <is>
          <t>indeed</t>
        </is>
      </c>
      <c r="E45" t="inlineStr"/>
      <c r="F45" t="inlineStr"/>
      <c r="G45" t="inlineStr">
        <is>
          <t>Palo Alto, CA, US</t>
        </is>
      </c>
      <c r="H45" s="2" t="n">
        <v>45942</v>
      </c>
      <c r="I4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in-5a6e61863127921e</t>
        </is>
      </c>
      <c r="B46" t="inlineStr">
        <is>
          <t>Principal Applied Scientist, Advertiser Growth, Amazon Sponsored Products &amp; Brands</t>
        </is>
      </c>
      <c r="C46" t="inlineStr">
        <is>
          <t>Amazon.com</t>
        </is>
      </c>
      <c r="D46" t="inlineStr">
        <is>
          <t>indeed</t>
        </is>
      </c>
      <c r="E46" t="inlineStr"/>
      <c r="F46" t="inlineStr"/>
      <c r="G46" t="inlineStr">
        <is>
          <t>Seattle, WA, US</t>
        </is>
      </c>
      <c r="H46" s="2" t="n">
        <v>45942</v>
      </c>
      <c r="I4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in-236995b81fb5f16c</t>
        </is>
      </c>
      <c r="B47" t="inlineStr">
        <is>
          <t>Principal Applied Scientist, Advertiser Growth, Amazon Sponsored Products &amp; Brands</t>
        </is>
      </c>
      <c r="C47" t="inlineStr">
        <is>
          <t>Amazon.com</t>
        </is>
      </c>
      <c r="D47" t="inlineStr">
        <is>
          <t>indeed</t>
        </is>
      </c>
      <c r="E47" t="inlineStr"/>
      <c r="F47" t="inlineStr"/>
      <c r="G47" t="inlineStr">
        <is>
          <t>New York, NY, US</t>
        </is>
      </c>
      <c r="H47" s="2" t="n">
        <v>45942</v>
      </c>
      <c r="I4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in-c73352f18df2b276</t>
        </is>
      </c>
      <c r="B48" t="inlineStr">
        <is>
          <t>Sr. Applied Scientist, SPB Advertiser Guidance</t>
        </is>
      </c>
      <c r="C48" t="inlineStr">
        <is>
          <t>Amazon.com</t>
        </is>
      </c>
      <c r="D48" t="inlineStr">
        <is>
          <t>indeed</t>
        </is>
      </c>
      <c r="E48" t="inlineStr"/>
      <c r="F48" t="inlineStr"/>
      <c r="G48" t="inlineStr">
        <is>
          <t>Palo Alto, CA, US</t>
        </is>
      </c>
      <c r="H48" s="2" t="n">
        <v>45939</v>
      </c>
      <c r="I4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in-ce1234e0033d1462</t>
        </is>
      </c>
      <c r="B49" t="inlineStr">
        <is>
          <t>Applied Scientist</t>
        </is>
      </c>
      <c r="C49" t="inlineStr">
        <is>
          <t>Amazon.com</t>
        </is>
      </c>
      <c r="D49" t="inlineStr">
        <is>
          <t>indeed</t>
        </is>
      </c>
      <c r="E49" t="inlineStr"/>
      <c r="F49" t="inlineStr"/>
      <c r="G49" t="inlineStr">
        <is>
          <t>New York, NY, US</t>
        </is>
      </c>
      <c r="H49" s="2" t="n">
        <v>45939</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in-a0f0bf4d61d772e5</t>
        </is>
      </c>
      <c r="B50" t="inlineStr">
        <is>
          <t>Applied Scientist</t>
        </is>
      </c>
      <c r="C50" t="inlineStr">
        <is>
          <t>Amazon.com</t>
        </is>
      </c>
      <c r="D50" t="inlineStr">
        <is>
          <t>indeed</t>
        </is>
      </c>
      <c r="E50" t="inlineStr"/>
      <c r="F50" t="inlineStr"/>
      <c r="G50" t="inlineStr">
        <is>
          <t>Seattle, WA, US</t>
        </is>
      </c>
      <c r="H50" s="2" t="n">
        <v>45939</v>
      </c>
      <c r="I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in-5519adadcfe94d0e</t>
        </is>
      </c>
      <c r="B51" t="inlineStr">
        <is>
          <t>Sr. Applied Scientist, SPB Advertiser Guidance</t>
        </is>
      </c>
      <c r="C51" t="inlineStr">
        <is>
          <t>Amazon.com</t>
        </is>
      </c>
      <c r="D51" t="inlineStr">
        <is>
          <t>indeed</t>
        </is>
      </c>
      <c r="E51" t="inlineStr"/>
      <c r="F51" t="inlineStr"/>
      <c r="G51" t="inlineStr">
        <is>
          <t>Seattle, WA, US</t>
        </is>
      </c>
      <c r="H51" s="2" t="n">
        <v>45939</v>
      </c>
      <c r="I5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in-560c8ac5cbefcf2d</t>
        </is>
      </c>
      <c r="B52" t="inlineStr">
        <is>
          <t>Applied Scientist</t>
        </is>
      </c>
      <c r="C52" t="inlineStr">
        <is>
          <t>Amazon.com</t>
        </is>
      </c>
      <c r="D52" t="inlineStr">
        <is>
          <t>indeed</t>
        </is>
      </c>
      <c r="E52" t="inlineStr"/>
      <c r="F52" t="inlineStr"/>
      <c r="G52" t="inlineStr">
        <is>
          <t>Palo Alto, CA, US</t>
        </is>
      </c>
      <c r="H52" s="2" t="n">
        <v>45939</v>
      </c>
      <c r="I5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in-2a8b96be1762312d</t>
        </is>
      </c>
      <c r="B53" t="inlineStr">
        <is>
          <t>Sr. Applied Scientist, SPB Advertiser Guidance</t>
        </is>
      </c>
      <c r="C53" t="inlineStr">
        <is>
          <t>Amazon.com</t>
        </is>
      </c>
      <c r="D53" t="inlineStr">
        <is>
          <t>indeed</t>
        </is>
      </c>
      <c r="E53" t="inlineStr"/>
      <c r="F53" t="inlineStr"/>
      <c r="G53" t="inlineStr">
        <is>
          <t>New York, NY, US</t>
        </is>
      </c>
      <c r="H53" s="2" t="n">
        <v>45939</v>
      </c>
      <c r="I5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in-60318bca355fe8b6</t>
        </is>
      </c>
      <c r="B54" t="inlineStr">
        <is>
          <t>Applied Scientist II, Prime Video - Personalization and Discovery Science, Personalization and Discovery Science</t>
        </is>
      </c>
      <c r="C54" t="inlineStr">
        <is>
          <t>Amazon.com</t>
        </is>
      </c>
      <c r="D54" t="inlineStr">
        <is>
          <t>indeed</t>
        </is>
      </c>
      <c r="E54" t="inlineStr"/>
      <c r="F54" t="inlineStr"/>
      <c r="G54" t="inlineStr">
        <is>
          <t>Sunnyvale, CA, US</t>
        </is>
      </c>
      <c r="H54" s="2" t="n">
        <v>45930</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in-358e106cf09c6336</t>
        </is>
      </c>
      <c r="B55" t="inlineStr">
        <is>
          <t>Applied Scientist II, Prime Video - Personalization and Discovery Science, Personalization and Discovery Science</t>
        </is>
      </c>
      <c r="C55" t="inlineStr">
        <is>
          <t>Amazon.com</t>
        </is>
      </c>
      <c r="D55" t="inlineStr">
        <is>
          <t>indeed</t>
        </is>
      </c>
      <c r="E55" t="inlineStr"/>
      <c r="F55" t="inlineStr"/>
      <c r="G55" t="inlineStr">
        <is>
          <t>Seattle, WA, US</t>
        </is>
      </c>
      <c r="H55" s="2" t="n">
        <v>45930</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in-fa82c084b778ced2</t>
        </is>
      </c>
      <c r="B56" t="inlineStr">
        <is>
          <t>Applied Scientist II, Prime Video - Personalization and Discovery Science, Personalization and Discovery Science</t>
        </is>
      </c>
      <c r="C56" t="inlineStr">
        <is>
          <t>Amazon.com</t>
        </is>
      </c>
      <c r="D56" t="inlineStr">
        <is>
          <t>indeed</t>
        </is>
      </c>
      <c r="E56" t="inlineStr"/>
      <c r="F56" t="inlineStr"/>
      <c r="G56" t="inlineStr">
        <is>
          <t>New York, NY, US</t>
        </is>
      </c>
      <c r="H56" s="2" t="n">
        <v>45930</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in-d8fc233cb3996a65</t>
        </is>
      </c>
      <c r="B57" t="inlineStr">
        <is>
          <t>Applied Scientist, Workplace Health &amp; Safety</t>
        </is>
      </c>
      <c r="C57" t="inlineStr">
        <is>
          <t>Amazon.com</t>
        </is>
      </c>
      <c r="D57" t="inlineStr">
        <is>
          <t>indeed</t>
        </is>
      </c>
      <c r="E57" t="inlineStr"/>
      <c r="F57" t="inlineStr"/>
      <c r="G57" t="inlineStr">
        <is>
          <t>Nashville, TN, US</t>
        </is>
      </c>
      <c r="H57" s="2" t="n">
        <v>45917</v>
      </c>
      <c r="I5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in-7015b8947d742bee</t>
        </is>
      </c>
      <c r="B58" t="inlineStr">
        <is>
          <t>Applied Scientist, Workplace Health &amp; Safety</t>
        </is>
      </c>
      <c r="C58" t="inlineStr">
        <is>
          <t>Amazon.com</t>
        </is>
      </c>
      <c r="D58" t="inlineStr">
        <is>
          <t>indeed</t>
        </is>
      </c>
      <c r="E58" t="inlineStr"/>
      <c r="F58" t="inlineStr"/>
      <c r="G58" t="inlineStr">
        <is>
          <t>Bellevue, WA, US</t>
        </is>
      </c>
      <c r="H58" s="2" t="n">
        <v>45917</v>
      </c>
      <c r="I5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in-f554bc30db8e4cbf</t>
        </is>
      </c>
      <c r="B59" t="inlineStr">
        <is>
          <t>Applied Scientist II, Prime Video - Personalization and Discovery Science</t>
        </is>
      </c>
      <c r="C59" t="inlineStr">
        <is>
          <t>Amazon.com</t>
        </is>
      </c>
      <c r="D59" t="inlineStr">
        <is>
          <t>indeed</t>
        </is>
      </c>
      <c r="E59" t="inlineStr"/>
      <c r="F59" t="inlineStr"/>
      <c r="G59" t="inlineStr">
        <is>
          <t>New York, NY, US</t>
        </is>
      </c>
      <c r="H59" s="2" t="n">
        <v>45881</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in-4a06dd0156156279</t>
        </is>
      </c>
      <c r="B60" t="inlineStr">
        <is>
          <t>Applied Scientist II, Prime Video - Personalization and Discovery Science</t>
        </is>
      </c>
      <c r="C60" t="inlineStr">
        <is>
          <t>Amazon.com</t>
        </is>
      </c>
      <c r="D60" t="inlineStr">
        <is>
          <t>indeed</t>
        </is>
      </c>
      <c r="E60" t="inlineStr"/>
      <c r="F60" t="inlineStr"/>
      <c r="G60" t="inlineStr">
        <is>
          <t>Seattle, WA, US</t>
        </is>
      </c>
      <c r="H60" s="2" t="n">
        <v>45881</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in-2574a1a5153e2d17</t>
        </is>
      </c>
      <c r="B61" t="inlineStr">
        <is>
          <t>Applied Scientist II, Prime Video - Personalization and Discovery Science</t>
        </is>
      </c>
      <c r="C61" t="inlineStr">
        <is>
          <t>Amazon.com</t>
        </is>
      </c>
      <c r="D61" t="inlineStr">
        <is>
          <t>indeed</t>
        </is>
      </c>
      <c r="E61" t="inlineStr"/>
      <c r="F61" t="inlineStr"/>
      <c r="G61" t="inlineStr">
        <is>
          <t>Sunnyvale, CA, US</t>
        </is>
      </c>
      <c r="H61" s="2" t="n">
        <v>45881</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in-e94c06972d3b7e45</t>
        </is>
      </c>
      <c r="B62" t="inlineStr">
        <is>
          <t>Sr. Applied Scientist, Prime Video - Personalization and Discovery Science</t>
        </is>
      </c>
      <c r="C62" t="inlineStr">
        <is>
          <t>Amazon.com</t>
        </is>
      </c>
      <c r="D62" t="inlineStr">
        <is>
          <t>indeed</t>
        </is>
      </c>
      <c r="E62" t="inlineStr"/>
      <c r="F62" t="inlineStr"/>
      <c r="G62" t="inlineStr">
        <is>
          <t>Seattle, WA, US</t>
        </is>
      </c>
      <c r="H62" s="2" t="n">
        <v>45881</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in-3be26ff9e07689f1</t>
        </is>
      </c>
      <c r="B63" t="inlineStr">
        <is>
          <t>Sr. Applied Scientist, Prime Video - Personalization and Discovery Science</t>
        </is>
      </c>
      <c r="C63" t="inlineStr">
        <is>
          <t>Amazon.com</t>
        </is>
      </c>
      <c r="D63" t="inlineStr">
        <is>
          <t>indeed</t>
        </is>
      </c>
      <c r="E63" t="inlineStr"/>
      <c r="F63" t="inlineStr"/>
      <c r="G63" t="inlineStr">
        <is>
          <t>New York, NY, US</t>
        </is>
      </c>
      <c r="H63" s="2" t="n">
        <v>45881</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in-c6e115e51a0e67ad</t>
        </is>
      </c>
      <c r="B64" t="inlineStr">
        <is>
          <t>Sr. Applied Scientist, Prime Video - Personalization and Discovery Science</t>
        </is>
      </c>
      <c r="C64" t="inlineStr">
        <is>
          <t>Amazon.com</t>
        </is>
      </c>
      <c r="D64" t="inlineStr">
        <is>
          <t>indeed</t>
        </is>
      </c>
      <c r="E64" t="inlineStr"/>
      <c r="F64" t="inlineStr"/>
      <c r="G64" t="inlineStr">
        <is>
          <t>Sunnyvale, CA, US</t>
        </is>
      </c>
      <c r="H64" s="2" t="n">
        <v>45881</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in-2f4b516caa1418f2</t>
        </is>
      </c>
      <c r="B65" t="inlineStr">
        <is>
          <t>Applied Scientist III, StoreGen</t>
        </is>
      </c>
      <c r="C65" t="inlineStr">
        <is>
          <t>Amazon.com</t>
        </is>
      </c>
      <c r="D65" t="inlineStr">
        <is>
          <t>indeed</t>
        </is>
      </c>
      <c r="E65" t="inlineStr"/>
      <c r="F65" t="inlineStr"/>
      <c r="G65" t="inlineStr">
        <is>
          <t>Sunnyvale, CA, US</t>
        </is>
      </c>
      <c r="H65" s="2" t="n">
        <v>45868</v>
      </c>
      <c r="I6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in-514050534d5aaffa</t>
        </is>
      </c>
      <c r="B66" t="inlineStr">
        <is>
          <t>Applied Scientist III, StoreGen</t>
        </is>
      </c>
      <c r="C66" t="inlineStr">
        <is>
          <t>Amazon.com</t>
        </is>
      </c>
      <c r="D66" t="inlineStr">
        <is>
          <t>indeed</t>
        </is>
      </c>
      <c r="E66" t="inlineStr"/>
      <c r="F66" t="inlineStr"/>
      <c r="G66" t="inlineStr">
        <is>
          <t>Seattle, WA, US</t>
        </is>
      </c>
      <c r="H66" s="2" t="n">
        <v>45868</v>
      </c>
      <c r="I6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in-77f2e3a928a269aa</t>
        </is>
      </c>
      <c r="B67" t="inlineStr">
        <is>
          <t>Sr. Applied Scientist, Amazon Advertising</t>
        </is>
      </c>
      <c r="C67" t="inlineStr">
        <is>
          <t>Amazon.com</t>
        </is>
      </c>
      <c r="D67" t="inlineStr">
        <is>
          <t>indeed</t>
        </is>
      </c>
      <c r="E67" t="inlineStr"/>
      <c r="F67" t="inlineStr"/>
      <c r="G67" t="inlineStr">
        <is>
          <t>Los Angeles, CA, US</t>
        </is>
      </c>
      <c r="H67" s="2" t="n">
        <v>45851</v>
      </c>
      <c r="I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in-2b41ef1e362a8480</t>
        </is>
      </c>
      <c r="B68" t="inlineStr">
        <is>
          <t>Sr. Applied Scientist, Amazon Advertising</t>
        </is>
      </c>
      <c r="C68" t="inlineStr">
        <is>
          <t>Amazon.com</t>
        </is>
      </c>
      <c r="D68" t="inlineStr">
        <is>
          <t>indeed</t>
        </is>
      </c>
      <c r="E68" t="inlineStr"/>
      <c r="F68" t="inlineStr"/>
      <c r="G68" t="inlineStr">
        <is>
          <t>Palo Alto, CA, US</t>
        </is>
      </c>
      <c r="H68" s="2" t="n">
        <v>45851</v>
      </c>
      <c r="I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in-267be3074c065eeb</t>
        </is>
      </c>
      <c r="B69" t="inlineStr">
        <is>
          <t>Sr. Applied Scientist, Amazon Advertising</t>
        </is>
      </c>
      <c r="C69" t="inlineStr">
        <is>
          <t>Amazon.com</t>
        </is>
      </c>
      <c r="D69" t="inlineStr">
        <is>
          <t>indeed</t>
        </is>
      </c>
      <c r="E69" t="inlineStr"/>
      <c r="F69" t="inlineStr"/>
      <c r="G69" t="inlineStr">
        <is>
          <t>Arlington, VA, US</t>
        </is>
      </c>
      <c r="H69" s="2" t="n">
        <v>45851</v>
      </c>
      <c r="I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in-5fabd78d7a3dee39</t>
        </is>
      </c>
      <c r="B70" t="inlineStr">
        <is>
          <t>Sr. Applied Scientist, Amazon Advertising</t>
        </is>
      </c>
      <c r="C70" t="inlineStr">
        <is>
          <t>Amazon.com</t>
        </is>
      </c>
      <c r="D70" t="inlineStr">
        <is>
          <t>indeed</t>
        </is>
      </c>
      <c r="E70" t="inlineStr"/>
      <c r="F70" t="inlineStr"/>
      <c r="G70" t="inlineStr">
        <is>
          <t>Simi Valley, CA, US</t>
        </is>
      </c>
      <c r="H70" s="2" t="n">
        <v>45851</v>
      </c>
      <c r="I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in-456f98c282b96647</t>
        </is>
      </c>
      <c r="B71" t="inlineStr">
        <is>
          <t>Sr. Applied Scientist, Amazon Advertising</t>
        </is>
      </c>
      <c r="C71" t="inlineStr">
        <is>
          <t>Amazon.com</t>
        </is>
      </c>
      <c r="D71" t="inlineStr">
        <is>
          <t>indeed</t>
        </is>
      </c>
      <c r="E71" t="inlineStr"/>
      <c r="F71" t="inlineStr"/>
      <c r="G71" t="inlineStr">
        <is>
          <t>West Hollywood, CA, US</t>
        </is>
      </c>
      <c r="H71" s="2" t="n">
        <v>45851</v>
      </c>
      <c r="I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in-c1a73a9e2fe00165</t>
        </is>
      </c>
      <c r="B72" t="inlineStr">
        <is>
          <t>Sr. Applied Scientist, Amazon Advertising</t>
        </is>
      </c>
      <c r="C72" t="inlineStr">
        <is>
          <t>Amazon.com</t>
        </is>
      </c>
      <c r="D72" t="inlineStr">
        <is>
          <t>indeed</t>
        </is>
      </c>
      <c r="E72" t="inlineStr"/>
      <c r="F72" t="inlineStr"/>
      <c r="G72" t="inlineStr">
        <is>
          <t>New York, NY, US</t>
        </is>
      </c>
      <c r="H72" s="2" t="n">
        <v>45851</v>
      </c>
      <c r="I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in-3ff63db005eec1b0</t>
        </is>
      </c>
      <c r="B73" t="inlineStr">
        <is>
          <t>Sr. Applied Scientist, Amazon Advertising</t>
        </is>
      </c>
      <c r="C73" t="inlineStr">
        <is>
          <t>Amazon.com</t>
        </is>
      </c>
      <c r="D73" t="inlineStr">
        <is>
          <t>indeed</t>
        </is>
      </c>
      <c r="E73" t="inlineStr"/>
      <c r="F73" t="inlineStr"/>
      <c r="G73" t="inlineStr">
        <is>
          <t>Seattle, WA, US</t>
        </is>
      </c>
      <c r="H73" s="2" t="n">
        <v>45851</v>
      </c>
      <c r="I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in-1780143f458b7d10</t>
        </is>
      </c>
      <c r="B74" t="inlineStr">
        <is>
          <t>Sr. Applied Scientist, Amazon Advertising</t>
        </is>
      </c>
      <c r="C74" t="inlineStr">
        <is>
          <t>Amazon.com</t>
        </is>
      </c>
      <c r="D74" t="inlineStr">
        <is>
          <t>indeed</t>
        </is>
      </c>
      <c r="E74" t="inlineStr"/>
      <c r="F74" t="inlineStr"/>
      <c r="G74" t="inlineStr">
        <is>
          <t>Austin, TX, US</t>
        </is>
      </c>
      <c r="H74" s="2" t="n">
        <v>45851</v>
      </c>
      <c r="I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in-6d3443020d77f796</t>
        </is>
      </c>
      <c r="B75" t="inlineStr">
        <is>
          <t>Applied Scientist, Prime Video - Personalization and Discovery Science</t>
        </is>
      </c>
      <c r="C75" t="inlineStr">
        <is>
          <t>Amazon.com</t>
        </is>
      </c>
      <c r="D75" t="inlineStr">
        <is>
          <t>indeed</t>
        </is>
      </c>
      <c r="E75" t="inlineStr"/>
      <c r="F75" t="inlineStr"/>
      <c r="G75" t="inlineStr">
        <is>
          <t>Seattle, WA, US</t>
        </is>
      </c>
      <c r="H75" s="2" t="n">
        <v>45845</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in-cebeedab4b49b139</t>
        </is>
      </c>
      <c r="B76" t="inlineStr">
        <is>
          <t>Applied Scientist, Prime Video - Personalization and Discovery Science</t>
        </is>
      </c>
      <c r="C76" t="inlineStr">
        <is>
          <t>Amazon.com</t>
        </is>
      </c>
      <c r="D76" t="inlineStr">
        <is>
          <t>indeed</t>
        </is>
      </c>
      <c r="E76" t="inlineStr"/>
      <c r="F76" t="inlineStr"/>
      <c r="G76" t="inlineStr">
        <is>
          <t>New York, NY, US</t>
        </is>
      </c>
      <c r="H76" s="2" t="n">
        <v>45845</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in-efcf89f860021e7a</t>
        </is>
      </c>
      <c r="B77" t="inlineStr">
        <is>
          <t>Applied Scientist, Prime Video - Personalization and Discovery Science</t>
        </is>
      </c>
      <c r="C77" t="inlineStr">
        <is>
          <t>Amazon.com</t>
        </is>
      </c>
      <c r="D77" t="inlineStr">
        <is>
          <t>indeed</t>
        </is>
      </c>
      <c r="E77" t="inlineStr"/>
      <c r="F77" t="inlineStr"/>
      <c r="G77" t="inlineStr">
        <is>
          <t>Sunnyvale, CA, US</t>
        </is>
      </c>
      <c r="H77" s="2" t="n">
        <v>45845</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in-3d2984058225c83d</t>
        </is>
      </c>
      <c r="B78" t="inlineStr">
        <is>
          <t>Sr. Applied Scientist, Sales AI</t>
        </is>
      </c>
      <c r="C78" t="inlineStr">
        <is>
          <t>Amazon.com</t>
        </is>
      </c>
      <c r="D78" t="inlineStr">
        <is>
          <t>indeed</t>
        </is>
      </c>
      <c r="E78" t="inlineStr"/>
      <c r="F78" t="inlineStr"/>
      <c r="G78" t="inlineStr">
        <is>
          <t>New York, NY, US</t>
        </is>
      </c>
      <c r="H78" s="2" t="n">
        <v>45830</v>
      </c>
      <c r="I7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in-e8329a9b3288d0cb</t>
        </is>
      </c>
      <c r="B79" t="inlineStr">
        <is>
          <t>Sr. Applied Scientist, Sales AI</t>
        </is>
      </c>
      <c r="C79" t="inlineStr">
        <is>
          <t>Amazon.com</t>
        </is>
      </c>
      <c r="D79" t="inlineStr">
        <is>
          <t>indeed</t>
        </is>
      </c>
      <c r="E79" t="inlineStr"/>
      <c r="F79" t="inlineStr"/>
      <c r="G79" t="inlineStr">
        <is>
          <t>Seattle, WA, US</t>
        </is>
      </c>
      <c r="H79" s="2" t="n">
        <v>45830</v>
      </c>
      <c r="I7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in-e19d077ac364541b</t>
        </is>
      </c>
      <c r="B80" t="inlineStr">
        <is>
          <t>Sr. Applied Scientist, Sales AI</t>
        </is>
      </c>
      <c r="C80" t="inlineStr">
        <is>
          <t>Amazon.com</t>
        </is>
      </c>
      <c r="D80" t="inlineStr">
        <is>
          <t>indeed</t>
        </is>
      </c>
      <c r="E80" t="inlineStr"/>
      <c r="F80" t="inlineStr"/>
      <c r="G80" t="inlineStr">
        <is>
          <t>Sunnyvale, CA, US</t>
        </is>
      </c>
      <c r="H80" s="2" t="n">
        <v>45830</v>
      </c>
      <c r="I8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in-b073938b0e7ad2de</t>
        </is>
      </c>
      <c r="B81" t="inlineStr">
        <is>
          <t>Principal Applied Scientist, Delivery Foundation Model</t>
        </is>
      </c>
      <c r="C81" t="inlineStr">
        <is>
          <t>Amazon.com</t>
        </is>
      </c>
      <c r="D81" t="inlineStr">
        <is>
          <t>indeed</t>
        </is>
      </c>
      <c r="E81" t="inlineStr"/>
      <c r="F81" t="inlineStr"/>
      <c r="G81" t="inlineStr">
        <is>
          <t>Bellevue, WA, US</t>
        </is>
      </c>
      <c r="H81" s="2" t="n">
        <v>45810</v>
      </c>
      <c r="I8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in-f8d21ad2102e7088</t>
        </is>
      </c>
      <c r="B82" t="inlineStr">
        <is>
          <t>Principal Applied Scientist, Delivery Foundation Model</t>
        </is>
      </c>
      <c r="C82" t="inlineStr">
        <is>
          <t>Amazon.com</t>
        </is>
      </c>
      <c r="D82" t="inlineStr">
        <is>
          <t>indeed</t>
        </is>
      </c>
      <c r="E82" t="inlineStr"/>
      <c r="F82" t="inlineStr"/>
      <c r="G82" t="inlineStr">
        <is>
          <t>Austin, TX, US</t>
        </is>
      </c>
      <c r="H82" s="2" t="n">
        <v>45810</v>
      </c>
      <c r="I8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in-383a3d08982f6ee2</t>
        </is>
      </c>
      <c r="B83" t="inlineStr">
        <is>
          <t>Principal Applied Scientist, Delivery Foundation Model</t>
        </is>
      </c>
      <c r="C83" t="inlineStr">
        <is>
          <t>Amazon.com</t>
        </is>
      </c>
      <c r="D83" t="inlineStr">
        <is>
          <t>indeed</t>
        </is>
      </c>
      <c r="E83" t="inlineStr"/>
      <c r="F83" t="inlineStr"/>
      <c r="G83" t="inlineStr">
        <is>
          <t>Santa Clara, CA, US</t>
        </is>
      </c>
      <c r="H83" s="2" t="n">
        <v>45810</v>
      </c>
      <c r="I8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in-395329229608e8ef</t>
        </is>
      </c>
      <c r="B84" t="inlineStr">
        <is>
          <t>Principal Applied Scientist, Delivery Foundation Model</t>
        </is>
      </c>
      <c r="C84" t="inlineStr">
        <is>
          <t>Amazon.com</t>
        </is>
      </c>
      <c r="D84" t="inlineStr">
        <is>
          <t>indeed</t>
        </is>
      </c>
      <c r="E84" t="inlineStr"/>
      <c r="F84" t="inlineStr"/>
      <c r="G84" t="inlineStr">
        <is>
          <t>New York, NY, US</t>
        </is>
      </c>
      <c r="H84" s="2" t="n">
        <v>45810</v>
      </c>
      <c r="I8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in-c14d5b5c751a3a7b</t>
        </is>
      </c>
      <c r="B85" t="inlineStr">
        <is>
          <t>Senior Applied Scientist, Delivery Foundation Model</t>
        </is>
      </c>
      <c r="C85" t="inlineStr">
        <is>
          <t>Amazon.com</t>
        </is>
      </c>
      <c r="D85" t="inlineStr">
        <is>
          <t>indeed</t>
        </is>
      </c>
      <c r="E85" t="inlineStr"/>
      <c r="F85" t="inlineStr"/>
      <c r="G85" t="inlineStr">
        <is>
          <t>New York, NY, US</t>
        </is>
      </c>
      <c r="H85" s="2" t="n">
        <v>45806</v>
      </c>
      <c r="I8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in-2534cfbc0e22e259</t>
        </is>
      </c>
      <c r="B86" t="inlineStr">
        <is>
          <t>Senior Applied Scientist, Delivery Foundation Model</t>
        </is>
      </c>
      <c r="C86" t="inlineStr">
        <is>
          <t>Amazon.com</t>
        </is>
      </c>
      <c r="D86" t="inlineStr">
        <is>
          <t>indeed</t>
        </is>
      </c>
      <c r="E86" t="inlineStr"/>
      <c r="F86" t="inlineStr"/>
      <c r="G86" t="inlineStr">
        <is>
          <t>Santa Clara, CA, US</t>
        </is>
      </c>
      <c r="H86" s="2" t="n">
        <v>45806</v>
      </c>
      <c r="I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in-8af5fd634fbd87fe</t>
        </is>
      </c>
      <c r="B87" t="inlineStr">
        <is>
          <t>Senior Applied Scientist, Delivery Foundation Model</t>
        </is>
      </c>
      <c r="C87" t="inlineStr">
        <is>
          <t>Amazon.com</t>
        </is>
      </c>
      <c r="D87" t="inlineStr">
        <is>
          <t>indeed</t>
        </is>
      </c>
      <c r="E87" t="inlineStr"/>
      <c r="F87" t="inlineStr"/>
      <c r="G87" t="inlineStr">
        <is>
          <t>Bellevue, WA, US</t>
        </is>
      </c>
      <c r="H87" s="2" t="n">
        <v>45806</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in-eb356660754b5277</t>
        </is>
      </c>
      <c r="B88" t="inlineStr">
        <is>
          <t>Principal Applied Scientist, Delivery Foundation Model</t>
        </is>
      </c>
      <c r="C88" t="inlineStr">
        <is>
          <t>Amazon.com</t>
        </is>
      </c>
      <c r="D88" t="inlineStr">
        <is>
          <t>indeed</t>
        </is>
      </c>
      <c r="E88" t="inlineStr"/>
      <c r="F88" t="inlineStr"/>
      <c r="G88" t="inlineStr">
        <is>
          <t>Bellevue, WA, US</t>
        </is>
      </c>
      <c r="H88" s="2" t="n">
        <v>45757</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in-52059d6ad9db72b9</t>
        </is>
      </c>
      <c r="B89" t="inlineStr">
        <is>
          <t>Principal Applied Scientist, Delivery Foundation Model</t>
        </is>
      </c>
      <c r="C89" t="inlineStr">
        <is>
          <t>Amazon.com</t>
        </is>
      </c>
      <c r="D89" t="inlineStr">
        <is>
          <t>indeed</t>
        </is>
      </c>
      <c r="E89" t="inlineStr"/>
      <c r="F89" t="inlineStr"/>
      <c r="G89" t="inlineStr">
        <is>
          <t>New York, NY, US</t>
        </is>
      </c>
      <c r="H89" s="2" t="n">
        <v>45757</v>
      </c>
      <c r="I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in-3b3c345349e95320</t>
        </is>
      </c>
      <c r="B90" t="inlineStr">
        <is>
          <t>Principal Applied Scientist, Delivery Foundation Model</t>
        </is>
      </c>
      <c r="C90" t="inlineStr">
        <is>
          <t>Amazon.com</t>
        </is>
      </c>
      <c r="D90" t="inlineStr">
        <is>
          <t>indeed</t>
        </is>
      </c>
      <c r="E90" t="inlineStr"/>
      <c r="F90" t="inlineStr"/>
      <c r="G90" t="inlineStr">
        <is>
          <t>Santa Clara, CA, US</t>
        </is>
      </c>
      <c r="H90" s="2" t="n">
        <v>45757</v>
      </c>
      <c r="I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in-e45a75d2657ab097</t>
        </is>
      </c>
      <c r="B91" t="inlineStr">
        <is>
          <t>Principal Applied Scientist, FAR (Frontier AI &amp; Robotics)</t>
        </is>
      </c>
      <c r="C91" t="inlineStr">
        <is>
          <t>Amazon.com</t>
        </is>
      </c>
      <c r="D91" t="inlineStr">
        <is>
          <t>indeed</t>
        </is>
      </c>
      <c r="E91" t="inlineStr"/>
      <c r="F91" t="inlineStr"/>
      <c r="G91" t="inlineStr">
        <is>
          <t>Seattle, WA, US</t>
        </is>
      </c>
      <c r="H91" s="2" t="n">
        <v>45740</v>
      </c>
      <c r="I9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in-f0095af02995e1ca</t>
        </is>
      </c>
      <c r="B92" t="inlineStr">
        <is>
          <t>Principal Applied Scientist, FAR (Frontier AI &amp; Robotics)</t>
        </is>
      </c>
      <c r="C92" t="inlineStr">
        <is>
          <t>Amazon.com</t>
        </is>
      </c>
      <c r="D92" t="inlineStr">
        <is>
          <t>indeed</t>
        </is>
      </c>
      <c r="E92" t="inlineStr"/>
      <c r="F92" t="inlineStr"/>
      <c r="G92" t="inlineStr">
        <is>
          <t>San Francisco, CA, US</t>
        </is>
      </c>
      <c r="H92" s="2" t="n">
        <v>45740</v>
      </c>
      <c r="I9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in-df0a7f939d73298c</t>
        </is>
      </c>
      <c r="B93" t="inlineStr">
        <is>
          <t>Data Scientist - Hardware Acoustics</t>
        </is>
      </c>
      <c r="C93" t="inlineStr">
        <is>
          <t>Apple</t>
        </is>
      </c>
      <c r="D93" t="inlineStr">
        <is>
          <t>indeed</t>
        </is>
      </c>
      <c r="E93" t="inlineStr"/>
      <c r="F93" t="inlineStr"/>
      <c r="G93" t="inlineStr">
        <is>
          <t>Cupertino, CA, US</t>
        </is>
      </c>
      <c r="H93" s="2" t="n">
        <v>46061</v>
      </c>
      <c r="I93" t="inlineStr">
        <is>
          <t>The Hardware Acoustic organization at Apple is dedicated to delivering industry\-leading audio experiences across all our products. We are a multidisciplinary team of acoustic engineers, researchers, and machine learning experts who push the boundaries of sound quality, noise cancellation, and user interaction.  
Our Machine Learning Data team is the foundational backbone for these efforts. We are responsible for building the robust data infrastructure, pipelines, and analytical tools that enable the development, training, and evaluation of cutting\-edge machine learning models for acoustic applications. We work with vast, complex datasets, ensuring their quality, accessibility, and utility for our ML scientists and engineers.  
**Description**  
We are seeking a highly motivated and skilled Data Scientist/Engineer to join our Machine Learning Data team within Hardware Acoustics. This role sits at the intersection of data engineering, data science, and machine learning, with a specific focus on acoustic and sensor data.  
You will be instrumental in designing, developing, and maintaining scalable data pipelines, ensuring data quality, and preparing complex datasets that power machine learning models enhancing Apple's hardware acoustic performance. You will collaborate closely with ML engineers, acoustic scientists, and hardware engineers to understand their data needs and deliver impactful, data\-driven solutions.","responsibilities":"Design, develop, and maintain robust and scalable data pipelines for collecting, processing, and transforming large volumes of acoustic, sensor, and related metadata.  
Collaborate with acoustic engineers and ML scientists to identify, extract, and engineer features from raw acoustic data for machine learning models.  
Implement rigorous data quality checks, monitoring, and anomaly detection to ensure the integrity, reliability, and privacy of data used for ML.  
Develop tools and frameworks to automate data ingestion, validation, preparation, and labeling processes.  
Perform exploratory data analysis (EDA) and data visualization to uncover insights, identify trends, and communicate findings to cross\-functional teams.  
Contribute to the definition of data schemas, data governance, and best practices for data management within the Hardware Acoustic organization.  
Support the deployment and monitoring of ML models by ensuring data consistency between training and inference environments.  
Optimize data storage, access patterns, and query performance for large\-scale datasets.  
Thoroughly document data pipelines, schemas, processing logic, and data dictionaries.  
**Preferred Qualifications**  
Experience working with acoustic data, audio signal processing, or sensor data.  
Familiarity with machine learning concepts and experience using ML libraries (e.g., scikit\-learn, TensorFlow, PyTorch).  
Experience with MLOps principles and practices for managing the ML lifecycle.  
Knowledge of data visualization tools (e.g., Tableau, Power BI, matplotlib, seaborn).  
Experience with real\-time data processing or streaming technologies.  
Excellent problem\-solving, analytical, and communication skills, with the ability to explain complex data concepts to diverse audiences.  
Familiarity with web front/back end.  
Familiarity with large\-scale data platforms and services (e.g., cloud\-based data warehouses/lakes or similar internal infrastructure).  
**Minimum Qualifications**  
Bachelor's or Master's degree in Computer Science, Electrical Engineering, Data Science, or a related quantitative field.  
3\+ years of professional experience in data engineering, data science, or machine learning engineering roles, with a strong focus on data pipelines and data preparation.  
Expert proficiency in Python for data manipulation, scripting, and automation.  
Strong SQL skills for complex data querying, analysis, and database management.  
Experience with distributed data processing frameworks (e.g., Apache Spark, Hadoop).  
Solid understanding of data warehousing concepts, data modeling, and ETL/ELT principles.  
Experience with version control systems (e.g., Git).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4">
      <c r="A94" t="inlineStr">
        <is>
          <t>in-753bb71074c2768f</t>
        </is>
      </c>
      <c r="B94" t="inlineStr">
        <is>
          <t>Data Scientist - Computer Vision, Data &amp; Machine Learning (DML)</t>
        </is>
      </c>
      <c r="C94" t="inlineStr">
        <is>
          <t>Amazon Web Services</t>
        </is>
      </c>
      <c r="D94" t="inlineStr">
        <is>
          <t>indeed</t>
        </is>
      </c>
      <c r="E94" t="inlineStr"/>
      <c r="F94" t="inlineStr"/>
      <c r="G94" t="inlineStr">
        <is>
          <t>Arlington, VA, US</t>
        </is>
      </c>
      <c r="H94" s="2" t="n">
        <v>46051</v>
      </c>
      <c r="I94"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5">
      <c r="A95" t="inlineStr">
        <is>
          <t>in-88197353527d20a9</t>
        </is>
      </c>
      <c r="B95" t="inlineStr">
        <is>
          <t>Data Scientist - Computer Vision, Data &amp; Machine Learning (DML)</t>
        </is>
      </c>
      <c r="C95" t="inlineStr">
        <is>
          <t>Amazon Web Services</t>
        </is>
      </c>
      <c r="D95" t="inlineStr">
        <is>
          <t>indeed</t>
        </is>
      </c>
      <c r="E95" t="inlineStr"/>
      <c r="F95" t="inlineStr"/>
      <c r="G95" t="inlineStr">
        <is>
          <t>Herndon, VA, US</t>
        </is>
      </c>
      <c r="H95" s="2" t="n">
        <v>46051</v>
      </c>
      <c r="I9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6">
      <c r="A96" t="inlineStr">
        <is>
          <t>in-0d0ea69d64d06bbf</t>
        </is>
      </c>
      <c r="B96" t="inlineStr">
        <is>
          <t>Data Scientist- Vision Language Model Researcher, Data &amp; Machine Learning (DML)</t>
        </is>
      </c>
      <c r="C96" t="inlineStr">
        <is>
          <t>Amazon Web Services</t>
        </is>
      </c>
      <c r="D96" t="inlineStr">
        <is>
          <t>indeed</t>
        </is>
      </c>
      <c r="E96" t="inlineStr"/>
      <c r="F96" t="inlineStr"/>
      <c r="G96" t="inlineStr">
        <is>
          <t>Herndon, VA, US</t>
        </is>
      </c>
      <c r="H96" s="2" t="n">
        <v>46051</v>
      </c>
      <c r="I96"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7">
      <c r="A97" t="inlineStr">
        <is>
          <t>in-cb56f217d9f8427c</t>
        </is>
      </c>
      <c r="B97" t="inlineStr">
        <is>
          <t>Data Scientist- Vision Language Model Researcher, Data &amp; Machine Learning (DML)</t>
        </is>
      </c>
      <c r="C97" t="inlineStr">
        <is>
          <t>Amazon Web Services</t>
        </is>
      </c>
      <c r="D97" t="inlineStr">
        <is>
          <t>indeed</t>
        </is>
      </c>
      <c r="E97" t="inlineStr"/>
      <c r="F97" t="inlineStr"/>
      <c r="G97" t="inlineStr">
        <is>
          <t>Arlington, VA, US</t>
        </is>
      </c>
      <c r="H97" s="2" t="n">
        <v>46051</v>
      </c>
      <c r="I97"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98">
      <c r="A98" t="inlineStr">
        <is>
          <t>in-a3fe5aa659390349</t>
        </is>
      </c>
      <c r="B98" t="inlineStr">
        <is>
          <t>Applied Scientist, Alexa Smart Home</t>
        </is>
      </c>
      <c r="C98" t="inlineStr">
        <is>
          <t>Amazon.com</t>
        </is>
      </c>
      <c r="D98" t="inlineStr">
        <is>
          <t>indeed</t>
        </is>
      </c>
      <c r="E98" t="inlineStr"/>
      <c r="F98" t="inlineStr"/>
      <c r="G98" t="inlineStr">
        <is>
          <t>Sunnyvale, CA, US</t>
        </is>
      </c>
      <c r="H98" s="2" t="n">
        <v>46033</v>
      </c>
      <c r="I9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9">
      <c r="A99" t="inlineStr">
        <is>
          <t>in-53f35f02fc22bc77</t>
        </is>
      </c>
      <c r="B99" t="inlineStr">
        <is>
          <t>Applied Scientist, Alexa Smart Home</t>
        </is>
      </c>
      <c r="C99" t="inlineStr">
        <is>
          <t>Amazon.com</t>
        </is>
      </c>
      <c r="D99" t="inlineStr">
        <is>
          <t>indeed</t>
        </is>
      </c>
      <c r="E99" t="inlineStr"/>
      <c r="F99" t="inlineStr"/>
      <c r="G99" t="inlineStr">
        <is>
          <t>Seattle, WA, US</t>
        </is>
      </c>
      <c r="H99" s="2" t="n">
        <v>46033</v>
      </c>
      <c r="I9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0">
      <c r="A100" t="inlineStr">
        <is>
          <t>in-e815d80a73e5f658</t>
        </is>
      </c>
      <c r="B100" t="inlineStr">
        <is>
          <t>Data Scientist - Analytics Engineer (N375)</t>
        </is>
      </c>
      <c r="C100" t="inlineStr">
        <is>
          <t>Heluna Health</t>
        </is>
      </c>
      <c r="D100" t="inlineStr">
        <is>
          <t>indeed</t>
        </is>
      </c>
      <c r="E100" t="inlineStr"/>
      <c r="F100" t="inlineStr"/>
      <c r="G100" t="inlineStr">
        <is>
          <t>Los Angeles, CA, US</t>
        </is>
      </c>
      <c r="H100" s="2" t="n">
        <v>46062</v>
      </c>
      <c r="I100" t="inlineStr">
        <is>
          <t>**Salary Range: $8,840\.09\-$11,912\.82 monthly**
**SUMMARY**
The Los Angeles County Department of Homeless Services and Housing (HSH**)** consolidates our countywide response to homelessness**.** The driving force behind HSH is increasing accountability and transparency, improving care for people experiencing or at risk of homelessness, and streamlining collaboration with partners including services providers, the County’s 88 cities, and unincorporated areas to deliver high\-quality, life\-saving care. Staff schedules are based on business need and may include the option for a hybrid work schedule where employees work remotely and from the office.
The Analytics Engineer plays a key role on the HSH Data Engineering team, building the semantic layer that supports performance tracking, evaluation, and policy guidance. This position translates analytic requirements into curated silver and gold data models using Databricks and supports integration of data from normalized backend systems.
This is a chance to architect a scalable data environment from the ground up in a mission\-driven context. The engineering team plays a central role in the County’s data strategy, with opportunities for mentorship, innovation, and cross\-sector impact.
**ESSENTIAL FUNCTIONS**
* Build and maintain semantic data models (silver and gold layers) in Spark/Databricks, primarily through ETL pipelines written in PySpark.
* Understand and identify entity relationships among large collections of normalized backend tables to design accurate, denormalized, analyst\-ready structures.
* Contribute to schema and catalog design decisions, including naming conventions for static vs. live feeds and ad hoc data use cases. This includes creating and maintaining documentation that clarifies data model logic, table relationships, and mapping assumptions to support downstream users and internal knowledge transfer.
* Collaborate with program and analytic teams to understand and translate both business rules used to define data fields as well as needs of analytic teams using semantic layer to produce reports and dashboards.
* Collaborate with the Privacy Engineer to ensure analytic datasets align with RBAC policies, de\-identification requirements, and data classification standards set for Departmental and Countywide use.
* Contribute to, update, and maintain centralized code repositories used for data transformations.
* Participate in Dev/Prod promotion workflows using GitHub, ensuring proper validation and configuration for CI/CD deployment.
* Apply expectations and version control to standardize, test, and document pipelines.
* Collaborate with Evaluation and Reporting teams to align models with use cases and downstream needs.
* Participate in integration of external and internal sources using Azure services and contribute to scalable, secure data pipelines.
* Support data modeling standards and technical documentation practices.
* Assist in onboarding and training analysts to use the semantic layer effectively.
**JOB QUALIFICATIONS**
Option I: Two (2\) years of experience applying advanced statistical analyses, including predictive analytics or data engineering, to produce actionable recommendations to support data\-driven program, policy, and operational decision\-making, at a level equivalent to the Los Angeles County class of Predictive Data Analyst.
Experience at the level of Predictive Data Analyst is defined as using machine learning techniques or data engineering practices to analyze or support analysis of complex data sets and find statistically significant, meaningful predictive patterns, relevant to program goals, that human intelligence could not identify on its own.
Option II: A Bachelor’s degree from an accredited college in a field of applied research such as Data Science, Machine Learning, Mathematics, Statistics, Business Analytics, Psychology, Computer Science, or Public Health that included 12 semester or 18 quarter units of coursework in data science, data engineering, predictive analytics, quantitative research methods, or statistical analysis \-AND\- Four (4\) years of experience applying data engineering, machine learning, predictive analytics, and data management, to conduct or support hypothesis\-driven data analysis to produce actionable recommendations to support data\-driven program, policy, and operational decision\-making. A Master’s or Doctoral degree from an accredited college or university in a field of applied research such Data Science, Machine Learning, Mathematics, Statistics, Business Analytics, Psychology, Public Health, or similar related fields may substitute for up to two (2\) years of experience.
**Certificates/Licenses/Clearances**
* A valid California Class C Driver License or the ability to utilize an alternative method of transportation when needed to carry out job\-related essential functions.
* Successful clearance of Live Scan with the County of Los Angeles.
**Other Skills, Knowledge, and Abilities**
* 4\+ years of experience building data transformations and models in Databricks or Spark\-based environments.
* Strong knowledge of Medallion Architecture and curated model development.
* Skilled in working with normalized datasets and applying entity resolution techniques to build clean, reliable analytic tables joined across systems (e.g., MDM\-linked client records).
* Experience using declarative syntax to manage and implement data transformations in such tools as Delta Live Tables, dbt, and Spark.
* Proficient in SQL, Python, GitHub, and CI/CD workflows.
* Experience developing and maintaining Databricks notebooks used in orchestrated jobs, including environment\-based configuration using YAML/JSON.
* Familiar with Azure Data Factory, Synapse, and Terraform.
* Understanding of HIPAA, FERPA, and governance in health and social service data.
* Experience supporting dashboards (Power BI, Tableau) and ensuring downstream data usability.
* Ability to work across technical and program teams and contribute to shared engineering practices.
**PHYSICAL DEMANDS**
**Stand:** Frequently
**Walk:** Frequently
**Sit:** Frequently
**Reach Outward:** Occasionally
**Reach Above Shoulder:** Occasionally
**Climb, Crawl, Kneel, Bend:** Occasionally
**Lift / Carry:** Occasionally \- Up to 15 lbs.
**Push/Pull:** Occasionally \- Up to 15 lbs.
**See:** Constantly
**Taste/ Smell:** Not Applicable
**Not Applicable \=** Not required for essential functions
**Occasionally \=** (0 \- 2 hrs./day)
**Frequently \=** (2 \- 5 hrs./day)
**Constantly \=** (5\+ hrs./day)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t>
        </is>
      </c>
    </row>
    <row r="101">
      <c r="A101" t="inlineStr">
        <is>
          <t>in-c687e1db418f2923</t>
        </is>
      </c>
      <c r="B101" t="inlineStr">
        <is>
          <t>Data Scientist</t>
        </is>
      </c>
      <c r="C101" t="inlineStr">
        <is>
          <t>DS Technologies Inc</t>
        </is>
      </c>
      <c r="D101" t="inlineStr">
        <is>
          <t>indeed</t>
        </is>
      </c>
      <c r="E101" t="inlineStr"/>
      <c r="F101" t="inlineStr"/>
      <c r="G101" t="inlineStr">
        <is>
          <t>New York, NY, US</t>
        </is>
      </c>
      <c r="H101" s="2" t="n">
        <v>46062</v>
      </c>
      <c r="I101"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 Scientist** rolefor one of our premier clients.  
**Job Title: Data Scientist**
**Location: San Francisco Bay Area, CA (or) New York City, NY (Onsite)**
**Experience: 4\-7 Years**  
**Position Type: Full\-Time**  
**Note: Any VISA'S are accepted**  
**Primary focus :** Model reproduction, feature engineering logic, performance validation, and ensuring alignment with Client's established modeling frameworks.  
* Rebuild and port existing Clilent's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maintaining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102">
      <c r="A102" t="inlineStr">
        <is>
          <t>in-f30733c468d99dfe</t>
        </is>
      </c>
      <c r="B102" t="inlineStr">
        <is>
          <t>Data Scientist</t>
        </is>
      </c>
      <c r="C102" t="inlineStr">
        <is>
          <t>DS Technologies Inc</t>
        </is>
      </c>
      <c r="D102" t="inlineStr">
        <is>
          <t>indeed</t>
        </is>
      </c>
      <c r="E102" t="inlineStr"/>
      <c r="F102" t="inlineStr"/>
      <c r="G102" t="inlineStr">
        <is>
          <t>San Francisco, CA, US</t>
        </is>
      </c>
      <c r="H102" s="2" t="n">
        <v>46062</v>
      </c>
      <c r="I102"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 Scientist** rolefor one of our premier clients.  
**Job Title: Data Scientist**
**Location: San Francisco Bay Area, CA (or) New York City, NY (Onsite)**
**Experience: 4\-7 Years**  
**Position Type: Full\-Time**  
**Note: Any VISA'S are accepted**  
**Primary focus :** Model reproduction, feature engineering logic, performance validation, and ensuring alignment with Client's established modeling frameworks.  
* Rebuild and port existing Clilent's Python based models into customer’s Databricks platform.
* Develop, train, and validate predictive models using Python, PySpark, and ML frameworks such as scikitlearn, XGBoost, and Spark MLlib.
* Develop, validate and reproduce feature engineering logic and ensure parity with Client's models.
* Train, retain, validate, and benchmark model performance using customer provided datasets while maintaining performance parity with baseline models.
* Work with data engineers to define feature requirements and ensure datasets support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103">
      <c r="A103" t="inlineStr">
        <is>
          <t>in-a5584f42a426da85</t>
        </is>
      </c>
      <c r="B103" t="inlineStr">
        <is>
          <t>Data Scientist</t>
        </is>
      </c>
      <c r="C103" t="inlineStr">
        <is>
          <t>Vox Media, LLC</t>
        </is>
      </c>
      <c r="D103" t="inlineStr">
        <is>
          <t>indeed</t>
        </is>
      </c>
      <c r="E103" t="inlineStr"/>
      <c r="F103" t="inlineStr"/>
      <c r="G103" t="inlineStr">
        <is>
          <t>New York, NY, US</t>
        </is>
      </c>
      <c r="H103" s="2" t="n">
        <v>46061</v>
      </c>
      <c r="I103" t="inlineStr">
        <is>
          <t>As a Data Scientist focused on our Consumer Revenue businesses, you'll work on problems that fuel the next stage of growth. You will build tools, models, and frameworks that push our understanding of what our paying subscribers care about, what marketing strategies work and the impact they have, and what to try next.
This role is on Vox Media's Data team, which is responsible for maintaining our data warehouse and for a number of backend systems that power personalized audience experiences across our brands, like search and personalized feeds in the Eater app and reading recommendations on New York magazine.
**WHAT YOU'LL DO**
------------------
* Solve problems like churn risk modeling, LTV calculations, retention impact measurement, paid marketing attribution, etc. and build tools and integrations to make their outputs actionable.
* Define measurement frameworks and build tools and dashboards to measure impact of initiatives across acquisition, engagement, and retention.
* Work closely with team leads on the Data and Consumer Revenue teams to understand problems, discuss approaches, and make decisions about approaches and tradeoffs.
* In partnership with data engineers and analysts, help with ongoing measurement and reporting needs for this business.
* Occasionally work in partnership with others on audience\-facing initiatives like recommendations.
**WHO YOU ARE**
---------------
* **Familiarity with Python and SQL**, particularly in the context of data science and analytics
* **Self\-sufficiency**. You feel comfortable owning a problem end\-to\-end, identifying the right approach, writing transformation logic to create a dataset, building a model, and a tool to consume its output.
* **Experience working with a cloud\-based data warehouse**, like BigQuery or Snowflake. We use BigQuery with dbt for transformation and Dagster for orchestration.
* **Demonstrable experience using data science to solve a business problem**. This does not need to be cutting\-edge ML. We're looking for someone who can evaluate tradeoffs and choose the right solution for the problem, even if that's rule\-based logic.
* **Adept at leveraging AI** both to accelerate your own work and to automate data science and analytics workflows. Expect to use AI regularly in this role to understand new problem spaces and common approaches, write code and documentation, and build tools.
* **Some experience with experiment design and measurement.**
NICE TO HAVES:
* Experience with data and analytics in the context of a recurring subscription business model
* Prior exposure to methodologies like survival analysis for retention measurement, Markov Chains for multi\-touch attribution, frameworks for measuring and segmenting engagement levels
* Experience with tools in our stack — BigQuery, dbt, Dagster, Hightouch, Looker
If you think you have what it takes, but don't meet every single point in our job posting, please apply with a cover letter to let us know how you believe you can bring your unique skills to the Vox Media team or get in touch!
**WHERE YOU'LL WORK**
---------------------
**This job is remote.**
**WHY VOX MEDIA?**
==================
**WHAT WE OFFER**
-----------------
**This is a permanent, full\-time position**. This job is benefits\-eligible. We pride ourselves in providing comprehensive benefits to support all of our employees wherever they are in life. You can find more information about our benefits here.
**OUR DEI\+ COMMITMENT**
------------------------
Vox Media is committed to building an inclusive environment where everyone can show up as their authentic selves and create their best work. We recognize that great stories, platforms, products and services come from people with all manner of backgrounds and experiences. We recognize that our commitments require ongoing work and sustained attention, as well as adaptation to new insights and best practices. We keep data regarding the demographics of our employees public and you can access it here. Learn more about our approach to corporate citizenship here.
Vox Media is an Equal Opportunity Employer and qualified applicants will receive consideration without regard to race, color, gender, sexual orientation, gender identity or expression, religion, disability, national origin, protected veteran status, age, or any other status protected by applicable national, federal, state, or local law. Vox Media will also consider all qualified applicants with criminal histories in accordance with applicable Fair Chance laws. We are also committed to providing reasonable accommodations as part of the application process to candidates with disabilities. If you require a reasonable accommodation as part of the application process, please contact our People \&amp; Culture team (recruitment@voxmedia.com).
**WHAT COMES NEXT**
-------------------
Our recruiting team will go through applications in a timely manner. Please note that our recruiting team will only contact you from @voxmedia.com email addresses, never via text message. Read more about how our recruiting team operates, and how to protect yourself from recruitment fraud, here.</t>
        </is>
      </c>
    </row>
    <row r="104">
      <c r="A104" t="inlineStr">
        <is>
          <t>in-314c58ca6f5384b2</t>
        </is>
      </c>
      <c r="B104" t="inlineStr">
        <is>
          <t>Sr Data Scientist</t>
        </is>
      </c>
      <c r="C104" t="inlineStr">
        <is>
          <t>WebstaurantStore</t>
        </is>
      </c>
      <c r="D104" t="inlineStr">
        <is>
          <t>indeed</t>
        </is>
      </c>
      <c r="E104" t="inlineStr"/>
      <c r="F104" t="inlineStr"/>
      <c r="G104" t="inlineStr">
        <is>
          <t>Lititz, PA, US</t>
        </is>
      </c>
      <c r="H104" s="2" t="n">
        <v>46061</v>
      </c>
      <c r="I104"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5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05">
      <c r="A105" t="inlineStr">
        <is>
          <t>in-d92f78b17641b892</t>
        </is>
      </c>
      <c r="B105" t="inlineStr">
        <is>
          <t>Data Scientist - Pricing</t>
        </is>
      </c>
      <c r="C105" t="inlineStr">
        <is>
          <t>WebstaurantStore</t>
        </is>
      </c>
      <c r="D105" t="inlineStr">
        <is>
          <t>indeed</t>
        </is>
      </c>
      <c r="E105" t="inlineStr"/>
      <c r="F105" t="inlineStr"/>
      <c r="G105" t="inlineStr">
        <is>
          <t>Lititz, PA, US</t>
        </is>
      </c>
      <c r="H105" s="2" t="n">
        <v>46061</v>
      </c>
      <c r="I105"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2 years experience applying data science to pricing and demand problems in ecommerce, retail, or foodservice environments.
* Proven ability to build and analyze price response curves or similar models to identify optimal pricing across a wide range of products.
* Experience using data to inform pricing strategy and day\-to\-day pricing decisions, even if not the final decision owner.
* Strong understanding of price elasticity, demand forecasting, and trade\-offs between margin, volume, and customer acquisition.
* Demonstrated ability to identify strategic low\-priced items that drive customer traffic, alongside optimizing prices for both low and high AOV products.
* Comfortable working with large SKU catalogs and messy real\-world data to deliver actionable pricing insights.
* Ability to partner closely with merchants, and other teams to translate model outputs into business decisions.
* Advanced Python and SQL skills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06">
      <c r="A106" t="inlineStr">
        <is>
          <t>in-0026d7f1f9e4e3dc</t>
        </is>
      </c>
      <c r="B106" t="inlineStr">
        <is>
          <t>Data Scientist - Marketing</t>
        </is>
      </c>
      <c r="C106" t="inlineStr">
        <is>
          <t>WebstaurantStore</t>
        </is>
      </c>
      <c r="D106" t="inlineStr">
        <is>
          <t>indeed</t>
        </is>
      </c>
      <c r="E106" t="inlineStr"/>
      <c r="F106" t="inlineStr"/>
      <c r="G106" t="inlineStr">
        <is>
          <t>Lititz, PA, US</t>
        </is>
      </c>
      <c r="H106" s="2" t="n">
        <v>46061</v>
      </c>
      <c r="I106"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Maintaining and updating our in\-house Media Mix Models (MMM) and Multi\-Touch Attribution (MTA) models to ensure they reflect the current state of marketing spend and value
* Designing, implementing, and analyzing lift / blackout / other experiments to continually improve our attribution models
* Partnering with business and technical stakeholders, including our Google account team, to translate complex retail challenges into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2 years of professional experience in Data Science, or a PhD in mathematics, statistics, economics, or a related quantitative field.
* Advanced proficiency in Python and SQL, with strong foundation in statistical methods and advanced modeling techniques applied to marketing and growth problems.
* Hands\-on experience with experimentation and causal inference frameworks, including incrementality testing, geo experiments, holdout designs, or quasi\-experimental methods.
* Proven ability to partner with paid marketing teams to design, execute, and analyze experiments that inform budget allocation and channel strategy.
* Experience building, evaluating, or refining Media Mix Models (MMM) and/or Multi\-Touch Attribution (MTA) models to quantify marketing impact and reduce uncertainty.
* Ability to translate complex model outputs into clear, credible insights that drive stakeholder buy\-in and influence marketing decision\-making, even without direct ownership of spend.
* Comfortable navigating trade\-offs between model rigor, business timelines, and practical adoption by paid media stakeholders.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07">
      <c r="A107" t="inlineStr">
        <is>
          <t>in-5da5de179e25e6f1</t>
        </is>
      </c>
      <c r="B107" t="inlineStr">
        <is>
          <t>Data Scientist - Senior</t>
        </is>
      </c>
      <c r="C107" t="inlineStr">
        <is>
          <t>Leidos</t>
        </is>
      </c>
      <c r="D107" t="inlineStr">
        <is>
          <t>indeed</t>
        </is>
      </c>
      <c r="E107" t="inlineStr"/>
      <c r="F107" t="inlineStr"/>
      <c r="G107" t="inlineStr">
        <is>
          <t>Fort Meade, MD, US</t>
        </is>
      </c>
      <c r="H107" s="2" t="n">
        <v>46061</v>
      </c>
      <c r="I107"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If this sounds like the kind of environment where you can thrive, keep reading!
 **The Opportunity**  
Are you ready to shape the future of global security? The Leidos Intelligence Sector is seeking a highly motivated **Data Scientist** **\- Senior** for USCYBERCOM CORRS to conduct advanced data analytics, data engineering, data mining, exploratory and predictive analysis, and statistical analysis in support of informed analytic and operational decision\-making. The Data Scientist will employ scientific techniques to correlate complex multi\-source data, producing graphical, written, visual, and verbal narrative products. This role requires proactively retrieving, integrating, and analyzing data from a wide variety of internal and external sources, and building artificial intelligence (AI) and machine learning (ML) tools that automate processes and enable enhanced mission effectiveness.
Join a team where your "greatest work" isn't just a slogan—it’s our daily standard.
**Contract Status: Proposal Phase/Contingent Upon Award.**  
**Security Clearance: Active DoD TS/SCI with Polygraph required. We are not able to sponsor the clearance requirement.**
 **What you'll be doing:**
Conduct data analytics, data engineering, data mining, exploratory analysis, predictive analysis, and statistical analysis to uncover insights and enable data\-driven decisions. Use scientific methods to transform raw data into actionable narrative products, including graphical, visual, written, and verbal reports tailored for stakeholders. Retrieve, manage, and merge data from disparate sources to build comprehensive and accurate datasets for analysis. Design, develop, and implement ML\-based tools and processes, such as recommendation engines, automated lead scoring systems, and predictive analytics solutions. Perform statistical analysis and data mining techniques to identify patterns, trends, correlations, and build high\-quality prediction systems supporting mission\-critical objectives. Present analytic findings using advanced data visualization tools and graphical applications to intuitively communicate complex information. Document Operating Instructions (OIs) for command\-wide programs and initiatives as assigned by the Government. Collaborate with analysts, engineers, and operations personnel to align analytic models and tools with mission requirements and evolving data needs. Stay abreast of advancements in data science, ML/AI technologies, and analytic tools to continuously improve analytic capabilities and workflows.
 **Needed Experience, Skills, and Education:**
* Minimum 12 years of experience related to the specific labor category with at least a portion of the experience within the last 2 years.
* Master’s degree in an area related to the labor category from a college or university accredited by an agency recognized by the U.S. Department of Education; or have Bachelor’s degree related to the labor category from a college or university accredited by an agency recognized by the U.S. Department of Education and an additional 5 years of related senior experience, for a total of 17 years, as a substitute to the Master’s degree. Additional years of experience may be considered in lieu of degree.
* Proficiency in data visualization and graphical applications, such as Microsoft Office (Power BI), Tableau, or equivalent tools.
* Experience with data science programming languages, such as R and Python.
* Advanced skills in managing, merging, and analyzing disparate data sources, preferably through R, Python, or SQL.
* Demonstrated expertise in applying statistical analysis, data mining algorithms, and machine learning to large, multi\-source intelligence datasets. Prior experience with Multi\-INT analytics, ML, automated and predictive analytics in a large\-scale or defense/intelligence environment.
* Prior experience with Multi\-INT analytics, ML, automated and predictive analytics in a large\-scale or defense/intelligence environment.
**Clearance Needed:** **Active DoD TS/SCI with Polygraph required. We are not able to sponsor the clearance requirement.**
 **Preferred Experience, Skills, and Education:**
* Deep familiarity with USCYBERCOM organizational structure and mission.
* Prior experience supporting Joint operations across multiple warfighting domains.
* Knowledge of cloud computing deployment models in private, public, and hybrid environment and the difference between on\-premises and off\-premises environments.
* Knowledge of cloud computing service models Software as Service (SaaS), Infrastructure as a Service (IaaS), and Platform as a Service (PaaS).
* Knowledge of computer networking concepts and protocols, and network security methodologies.
* Knowledge of cyber threats and vulnerabilities.
* Knowledge of cybersecurity principles.
* Knowledge of national and international laws, regulations, policies, and ethics as they relate to cybersecurity.
* Knowledge of risk management processes (e.g., methods for assessing and mitigating risk).
* Knowledge of specific operational impacts of cybersecurity lapses.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$116,350\.00 \- $210,325\.00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8">
      <c r="A108" t="inlineStr">
        <is>
          <t>in-074440c83091e961</t>
        </is>
      </c>
      <c r="B108" t="inlineStr">
        <is>
          <t>Senior Data Scientist</t>
        </is>
      </c>
      <c r="C108" t="inlineStr">
        <is>
          <t>Bloomberg Industry Group</t>
        </is>
      </c>
      <c r="D108" t="inlineStr">
        <is>
          <t>indeed</t>
        </is>
      </c>
      <c r="E108" t="inlineStr"/>
      <c r="F108" t="inlineStr"/>
      <c r="G108" t="inlineStr">
        <is>
          <t>Arlington, VA, US</t>
        </is>
      </c>
      <c r="H108" s="2" t="n">
        <v>46061</v>
      </c>
      <c r="I108" t="inlineStr">
        <is>
          <t>You are a research scientist and engineer who wants to work in the areas of machine learning, natural language processing, information, extraction, graphical models, summarization, information retrieval, recommend systems, and/or knowledge graphs. You will bring new ideas, evangelizing them, and shepherding their adoption within the team. You extract and identify relevant, meaningful, and actionable information from structured and unstructured data in real\-time and provide advanced ways of accessing this data (such as search, summarization, and recommendations).
What you will do:* Write code (Python, R, SQL, Java, etc.) to obtain, clean, manipulate, and analyze data.
* Retrieve, synthesize, and present critical data in a format that is immediately useful to answering specific questions or improving system performance.
* Analyze and interpret historical data to identify trends and support optimal decision making.
* Drive the development of machine learning and statistical models to solve specific business problems.
* Leverage AI/LLM frameworks to develop internal and external solutions.
* Capitalize on opportunities for improving workflows to increase data quality, accuracy, and timeliness.
* Lead experiments to test hypotheses and measure the effectiveness of solutions.
* Formalize assumptions about how our systems should work, create statistical definitions of outliers, and develop methods to systematically identify outliers. Determine why such examples are outliers and if action is needed.
* Partner with engineering teams to help implement end\-to\-end pipelines.
* Champion collaboration across teams to deliver enhancements, features, and time\-sensitive projects.
* Deliver reports or presentations to share insights to audiences of varying levels of technical sophistication.
* Maintain a portfolio of self\-directed projects that are aligned with business goals.
* Take ownership of technical solutions and direct machine learning strategy for the team.
* Drive team innovation through training, mentoring, and knowledge\-sharing exercises with colleagues.
You Need to Have:* Master’s degree in Data Science, Statistics, Computer Science, Mathematics, or a related field.
* 7\+ years of experience of applied data science experience working with large projects and diverse data sets, including preprocessing, cleansing, and verifying the integrity of data.
* Strong proficiency in Python and SQL, R, or Java, and experience with data analysis libraries (pandas, NumPy, scikit\-learn).
* Experience with data visualization tools (Tableau, Power BI, QuickSight, matplotlib, seaborn).
* Experience with Database Management Systems (Oracle, PostgreSQL, MySQL, Redshift, etc.).
* Experience with distributed computational frameworks (YARN, Spark, Hadoop, Kubernetes, Docker), cloud\-based computing (Apache Solr, Lucene, or Elasticsearch).
* Knowledge of descriptive and inferential statistics, regression, supervised and unsupervised learning methods, multivariate and univariate hypothesis testing.
* Experience selecting features and building training sets for developing machine learning models.
* Experience with machine learning engineering
* Excellent understanding of ML algorithms (e.g. KNN, Naive Bayes, decision trees, ensemble models, clustering) and the ability to select the best methods for a business problem.
* Extensive knowledge of leading open\-source data analysis tools, ML libraries, and NLP processing techniques (including topic modeling and summarization).
* Knowledge of advanced concepts such as weakly supervised learning, reinforcement learning, and deep learning.
* Familiarity with Databricks, Spark, or other similar big data platforms.
* Effective project management skills and ability to prioritize tasks.
* Ability to work quickly, accurately, and efficiently in a fast\-paced environment with shifting priorities.
* Strong problem\-solving and analytical skills.
* Excellent communication skills, with the ability to explain complex concepts to non\-technical stakeholders.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row>
    <row r="109">
      <c r="A109" t="inlineStr">
        <is>
          <t>in-e16d73e4c509f023</t>
        </is>
      </c>
      <c r="B109" t="inlineStr">
        <is>
          <t>Data Scientist, Marketing</t>
        </is>
      </c>
      <c r="C109" t="inlineStr">
        <is>
          <t>Terminix</t>
        </is>
      </c>
      <c r="D109" t="inlineStr">
        <is>
          <t>indeed</t>
        </is>
      </c>
      <c r="E109" t="inlineStr"/>
      <c r="F109" t="inlineStr"/>
      <c r="G109" t="inlineStr">
        <is>
          <t>Atlanta, GA, US</t>
        </is>
      </c>
      <c r="H109" s="2" t="n">
        <v>46061</v>
      </c>
      <c r="I109" t="inlineStr">
        <is>
          <t>**Benefits Start Day 1 for Full\-Time Colleagues \- No Waiting Period!**
*For more information about our benefits, see below!*
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
This role will be responsible to apply their analytical and technical skills to solve real\-world business problems. The Data Scientist will work closely with stakeholders to collect, clean, analyze, and interpret data, and contribute to the development and deployment of ML models and data\-driven solutions. This role requires a strong foundation in statistical analysis, machine learning concepts, and programming, along with a passion for learning and exploring data.
Duties \&amp; Responsibilities
Candidate Requirements
Education
Experience
Physical Demands and Working Conditions
The physical demands are representative of those that must be met by an employee to perform the essential function to this job. Reasonable accommodations may be made to enable individuals with disabilities to perform the essential functions.
*Incumbent must be prepared to:*
*Incumbent is required to have:*
*Incumbent will be subject to:*
* Assist in the collection, cleaning, and preprocessing of large and complex datasets from various sources.
* Conduct exploratory data analysis (EDA) to identify patterns, trends, and insights in the data.
* Apply statistical techniques and machine learning algorithms to build predictive models, perform classification, clustering, and other data analysis tasks.
* Development and validation of machine learning models (Supervised and Unsupervised), and other categories such as Ensemble Methods, and Time\-series models.
* Collaborate with other data scientists and other team members to define project requirements and objectives.
* Communicate findings and insights effectively through visualizations, reports, and presentations.
* Stay up\-to\-date with the latest advancements in data science, machine learning, and related technologies.
* Document code, methodologies, and results clearly and concisely.
* Participate in the deployment and monitoring of data science models and solutions.
* Contribute to the development of data\-driven products and features.
* Assist in the evaluation of new data sources and technologies.
* Independently plan and execute work across multiple projects, stakeholders, and functional areas
* Bachelor's or Master's degree in a quantitative field such as Data Science, Statistics, Mathematics, Computer Science, Engineering, Economics, or a related discipline.
* 3\+ years of relevant experience in data analysis, statistical modeling, or machine learning.
* Strong understanding of statistical concepts, probability theory, and experimental design.
* Familiarity with machine learning algorithms (e.g., regression guy, classification, clustering, dimensionality reduction).
* Proficiency in at least one programming language commonly used in data science (e.g., Python, R).
* Experience with data manipulation and analysis libraries (e.g., Pandas, NumPy, SciPy in Python; dplyr, tidyr in R).
* Familiarity with data visualization libraries (e.g., Matplotlib, Seaborn, Plotly in Python; ggplot2 in R).
* Basic understanding of database concepts and SQL.
* Strong analytical and problem\-solving skills with the ability to work with imperfect data.
* Excellent written and verbal communication skills, with the ability to explain technical concepts to non\-technical audiences.
* Ability to work independently and collaboratively within a team environment.
* A strong desire to learn and grow in the field of data science.
* Experience with cloud computing platforms (e.g., AWS, Azure, GCP). (preferred)
* Familiarity with big data technologies (e.g., Spark, Hadoop). (preferred)
* Experience with version control systems (e.g., Git). (preferred)
* Knowledge of specific industry domains relevant to the company. (preferred)
* Experience with deploying machine learning models into production. (preferred)
* Move up to 10 pounds occasionally, by lifting, carrying, pushing, pulling, or otherwise repositioning objects.
* Sitting for long periods of time while using office equipment such as computers, phones and etc.
* Performing repetitive motions involving the wrists, hands, and fingers, such as typing, picking, and pinching, within your regular work environment.
* Express or exchange ideas with others through the use of spoken word, quickly, accurately, and at an easily audible volume, and receive detailed information through oral communication at usual speaking levels without correction, and/or make fine discriminations in the nature of sounds in the environment.
* Near\-range visual acuity for detailed tasks and ability to perform activities with precision such as analyzing data, viewing computer screens or reading extensively.
* Inside working conditions: The change of building environment such as with or without air conditioning and heating.
* Additional Job Description
Additional Job Description
This role will be responsible to apply their analytical and technical skills to solve real\-world business problems. The Data Scientist will work closely with stakeholders to collect, clean, analyze, and interpret data, and contribute to the development and deployment of ML models and data\-driven solutions. This role requires a strong foundation in statistical analysis, machine learning concepts, and programming, along with a passion for learning and exploring data.
Duties \&amp; Responsibilities
	+ Assist in the collection, cleaning, and preprocessing of large and complex datasets from various sources.
	+ Conduct exploratory data analysis (EDA) to identify patterns, trends, and insights in the data.
	+ Apply statistical techniques and machine learning algorithms to build predictive models, perform classification, clustering, and other data analysis tasks.
	+ Development and validation of machine learning models (Supervised and Unsupervised), and other categories such as Ensemble Methods, and Time\-series models.
	+ Collaborate with other data scientists and other team members to define project requirements and objectives.
	+ Communicate findings and insights effectively through visualizations, reports, and presentations.
	+ Stay up\-to\-date with the latest advancements in data science, machine learning, and related technologies.
	+ Document code, methodologies, and results clearly and concisely.
	+ Participate in the deployment and monitoring of data science models and solutions.
	+ Contribute to the development of data\-driven products and features.
	+ Assist in the evaluation of new data sources and technologies.
	+ Independently plan and execute work across multiple projects, stakeholders, and functional areas
Candidate Requirements
Education
	+ Bachelor's or Master's degree in a quantitative field such as Data Science, Statistics, Mathematics, Computer Science, Engineering, Economics, or a related discipline.
Experience
	+ 3\+ years of relevant experience in data analysis, statistical modeling, or machine learning.
	+ Strong understanding of statistical concepts, probability theory, and experimental design.
	+ Familiarity with machine learning algorithms (e.g., regression, classification, clustering, dimensionality reduction).
	+ Proficiency in at least one programming language commonly used in data science (e.g., Python, R).
	+ Experience with data manipulation and analysis libraries (e.g., Pandas, NumPy, SciPy in Python; dplyr, tidyr in R).
	+ Familiarity with data visualization libraries (e.g., Matplotlib, Seaborn, Plotly in Python; ggplot2 in R).
	+ Basic understanding of database concepts and SQL.
	+ Strong analytical and problem\-solving skills with the ability to work with imperfect data.
	+ Excellent written and verbal communication skills, with the ability to explain technical concepts to non\-technical audiences.
	+ Ability to work independently and collaboratively within a team environment.
	+ A strong desire to learn and grow in the field of data science.
	+ Experience with cloud computing platforms (e.g., AWS, Azure, GCP). (preferred)
	+ Familiarity with big data technologies (e.g., Spark, Hadoop). (preferred)
	+ Experience with version control systems (e.g., Git). (preferred)
	+ Knowledge of specific industry domains relevant to the company. (preferred)
	+ Experience with deploying machine learning models into production. (preferred)
Physical Demands and Working Conditions
The physical demands are representative of those that must be met by an employee to perform the essential function to this job. Reasonable accommodations may be made to enable individuals with disabilities to perform the essential functions.
*Incumbent must be prepared to:*
	+ Move up to 10 pounds occasionally, by lifting, carrying, pushing, pulling, or otherwise repositioning objects.
	+ Sitting for long periods of time while using office equipment such as computers, phones and etc.
	+ Performing repetitive motions involving the wrists, hands, and fingers, such as typing, picking, and pinching, within your regular work environment.
	+ Express or exchange ideas with others through the use of spoken word, quickly, accurately, and at an easily audible volume, and receive detailed information through oral communication at usual speaking levels without correction, and/or make fine discriminations in the nature of sounds in the environment.*Incumbent is required to have:*
	+ Near\-range visual acuity for detailed tasks and ability to perform activities with precision such as analyzing data, viewing computer screens or reading extensively.*Incumbent will be subject to:*
	+ Inside working conditions: The change of building environment
**Base Pay Range**
------------------
Yearly: $120,000\.00 \- $150,000\.00
While starting pay falls within the given range, it can vary based on factors like geographic location, skills, education, and experience. Total earnings may also be affected by overtime, incentives, commissions, performance, and route assignment (where applicable).
**Why Choose Us?**  
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  
Below you'll find information about some of what we have to offer. All Full\-Time Colleagues qualify for the following and Part\-Time Colleagues qualify for most benefits after they meet certain criteria.  
Click here to read more about our Total Rewards Program which includes:  
**Professional and Personal Growth**
* Multiple avenues to grow your career
* Training and development programs available
* Tuition Reimbursement benefits (for FT Colleagues)
 **Health and Wellness**
* Full\-time colleagues are eligible to begin enrollment immediately upon hire with benefits starting on day 1
* Health benefits including Medical, Dental, Vision, Disability, and Life Insurance plus much more
 **Savings and Retirement**
* 401(k) retirement plan with company\-matching contributions
**Work\-Life Balance**
* Vacation days \&amp; sick days
* Company\-paid holidays \&amp; floating holidays
* A company mindset that prioritizes health, safety, and flexibility
We are looking for individuals who want to make a difference where our customers live and work. Is that you?
This company is a Drug Free workplace.
Rentokil is committed to complying with all Federal, State, and local laws related to the employment of qualified individuals with disabilities.
California residents click here to review your privacy rights.
It is unlawful in Massachusetts to require or administer a lie detector test as a condition of employment or continued employment. An employer who violates this law shall be subject to criminal penalties and civil liability.
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t>
        </is>
      </c>
    </row>
    <row r="110">
      <c r="A110" t="inlineStr">
        <is>
          <t>in-303cd2bb32b36ee4</t>
        </is>
      </c>
      <c r="B110" t="inlineStr">
        <is>
          <t>Data Scientist, Marketing</t>
        </is>
      </c>
      <c r="C110" t="inlineStr">
        <is>
          <t>Terminix</t>
        </is>
      </c>
      <c r="D110" t="inlineStr">
        <is>
          <t>indeed</t>
        </is>
      </c>
      <c r="E110" t="inlineStr"/>
      <c r="F110" t="inlineStr"/>
      <c r="G110" t="inlineStr">
        <is>
          <t>Chicago, IL, US</t>
        </is>
      </c>
      <c r="H110" s="2" t="n">
        <v>46061</v>
      </c>
      <c r="I110" t="inlineStr">
        <is>
          <t>**Benefits Start Day 1 for Full\-Time Colleagues \- No Waiting Period!**
*For more information about our benefits, see below!*
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
This role will be responsible to apply their analytical and technical skills to solve real\-world business problems. The Data Scientist will work closely with stakeholders to collect, clean, analyze, and interpret data, and contribute to the development and deployment of ML models and data\-driven solutions. This role requires a strong foundation in statistical analysis, machine learning concepts, and programming, along with a passion for learning and exploring data.
Duties \&amp; Responsibilities
Candidate Requirements
Education
Experience
Physical Demands and Working Conditions
The physical demands are representative of those that must be met by an employee to perform the essential function to this job. Reasonable accommodations may be made to enable individuals with disabilities to perform the essential functions.
*Incumbent must be prepared to:*
*Incumbent is required to have:*
*Incumbent will be subject to:*
* Assist in the collection, cleaning, and preprocessing of large and complex datasets from various sources.
* Conduct exploratory data analysis (EDA) to identify patterns, trends, and insights in the data.
* Apply statistical techniques and machine learning algorithms to build predictive models, perform classification, clustering, and other data analysis tasks.
* Development and validation of machine learning models (Supervised and Unsupervised), and other categories such as Ensemble Methods, and Time\-series models.
* Collaborate with other data scientists and other team members to define project requirements and objectives.
* Communicate findings and insights effectively through visualizations, reports, and presentations.
* Stay up\-to\-date with the latest advancements in data science, machine learning, and related technologies.
* Document code, methodologies, and results clearly and concisely.
* Participate in the deployment and monitoring of data science models and solutions.
* Contribute to the development of data\-driven products and features.
* Assist in the evaluation of new data sources and technologies.
* Independently plan and execute work across multiple projects, stakeholders, and functional areas
* Bachelor's or Master's degree in a quantitative field such as Data Science, Statistics, Mathematics, Computer Science, Engineering, Economics, or a related discipline.
* 3\+ years of relevant experience in data analysis, statistical modeling, or machine learning.
* Strong understanding of statistical concepts, probability theory, and experimental design.
* Familiarity with machine learning algorithms (e.g., regression guy, classification, clustering, dimensionality reduction).
* Proficiency in at least one programming language commonly used in data science (e.g., Python, R).
* Experience with data manipulation and analysis libraries (e.g., Pandas, NumPy, SciPy in Python; dplyr, tidyr in R).
* Familiarity with data visualization libraries (e.g., Matplotlib, Seaborn, Plotly in Python; ggplot2 in R).
* Basic understanding of database concepts and SQL.
* Strong analytical and problem\-solving skills with the ability to work with imperfect data.
* Excellent written and verbal communication skills, with the ability to explain technical concepts to non\-technical audiences.
* Ability to work independently and collaboratively within a team environment.
* A strong desire to learn and grow in the field of data science.
* Experience with cloud computing platforms (e.g., AWS, Azure, GCP). (preferred)
* Familiarity with big data technologies (e.g., Spark, Hadoop). (preferred)
* Experience with version control systems (e.g., Git). (preferred)
* Knowledge of specific industry domains relevant to the company. (preferred)
* Experience with deploying machine learning models into production. (preferred)
* Move up to 10 pounds occasionally, by lifting, carrying, pushing, pulling, or otherwise repositioning objects.
* Sitting for long periods of time while using office equipment such as computers, phones and etc.
* Performing repetitive motions involving the wrists, hands, and fingers, such as typing, picking, and pinching, within your regular work environment.
* Express or exchange ideas with others through the use of spoken word, quickly, accurately, and at an easily audible volume, and receive detailed information through oral communication at usual speaking levels without correction, and/or make fine discriminations in the nature of sounds in the environment.
* Near\-range visual acuity for detailed tasks and ability to perform activities with precision such as analyzing data, viewing computer screens or reading extensively.
* Inside working conditions: The change of building environment such as with or without air conditioning and heating.
* Additional Job Description
Additional Job Description
This role will be responsible to apply their analytical and technical skills to solve real\-world business problems. The Data Scientist will work closely with stakeholders to collect, clean, analyze, and interpret data, and contribute to the development and deployment of ML models and data\-driven solutions. This role requires a strong foundation in statistical analysis, machine learning concepts, and programming, along with a passion for learning and exploring data.
Duties \&amp; Responsibilities
	+ Assist in the collection, cleaning, and preprocessing of large and complex datasets from various sources.
	+ Conduct exploratory data analysis (EDA) to identify patterns, trends, and insights in the data.
	+ Apply statistical techniques and machine learning algorithms to build predictive models, perform classification, clustering, and other data analysis tasks.
	+ Development and validation of machine learning models (Supervised and Unsupervised), and other categories such as Ensemble Methods, and Time\-series models.
	+ Collaborate with other data scientists and other team members to define project requirements and objectives.
	+ Communicate findings and insights effectively through visualizations, reports, and presentations.
	+ Stay up\-to\-date with the latest advancements in data science, machine learning, and related technologies.
	+ Document code, methodologies, and results clearly and concisely.
	+ Participate in the deployment and monitoring of data science models and solutions.
	+ Contribute to the development of data\-driven products and features.
	+ Assist in the evaluation of new data sources and technologies.
	+ Independently plan and execute work across multiple projects, stakeholders, and functional areas
Candidate Requirements
Education
	+ Bachelor's or Master's degree in a quantitative field such as Data Science, Statistics, Mathematics, Computer Science, Engineering, Economics, or a related discipline.
Experience
	+ 3\+ years of relevant experience in data analysis, statistical modeling, or machine learning.
	+ Strong understanding of statistical concepts, probability theory, and experimental design.
	+ Familiarity with machine learning algorithms (e.g., regression, classification, clustering, dimensionality reduction).
	+ Proficiency in at least one programming language commonly used in data science (e.g., Python, R).
	+ Experience with data manipulation and analysis libraries (e.g., Pandas, NumPy, SciPy in Python; dplyr, tidyr in R).
	+ Familiarity with data visualization libraries (e.g., Matplotlib, Seaborn, Plotly in Python; ggplot2 in R).
	+ Basic understanding of database concepts and SQL.
	+ Strong analytical and problem\-solving skills with the ability to work with imperfect data.
	+ Excellent written and verbal communication skills, with the ability to explain technical concepts to non\-technical audiences.
	+ Ability to work independently and collaboratively within a team environment.
	+ A strong desire to learn and grow in the field of data science.
	+ Experience with cloud computing platforms (e.g., AWS, Azure, GCP). (preferred)
	+ Familiarity with big data technologies (e.g., Spark, Hadoop). (preferred)
	+ Experience with version control systems (e.g., Git). (preferred)
	+ Knowledge of specific industry domains relevant to the company. (preferred)
	+ Experience with deploying machine learning models into production. (preferred)
Physical Demands and Working Conditions
The physical demands are representative of those that must be met by an employee to perform the essential function to this job. Reasonable accommodations may be made to enable individuals with disabilities to perform the essential functions.
*Incumbent must be prepared to:*
	+ Move up to 10 pounds occasionally, by lifting, carrying, pushing, pulling, or otherwise repositioning objects.
	+ Sitting for long periods of time while using office equipment such as computers, phones and etc.
	+ Performing repetitive motions involving the wrists, hands, and fingers, such as typing, picking, and pinching, within your regular work environment.
	+ Express or exchange ideas with others through the use of spoken word, quickly, accurately, and at an easily audible volume, and receive detailed information through oral communication at usual speaking levels without correction, and/or make fine discriminations in the nature of sounds in the environment.*Incumbent is required to have:*
	+ Near\-range visual acuity for detailed tasks and ability to perform activities with precision such as analyzing data, viewing computer screens or reading extensively.*Incumbent will be subject to:*
	+ Inside working conditions: The change of building environment
**Base Pay Range**
------------------
Yearly: $120,000\.00 \- $150,000\.00
While starting pay falls within the given range, it can vary based on factors like geographic location, skills, education, and experience. Total earnings may also be affected by overtime, incentives, commissions, performance, and route assignment (where applicable).
**Why Choose Us?**  
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  
Below you'll find information about some of what we have to offer. All Full\-Time Colleagues qualify for the following and Part\-Time Colleagues qualify for most benefits after they meet certain criteria.  
Click here to read more about our Total Rewards Program which includes:  
**Professional and Personal Growth**
* Multiple avenues to grow your career
* Training and development programs available
* Tuition Reimbursement benefits (for FT Colleagues)
 **Health and Wellness**
* Full\-time colleagues are eligible to begin enrollment immediately upon hire with benefits starting on day 1
* Health benefits including Medical, Dental, Vision, Disability, and Life Insurance plus much more
 **Savings and Retirement**
* 401(k) retirement plan with company\-matching contributions
**Work\-Life Balance**
* Vacation days \&amp; sick days
* Company\-paid holidays \&amp; floating holidays
* A company mindset that prioritizes health, safety, and flexibility
We are looking for individuals who want to make a difference where our customers live and work. Is that you?
This company is a Drug Free workplace.
Rentokil is committed to complying with all Federal, State, and local laws related to the employment of qualified individuals with disabilities.
California residents click here to review your privacy rights.
It is unlawful in Massachusetts to require or administer a lie detector test as a condition of employment or continued employment. An employer who violates this law shall be subject to criminal penalties and civil liability.
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t>
        </is>
      </c>
    </row>
    <row r="111">
      <c r="A111" t="inlineStr">
        <is>
          <t>in-1ab103681e6e30e9</t>
        </is>
      </c>
      <c r="B111" t="inlineStr">
        <is>
          <t>Data Scientist, Apple Services Digital Marketing</t>
        </is>
      </c>
      <c r="C111" t="inlineStr">
        <is>
          <t>Apple</t>
        </is>
      </c>
      <c r="D111" t="inlineStr">
        <is>
          <t>indeed</t>
        </is>
      </c>
      <c r="E111" t="inlineStr"/>
      <c r="F111" t="inlineStr"/>
      <c r="G111" t="inlineStr">
        <is>
          <t>Culver City, CA, US</t>
        </is>
      </c>
      <c r="H111" s="2" t="n">
        <v>46061</v>
      </c>
      <c r="I111" t="inlineStr">
        <is>
          <t>Imagine what you could do here. At Apple, new ideas have a way of becoming extraordinary products, services, and customer experiences very quickly. You bring passion and dedication to your job and there's no telling what you could accomplish.  
We're seeking a data scientist.  
**Description**  
Apple is seeking a data scientist to work on the Apple Services Digital Marketing team to help us understand public consumer feedback at scale, excavate insights to optimize our marketing and products, and monitor external brand relevancy. This person must have a deep understanding of statistics, machine learning techniques, digital marketing data and NLP to identify actionable insights and have the ability to successfully evangelize, educate, and enable within a very large organization.","responsibilities":"Build and maintain data driven optimization models, experiments, forecasting algorithms and machine learning models to better campaign performance, identify trends and optimize strategy.  
Provide causal analysis to evaluate the impact of various marketing initiatives, including both organic and paid placements.  
Design and continuously improve models that measure upper and mid\-funnel marketing impact, integrating multiple metrics and diverse data sources in both structured and unstructured formats.  
Collaborate with cross\-functional teams to propose solutions that address business problems.  
Assess business needs and translate model outputs into tangible and actionable insights and reports for both marketing and product teams.  
**Preferred Qualifications**  
Familiarity with marketing measurement frameworks such as marketing mix modeling and attribution models.  
Ability to partner and communicate effectively with cross\-functional teams across marketing and engineering functions.  
Proficiency in code collaboration /version control systems (e.g., Git, Github, GitLab).  
**Minimum Qualifications**  
Bachelor’s degree with 3 years of experience in the data science field, or a Master’s degree in Data Science, Computer Science, or a related field with 2 years of experience.  
Strong foundation in probability and statistics.  
Proficiency in SQL and Python or R to work with large data sets.  
Knowledge around supervised and unsupervised machine learning algorithms (regression, classification, clustering, decision trees, neural networks, etc).  
Understanding of digital marketing data and KPIs, including Social, SEO, and Paid Media.  
Ability to both solve problems with an analytical mind set and clearly explain findings and methodologies to technical and creative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$134,800 and $203,000,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2">
      <c r="A112" t="inlineStr">
        <is>
          <t>in-43dbd498783f7df1</t>
        </is>
      </c>
      <c r="B112" t="inlineStr">
        <is>
          <t>Data Scientist, Subscription Analytics</t>
        </is>
      </c>
      <c r="C112" t="inlineStr">
        <is>
          <t>Apple</t>
        </is>
      </c>
      <c r="D112" t="inlineStr">
        <is>
          <t>indeed</t>
        </is>
      </c>
      <c r="E112" t="inlineStr"/>
      <c r="F112" t="inlineStr"/>
      <c r="G112" t="inlineStr">
        <is>
          <t>Cupertino, CA, US</t>
        </is>
      </c>
      <c r="H112" s="2" t="n">
        <v>46061</v>
      </c>
      <c r="I112" t="inlineStr">
        <is>
          <t>We're idealists. Inventors. Forever tinkering with products and processes, always on the lookout for better. Whether you work at our global offices, offsite, or even at home, a job at Apple will be demanding. But it also rewards bright, creative thinking and hard work. And none of us here would have it any other way. Does an exciting, dynamic and fast paced environment catch your attention? Do you like puzzles and determining solutions that are not obvious? Terrific! Consider joining us. We are looking for an experienced individual who will focus on exploratory analysis and development of innovative components to grow engagement of users, specifically in the areas of feature usage behavior and conversion optimization.  
**Description**  
This role focuses on subscription analytics and initiatives to drive growth. Here, you will partner closely with Product, Business, Data Engineering and Instrumentation teams. The tasks fall broadly into these areas:  
* Size new opportunities and work with a broad cross\-functional team to support roadmap planning, implementation, and launch of new products and features.
* Identify key learnings from data and distill findings into recommendations for business owners
* Define, measure and communicate KPIs for overall business and key initiatives. Build and maintain regular reports and provide ad\-hoc analysis to support business needs
* Work with engineering to identify data needs for new initiatives and build data pipelines. Partner with the instrumentation team to ensure tracking is in place before launches
**Preferred Qualifications**  
Related business understanding with experience in product growth or analytics.  
Strong business presentation and storytelling skills. Communication skills to package findings.  
Work well within cross\-functional teams and manage stakeholders.  
Ability to structure and solve problems.  
**Minimum Qualifications**  
5\+ years of experience working and understanding of data structures and pipelines.  
5\+ years of experience with demonstrated expertise in programming, developing, and managing SQL, R and/or PySpark.  
Bachelor's degree in the preferred fields of Mathematics, Economics, Engineering, Statistics, Business Analytics, Finance, or equivalent quantitative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3">
      <c r="A113" t="inlineStr">
        <is>
          <t>in-401b395601f8525f</t>
        </is>
      </c>
      <c r="B113" t="inlineStr">
        <is>
          <t>Data Scientist, Subscription Analytics</t>
        </is>
      </c>
      <c r="C113" t="inlineStr">
        <is>
          <t>Apple</t>
        </is>
      </c>
      <c r="D113" t="inlineStr">
        <is>
          <t>indeed</t>
        </is>
      </c>
      <c r="E113" t="inlineStr"/>
      <c r="F113" t="inlineStr"/>
      <c r="G113" t="inlineStr">
        <is>
          <t>Cupertino, CA, US</t>
        </is>
      </c>
      <c r="H113" s="2" t="n">
        <v>46061</v>
      </c>
      <c r="I113" t="inlineStr">
        <is>
          <t>We're idealists. Inventors. Forever tinkering with products and processes, always on the lookout for better. Whether you work at our global offices, offsite, or even at home, a job at Apple will be demanding. But it also rewards bright, creative thinking and hard work. And none of us here would have it any other way. Does an exciting, dynamic and fast paced environment catch your attention? Do you like puzzles and determining solutions that are not obvious? Terrific! Consider joining us. We are looking for an experienced individual who will focus on exploratory analysis and development of innovative components to grow engagement of users, specifically in the areas of feature usage behavior and conversion optimization.  
**Description**  
This role focuses on subscription analytics and initiatives to drive growth. Here, you will partner closely with Product, Business, Data Engineering and Instrumentation teams. The tasks fall broadly into these areas:  
* Size new opportunities and work with a broad cross\-functional team to support roadmap planning, implementation, and launch of new products and features.
* Identify key learnings from data and distill findings into recommendations for business owners
* Define, measure and communicate KPIs for overall business and key initiatives. Build and maintain regular reports and provide ad\-hoc analysis to support business needs
* Work with engineering to identify data needs for new initiatives and build data pipelines. Partner with the instrumentation team to ensure tracking is in place before launches
**Preferred Qualifications**  
Related business understanding with experience in product growth or analytics.  
Strong business presentation and storytelling skills. Communication skills to package findings.  
Work well within cross\-functional teams and manage stakeholders.  
Ability to structure and solve problems.  
**Minimum Qualifications**  
5\+ years of experience working and understanding of data structures and pipelines.  
5\+ years of experience with demonstrated expertise in programming, developing, and managing SQL, R and/or PySpark.  
Bachelor's degree in the preferred fields of Mathematics, Economics, Engineering, Statistics, Business Analytics, Finance, or equivalent quantitative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4">
      <c r="A114" t="inlineStr">
        <is>
          <t>in-65b53a3ff172c62e</t>
        </is>
      </c>
      <c r="B114" t="inlineStr">
        <is>
          <t>Data Scientist, Subscription Analytics</t>
        </is>
      </c>
      <c r="C114" t="inlineStr">
        <is>
          <t>Apple</t>
        </is>
      </c>
      <c r="D114" t="inlineStr">
        <is>
          <t>indeed</t>
        </is>
      </c>
      <c r="E114" t="inlineStr"/>
      <c r="F114" t="inlineStr"/>
      <c r="G114" t="inlineStr">
        <is>
          <t>Cupertino, CA, US</t>
        </is>
      </c>
      <c r="H114" s="2" t="n">
        <v>46061</v>
      </c>
      <c r="I114" t="inlineStr">
        <is>
          <t>We're idealists. Inventors. Forever tinkering with products and processes, always on the lookout for better. Whether you work at our global offices, offsite, or even at home, a job at Apple will be demanding. But it also rewards bright, creative thinking and hard work. And none of us here would have it any other way. Does an exciting, dynamic and fast paced environment catch your attention? Do you like puzzles and determining solutions that are not obvious? Terrific! Consider joining us. We are looking for an experienced individual who will focus on exploratory analysis and development of innovative components to grow engagement of users, specifically in the areas of feature usage behavior and conversion optimization.  
**Description**  
This role focuses on subscription analytics and initiatives to drive growth. Here, you will partner closely with Product, Business, Data Engineering and Instrumentation teams. The tasks fall broadly into these areas:  
* Size new opportunities and work with a broad cross\-functional team to support roadmap planning, implementation, and launch of new products and features.
* Identify key learnings from data and distill findings into recommendations for business owners
* Define, measure and communicate KPIs for overall business and key initiatives. Build and maintain regular reports and provide ad\-hoc analysis to support business needs
* Work with engineering to identify data needs for new initiatives and build data pipelines. Partner with the instrumentation team to ensure tracking is in place before launches
**Preferred Qualifications**  
Related business understanding with experience in product growth or analytics.  
Strong business presentation and storytelling skills. Communication skills to package findings.  
Work well within cross\-functional teams and manage stakeholders.  
Ability to structure and solve problems.  
**Minimum Qualifications**  
5\+ years of experience working and understanding of data structures and pipelines.  
5\+ years of experience with demonstrated expertise in programming, developing, and managing SQL, R and/or PySpark.  
Bachelor's degree in the preferred fields of Mathematics, Economics, Engineering, Statistics, Business Analytics, Finance, or equivalent quantitative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5">
      <c r="A115" t="inlineStr">
        <is>
          <t>in-ee2c66fe0434606d</t>
        </is>
      </c>
      <c r="B115" t="inlineStr">
        <is>
          <t>Data Scientist</t>
        </is>
      </c>
      <c r="C115" t="inlineStr">
        <is>
          <t>Federal Reserve Bank of St. Louis</t>
        </is>
      </c>
      <c r="D115" t="inlineStr">
        <is>
          <t>indeed</t>
        </is>
      </c>
      <c r="E115">
        <f>HYPERLINK("https://www.indeed.com/viewjob?jk=ee2c66fe0434606d", "https://www.indeed.com/viewjob?jk=ee2c66fe0434606d")</f>
        <v/>
      </c>
      <c r="F115">
        <f>HYPERLINK("https://rb.wd5.myworkdayjobs.com/en-US/FRS/job/St-Louis-MO/Data-Scientist_R-0000031383-2", "https://rb.wd5.myworkdayjobs.com/en-US/FRS/job/St-Louis-MO/Data-Scientist_R-0000031383-2")</f>
        <v/>
      </c>
      <c r="G115" t="inlineStr">
        <is>
          <t>St. Louis, MO, US</t>
        </is>
      </c>
      <c r="H115" s="3" t="n">
        <v>46061</v>
      </c>
      <c r="I115" t="inlineStr">
        <is>
          <t>Company
Federal Reserve Bank of St. Louis
The St Louis Fed is one of 12 Reserve Banks serving all or parts of Missouri, Illinois, Indiana, Kentucky, Tennessee, Mississippi and Arkansas with branches in Little Rock, Louisville and Memphis. The St. Louis Fed’s most critical functions include promoting stable prices and economic growth, fostering a sound financial system, providing payment services to financial institutions, supporting the U.S. Treasury's financial operations, and advancing economic education, community development and fair access to credit.  
The Federal Reserve Bank of St. Louis is seeking a Data Scientist for the Treasury Division’s Forecasting and Cash Management Analytics Group. The team supports the U.S. Treasury’s Office of Fiscal Projections (OFP) in estimating the Government’s daily cash position, determining marketable borrowing requirements and ensuring total debt outstanding is within statutory limitations. The position interacts with product owners, software engineers and production support staff that support the Fiscal Projections System (FPS), to advance program goals.
Responsibilities* Transform raw data into data\-driven insights, trends, and patterns, and recommendations through use of data science and analytics modeling and programing tools
* Develop and implement a variety of machine learning solutions (classification, regression, clustering, reinforcement learning, natural language processing, GenAI) across a broad domain of financial and operational datasets
* Partner with engineers to set up technologies such as cloud environments, data pipelines, ensuring data quality, integrity, and accessibility
* Utilize knowledge of forecasting techniques including time\-series, temporal disaggregation, and macroeconomic models to create, maintain, and enhance short\- and long\-term economic forecasting models
* Perform monthly comparative analysis of forecast model results using knowledge of forecast error metrics
* Produce reports suitable for technical and non\-technical audiences that include statuses, explanations of results, and recommendations to improve forecast performance
* Interact with Treasury clients to gather business requirements, understand macroeconomic and legislative factors influencing Federal expenditures and revenues, and acquire necessary data to test and integrate the information into forecast models
Qualifications* Bachelor’s degree in economics, statistics, mathematics, or other quantitative discipline or commensurate experience; Master’s degree preferred
* 2\+ years statistical modeling experience, preferably in a financial institution or corporate Treasury area
* Demonstrated proficiency in Python, Stata, SAS, or other applicable statistical software packages
* Experience with GenAI, machine learning, cloud technologies
* Time\-series modeling experience using ARIMA, ARCH, GARCH, or VAR
* Demonstrated ability to learn new technical tools and software applications
* Ability to interact professionally and communicate clearly, both verbally and in writing, with U.S. Treasury, financial institutions and Federal Reserve Bank partners to obtain information, respond to inquiries, analyze documentation and resolve issues
* Demonstrated strong analytical, organizational, and problem\-solving skills and the ability to manage numerous projects and work processes
* Ability to carry out assignments with minimal supervision as well as work effectively as a part of a team
* Demonstrated strong customer service skills in providing information to all levels of the organization and customers
* Ability to comprehend, communicate and apply U.S. Treasury and Reserve Bank policies and procedures
* Candidates with less experience may be considered at a lower job grade and/or salary.
* Travel (5%)
* Position requires US Citizenship
Total Rewards
Bring your passion and expertise, and we'll provide the opportunities that will challenge you and propel your growth—along with a wide range of benefits and perks that support your health, wealth, and life.
Salary: $94,700\-120,700
In addition to competitive compensation, we offer a comprehensive benefits package that all brought together in a flexible work environment where you can truly find balance:* Generous paid time off
* Tuition \&amp; Training assistance/reimbursement
* 401(k) match \&amp; Annuity/Pension fund
* Top\-notch health care benefits
* Child and family care leave
* Professional development opportunities
* And more...
At the Federal Reserve Bank of St. Louis, we are committed to a strong and resilient economy for all. We prioritize inclusion and strive to be a workplace where all employees can thrive. Learn more about Bank’s culture
The Federal Reserve Bank of St Louis is an Equal Opportunity Employer.
Full Time / Part Time
Full time
Regular / Temporary
Regular
Job Exempt (Yes / No)
Yes
Job Category
Data Analytics Family Group
Work Shift
First (United States of America)*The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row>
    <row r="116">
      <c r="A116" t="inlineStr">
        <is>
          <t>in-bea6161394285f46</t>
        </is>
      </c>
      <c r="B116" t="inlineStr">
        <is>
          <t>Data Scientist</t>
        </is>
      </c>
      <c r="C116" t="inlineStr">
        <is>
          <t>HD Supply</t>
        </is>
      </c>
      <c r="D116" t="inlineStr">
        <is>
          <t>indeed</t>
        </is>
      </c>
      <c r="E116">
        <f>HYPERLINK("https://www.indeed.com/viewjob?jk=bea6161394285f46", "https://www.indeed.com/viewjob?jk=bea6161394285f46")</f>
        <v/>
      </c>
      <c r="F116">
        <f>HYPERLINK("https://hdsupply.jobs/us/en/job/HDSUUSR26000638EXTERNALENUS/Data-Scientist?utm_source=indeed&amp;utm_medium=phenom-feeds", "https://hdsupply.jobs/us/en/job/HDSUUSR26000638EXTERNALENUS/Data-Scientist?utm_source=indeed&amp;utm_medium=phenom-feeds")</f>
        <v/>
      </c>
      <c r="G116" t="inlineStr">
        <is>
          <t>WI, US</t>
        </is>
      </c>
      <c r="H116" s="3" t="n">
        <v>46061</v>
      </c>
      <c r="I116" t="inlineStr">
        <is>
          <t>Must reside in the state(s) specified above. This position is only open to residents in the state(s) specified above.
**Job Summary**
Responsible for modeling complex enterprise problems, discovering enterprise insights, and identifying opportunities through the use of statistical and machine learning algorithms, data mining, and visualization techniques. Integrates and prepares varied datasets, architects custom data environments, and communicates validation of results. **Major Tasks, Responsibilities, and Key Accountabilities*** Leads discovery processes with key stakeholders to identify business requirements and expected outcomes.
* Makes strategic recommendations on data collection, integration and retention, business requirements, and knowledge of best practices.
* Develops innovative and effective approaches to solve analytics problems and communicates results and methodologies.
* Collaborates with subject matter experts regarding relevant sources of information and makes recommendations on data collection, integration, and retention requirements.
* Recommends new and improved methods to improve data and search quality and predictive and prescriptive capabilities.
* Integrates and prepares large, varied datasets. Architects specialized database and computing environments and communicates results.
* Creates statistical and machine learning models to solve complex business problems across Sales, Marketing, and Supply Chain.
* Partners with Data Engineers and Information Technology to operationalize machine learning algorithms in a production environment.
 **Nature and Scope*** Identifies key barriers/core problems and applies problem solving skills in order to deal creatively with complex situations. Troubleshoots and resolves complex problems. Makes decisions under conditions of uncertainty, sometimes with incomplete information, that produce effective end results.
* Independently performs assignments with instruction limited to the expected results. Determines and develops an approach to solutions. Receives technical guidance only on unusual or complex problems or issues.
* May oversee the completion of projects and assignments, including planning, assigning, monitoring and reviewing progress and accuracy of work, evaluating results, etc. Contributes to employees' professional development but does not have hiring or firing authority.
 **Work Environment*** Located in a comfortable indoor area. Any unpleasant conditions would be infrequent and not objectionable.
* Most of the time is spent sitting in a comfortable position and there is frequent opportunity to move about. On rare occasions there may be a need to move or lift light articles.
* Typically requires overnight travel less than 10% of the time.
 **Education and Experience*** Typically requires BS/BA in a related discipline. Generally 5\-8 years of experience in a related field OR MS/MA and generally 3\-5 years of experience in a related field. Certification is required in some areas.
**Our Goals for Diversity, Equity, and Inclusion**
We are committed to creating a culture that promotes equity, respect, and advocacy for every HD Supply associate. We value the diversity of our people.
**Equal Employment Opportunity**
HD Supply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117">
      <c r="A117" t="inlineStr">
        <is>
          <t>in-093a743b22f17b0f</t>
        </is>
      </c>
      <c r="B117" t="inlineStr">
        <is>
          <t>Data Scientist III/Sr/Principal</t>
        </is>
      </c>
      <c r="C117" t="inlineStr">
        <is>
          <t>EQT Corporation</t>
        </is>
      </c>
      <c r="D117" t="inlineStr">
        <is>
          <t>indeed</t>
        </is>
      </c>
      <c r="E117">
        <f>HYPERLINK("https://www.indeed.com/viewjob?jk=093a743b22f17b0f", "https://www.indeed.com/viewjob?jk=093a743b22f17b0f")</f>
        <v/>
      </c>
      <c r="F117">
        <f>HYPERLINK("https://grnh.se/kbsa8bdr8us", "https://grnh.se/kbsa8bdr8us")</f>
        <v/>
      </c>
      <c r="G117" t="inlineStr">
        <is>
          <t>Remote, US</t>
        </is>
      </c>
      <c r="H117" s="3" t="n">
        <v>46061</v>
      </c>
      <c r="I117" t="inlineStr">
        <is>
          <t>**EQT is one of the United States' leading producers of natural gas and the first traditional energy company of scale in the world to achieve Net Zero on a Scope 1 and Scope 2 basis.**
**From the office to the field, the \#EQTeam is fueling the future. Power your potential with us.**
At EQT, we are making strides toward becoming the best producer by creating long\-term value for all stakeholders, including employees, landowners, communities, industry partners and investors. Our vision is to evolve EQT into a modern, connected, digitally enabled organization.
With an incredibly collaborative culture and a determined, progressive workplace, EQT was both named a National Top Workplace, as well as one of Pittsburgh's Best Places to Work!
**Join our Qrew!**
The Data Scientist role transforms complex business data into actionable insights through advanced analytics and high\-quality scripting. Embedded within Business Intelligence (BI), this role emphasizes analytical rigor, clean and scalable code, and enterprise standards to enable data\-driven decision\-making across EQT.
You'll partner closely with BI Data Engineers and BI Data Analysts across the full analytics lifecycle, from problem definition through implementation and operational use. This role serves as a technical leader for analytics and scripting standards across the organization, with a strong focus on Databricks SQL, Python, and R. While AI and ML may be applied selectively, this position is not centered on building or maintaining enterprise AI models.
**The Data Scientist III/Sr./Principal responsibilities include but are not limited to:**
* Lead complex analytics initiatives requiring advanced scripting and analytical methods.
* Design, build, and maintain analytical solutions using SQL, Python, and R.
* Contribute across the full analytics lifecycle: discovery, design, development, validation, and refinement.
* Define and enforce enterprise\-wide analytics and coding standards, including governance of citizen\-developed solutions.
* Conduct code reviews to ensure quality, performance, maintainability, and alignment with standards.
* Develop reusable Python and R packages, shared SQL patterns, and analytical frameworks.
* Support business partners with advanced analytical needs beyond standard BI reporting.
* Apply advanced statistical and analytical techniques to solve complex business problems.
* Selectively apply AI/ML techniques where they deliver clear business value.
* Collaborate with Data Engineers and Architects to ensure alignment with data models, pipelines, and governance.
* Clearly communicate insights, tradeoffs, and recommendations to technical and non\-technical stakeholders.
* Stay current with emerging analytics technologies and assess applicability.
**Required Experience and Skills:**
* Bachelor's Degree in Computer Science, Information Systems Management, Data Science, Information Science, Engineering or another closely related field.
* 6\+ years of coding experience.
* Advanced expertise in Python for complex, modular, production\-quality scripting.
* Advanced SQL proficiency for implementing and optimizing analytical logic.
* Working proficiency in R for statistical and analytical use cases.
* Proven experience delivering complex analytics solutions in a BI or enterprise environment.
* Strong grounding in software development best practices (version control, testing, documentation).
* Experience defining, enforcing, and reviewing shared or enterprise\-wide coding standards.
* Ability to refactor and improve codebases authored by multiple contributors.
* Strong cross\-functional collaboration and communication skills.
* Experience mentoring peers and influencing technical direction without direct authority.
**Preferred Experience and Skills:**
* Working knowledge of Databricks and the Databricks ecosystem, including Lakehouse architecture, PySpark, Databricks SQL, notebooks, workflows/jobs, querying, and Unity Catalog.
* Experience supporting or governing analytics contributions from citizen developers.
* Familiarity with applied statistical learning and advanced analytics techniques.
* Experience collaborating with data engineering and AI/ML teams.
* Exposure to cloud\-based analytics platforms and modern data ecosystems.
* Experience developing shared analytics libraries adopted across teams.
* Experience supporting analytics tied to strategic or executive\-level decision\-making.
* Knowledge of oil and gas operations and related business processes.
* Familiarity with CRM platforms, particularly Salesforce.
Remote work is being considered for this role excluding the following states: California, Connecticut, Delaware, Illinois, Indiana, Louisiana, Massachusetts, Michigan, New Jersey, New York, and Tennessee.
Selected incumbent will be placed into the position that best suits their abilities and experience level.
EQT Corporation and its subsidiaries is an Equal Opportunity Employer \- Disabilities/Veterans.</t>
        </is>
      </c>
    </row>
    <row r="118">
      <c r="A118" t="inlineStr">
        <is>
          <t>in-62dcb3df2c714dec</t>
        </is>
      </c>
      <c r="B118" t="inlineStr">
        <is>
          <t>Senior Manager Data Scientist</t>
        </is>
      </c>
      <c r="C118" t="inlineStr">
        <is>
          <t>Information Technology Senior Management Forum</t>
        </is>
      </c>
      <c r="D118" t="inlineStr">
        <is>
          <t>indeed</t>
        </is>
      </c>
      <c r="E118">
        <f>HYPERLINK("https://www.indeed.com/viewjob?jk=62dcb3df2c714dec", "https://www.indeed.com/viewjob?jk=62dcb3df2c714dec")</f>
        <v/>
      </c>
      <c r="F118">
        <f>HYPERLINK("https://jobs.itsmfleaders.org/job/bdzzyw/senior-manager-data-scientist/mclean/va", "https://jobs.itsmfleaders.org/job/bdzzyw/senior-manager-data-scientist/mclean/va")</f>
        <v/>
      </c>
      <c r="G118" t="inlineStr">
        <is>
          <t>McLean, VA, US</t>
        </is>
      </c>
      <c r="H118" s="3" t="n">
        <v>46058</v>
      </c>
      <c r="I118" t="inlineStr">
        <is>
          <t>Posted Date
2/06/2026
Description
Senior Manager Data Scientist**Senior Manager, Data Science \- Mainstreet Acquisitions**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US Card Intelligence Segments organization builds industry\-leading machine learning models that empower core underwriting decisions. We collaborate closely with a wide range of cross\-functional partner teams \- data engineers, platform engineers, product managers, credit, and business analysts \- to deliver solutions from ideation to implementation. The Mainstreet Acquisitions team focuses on acquisitions and retention growth through next level personalization and enhanced decisioning. The associate is responsible for leading a team of 4\-5 associates to build the next generation of machine learning models used for credit decisioning. These models will be used for critical business decisions, such as card application approve/decline, product optimization, customer valuation, and more.**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7 years of experience performing data analytics**
	+ **A Master's Degree in a quantitative field (Statistics, Economics, Operations Research, Analytics, Mathematics, Computer Science, or a related quantitative field) or an MBA with a quantitative concentration plus 5 years of experience performing data analytics**
	+ **A PhD in a quantitative field (Statistics, Economics, Operations Research, Analytics, Mathematics, Computer Science, or a related quantitative field) plus 2 years of experience performing data analytics**
* **At least 2 years of experience leveraging open source programming languages for large scale data analysis**
* **At least 2 years of experience working with machine learning**
* **At least 2 years of experience utilizing relational databases**
**Preferred Qualifications:**
* **PhD in “STEM” field (Science, Technology, Engineering, or Mathematics) plus 4 years of experience in data analytics**
* **At least 1 year of experience working with AWS**
* **At least 1 year of experience managing people**
* **At least 5 years’ experience in Python, Scala, or R for large scale data analysis**
* **At least 5 years’ experience with machine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Science  
Richmond, VA: $209,000 \- $238,500 for Sr Mgr, Data Science  
New York, NY: $250,800 \- $286,200 for Sr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Data Scientist**Senior Manager, Data Science \- Mainstreet Acquisitions**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US Card Intelligence Segments organization builds industry\-leading machine learning models that empower core underwriting decisions. We collaborate closely with a wide range of cross\-functional partner teams \- data engineers, platform engineers, product managers, credit, and business analysts \- to deliver solutions from ideation to implementation. The Mainstreet Acquisitions team focuses on acquisitions and retention growth through next level personalization and enhanced decisioning. The associate is responsible for leading a team of 4\-5 associates to build the next generation of machine learning models used for credit decisioning. These models will be used for critical business decisions, such as card application approve/decline, product optimization, customer valuation, and more.**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7 years of experience performing data analytics**
	+ **A Master's Degree in a quantitative field (Statistics, Economics, Operations Research, Analytics, Mathematics, Computer Science, or a related quantitative field) or an MBA with a quantitative concentration plus 5 years of experience performing data analytics**
	+ **A PhD in a quantitative field (Statistics, Economics, Operations Research, Analytics, Mathematics, Computer Science, or a related quantitative field) plus 2 years of experience performing data analytics**
* **At least 2 years of experience leveraging open source programming languages for large scale data analysis**
* **At least 2 years of experience working with machine learning**
* **At least 2 years of experience utilizing relational databases**
**Preferred Qualifications:**
* **PhD in “STEM” field (Science, Technology, Engineering, or Mathematics) plus 4 years of experience in data analytics**
* **At least 1 year of experience working with AWS**
* **At least 1 year of experience managing people**
* **At least 5 years’ experience in Python, Scala, or R for large scale data analysis**
* **At least 5 years’ experience with machine learning**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Science  
Richmond, VA: $209,000 \- $238,500 for Sr Mgr, Data Science  
New York, NY: $250,800 \- $286,200 for Sr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19">
      <c r="A119" t="inlineStr">
        <is>
          <t>in-62d3365e296dbecf</t>
        </is>
      </c>
      <c r="B119" t="inlineStr">
        <is>
          <t>Data Scientist / Machine Learning Specialist - Energy</t>
        </is>
      </c>
      <c r="C119" t="inlineStr">
        <is>
          <t>S44 Energy</t>
        </is>
      </c>
      <c r="D119" t="inlineStr">
        <is>
          <t>indeed</t>
        </is>
      </c>
      <c r="E119">
        <f>HYPERLINK("https://www.indeed.com/viewjob?jk=62d3365e296dbecf", "https://www.indeed.com/viewjob?jk=62d3365e296dbecf")</f>
        <v/>
      </c>
      <c r="F119">
        <f>HYPERLINK("https://ats.rippling.com/s44careers/jobs/e4ca121c-3099-49e9-be1e-261bdbf527b3?jobSite=Indeed", "https://ats.rippling.com/s44careers/jobs/e4ca121c-3099-49e9-be1e-261bdbf527b3?jobSite=Indeed")</f>
        <v/>
      </c>
      <c r="G119" t="inlineStr">
        <is>
          <t>Remote, US</t>
        </is>
      </c>
      <c r="H119" s="3" t="n">
        <v>46062</v>
      </c>
      <c r="I119" t="inlineStr">
        <is>
          <t>S44 Energy builds production\-grade software and services for EV charging networks worldwide. With over a decade of hands\-on experience, we help operators launch, scale, and evolve their platforms using open standards, flexible architectures, and software proven in real\-world deployments.
We are the original authors of CitrineOS, an open\-source Charge Station Management System (CSMS) foundation built on industry standards such as OCPP, OCPI, and ISO 15118\. Today, CitrineOS is hosted by Linux Foundation Energy and serves as the extensible core behind many live charging networks, giving operators long\-term control without vendor lock\-in.
Our work lives at the intersection of physical infrastructure and software—integrating EV chargers, energy assets like solar and battery storage, cloud platforms, and user\-facing applications to power reliable, scalable charging ecosystems.
production machine learning models using real\-world operational data. You will play a key role in shaping how machine learning is applied across both client engagements and core product initiatives at S44 Energy.
While at the onset you will not manage people, but you will be expected to operate with a high degree of ownership—partnering closely with software engineers, product leaders, and client stakeholders to translate real\-world problems into practical, reliable ML solutions.
### **What You’ll Do**
* Design, build, and deploy ML models that operate in production environments
* Work with messy, incomplete, and real\-world operational data from EV charging and energy systems
* Collaborate with engineering teams to integrate models into backend services and user\-facing applications
* Partner with client teams to understand use cases, explain model behavior, and iterate based on feedback
* Help establish early patterns and best practices for ML development, deployment, and monitoring at S44 Energy
### **Must Have**
* Minimum 3–5 years of experience in data science or machine learning in applied or production settings
* Strong Python skills and experience with common ML libraries
* Solid grounding in statistics and applied machine learning techniques
* Experience deploying and supporting models in production systems
* Comfort working autonomously and making informed tradeoffs in the absence of a larger ML organization
* Ability to communicate clearly with both technical and non\-technical stakeholders
### **Nice to Have**
* Experience with time\-series data, forecasting, or anomaly detection
* Familiarity with energy systems, EV charging, IoT, or other physical\-asset domains
* Experience working with streaming or near–real\-time data
* Interest in model explainability, monitoring, and responsible ML practices</t>
        </is>
      </c>
    </row>
    <row r="120">
      <c r="A120" t="inlineStr">
        <is>
          <t>in-4e7af63c8aedb39f</t>
        </is>
      </c>
      <c r="B120" t="inlineStr">
        <is>
          <t>Basketball Data Scientist</t>
        </is>
      </c>
      <c r="C120" t="inlineStr">
        <is>
          <t>Swish Analytics Inc.</t>
        </is>
      </c>
      <c r="D120" t="inlineStr">
        <is>
          <t>indeed</t>
        </is>
      </c>
      <c r="E120">
        <f>HYPERLINK("https://www.indeed.com/viewjob?jk=4e7af63c8aedb39f", "https://www.indeed.com/viewjob?jk=4e7af63c8aedb39f")</f>
        <v/>
      </c>
      <c r="F120">
        <f>HYPERLINK("https://grnh.se/4295f6535us", "https://grnh.se/4295f6535us")</f>
        <v/>
      </c>
      <c r="G120" t="inlineStr">
        <is>
          <t>Remote, US</t>
        </is>
      </c>
      <c r="H120" s="3" t="n">
        <v>46062</v>
      </c>
      <c r="I120" t="inlineStr">
        <is>
          <t>**Company Description**
Swish Analytics is a sports analytics, betting and fantasy startup building the next generation of predictive sports analytics data products. We believe that oddsmaking is a challenge rooted in engineering, mathematics, and sports betting expertise; not intuition. We're looking for team\-oriented individuals with an authentic passion for accurate and predictive real\-time data who can execute in a fast\-paced, creative, and continually\-evolving environment without sacrificing technical excellence. Our challenges are unique, so we hope you are comfortable in uncharted territory and passionate about building systems to support products across a variety of industries and consumer/enterprise clients.
**Job Description**
Swish Analytics is hiring Basketball Data Scientists to join our ever\-growing team! Data Science is at the core of our business, so this team has true ownership and impact over developing core components of Swish's data products. We're hiring a Data Scientist to support our Sports Data Models
**Duties:**
* Ideate, develop and improve machine learning and statistical models that drive Swish's core algorithms for producing state\-of\-the\-art sports betting products.
* Develop contextualized feature sets using sports specific domain knowledge.
* Contribute to all stages of model development, from creating proof\-of\-concepts and beta testing, to partnering with data engineering and product teams to deploy new models.
* Strive to constantly improve model performance using insights from rigorous offline and online experimentation.
* Analyze results and outputs to assess model performance and identify model weaknesses for directing development efforts.
* Adhere to software engineering best practices and contribute to shared code repositories.
* Document modeling work and present to stakeholders and other technical and non\-technical partners.
**Requirements:**
* Bachelors degree in Data Analytics, Data Science, Computer Science or related technical subject area; Masters highly preferred
* Demonstrated experience developing models at production scale for basketball or sports betting
* Expertise in Probability Theory, Machine Learning, Inferential Statistics, Bayesian Statistics, Markov Chain Monte Carlo methods
* Minimum of 4\+ years of demonstrated experience developing and delivering effective machine learning and/or statistical models to serve business needs in sports or sports betting
* Experience with relational SQL \&amp; Python
* Experience with source control tools such as GitHub and related CI/CD processes
* Experience working in AWS environments etc
* Proven track record of strong leadership skills. Has shown ability to partner with teams in solving complex problems by taking a broad perspective to identify innovative solutions
* Excellent communication skills to both technical and non\-technical audiences
Base salary: $120,000\-175,000 (encompasses multiple levels and depends on experience)
###### Swish Analytics is an Equal Opportunity Employer. All candidates who meet the qualifications will be considered without regard to race, color, religion, sex, national origin, age, disability, sexual orientation, pregnancy status, genetic, military, veteran status, marital status, or any other characteristic protected by law. The position responsibilities are not limited to the responsibilities outlined above and are subject to change. At the employer's discretion, this position may require successful completion of background and reference checks.</t>
        </is>
      </c>
    </row>
    <row r="121">
      <c r="A121" t="inlineStr">
        <is>
          <t>in-138039d7ad15b105</t>
        </is>
      </c>
      <c r="B121" t="inlineStr">
        <is>
          <t>Data Scientist</t>
        </is>
      </c>
      <c r="C121" t="inlineStr">
        <is>
          <t>Organizational Development Resource Gp</t>
        </is>
      </c>
      <c r="D121" t="inlineStr">
        <is>
          <t>indeed</t>
        </is>
      </c>
      <c r="E121">
        <f>HYPERLINK("https://www.indeed.com/viewjob?jk=138039d7ad15b105", "https://www.indeed.com/viewjob?jk=138039d7ad15b105")</f>
        <v/>
      </c>
      <c r="F121">
        <f>HYPERLINK("https://recruiting.paylocity.com/recruiting/jobs/Details/3906180/Organizational-Development-Resource-Group/Data-Scientist?source=Indeed_Feed", "https://recruiting.paylocity.com/recruiting/jobs/Details/3906180/Organizational-Development-Resource-Group/Data-Scientist?source=Indeed_Feed")</f>
        <v/>
      </c>
      <c r="G121" t="inlineStr">
        <is>
          <t>Arlington, VA, US</t>
        </is>
      </c>
      <c r="H121" s="3" t="n">
        <v>46061</v>
      </c>
      <c r="I121" t="inlineStr">
        <is>
          <t>Description:
**Overview**:
To secure an award, we are recruiting a highly experienced **Data Scientist** with an **active TS/SCI Clearance** to support the GEOINT Certification Program at the National Geospatial\-Intelligence Agency (NGA). This role is responsible for maintaining certification frameworks, accreditation documentation, and governance processes in alignment with DoD, IC, and National Commission for Certifying Agencies (NCCA) requirements. The Data Scientist ensures certification programs remain current, compliant, auditable, and responsive to evolving mission, policy, and tradecraft standards while providing leadership with accurate reporting and quality assurance support.
**Work Location**: DMV area
**Responsibilities Include, but not limited to:**
* Incorporate additions, deletions, or changes into the GEOINT essential body of knowledge, certification framework, certification blueprints, or certification scheme, maintain GOLD program data, and prepare staffing packages for GEOINT Certification Program Governance Council approval
* Produce the GEOINT Certification Program Design Document (PDD) that codifies the GEOINT certification program’s policies, processes, and procedures and provides stakeholders visibility into the strategic, operational, and technical elements of a certification program according to the prescribed format in DoDM 3305\.10
* Prepare applications packages and associated documentation for external accreditation of NGA certification programs in accordance with the requirements of the National Commission for Certifying Agencies (NCCA)
* Will manage, track, audit, and report on certification maintenance activities in accordance with established and documented procedures. Will make process improvement recommendations to increase efficiency and effectiveness
* Maintain and update the GEOINT Certification Program information to ensure that it verifies, validates, and is updated to reflect mission, policy, doctrine, tactics, techniques, and procedure changes, as appropriate
* Support the Certification Conferral, including the maintenance of records, development of lists, and the preparation of staffing certificates
* Support the Annual Reports on GEOINT Accreditation and Certification
Requirements:
* At least 7 years of demonstrated experience preparing application packages and maintaining accreditation for certification programs in accordance with the requirements of the National Commission for Certifying Agencies (NCCA)
* At least 5 years of demonstrated experience supporting credentialing best practices and applying them in the development and maintenance of professional certification or certificate programs
* At least 5 years of demonstrated experience as a quality control expert within the Department of Defense or Intelligence Community, with proven experience writing, interpreting, and applying DoD/IC policy and guidance
**Security Clearance Requirements:**
* This position requires you to have an **active** **TS/SCI** **Clearance.** A government background investigation will be conducted on selected applicants to determine whether they qualify for access to classified information.
**Compensation:**
The pay range for this job is determined by various factors, including but not necessarily limited to location, responsibilities of the job, and alignment with market data. When determining a salary for this role, the following factors may be taken into consideration: contract\-specific affordability, education, knowledge, skills, competencies and experience. The estimate displayed represents the salary range for this position and is just one component of ODRG's total compensation package for employees. It is not necessarily reflective of actual compensation that may be earned, nor a promise of any specific pay for any specific employee.
***About Us***
Organizational Development Resource Group (ODRG), LLC is a management consulting company that provides professional services to organizations within DoD, Federal, Commercial, and non \- profit sectors.
***About the Team***
ODRG professional consultants provide management consulting and administrative support services. We assist our customers with strategic direction, implementation, and evaluation efforts that optimize their workforce and ultimately enhance the effectiveness of the organization. Our consultants have designed and delivered value added solutions for government and private organizations that have resulted in organizational effectiveness; process efficiency, strengthen workforce, and cost savings.
 ***What*** ***you'll*** ***be part of \- ODRG Culture***
We foster a winning culture of solution creators built on innovation, collaboration, flexibility, and work\-life balance. Our success is measured by the level of impact we have on our clients, and we are prideful of the ability we have to solve difficult problems through collaboration with government agencies as well as other organizations, along with our ability to deliver the results they need. There is a great deal of passion in the people who make up our organization when it comes to the causes we support.
 ***ODRG*** is committed to affording equal employment opportunities to individuals with disabilities, as defined by the Americans with Disabilities Act. Candidates for employment may inform their recruiter if they need a reasonable accommodation in all phases of the application and employment process. All information you provide will be kept confidential and will be used only to the extent required to provide needed reasonable accommodations.</t>
        </is>
      </c>
    </row>
    <row r="122">
      <c r="A122" t="inlineStr">
        <is>
          <t>in-1780f5dafab159d9</t>
        </is>
      </c>
      <c r="B122" t="inlineStr">
        <is>
          <t>Data Scientist - Level 2</t>
        </is>
      </c>
      <c r="C122" t="inlineStr">
        <is>
          <t>Applied Network Solutions Inc.</t>
        </is>
      </c>
      <c r="D122" t="inlineStr">
        <is>
          <t>indeed</t>
        </is>
      </c>
      <c r="E122">
        <f>HYPERLINK("https://www.indeed.com/viewjob?jk=1780f5dafab159d9", "https://www.indeed.com/viewjob?jk=1780f5dafab159d9")</f>
        <v/>
      </c>
      <c r="F122">
        <f>HYPERLINK("https://recruiting.paylocity.com/recruiting/jobs/Details/3905028/Applied-Network-Solutions-Inc/Data-Scientist---Level-2?source=Indeed_Feed", "https://recruiting.paylocity.com/recruiting/jobs/Details/3905028/Applied-Network-Solutions-Inc/Data-Scientist---Level-2?source=Indeed_Feed")</f>
        <v/>
      </c>
      <c r="G122" t="inlineStr">
        <is>
          <t>Aurora, CO, US</t>
        </is>
      </c>
      <c r="H122" s="3" t="n">
        <v>46061</v>
      </c>
      <c r="I122" t="inlineStr">
        <is>
          <t>Description:
**Who we are:**
At Applied Network Solutions (ANS), we bring together some of the most **curious** minds in networking and cybersecurity. ANS was founded to **disrupt** the **status quo**. For over 20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**As a** ***Data Scientist*** **on our team, you will:** Be trusted to design and execute machine learning models and applications, document analytic results and create visualizations for client stakeholders.
Requirements:
**Requirements:**
* Active TS/SCI clearance with Polygraph
* A Bachelor’s degree and 3 years of relevant experience. An Associate’s degree plus 5 years of relevant experience may be considered for individuals with in\-depth experience that is clearly related to the position.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Experience in designing/implementing machine learning, data science, advanced analytical algorithms, programming (skill in at least one high\-level language (e.g., Python) and skill in at least one mid\-level language (e.g., C)), data mining, advanced statistical analysis (e.g., statistical foundations of machine learning, statistical approaches to missing data, time series), advanced mathematical foundations, artificial intelligence, workflow and reproducibility, data management and curation, data modeling and assessment (e.g., model selection, evaluation, and sensitivity analysis), experience as a data scientist working to support a single or multiple domain area, and/or software engineering.
**Desired Qualifications:**
* Working knowledge of Big Data, dataflows, and ML/AI familiarity
* Working knowledge of Jupyter notebooks
* Working knowledge of Spark
**Responsibilities include, but are not limited to:**
* Working knowledge of statistics, programing and predictive modeling
* Use programming languages (e.g., Python, R) to manipulate and analyze large data sets
* Design and implement machine learning, data science and advanced analytical algorithms
* Provide statistical analysis as well as (e.g. variability, sampling error, inference, hypothesis testing, EDA, applications of linear models), data management, data mining, data modeling and assessment
**Benefits:**
ANS offers excellent compensation along with a generous benefits package to include:
* Family Medical, Dental (w/ adult orthodontia) and Vision coverage
* Pet Discount Program
* PTO (Paid Time Off)
* Maternity/ Paternity Leave
* Supplemental Military Leave Pay
* 11 Paid Holidays
* 401(k) plan with 6% Company Contribution
* Generous Professional Development Program
* 100% Employer paid Short\- and Long\-Term Disability
* 100% Employer paid Life Insurance
* Supplemental Whole Life Insurance
* Lucrative Referral Bonus Program
* Annual Allowance for ANS Swag
* Potential for Paid Overtime
* Flexible Work Schedules
Applied Network Solutions, Inc. is an Equal Opportunity Employer. All qualified applicants will receive consideration for employment without regard to race, color, religion, sex, pregnancy, sexual orientation, gender identity, national origin, age or protected veteran status and will not be discriminated against on the basis of disability.
As required by local law, Applied Network Solutions, Inc. provides reasonable salary ranges of compensation for work performed in applicable states. Ranges are not a guarantee of compensation and depend on a variety of factors, including but not limited to contractual requirements, work location, years of experience, skill set, and education. Overtime is not guaranteed for this position.
The anticipated pay range for this position is $100,000\.00 \- $165,000\.00 USD.</t>
        </is>
      </c>
    </row>
    <row r="123">
      <c r="A123" t="inlineStr">
        <is>
          <t>in-d08970aa41a24be3</t>
        </is>
      </c>
      <c r="B123" t="inlineStr">
        <is>
          <t>Senior Data Scientist – TechOps Predictive Engineering</t>
        </is>
      </c>
      <c r="C123" t="inlineStr">
        <is>
          <t>Delta Air Lines</t>
        </is>
      </c>
      <c r="D123" t="inlineStr">
        <is>
          <t>indeed</t>
        </is>
      </c>
      <c r="E123">
        <f>HYPERLINK("https://www.indeed.com/viewjob?jk=d08970aa41a24be3", "https://www.indeed.com/viewjob?jk=d08970aa41a24be3")</f>
        <v/>
      </c>
      <c r="F123">
        <f>HYPERLINK("https://delta.avature.net/en_US/careers/JobDetail/Senior-Data-Scientist-TechOps-Predictive-Engineering/31370?jobId=31370", "https://delta.avature.net/en_US/careers/JobDetail/Senior-Data-Scientist-TechOps-Predictive-Engineering/31370?jobId=31370")</f>
        <v/>
      </c>
      <c r="G123" t="inlineStr">
        <is>
          <t>Atlanta, GA, US</t>
        </is>
      </c>
      <c r="H123" s="3" t="n">
        <v>46061</v>
      </c>
      <c r="I123" t="inlineStr">
        <is>
          <t>**UNITED STATES, GEORGIA, ATLANTA****TECHOPS****09\-FEB\-2026****REF \#: 31370****LINKEDIN TAG: \#LI\-MP2**### **HOW YOU'LL HELP US KEEP CLIMBING (OVERVIEW \&amp; KEY RESPONSIBILITIES)**
The Senior Data Scientist, Predictive Engineering will help advance the engineering and maintenance organization through the application of innovative and robust analytical and modeling solutions aimed at deriving insights from complex aircraft mechanical performance data. These include, but are not limited to, the application of machine learning techniques on both aircraft operational and maintenance data aimed at identifying precursors to component degradation across the entire aircraft. Analyses may also include cross\-skill partnerships for the development of risk metrics, key performance indicators leveraging large textual data repositories, and development of visual tools using business intelligence solutions.
An appropriate candidate will have hands\-on experience in natural language processing, machine learning, statistical analysis, and data storytelling. The candidate should also have good organizational and communication skills.
**Primary Functions:**
* Develop machine learning models and advanced analytics solutions for complex business problems in the engineering, predictive maintenance, and aircraft reliability space
* Make appropriate selection, utilization, and interpretation of advanced analytics methodologies
* Participate in continuous improvement of data science by developing replicable solutions and well documented models
* Seek further knowledge on key developments within data science and related fields
* Provide technical education on advanced analytics to the data science community
* Clearly communicate impacts of the recommended analytics solution to business partners to drive adoption and implementation
### **BENEFITS AND PERKS TO HELP YOU KEEP CLIMBING**
Our culture is rooted in a shared dedication to living our values – Care, Integrity, Resilience and Servant Leadership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New hires are eligible for up to 56 hours of paid personal time within a 12\-month period.
* 10 paid holidays per calendar year.
* Birthing parents are eligible for 12\-weeks of paid maternity/parental leave.
* Non\-birthing parents are eligible for 2\-weeks of paid parental leave.
* Comprehensive health beneﬁts including medical, dental, vision, short/long term disability and life insurance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
### **WHAT YOU NEED TO SUCCEED (MINIMUM QUALIFICATIONS)**
* Master's degree in Data Science, Statistics, Mathematics, Operations Research, Computer Science, or equivalent combination of education and experience (Doctoral degree preferred)
* 3\-5 years of work experience in advanced analytics and data science
* Working knowledge of GIT for code management
* Hands‑on experience developing, training, and deploying models using Tensorflow and/or Pytorch
* Extensive experience in regression analysis including, but not limited to, linear regression, Logistic regression. Able to explain and quantify regression results
* Significant experience in developing neural network, decision tree, random forest, and LSTM models
* Good written, oral communication, and interpersonal skills
* Strong project management, organizational, and prioritization skills
* Embraces diverse people, thinking and styles
* Consistently makes safety and security, of self and others, the priority
* (For internal applicants) must be performing satisfactorily in present position
* Possesses a high school diploma, GED, or high school equivalency
* Is at least 18 years of age and has authorization to work in the United States
### **WHAT WILL GIVE YOU A COMPETITIVE EDGE (PREFERRED QUALIFICATIONS)**
* Experience with AWS services for scalable Data Science development (e.g., Sagemaker, S3, Bedrock) or equivalent cloud services including Palantir Foundry
* Familiarization with API consumption and orchestration pipelines
* Knowledge of transformer architecture and current landscape of LLM
* Strong proficiency in **Python**, including pandas, scikit‑learn, NumPy, SciPy, and MLflow or similar tools.
* Experience with SQL and large‑scale data querying
* Experience with timeseries data modeling, anomaly detection
* Experience in using GE Aerospace EMS (Event Measurement System) application</t>
        </is>
      </c>
    </row>
    <row r="124">
      <c r="A124" t="inlineStr">
        <is>
          <t>in-9f607b268053f5ee</t>
        </is>
      </c>
      <c r="B124" t="inlineStr">
        <is>
          <t>Principal Data Scientist – Fintech Analytics</t>
        </is>
      </c>
      <c r="C124" t="inlineStr">
        <is>
          <t>Intuit</t>
        </is>
      </c>
      <c r="D124" t="inlineStr">
        <is>
          <t>indeed</t>
        </is>
      </c>
      <c r="E124">
        <f>HYPERLINK("https://www.indeed.com/viewjob?jk=9f607b268053f5ee", "https://www.indeed.com/viewjob?jk=9f607b268053f5ee")</f>
        <v/>
      </c>
      <c r="F124">
        <f>HYPERLINK("https://jobs.intuit.com/job/mountain-view/principal-data-scientist-fintech-analytics/27595/91564963584", "https://jobs.intuit.com/job/mountain-view/principal-data-scientist-fintech-analytics/27595/91564963584")</f>
        <v/>
      </c>
      <c r="G124" t="inlineStr">
        <is>
          <t>Mountain View, CA, US</t>
        </is>
      </c>
      <c r="H124" s="3" t="n">
        <v>46061</v>
      </c>
      <c r="I124" t="inlineStr">
        <is>
          <t>Category Data
Location Mountain View, California
Job ID 19296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At Intuit, we are building the financial operating system that powers money movement across our ecosystem—QuickBooks, TurboTax, Credit Karma, and Mailchimp. The Fintech Platform team sits at the center of this mission, enabling secure, reliable, and scalable movement of billions of dollars annually across payments, banking, balance, lending, and global rails.
We are seeking a Principal Data Scientist, Fintech Analytics to lead data science and decision intelligence for our money movement platforms. This is a highly visible, high\-impact role responsible for transforming complex transactional data into predictive insights that improve reliability, revenue, risk management, and customer trust.
This role goes far beyond dashboards or retrospective analysis. You will act as a thought partner to Fintech product, engineering, risk, finance, and operations leaders, owning analytical strategy across performance, fraud, declines, funds availability, and platform health. Your work will directly influence platform architecture decisions, risk posture, investment prioritization, and long\-term growth.
 **Responsibilities**
* Lead principal\-level data science initiatives across Intuit’s Fintech money movement platforms, spanning payments, balance, banking, lending, and global rails
* Build and evolve predictive and diagnostic models to understand and improve transaction success, authorization rates, latency, fraud losses, and funds availability
* Own business and platform observability from a data science lens—connecting system behavior to customer impact, revenue outcomes, and risk exposure
* Partner deeply with Product, Engineering, Risk, Finance, and Operations leaders to shape data\-informed strategy and trade\-offs
* Drive root\-cause analysis for complex, ambiguous issues such as payment declines, anomaly detection, fraud spikes, reconciliation gaps, and cross\-rail performance differences
* Develop frameworks to quantify business impact during incidents and systemic changes, enabling faster and better executive decision\-making
* Influence roadmap and investment decisions by translating model outputs into clear narratives, scenarios, and recommendations
* Establish best practices for model governance, metric definitions, experimentation, and analytical rigor across Fintech
* Mentor and elevate other data scientists and analysts through technical leadership, reviews, and knowledge sharing
 **Qualifications**
* 10\+ years of experience in data science, applied machine learning, or quantitative analytics, with ownership of mission\-critical systems
* Strong experience working with large\-scale transactional or event\-driven data, ideally in fintech, payments, banking, or other regulated financial domains
* Deep understanding of money movement concepts such as payment rails, authorization flows, settlement, reconciliation, fraud, chargebacks, and funds availability
* Proven track record of building models that drive real business outcomes, not just academic or offline results
* Advanced proficiency in SQL and strong experience with Python (or equivalent) for data science and modeling
* Experience with anomaly detection, forecasting, classification, causal analysis, or optimization in production environments
* Exceptional ability to translate complex analyses into clear, executive\-level insights
* Comfortable operating in ambiguity, owning problems end\-to\-end from formulation to impact
* Bachelor’s degree in a quantitative field (Engineering, Computer Science, Mathematics, Statistics, or equivalent); advanced degree preferred but not required
Why This Role Matters?
This role is foundational to Intuit’s ability to operate and scale a trusted financial platform. The Principal Data Scientist will be a single\-threaded owner for understanding and predicting how billions of dollars move through our systems, enabling Intuit to proactively manage risk, maximize revenue, and deliver exceptional customer experiences at scale.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$ 240,000\- 324,500</t>
        </is>
      </c>
    </row>
    <row r="125">
      <c r="A125" t="inlineStr">
        <is>
          <t>in-a0aecb63aac7a714</t>
        </is>
      </c>
      <c r="B125" t="inlineStr">
        <is>
          <t>Product Data Scientist, Operation Center</t>
        </is>
      </c>
      <c r="C125" t="inlineStr">
        <is>
          <t>Waymo</t>
        </is>
      </c>
      <c r="D125" t="inlineStr">
        <is>
          <t>indeed</t>
        </is>
      </c>
      <c r="E125">
        <f>HYPERLINK("https://www.indeed.com/viewjob?jk=a0aecb63aac7a714", "https://www.indeed.com/viewjob?jk=a0aecb63aac7a714")</f>
        <v/>
      </c>
      <c r="F125">
        <f>HYPERLINK("https://careers.withwaymo.com/jobs/product-data-scientist-operation-center-mountain-view-california-united-states-san-francisco", "https://careers.withwaymo.com/jobs/product-data-scientist-operation-center-mountain-view-california-united-states-san-francisco")</f>
        <v/>
      </c>
      <c r="G125" t="inlineStr">
        <is>
          <t>Mountain View, CA, US</t>
        </is>
      </c>
      <c r="H125" s="3" t="n">
        <v>46061</v>
      </c>
      <c r="I125" t="inlineStr">
        <is>
          <t>MOUNTAIN VIEW, CALIFORNIA, UNITED STATES. SAN FRANCISCO, CALIFORNIA, UNITED STATES
FULL\-TIME
PRODUCT
4583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Data Science team works cross\-functionally with Engineering, Product and Operations to help the company make the most informed decisions using data. Our team collaborates on high\-impact projects across the company — from driving quality and operational efficiency to market analysis and rider satisfaction scores — we help to safely and efficiently scale the Waymo Driver. We are data\-driven, curious, open\-minded, and adapt quickly to new information.
*This role follows a hybrid work schedule and you will report to the Manager of Product Data Science.*
**You will:**
* Develop and deploy statistical models to determine optimal staffing levels, ensuring rapid response times to AV and rider inquiries while upholding Waymo's safety standards
* Collaborate with Engineering to design and implement optimization models for request prioritization and queuing, driving cutting\-edge scalability for operations
* Conduct deep\-dive data analysis and trend evaluation to identify and execute on opportunities to improve Operations Center efficiency and customer experience
* Partner with Product and Operation to define metrics, measurement framework, and be a promoter of experimentation
* Build and maintain robust data foundations and reporting infrastructure
**You have:**
* Coding skills (Python and SQL),
* Experience with Modeling and Optimization
* At least 8 years of industry experience
* Strong Communication and Stakeholder \&amp; Management skills
**We prefer:**
* Experience with Experimentation
* Previous experience with Call Centers and queuing theory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126">
      <c r="A126" t="inlineStr">
        <is>
          <t>in-1ca3bc9b1dcef0ee</t>
        </is>
      </c>
      <c r="B126" t="inlineStr">
        <is>
          <t>Data Scientist, Senior</t>
        </is>
      </c>
      <c r="C126" t="inlineStr">
        <is>
          <t>Booz Allen Hamilton</t>
        </is>
      </c>
      <c r="D126" t="inlineStr">
        <is>
          <t>indeed</t>
        </is>
      </c>
      <c r="E126">
        <f>HYPERLINK("https://www.indeed.com/viewjob?jk=1ca3bc9b1dcef0ee", "https://www.indeed.com/viewjob?jk=1ca3bc9b1dcef0ee")</f>
        <v/>
      </c>
      <c r="F126">
        <f>HYPERLINK("https://careers.boozallen.com/careers/JobDetail?jobId=120515", "https://careers.boozallen.com/careers/JobDetail?jobId=120515")</f>
        <v/>
      </c>
      <c r="G126" t="inlineStr">
        <is>
          <t>Reston, VA, US</t>
        </is>
      </c>
      <c r="H126" s="3" t="n">
        <v>46061</v>
      </c>
      <c r="I126" t="inlineStr">
        <is>
          <t>Data Scientist, Senior**The Opportunity:**
As a data scientist, you’re excited at the prospect of unlocking the secrets held by a data set, and you’re fascinated by the possibilities presented by IoT, machine learning, and artificial intelligence (AI).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8\+ years of experience with data exploration, data cleaning, data analysis, data visualization, or data mining
* 8\+ years of experience with statistical and general\-purpose programming languages for data analysis
* 8\+ years of experience analyzing structured and unstructured data sources
* Experience developing predictive data models, quantitative analyses, and visualization of targeted data sources
* Experience leading a team, including projects and deliverables
* Experience leading the development of solutions to complex programs
* Experience with GenAI tech and MLOps
* Active TS/SCI clearance; willingness to take a polygraph exam
* Bachelor’s degree
**Nice If You Have:**
* Experience with the development of algorithms leveraging R, Python, SQL, or NoSQL
* Experience with JupyterHub and Jupyter Notebook
* Experience with machine learning, AI, or NLP
* Experience applying and querying SIGINT, GEOINT, OSINT, and HUMINT data sets and databases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7">
      <c r="A127" t="inlineStr">
        <is>
          <t>in-a26f99b3bc9af9d5</t>
        </is>
      </c>
      <c r="B127" t="inlineStr">
        <is>
          <t>Aviation Data Scientist</t>
        </is>
      </c>
      <c r="C127" t="inlineStr">
        <is>
          <t>Booz Allen Hamilton</t>
        </is>
      </c>
      <c r="D127" t="inlineStr">
        <is>
          <t>indeed</t>
        </is>
      </c>
      <c r="E127">
        <f>HYPERLINK("https://www.indeed.com/viewjob?jk=a26f99b3bc9af9d5", "https://www.indeed.com/viewjob?jk=a26f99b3bc9af9d5")</f>
        <v/>
      </c>
      <c r="F127">
        <f>HYPERLINK("https://careers.boozallen.com/careers/JobDetail?jobId=119114", "https://careers.boozallen.com/careers/JobDetail?jobId=119114")</f>
        <v/>
      </c>
      <c r="G127" t="inlineStr">
        <is>
          <t>Washington, DC, US</t>
        </is>
      </c>
      <c r="H127" s="3" t="n">
        <v>46061</v>
      </c>
      <c r="I127" t="inlineStr">
        <is>
          <t>Aviation 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using Databricks
* 2\+ years of experience with data exploration, data cleaning, data analysis, data visualization, or data mining
* 2\+ years of experience with statistical and general\-purpose programming languages for data analysis
* Experience with aviation, geospatial, and weather datasets
* Experience analyzing structured and unstructured data sources
* Experience developing predictive data models, quantitative analyses, and visualization of targeted data sources
* Knowledge of text mining, Machine Learning, Artificial Intelligence, or Natural Language Processing
* Ability to obtain and maintain a Public Trust or Suitability/Fitness determination based on client requirements
* Bachelor’s degree
**Nice If You Have:**
* 2\+ years of experience in the development of algorithms leveraging R, Python, or SQL/NoSQL
* 2\+ years of experience with distributed data and computing tools, including MapReduce, Hadoop, Hive, EMR, Kafka, Spark, Gurobi, or MySQL
* 2\+ years of experience with Machine Learning, AI, or NLP
* Experience with visualization packages, including Plotly, Seaborn, or ggplot2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8">
      <c r="A128" t="inlineStr">
        <is>
          <t>in-ba3a6277aeaa92d0</t>
        </is>
      </c>
      <c r="B128" t="inlineStr">
        <is>
          <t>Principal Associate, Data Scientist - US Card (Fraud)</t>
        </is>
      </c>
      <c r="C128" t="inlineStr">
        <is>
          <t>Information Technology Senior Management Forum</t>
        </is>
      </c>
      <c r="D128" t="inlineStr">
        <is>
          <t>indeed</t>
        </is>
      </c>
      <c r="E128">
        <f>HYPERLINK("https://www.indeed.com/viewjob?jk=ba3a6277aeaa92d0", "https://www.indeed.com/viewjob?jk=ba3a6277aeaa92d0")</f>
        <v/>
      </c>
      <c r="F128">
        <f>HYPERLINK("https://jobs.itsmfleaders.org/job/kx56kn/principal-associate-data-scientist-us-card-(fraud)/mclean/va", "https://jobs.itsmfleaders.org/job/kx56kn/principal-associate-data-scientist-us-card-(fraud)/mclean/va")</f>
        <v/>
      </c>
      <c r="G128" t="inlineStr">
        <is>
          <t>McLean, VA, US</t>
        </is>
      </c>
      <c r="H128" s="3" t="n">
        <v>46061</v>
      </c>
      <c r="I128" t="inlineStr">
        <is>
          <t>Posted Date
2/09/2026
Description
Principal Associate, Data Scientist \- US Card (Fraud)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focuses on identifying and neutralizing novel fraud threats. This role will lead the strategy for key models (like our 'Iceberg' project and transaction fraud models) and drive innovation in areas like IP Address intelligence and Business Cards and Payments fraud detection. You will be responsible for guiding the team in developing sophisticated new feature inputs that enhance the protective power of our core Card Fraud models.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Principal Associate, Data Scientist \- US Card (Fraud)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focuses on identifying and neutralizing novel fraud threats. This role will lead the strategy for key models (like our 'Iceberg' project and transaction fraud models) and drive innovation in areas like IP Address intelligence and Business Cards and Payments fraud detection. You will be responsible for guiding the team in developing sophisticated new feature inputs that enhance the protective power of our core Card Fraud models.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29">
      <c r="A129" t="inlineStr">
        <is>
          <t>in-993e7aaa4a1e5b1b</t>
        </is>
      </c>
      <c r="B129" t="inlineStr">
        <is>
          <t>Data Scientist</t>
        </is>
      </c>
      <c r="C129" t="inlineStr">
        <is>
          <t>Sprouts Farmers Market</t>
        </is>
      </c>
      <c r="D129" t="inlineStr">
        <is>
          <t>indeed</t>
        </is>
      </c>
      <c r="E129">
        <f>HYPERLINK("https://www.indeed.com/viewjob?jk=993e7aaa4a1e5b1b", "https://www.indeed.com/viewjob?jk=993e7aaa4a1e5b1b")</f>
        <v/>
      </c>
      <c r="F129">
        <f>HYPERLINK("https://jobs.sprouts.com/jobs/349026/job?utm_source=indeed_integration&amp;iis=Job%20Board&amp;iisn=Indeed&amp;indeed-apply-token=73a2d2b2a8d6d5c0a62696875eaebd669103652d3f0c2cd5445d3e66b1592b0f", "https://jobs.sprouts.com/jobs/349026/job?utm_source=indeed_integration&amp;iis=Job%20Board&amp;iisn=Indeed&amp;indeed-apply-token=73a2d2b2a8d6d5c0a62696875eaebd669103652d3f0c2cd5445d3e66b1592b0f")</f>
        <v/>
      </c>
      <c r="G129" t="inlineStr">
        <is>
          <t>Phoenix, AZ, US</t>
        </is>
      </c>
      <c r="H129" s="3" t="n">
        <v>46061</v>
      </c>
      <c r="I129" t="inlineStr">
        <is>
          <t>Overview:
Sprouts is currently at the beginning of a journey to provide personalized experiences to all of our customers every time they interact with us. The Data Scientist will join a team of other data scientists and analysts in helping develop the machine learning models, recommender systems and processes to make that vision a reality.
Essential Functions:
**Analytics \&amp; Business Partnering (70%)*** Collaborate with cross functional stakeholders to understand business requirements/KPIs to design, develop \&amp; execute analytical solutions that support decisions and improve business outcomes
* Analyze data, identify anomalies and provide actionable insights to support business partners
* Conduct analyses with high degree of precision and accuracy with readily available tools
* Predict, test and measure organization initiatives to identify impacts to business outcomes
* At regular business intervals, update and distribute reports, dashboards, presentations to executive leadership
* Drive continuous improvements throughout the organization by improving the speed in which we can transform data into decisions, actions and quantifiable results.
* Respond to ad hoc data and analysis requests to support business partners
* Provide leadership and direction to ensure processes and procedures are in place to effectively use data to monitor and manage business performance.
 **Development, Machine Learning \&amp; Maintenance (30%)*** Train and Test Supervised and Unsupervised machine learning models to predict business outcomes, segment customers or products or create recommendations or other personalized content
* Work with IT to implement machine learning models into production
* In partnership with IT manage any automated ETL processes, narrowcast reports and maintenance of business intelligence \&amp; database servers supporting the Enterprise and Customer Analytics team.
* Continually improve the efficiency/usability of BI capabilities for business users
* Participate in projects to improve business intelligence capabilities, master data management, data governance, etc.
* Continually validate the integrity of data sources and partner with internal and external teams to remedy issues as necessary
* Develop processes and algorithms to cleanse/standardize/join disparate data sources
* Partner with internal and external teams to integrate new sources of data into existing datasets and/or improve the reliability and availability of existing datasets
\#LI\-CS1
Knowledge, Skills, Abilities and Physical Requirements:
* Bachelor’s Degree in computer science, math or related field required
* Ideal candidate would have 2\-5 years of prior experience in a joint business/technical role responsible for both development and delivering business results
* Prior role and/or project experience in Data Science demonstrating strong analytical and problem\-solving skills
* Experience training and implementing supervised and unsupervised machine learning models
* Strong programming experience, preferably in Python
* Advanced level of experience with databases and writing SQL
* Advanced level of experience with Business Intelligence tools, such as, PowerBI, Tableau, etc.
* Experience with Microsoft Azure and Databricks a plus
* Experience with Microsoft Office Suite tools including Outlook, Excel, Word, PowerPoint, Access, Vizio, etc.
* Familiarity with standard data formats including CSV, JSON, XML, etc.
* Ability to excel in an environment of change, ambiguity, and incomplete information
* Ability to work with very large, complex and disparate data sources (accessing, connecting, and analyzing)
* High level of business acumen, retail knowledge and intuition to guide analysis and insights preferred
* Proven ability to tell a story through data and communicate effectively with key stakeholders.
* Ability to handle multiple priorities against multiple deadlines
* Strong written and verbal communication skills with the ability to take and give direction while participating in a team environment
* Ability to effectively communicate information and respond to questions from groups of peers, managers, and business partners.
Benefits:
In addition to a rewarding career, Sprouts offers a comprehensive program to help support you and your family. These programs include:*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t>
        </is>
      </c>
    </row>
    <row r="130">
      <c r="A130" t="inlineStr">
        <is>
          <t>in-7e32ee5c09494fef</t>
        </is>
      </c>
      <c r="B130" t="inlineStr">
        <is>
          <t>Data Scientist</t>
        </is>
      </c>
      <c r="C130" t="inlineStr">
        <is>
          <t>Quevera</t>
        </is>
      </c>
      <c r="D130" t="inlineStr">
        <is>
          <t>indeed</t>
        </is>
      </c>
      <c r="E130">
        <f>HYPERLINK("https://www.indeed.com/viewjob?jk=7e32ee5c09494fef", "https://www.indeed.com/viewjob?jk=7e32ee5c09494fef")</f>
        <v/>
      </c>
      <c r="F130">
        <f>HYPERLINK("https://workforcenow.adp.com/mascsr/default/mdf/recruitment/recruitment.html?cid=6c0f07f7-5d5e-40a8-8e01-433d1c743d19&amp;ccId=19000101_000001&amp;jobId=525832&amp;source=IN&amp;lang=en_US", "https://workforcenow.adp.com/mascsr/default/mdf/recruitment/recruitment.html?cid=6c0f07f7-5d5e-40a8-8e01-433d1c743d19&amp;ccId=19000101_000001&amp;jobId=525832&amp;source=IN&amp;lang=en_US")</f>
        <v/>
      </c>
      <c r="G130" t="inlineStr">
        <is>
          <t>McLean, VA, US</t>
        </is>
      </c>
      <c r="H130" s="3" t="n">
        <v>46061</v>
      </c>
      <c r="I130" t="inlineStr">
        <is>
          <t>**Job Description:**
Quevera is seeking a **Data Scientist** to join our team. At Quevera, we don’t just offer jobs—we provide opportunities to be part of a dynamic, forward\-thinking community that fosters innovation, collaboration, and personal growth. You’ll work with industry experts, take on exciting challenges, and have the creative freedom to build cutting\-edge solutions, all while advancing your career in a space that truly values your skills and ideas.
HIGHLIGHT'S OF WORKING FOR QUEVERA:
Quevera employees voted Quevera as a TOP EMPLOYER in the Baltimore /DC area by the Washington for 2025 for the 5th consecutive year!
Excellent Quevera's Benefits:
Medical/Dental/Vision (**100% Employer Paid Medical Plan**)
Short/Long Term Disability (Employer Paid)
Life Insurance (**Employer Paid**)
Yearly $5,000 towards education/training/certification.
Employees are in control of their career path through our *Career Pathway Program*.
**Employer paid** ***Company Vacation Package for you and a guest*****!**
Retirement:
**Quevera will match up to 6% towards your 401K and an additional 4% profit sharing!**
**REQUIRED \- MUST have a current TS/SCI Polygraph clearance to** **apply for role. Only those with a current TS/SCI with Poly clearance will be considered.**
 **Required Experience: SUBJECT MATTER EXPERT**
Demonstrated experience with proficiency in Python.  
Demonstrated experience with data analytics and transformations.  
Demonstrated experience with complex graph database queries.  
Demonstrated experience in cloud computer environments.  
Demonstrated ability to effectively communicate (verbal and written) with technical and non\-technical personnel as well as all levels of management and staff.  
Demonstrated experience in containerization concepts.  
Demonstrated experience in Machine Learning Operations (MLOps).  
Demonstrated expertise in software engineering, cloud architecture and UI design.  
Demonstrated experience supporting big data environments.
 **Desired Experience:**
Demonstrated experience with proficiency in SQL  
Demonstrated experience with Cypher  
Demonstrated experience with Amazon Web Service (AWS), (Lambda)  
Demonstrated experience with Docker  
Demonstrated experience with proficiency in Python and SQL  
Demonstrated experience with Flask, Gradio, or Streamlit
Quevera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\#LI\-AA1</t>
        </is>
      </c>
    </row>
    <row r="131">
      <c r="A131" t="inlineStr">
        <is>
          <t>in-bbe5a9c43cf43846</t>
        </is>
      </c>
      <c r="B131" t="inlineStr">
        <is>
          <t>Senior Data Scientist</t>
        </is>
      </c>
      <c r="C131" t="inlineStr">
        <is>
          <t>Caterpillar</t>
        </is>
      </c>
      <c r="D131" t="inlineStr">
        <is>
          <t>indeed</t>
        </is>
      </c>
      <c r="E131">
        <f>HYPERLINK("https://www.indeed.com/viewjob?jk=bbe5a9c43cf43846", "https://www.indeed.com/viewjob?jk=bbe5a9c43cf43846")</f>
        <v/>
      </c>
      <c r="F131">
        <f>HYPERLINK("https://careers.caterpillar.com/en/jobs/r0000348525/senior-data-scientist/", "https://careers.caterpillar.com/en/jobs/r0000348525/senior-data-scientist/")</f>
        <v/>
      </c>
      <c r="G131" t="inlineStr">
        <is>
          <t>Mossville, IL, US</t>
        </is>
      </c>
      <c r="H131" s="3" t="n">
        <v>46061</v>
      </c>
      <c r="I131"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Impact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**CATERPILLAR REMANUFACTURING**  
Do you have a passion for helping customers and supporting a sustainable solution? Since 1973, Cat Reman has helped bring the value at the core of every Cat product back to life. Customers look to us to provide a high\-quality solution that is good for their business \- and promotes sustainability. It's important to us to deliver. Our team is full of industry leaders. Together, following common values, we share a passion for delivering sustainability benefits that help the company contribute to a circular economy. It’s rewarding to work, with an inspiring team, where every contribution matters.
**Job Summary**
***Caterpillar’s Remanufacturing Division is looking for a Senior Data Scientist to support the Mossville, IL facility.*** This position will architect, implement, and maintain robust data platform infrastructure and services to empower data scientists to develop, test, and deploy models with maximum velocity. Focuses on abstracting underlying infrastructure complexities and conducting data science or engineering initiatives to validate platform functionality and support data\-driven business decisions.
**Degree Requirement**:
* Degree or equivalent experience is desired.
**What You Will Do:**
* **Directing the design, implementation, and maintenance of the rada platform infrastructure; creating scalable and resilient environments that allow data scientists to focus on data rather than underlying resources.**
* **Developing high\-performance features and APIs using Python and FastAPI; providing the tooling necessary for seamless data science workflows and model serving.**
* **Executing end\-to\-end data science and engineering projects to validate platform capabilities; ensuring technical features align with practical research and production requirements through direct implementation.**
* **Leading the orchestration of workloads via Kubernetes and Linux\-based systems; promoting efficiency through containerization and advanced resource management.**
* **Automating CI/CD pipelines and deployment processes for data projects; implementing "infrastructure as code" to ensure consistency across cloud environments.**
* **Ensuring the security, compliance, and monitoring of the platform; conducting regular system audits to maintain high availability and operational integrity.**
* **Partnering with data scientists to identify platform bottlenecks; identifying and implementing features that abstract infrastructure complexity to drive research impact.**
**What You Will Have:**
**Cloud and Container Orchestration: Knowledge of cloud providers (AWS/GCP/Azure) and container management; ability to design and manage production\-grade Kubernetes clusters.**
Level Extensive Experience:
* Designs and implements auto\-scaling, self\-healing infrastructure.
* Manages complex networking, storage, and security policies within Kubernetes.
* Optimizes cloud spend and resource allocation for high\-compute data workloads.
* Troubleshoots complex distributed system failures across Linux environments.
**System Programming and API Development: Proficiency in Python and modern frameworks like FastAPI; ability to build performant, well\-documented services.**
Level Extensive Experience:
* Architects asynchronous, scalable APIs to support data ingestion and model inference.
* Implements robust error handling, logging, and telemetry across platform services.
* Optimizes Python code for performance\-critical components of the data pipeline.
* Enforces strict typing and coding standards to ensure long\-term maintainability.
**DevOps and Automation: Knowledge of CI/CD tools and automation strategies; ability to treat infrastructure as software.**
Level Extensive Experience:
* Builds and maintains automated pipelines for testing, building, and deploying ML models.
* Utilizes Terraform or similar tools to manage infrastructure state.
* Implements comprehensive monitoring and alerting for platform health.
* Drives the "Platform\-as\-a\-Service" internal culture to reduce developer friction.
**Accuracy and Attention to Detail: Understanding the necessity and value of accuracy; ability to complete tasks with high levels of precision.**
Level Extensive Experience:
* Evaluates and makes contributions to best practices for system reliability.
* Processes large quantities of configuration and infrastructure data with high levels of accuracy.
Productively balances system performance with security and stability.  
* 
**What You Will Get!**
Our goal at Caterpillar is for you to have a rewarding career. Our teams are critical to the success of our customers who build a better world.
Here you earn more than just an hourly wage, because we value your performance, we offer a total rewards package that provides day one benefits along with the potential of annual bonuses.
Additional benefits include paid vacation days and paid holidays (prorated based upon hire date).
* Medical, dental, and vision coverage
* Paid time off plan (Vacation, Holiday, Volunteer, Etc.)
* 401k savings plan
* Health savings account (HSA)
* Flexible spending accounts (FSAs)
* Short and long\-term disability coverage
* Life Insurance
* Paid parental leave
* Healthy Lifestyle Programs
* Employee Assistance Programs
* Voluntary Benefits (Ex. Accident, Identity Theft Protection)
**All eligible candidates MUST pass the following pre\-employment screenings before they can be hired to any Caterpillar position:**
* Background Screening
* Drug \&amp; Alcohol Screening
Please ensure you frequently sign into your candidate home for any updates or correspondence for positions that you have applied for. https://cat.wd5\.myworkdayjobs.com/CaterpillarCareers
Keep a frequent check on emails as correspondence will be sent to the email that you used to apply with. If you wish to know the status of your application – please use the candidate log\-in on our career website as it will reflect any updates to your status.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Domestic relocation assistance is offered for this position.
**About Caterpillar**
Caterpillar Inc. is the world’s leading manufacturer of construction and mining equipment, off\-highway diesel and natural gas engines, industrial gas turbines and diesel\-electric locomotives. For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9, 2026 \- February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32">
      <c r="A132" t="inlineStr">
        <is>
          <t>in-a2391c59251b846c</t>
        </is>
      </c>
      <c r="B132" t="inlineStr">
        <is>
          <t>Lead Data Scientist</t>
        </is>
      </c>
      <c r="C132" t="inlineStr">
        <is>
          <t>Caterpillar</t>
        </is>
      </c>
      <c r="D132" t="inlineStr">
        <is>
          <t>indeed</t>
        </is>
      </c>
      <c r="E132">
        <f>HYPERLINK("https://www.indeed.com/viewjob?jk=a2391c59251b846c", "https://www.indeed.com/viewjob?jk=a2391c59251b846c")</f>
        <v/>
      </c>
      <c r="F132">
        <f>HYPERLINK("https://careers.caterpillar.com/en/jobs/r0000347654/lead-data-scientist/", "https://careers.caterpillar.com/en/jobs/r0000347654/lead-data-scientist/")</f>
        <v/>
      </c>
      <c r="G132" t="inlineStr">
        <is>
          <t>Peoria, IL, US</t>
        </is>
      </c>
      <c r="H132" s="3" t="n">
        <v>46061</v>
      </c>
      <c r="I132"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As a Lead Data Scientist in Corporate Aftermarket Finance Services, you will provide specialized data science expertise and technical leadership to support all aspects of forecast analytics for Caterpillar aftermarket parts and related special projects. The role is responsible for managing and optimizing key analytical processes that support the enterprise\-critical Dealer Parts Orders (DPO) forecast and insights generation. This position oversees the end‑to‑end Parts Long‑Term Forecast (LTF) process – spanning system architecture design and implementation; data engineering and statistical model development; user training, and stakeholder approvals – to ensure accurate and efficient forecasting. The role owns design, maintenance and enhancements of Power BI dashboards to deliver clear, actionable insights to stakeholders.
A core responsibility is safeguarding the integrity of both the Sales \&amp; Operations Planning (S\&amp;OP) forecast disaggregation and the annual business plan disaggregation for DPO. This includes owning the statistical modeling required to calculate probabilistic confidence intervals for aftermarket parts forecasts. The position also ensures timely, accurate updates to DPO systems and provides expert\-level support for all product‑based allocation inquiries.
The role requires strong planning and prioritization skills to independently complete broadly scoped assignments and drive key business outcomes. Success in this position directly contributes to organizational goals related to customer satisfaction, process quality, accuracy, efficiency, and continuous improvement.
**What You Will Do:**
* Responsible for answering questions regarding the Dealer Parts Orders (DPO) product\-based allocation.
* Own the Parts LTF process: system architecture design, analytics solution development, and user training.
* Own the design, development and maintenance of PowerBI dashboards to deliver the forecast analytics solutions.
* Responsible for the integrity of the disaggregation of the S\&amp;OP forecast.
* Own the foundational research in leveraging Gen AI LLM models for explainable forecast initiative.
* Lead design and implementation of LLM\-powered analytics insight generation to explain forecast miss
* Own the statistical modelling for calculating forecast confidence intervals for aftermarket parts.
* Responsible for the integrity of the annual business plan disaggregation for DPO.
* Regularly and accurately maintain and update DPO systems and answer all related queries for their assigned allocations.
* Responsible for setting priorities and preparing work plan to complete broadly defined assignments and achieve desired results.
* Responsible for Value Stream Mapping for Business Process analysis and improvement.
* Responsible for Impact key quality goals including Customer Satisfaction, Continuous Improvement, Timeliness, Accuracy, Efficiency, Cost Savings, Process Quality, etc.
**What You Have:**
Business Statistics: In\-depth knowledge of statistical methods, models, tools, and techniques, as used as industry\-best\-practices to solve diverse business problems and support business decision\-making.
Time Series Modeling: In\-depth knowledge of fundamental concepts of time series stationarity, seasonality, and time series decomposition. Extensive experience in applying statistical tools and techniques for time series analysis and modelling.
Machine Learning: In\-depth knowledge of principles, technologies and algorithms of machine learning and deep learning; Demonstrated ability to develop, implement and deliver related systems, products and services.
Accuracy and Attention to Detail: Understanding the necessity and value of accuracy; ability to complete tasks with high levels of precision.
Analytical Thinking: Knowledge of techniques and tools that promote effective analysis; ability to determine the root cause of organizational problems and create alternative solutions that resolve these problems.
Platform and Programming Skill: Knowledge of basic concepts and capabilities of analytics programming languages; Ability to use tools, techniques and platforms in order to write and modify analytics programs; Proficiency in the following:
* Analytics Programming Language: Python, R, SQL and SAS
* Data Engineering and Warehousing: Snowflake
* ML Platform: PyTorch or Tensorflow
* Insights Delivery: PowerBI; Rshiny / Dash / Streamlit
* Cloud Platform: AWS (S3, EC2, LAMBDA, Glue, Sagemaker) or its equivalent in Azure
* AI and Gen AI Orchestration: Ollama, AWS Bedrock / Sagemaker or Azure ML / Azure OpenAI
Query and Database Access Tools: Knowledge of data management systems; ability to use, support and access facilities for searching, extracting and formatting data for further use; Specifically, Proficiency in Snowflake SQL.
Requirements Analysis: Knowledge of tools, methods, and techniques of requirement analysis; ability to elicit, analyze and record required business functionality and non\-functionality requirements to ensure the success of a system or software development project. Specifically, Experience in Azure DevOps
**Top Candidates Will Also Have:**
* Doctoral or Master’s degree with 5 years of experience or a Bachelor’s degree with 10 years of experience in Computer Science, Mathematics, Engineering, Accounting, Statistics, Data Science, Business Analytics, or a closely related field with extensive coursework in mathematical and statistical modeling.
* 5\+ years of extensive experience in applying statistical models and methods to solve wide range of industry problems.
* 5\+ years of extensive experience in applying statistical tools and techniques for time series analysis and modelling; demonstrating deep understanding of fundamental concepts of time series analysis: stationarity; seasonality; time series decomposition.
* 5\+ years of extensive experience in developing end\-to\-end analytics solutions that span from data pipeline to insights delivery.
* Deep expertise and experience in applying classical statistical modelling methods, tools and techniques for time series forecasting included in the GLM, ARIMA and State Space family of models.
* Deep expertise and experience in contemporary deep learning tools and techniques for time series forecasting included in Transformer family of models with self\-attention mechanism.
* Deep understanding of models and methods for Hierarchical time series and forecast reconciliation.
* Extensive experience and proficiency in R, Python and SQL / Snowflake queries
* Experience with AWS Cloud platform and AWS Glue
* Experience with Alteryx and SAS
* Extensive experience with PowerBI for development of reporting dashboards
* Experience with Rshiny / Dash / Streamlit for development of interactive web application for forecast analytics.
* High level of interpersonal skills and excellent communication and storytelling skills
* Experience in Value Stream Mapping for Business Process analysis and improvement
**Additional Info**:
* The ideal location for this role is Peoria – IL or Dallas \- TX
* This position may require 10% travel.
**About Caterpillar \-**
For more than a century, Caterpillar has helped build a better, more sustainable world. With 2025 sales and revenues of $67\.6 billion, Caterpillar Inc. is shaping the future as the world’s leading manufacturer of construction and mining equipment, off\-highway diesel and natural gas engines, industrial gas turbines and diesel\-electric locomotives. Backed by one of the largest independent global dealer networks and financing services through Cat Financial, the company’s primary business segments: Power \&amp; Energy, Construction Industries and Resource Industries are solving customers’ toughest challenges through commercial excellence and advanced technology, driven by a highly skilled, dedicated global team. Learn more at www.caterpillar.com.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9,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33">
      <c r="A133" t="inlineStr">
        <is>
          <t>in-c57e5bbc6966eee2</t>
        </is>
      </c>
      <c r="B133" t="inlineStr">
        <is>
          <t>Senior Data Scientist</t>
        </is>
      </c>
      <c r="C133" t="inlineStr">
        <is>
          <t>Caterpillar</t>
        </is>
      </c>
      <c r="D133" t="inlineStr">
        <is>
          <t>indeed</t>
        </is>
      </c>
      <c r="E133">
        <f>HYPERLINK("https://www.indeed.com/viewjob?jk=c57e5bbc6966eee2", "https://www.indeed.com/viewjob?jk=c57e5bbc6966eee2")</f>
        <v/>
      </c>
      <c r="F133">
        <f>HYPERLINK("https://careers.caterpillar.com/en/jobs/r0000348966/senior-data-scientist/", "https://careers.caterpillar.com/en/jobs/r0000348966/senior-data-scientist/")</f>
        <v/>
      </c>
      <c r="G133" t="inlineStr">
        <is>
          <t>Morton, IL, US</t>
        </is>
      </c>
      <c r="H133" s="3" t="n">
        <v>46061</v>
      </c>
      <c r="I133"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When you join Caterpillar, you’re joining a global team who care not just about the work we do – but also about each other. We are the makers, problem solvers and future work builders who are creating stronger, more sustainable communities. We don’t just talk about progress and innovation here – we make it happen, with our customers, where we work and live. Together, we are building a better world, so we can all enjoy living in it.
Our **Product Support and Logistics Division (PSLD)** is one of the most innovative divisions within Caterpillar. In PSLD, as within all of Caterpillar, our priority is our customers and helping them build a better world. We touch nearly every element of the services value stream. PSLD is responsible for Aftermarket Parts Distribution of Cat Parts, Integrated Logistics and Global Services supporting Caterpillar dealers and customers. Our teams work together in critical areas that leverage digital capabilities, technology and operational excellence.
As a **Senior Data Scientist,** you will apply your expertise in quantitative analysis, data management, workflow automation, modeling, and data visualization as a key team lead on project teams solving complex business problems. This position is a part of the Caterpillar Inventory Management Research Team, which uses quantitative methods such as business simulations, data mining, machine learning, and advanced statistical techniques to solve problems.
**Additional Information:**
* **This role is located in Morton, IL and does not offer relocation or sponsorship**
* **This role is 1st Shift: Monday through Friday**
* **This role is 100% on\-site with no opportunities for hybrid or remote schedules**
* **This role requires up to 10% Domestic travel**
**What You Will Do:**
* Conduct analytics‑driven research to support project teams
* Use tools like Python, R, SAS, SQL, and Dataiku to build models and solve business problems
* Perform statistical modeling and analyze parts demand and inventory trends
* Improve existing inventory optimization methods and develop new ones
* Run and evaluate inventory management simulations
* Build Power BI dashboards for reporting and exploratory analysis
* Perform ad‑hoc data processing, analysis, and visualization
* Develop and refine large‑scale solutions for complex business environments
* Lead AI automation and agentic AI initiatives to reduce manual work and speed up workflows
* Provide executive‑level S\&amp;OP data analysis to support decision‑making
* Build advanced forecasting solutions using service event data and other forward‑looking signals
* Develop expertise in inventory management systems and parts management practices
* Clearly communicate complex analysis and technical concepts to stakeholders and internal teams
 **What You Have (Basic Requirements):**
* **Business Statistics:** Knowledge of the statistical tools, processes, and practices to describe business results in measurable scales; ability to use statistical tools and processes to assist in making business decisions.
* **Analytical Thinking:** Knowledge of techniques and tools that promote effective analysis; ability to determine the root cause of organizational problems and create alternative solutions that resolve these problems.
* **Programming Languages:** Knowledge of basic concepts and capabilities of programming; ability to use tools, techniques and platforms in order to write and modify programming languages.
* **Query and Database Access Tools:** Knowledge of data management systems; ability to use, support and access facilities for searching, extracting and formatting data for further use.
* **Requirements Analysis:** Knowledge of tools, methods, and techniques of requirement analysis; ability to elicit, analyze and record required business functionality and non\-functionality requirements to ensure the success of a system or software development project.
**What Will Set You Apart (Preferred Skills):**
* Bachelor’s degree or higher in a quantitative or technical field
* 5\+ years of professional experience applying quantitative analysis
* Strong proficiency in Python, R, SAS, SQL, and/or Dataiku for statistical modeling and machine learning
* Knowledge of key principles, technologies, and algorithms, with ability to develop, implement, and deliver ML solutions
* Experience with AI and agentic/LLM tools such as Copilot Studio, Snowflake Cortex, Sidekick, or LangChain
* Skilled in automation and app‑building tools (Power Automate, Power Apps, Excel VBA)
* Proficiency in data visualization tools like Power BI or Tableau
* Strong written, verbal, and digital communication skills, including data‑driven storytelling
* Experience in inventory management or parts‑related operations
* Demonstrated teamwork, initiative, and strong interpersonal skills
* Passion for big data, research, analytics, and solving complex problems
**What You Will Get:**
Through it all, we are **one team** – creating and delivering world\-class components and solutions superior to the competition. Learn more about the **Caterpillar Experience**.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\#LI
\#BI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9, 2026 \- February 19,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34">
      <c r="A134" t="inlineStr">
        <is>
          <t>in-c69ebf2ad39e519e</t>
        </is>
      </c>
      <c r="B134" t="inlineStr">
        <is>
          <t>Entry Level Data Scientist</t>
        </is>
      </c>
      <c r="C134" t="inlineStr">
        <is>
          <t>Auto Club of Southern Calif</t>
        </is>
      </c>
      <c r="D134" t="inlineStr">
        <is>
          <t>indeed</t>
        </is>
      </c>
      <c r="E134">
        <f>HYPERLINK("https://www.indeed.com/viewjob?jk=c69ebf2ad39e519e", "https://www.indeed.com/viewjob?jk=c69ebf2ad39e519e")</f>
        <v/>
      </c>
      <c r="F134">
        <f>HYPERLINK("https://careers.ace.aaa.com/us/en/job/ACOSUSJR202634651EXTERNALENUS/Entry-Level-Data-Scientist?utm_source=indeed&amp;utm_medium=phenom-feeds", "https://careers.ace.aaa.com/us/en/job/ACOSUSJR202634651EXTERNALENUS/Entry-Level-Data-Scientist?utm_source=indeed&amp;utm_medium=phenom-feeds")</f>
        <v/>
      </c>
      <c r="G134" t="inlineStr">
        <is>
          <t>Costa Mesa, CA, US</t>
        </is>
      </c>
      <c r="H134" s="3" t="n">
        <v>46061</v>
      </c>
      <c r="I134" t="inlineStr">
        <is>
          <t>AAA is offering an exciting opportunity to join our Data Science team, where you'll gain hands\-on experience using data to solve real\-world problems. You'll work with our marketing department to develop data pipelines and uncover insights that help us attract and retain new members and policyholders
What You’ll Do
Build an understanding of marketing’s business operations, KPI’s and strategic goals
Develop and automate data pipelines and dashboards monitoring marketing campaign performance
Maintain documentation, validate ongoing data pipelines and implement anomaly detection and other data quality monitoring algorithms
Support development and implementation of AI capabilities into marketing operations
What You’ll Need
Bachelor’s Degree from an accredited University or College with an emphasis on computer science, statistics, business analytics or a related subject area
Experience working with relational databases and coding in SQL
Experience coding in Python or R
Ability to communicate effectively in a variety of business\-related contexts including in\-person, video calls and email/slack
Nice to Have
Working knowledge of digital marketing platforms and channels
Graduate degree or data science certification
\#LI\-SJ1
**The starting pay range for this position is:**  
$33\.43 \- $44\.53
Additionally, for full time positions, you will be eligible to participate in our incentive program based upon the achievement of organization, team and personal performance.
.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135">
      <c r="A135" t="inlineStr">
        <is>
          <t>in-6f9508e074c97b0b</t>
        </is>
      </c>
      <c r="B135" t="inlineStr">
        <is>
          <t>Data Scientist</t>
        </is>
      </c>
      <c r="C135" t="inlineStr">
        <is>
          <t>Sammons Financial Group Companies</t>
        </is>
      </c>
      <c r="D135" t="inlineStr">
        <is>
          <t>indeed</t>
        </is>
      </c>
      <c r="E135">
        <f>HYPERLINK("https://www.indeed.com/viewjob?jk=6f9508e074c97b0b", "https://www.indeed.com/viewjob?jk=6f9508e074c97b0b")</f>
        <v/>
      </c>
      <c r="F135">
        <f>HYPERLINK("https://careers.sammonsfinancialgroup.com/jobs/3413/job?utm_source=indeed_integration&amp;iis=Job%20Board&amp;iisn=Indeed&amp;indeed-apply-token=73a2d2b2a8d6d5c0a62696875eaebd669103652d3f0c2cd5445d3e66b1592b0f", "https://careers.sammonsfinancialgroup.com/jobs/3413/job?utm_source=indeed_integration&amp;iis=Job%20Board&amp;iisn=Indeed&amp;indeed-apply-token=73a2d2b2a8d6d5c0a62696875eaebd669103652d3f0c2cd5445d3e66b1592b0f")</f>
        <v/>
      </c>
      <c r="G135" t="inlineStr">
        <is>
          <t>West Des Moines, IA, US</t>
        </is>
      </c>
      <c r="H135" s="3" t="n">
        <v>46061</v>
      </c>
      <c r="I135" t="inlineStr">
        <is>
          <t>Overview: Responsible for contributing to and scaling advanced analytics within the Life Business Unit. Applies strong, developing\-to\-advanced skills in machine learning, statistical analysis, and data\-driven decision making—along with emerging Generative AI capabilities—to design, prototype, and implement analytics solutions and decision\-support tools. Works collaboratively with business and technology partners to deliver measurable outcomes, following established engineering, governance, and risk management standards. Responsibilities: • Apply statistics, machine learning, programming, and data modeling to identify patterns, generate hypotheses, and develop prototypes that improve business outcomes.
* Produce innovative solutions driven by exploratory data analysis from complex and high\-dimensional datasets.
* Design, develop, and evaluate predictive models and algorithms to extract value from structured enterprise data.
* Identify, frame, and prototype Generative AI use cases that improve business outcomes (e.g., summarization, extraction, classification, enterprise Q\&amp;A, decision\-support assistants) using approved enterprise tools and data sources.
* Create and present materials that translate complex data analysis into easy\-to understand stories with persuasive recommendations for all levels of management.
* Support experimentation and measurement: analyze and interpret results from tests/experiments; communicate findings and recommendations to product, service, and business stakeholders.
* Use a flexible, analytical approach to design, develop and evaluate predictive models and advanced algorithms that lead to optimal value extraction from the data.
* Collaborate with both business and IT subject matter experts (SMEs) to implement and support solutions.
* Provide thought leadership by researching best practices, conducting experiments, and demonstrating/articulating value proposition for the use of advanced analytics.
* Write production\-quality code and documentation that is clear, testable, and maintainable.
* Participate in transformation, analytics, and customer journey initiatives as needed as part of the Life Operating Model.
* Commitment to embrace Sammons Financial Group Companies shared values (Accountability, Connection, Openness, Respect and Integrity).
* As stated within the Company Attendance and Punctuality policy, regular attendance is required and expected in order to meet the business service levels and workflow demands.
* Participate in other initiatives and/or projects as necessary. Qualifications:
* Bachelor's Degree in Computer Science, Statistics, Mathematics or related technical discipline Required
* Master's Degree or PhD in Computer Science, Statistics, Mathematics or related technical discipline Preferred
* Minimum 5 years' statistical or data science experience Required
* Experience working with large data sets, simulation/optimization, and distributed computing tools strongly preferred
* Experience with common data visualization tools such as PowerBI or Tableau strongly preferred
* Experience applying machine learning/statistics to business problems (modeling, measurement, and communicating results) Required
* Experience in insurance and financial services, specifically life insurance and annuities strongly preferred
* Experience with Hadoop, Azure, Snowflake or similar Preferred
* Experience with initiatives such as life insurance underwriting, annuity suitability, sales modeling, fraud detection or claims Preferred
* Hands\-on experience building proofs of concept or production quality features using LLMs (via approved APIs/platforms) Preferred
* Proficiency with R, Python, SAS and/or background in programming required
* Deep knowledge of machine learning statistics, optimization or related field required
* Strong written and verbal communication skills including the ability to work with business leaders at all levels
* Ability to independently research, analyze and resolve problem situations using good judgment and sound decision making
* Strong interpersonal skills with ability to influence without authority, ability to adapt to change and ability to think creatively to accomplish results
* Ability to create and deliver presentations and demonstrations to executives
* Demonstrated track record of dealing well with ambiguity, prioritizing needs and delivering results in a dynamic environment
* Strong initiative, self\-motivation and ability to work independently
* Ability to handle multiple projects at one time and effectively work under deadline pressures
Suitability Requirements: • Criminal background check required.
Company Information: •Sammons Financial Group offers a competitive benefit package that includes: Health, Dental, Vision, Company Paid Retirement, PTO and Holiday Pay.
* Our Employee Stock Ownership Plan (ESOP) is a 100% company\-funded retirement plan, so you can save for retirement without contributing a penny of your own paycheck.
* Healthy balance between work and personal lives. Friday afternoons off all year long, competitive PTO, and generous number of paid holidays.
* Our incentive program for defined goals subject to eligibility and performance. Monetary rewards are based on individual and/or overall company performance.
* Colleagues who support one another, model our core values, and drive our healthy, high\-performing culture. Pay Range: USD $76,158\.00 \- USD $158,663\.00 /Yr. Pay Transparency Verbiage: Range includes data points from multiple labor markets. Specific range is dependent on the labor market where the incumbent will be hired to perform the position. Starting salary is dependent on candidate qualifications and experience. For a narrower salary range specific to your labor market, please inquire. Work Authorization/Sponsorship: At this time, we’re not considering candidates that need any type of immigration sponsorship now or in the future or those needing work authorization for this role (This includes, but is not limited to students on F1\-OPT, F1\-CPT, J\-1, etc.)</t>
        </is>
      </c>
    </row>
    <row r="136">
      <c r="A136" t="inlineStr">
        <is>
          <t>in-3664088d4bc539b1</t>
        </is>
      </c>
      <c r="B136" t="inlineStr">
        <is>
          <t>Data Scientist</t>
        </is>
      </c>
      <c r="C136" t="inlineStr">
        <is>
          <t>Hunter Douglas</t>
        </is>
      </c>
      <c r="D136" t="inlineStr">
        <is>
          <t>indeed</t>
        </is>
      </c>
      <c r="E136">
        <f>HYPERLINK("https://www.indeed.com/viewjob?jk=3664088d4bc539b1", "https://www.indeed.com/viewjob?jk=3664088d4bc539b1")</f>
        <v/>
      </c>
      <c r="F136">
        <f>HYPERLINK("https://jsv3.recruitics.com/redirect?rx_cid=3652&amp;rx_jobId=7624016003&amp;rx_url=https%3A%2F%2Fjobs.hunterdouglas.com%2Fdivision%2Fhunterdouglas%2Fjob%2F7624016003%3Fgh_jid%3D7624016003%26gh_src%3D50eaad413us%26rx_a%3D0%26rx_c%3D%26rx_ch%3Djobp4p%26rx_group%3D270315%26rx_id%3D4ddfc6d7-05d5-11f1-abb4-95dc6e247ead%26rx_job%3D7624016003%26rx_medium%3Dcpc%26rx_r%3Dnone%26rx_source%3Dindeed%26rx_ts%3D20260210T040528Z%26rx_vp%3Dcpc", "https://jsv3.recruitics.com/redirect?rx_cid=3652&amp;rx_jobId=7624016003&amp;rx_url=https%3A%2F%2Fjobs.hunterdouglas.com%2Fdivision%2Fhunterdouglas%2Fjob%2F7624016003%3Fgh_jid%3D7624016003%26gh_src%3D50eaad413us%26rx_a%3D0%26rx_c%3D%26rx_ch%3Djobp4p%26rx_group%3D270315%26rx_id%3D4ddfc6d7-05d5-11f1-abb4-95dc6e247ead%26rx_job%3D7624016003%26rx_medium%3Dcpc%26rx_r%3Dnone%26rx_source%3Dindeed%26rx_ts%3D20260210T040528Z%26rx_vp%3Dcpc")</f>
        <v/>
      </c>
      <c r="G136" t="inlineStr">
        <is>
          <t>Brazil, IN, US</t>
        </is>
      </c>
      <c r="H136" s="3" t="n">
        <v>46061</v>
      </c>
      <c r="I136"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We are seeking a strategic and technically strong Data Scientist to support high\-impact analytical initiatives across finance, strategy, pricing, and commercial functions. This role works directly with the Head of Strategy, and senior commercial leaders to shape business decisions through rigorous analytics, AI\-driven insights, and a deep understanding of complex product and channel environments. The ideal candidate brings a blend of technical excellence, business acumen, and the ability to influence outcomes across a diverse set of stakeholders.
**What you'll do**
**Strategic Partnership \&amp; Collaboration**
* Serve as a core analytical partner to the CFO, Head of Strategy, and commercial leadership, helping define analytical priorities and shaping strategic decision\-making.
* Translate evolving business needs into robust analytical plans, ensuring clarity around objectives, data requirements, and expected impact.
**Advanced Analytics \&amp; Data Science Execution**
* Develop predictive models, segmentation frameworks and optimization analyses to support financial planning, portfolio strategy, and commercial performance.
* Build and refine scalable analytics workflows in SQL and Google BigQuery, ensuring high\-quality data pipelines and efficient processing of large datasets.
* Apply AI and machine learning techniques to automate processes, enhance decision\-making, and unlock new insights across pricing, customer behavior, and product performance.
**Revenue, Pricing \&amp; Growth Insights**
* Conduct deep\-dive analyses into revenue drivers, product mix, elasticity, promotions, and customer/segment profitability.
* Support revenue management or growth initiatives by identifying leverage points for price optimization, margin enhancement, sales acceleration, and product strategy.
* Evaluate performance across complex or configurable product portfolios, ensuring insights account for multivariate product and commercial structures.
**Business Communication \&amp; Influence**
* Synthesize analytical findings into clear, concise narratives tailored for executives and commercial teams.
* Help build a data\-driven culture by elevating analytical standards, sharing best practices, and improving access to insights.
**Who you are**
* 5\+ years in data science, advanced analytics, revenue management, pricing analytics, or growth\-focused analytical roles.
* Deep expertise in SQL and Google BigQuery, with hands\-on experience managing large, complex datasets.
* Proven track record partnering with finance leaders, strategy leaders, or senior commercial executives.
* Strong business judgment with the ability to proactively identify high\-value analytics and AI opportunities.
* Experience with complex product portfolios, configurable/custom products, or multi\-category commercial environments.
* Hands\-on experience implementing AI\-driven methods within data science workflows.
* Excellent communication skills with the ability to align technical insights to business priorities.
* Ability to communicate effectively in English, both verbally and in writing (Required)
* Previous experience supporting teams globally with a focus on North America (Preferred)
* Experience with pricing analytics, elasticity modeling, promotional analysis, or revenue optimization. (Preferred)
* Prior work in growth, revenue strategy, commercial analytics, or similar functions. (Preferred)
* Proficiency in Python, R, or comparable languages for advanced modeling. (Preferred)
**What's in it for you**
* Annual base salary range: BRL 235,000 \- 319,000
* Bonus target range: 25%
* Enjoy our Flexible Time Off (FTO) program designed to support work–life balance (excludes new hires in Illinois).
* Generous benefits package
* A company culture that prioritizes internal development and professional growth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*\#LI\-VA1*
*\#LI\-hybrid*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37">
      <c r="A137" t="inlineStr">
        <is>
          <t>in-30f87e1b9fa4e7bf</t>
        </is>
      </c>
      <c r="B137" t="inlineStr">
        <is>
          <t>Senior Data Scientist</t>
        </is>
      </c>
      <c r="C137" t="inlineStr">
        <is>
          <t>Analytica</t>
        </is>
      </c>
      <c r="D137" t="inlineStr">
        <is>
          <t>indeed</t>
        </is>
      </c>
      <c r="E137">
        <f>HYPERLINK("https://www.indeed.com/viewjob?jk=30f87e1b9fa4e7bf", "https://www.indeed.com/viewjob?jk=30f87e1b9fa4e7bf")</f>
        <v/>
      </c>
      <c r="F137">
        <f>HYPERLINK("https://analyticallc.applytojob.com/apply/aAs7KEZ0Ne/Senior-Data-Scientist?source=INDE&amp;~", "https://analyticallc.applytojob.com/apply/aAs7KEZ0Ne/Senior-Data-Scientist?source=INDE&amp;~")</f>
        <v/>
      </c>
      <c r="G137" t="inlineStr">
        <is>
          <t>Remote, US</t>
        </is>
      </c>
      <c r="H137" s="3" t="n">
        <v>46061</v>
      </c>
      <c r="I137" t="inlineStr">
        <is>
          <t>Analytica is seeking a **Senior Data Scientist** with Medicaid policy experience to engage in developing algorithms to identify aberrant provider billing and utilization patterns. This role supports the Centers for Medicare \&amp; Medicaid Services (CMS) in strengthening oversight of Medicaid and CHIP programs through advanced analytics, data modeling, and risk\-based insights. The mission of PIMAS is to identify, analyze, and prioritize program integrity risks across Medicaid and CHIP by leveraging large\-scale claims and enrollment data. The project focuses on developing and refining analytic models, dashboards, and decision\-support tools that help CMS detect fraud, waste, abuse, and emerging vulnerabilities, and translate complex data into actionable intelligence for federal and state stakeholders.  
Analytica has been recognized by *Inc. Magazine* as one of the fastest\-growing 250 businesses in the US for three consecutive years. We support U.S. government clients in health, civilian, and national security missions to build better solutions that impact Americans’ day\-to\-day lives. The company offers competitive compensation with opportunities for bonuses, employer\-paid healthcare, training and development funds, and a 401k match.  
**Responsibilities include (but are not limited to):**
* Designing and enhancing risk\-based analytic models to identify high\-risk providers, services, and utilization pattern
* Conducting exploratory and targeted data analyses to support CMS program integrity initiatives
* Supporting development of dashboards, visualizations, and reporting products for CMS leadership and technical staff
* Collaborating with the prime contractor and CMS to refine analytic methodologies, assumptions, and outputs
* Translating analytic results into clear findings, documentation, and recommendations usable by non\-technical audiences
**The PIMAS technical environment is data\-intensive and collaborative, typically involving:*** Large Medicaid and CHIP datasets (e.g., claims, provider, and enrollment data)
* Analytic tools and languages such as SQL, Python, R, and related data science libraries
* Data visualization and dashboard platforms (e.g., Tableau or similar tools)
* Secure federal data environments with strict data governance, privacy, and compliance requirements
* Version control, documentation, and collaboration tools to support distributed teams
* Candidates should be comfortable working in regulated environments and adapting to evolving analytic requirements.
Team members work closely with other subcontractors and prime contractor analytics teams. Client engagement on PIMAS is frequent and collaborative. Team members regularly participate in meetings and working sessions with CMS staff. They also present findings, walk through methodologies, and support refinement of results. This project is well\-suited for professionals who enjoy direct client interaction, translating technical analysis into policy\-relevant insights, and working in a mission\-driven federal environment.  
**Basic Qualifications:*** Bachelor’s or Master’s degree (Masters preferred) with a concentration on data analytics, statistics, health policy, or public health
* Python, SQL, and SAS programming skills.
* Healthcare and/or program integrity background preferred
* Woking knowledge of statistical programming concepts and best practices is required
* Experience with MLFlow, MLOps, and AI/ML programming techniques is required
* Experience with Databricks and/or Snowflake or other notebook development environment is required
* Experience with ESRI or other geospatial mapping and analytics tool is a plus·
* Experience with Tableau and data visualization techniques is a plus
* Ability to adapt effectively to a remote work environment.
* U.S. citizenship, Green Card, or valid work authorization (H1B).
 **About** **Analytica:****Analytica** is a leading consulting and information technology solutions provider to public sector organizations supporting health, civilian, and national security missions. The company is an award\-winning **SBA certified 8(a) small business**that has been recognized by *Inc. Magazine* each of the past three years as one of the 250 fastest\-growing companies in the U.S. Analytica specializes in providing software and systems engineering, information management, analytics \&amp; visualization, agile project management, and management consulting services. The company is appraised by the Software Engineering Institute (SEI) at CMMI® Maturity Level 3 and is an ISO 9001:2008 certified provider.
Analytica LLC is an Equal Opportunity Employer. We are committed to providing equal employment opportunities to all individuals, regardless of race, color, religion, sex, sexual orientation, gender identity, national origin, age, disability, or any other characteristic protected by applicable federal, state, or local law. As a federal contractor, we comply with the Vietnam Era Veterans' Readjustment Assistance Act (VEVRAA) and take affirmative action to employ and advance in employment qualified protected veterans.
We ensure that all employment decisions are based on merit, qualifications, and business needs. We prohibit discrimination and harassment of any kind. Analytica LLC also provides reasonable accommodations to applicants and employees with disabilities, in accordance with applicable laws
When receiving email communication from Analytica, please ensure that the email domain is analytica.net to verify its authenticity.
aAs7KEZ0Ne</t>
        </is>
      </c>
    </row>
    <row r="138">
      <c r="A138" t="inlineStr">
        <is>
          <t>in-746dde48e9d8563d</t>
        </is>
      </c>
      <c r="B138" t="inlineStr">
        <is>
          <t>Associate Data Scientist</t>
        </is>
      </c>
      <c r="C138" t="inlineStr">
        <is>
          <t>Quantifind</t>
        </is>
      </c>
      <c r="D138" t="inlineStr">
        <is>
          <t>indeed</t>
        </is>
      </c>
      <c r="E138">
        <f>HYPERLINK("https://www.indeed.com/viewjob?jk=746dde48e9d8563d", "https://www.indeed.com/viewjob?jk=746dde48e9d8563d")</f>
        <v/>
      </c>
      <c r="F138">
        <f>HYPERLINK("https://grnh.se/hlbay53k1us", "https://grnh.se/hlbay53k1us")</f>
        <v/>
      </c>
      <c r="G138" t="inlineStr">
        <is>
          <t>Palo Alto, CA, US</t>
        </is>
      </c>
      <c r="H138" s="3" t="n">
        <v>46061</v>
      </c>
      <c r="I138" t="inlineStr">
        <is>
          <t>### **Who You Are**
You are a quantitative thinker who wants to develop further as both a data scientist and an engineer. You are skilled at finding the precise mathematical kernels of real\-world problems and want to bring that talent to bear on the business questions facing the world's leading financial services companies. You are excited to apply your existing expertise in fields such as statistics and computer science to solve mission critical problems. You are excited to work at a fast\-paced startup where you will have a chance to expand your scientific and engineering skills to new areas. You share Quantifind's commitment to winning together, and are eager to see your coworkers build on the technical foundations you will be creating. You are passionate about maintaining the high scientific and engineering standards required to enable your peers. Above all, you are a curious and independent problem solver who is motivated to find a place where your skills can have real impact.
### **Who We Are**
Quantifind helps some of the world's biggest banks catch money laundering and fraud. Quantifind also works with government agencies to use the same platform to uncover criminal networks and combat money laundering committed by internationally sanctioned entities. Unlike other players in this space, Quantifind delivers results as Software\-as\-a\-Service (SaaS) with consumer\-grade user experiences.
Quantifind is a data science technology company whose AI platform uncovers signals of risk across disparate and unstructured text sources.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through Machine Learning driven solutions that resolve for both accuracy and relevance.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 **What You'll Be Doing:**
Members of the Data Science team prototype and build complex Machine Learning solutions, improve and refine existing products through data\-driven development cycles, and support our customers extract the maximum value out of Quantifind's Graphyte platform through proofs of concepts (POC) and purpose built solutions as necessary. We work closely with the Product Management and Platform teams to anticipate company needs and quickly put state\-of\-the\-art Data Science and AI tools into the hands of end users. As a team member your duties will include:
* Collaborating with fellow team members and key stakeholders, such as, Product Managers, Platform Engineers to explore ideas, test hypotheses, and prototype solutions.
* Working in an agile environment breaking down complex problems into smaller manageable tasks with the help of your teammates and manager.
* Leveraging SQL, Python and PySpark to analyze large unstructured data sets to answer key business questions, inform research directions, or set up modeling tasks.
* Designing, writing, and maintaining ETL pipelines for integrating large and complex datasets.
* Experimenting with novel ways to use existing data\-based solutions to support customers' unique challenges.
* Training machine learning models to solve complex problems.
* Implementing Data Science solutions in our Production Scala codebase following software engineering best practices.
* Leveraging Large Language Models (LLMs) to scale up various data science tasks (for example: data labeling, extracting structured information, …)
* Participating in code reviews.
### **What A Great Candidate Looks Like:**
* MS or higher in the following areas: Statistics, Mathematics, or Computer Science
* At least 1 year of professional industry experience, in addition to your academic experience
* Outstanding analytical skills and the ability to communicate quantitative results to technical and non\-technical audiences
* Strong knowledge of Statistics/Probability/Machine Learning including core concepts of hypothesis testing, inference, bias\-variance trade\-off, regularization, dimensionality reduction etc.
* Experience using supervised and unsupervised statistical techniques such as regression, classification, and clustering
* Experience with popular machine learning algorithms such as random forests, Boosting, and neural networks
* Experience with Applied NLP methods is a strong plus, including topic modeling, text classification, word embeddings, and named entity extraction
* Strong programming experience in Python and one or more of the following: Scala/Java or R
* Experience with SQL and/or Spark
* Knowledge of data structures and algorithm complexity
### **The Opportunity We Offer**
Quantifind is seeking to fill an Associate Data Scientist position on our Data Science team in Palo Alto, California. Our development team is centered here in Palo Alto, and we have technology hubs in Atlanta, Georgia, and in Washington, D.C. We are currently using a hybrid mix of working from home and in the office.
#### **A highlight of our benefits:**
* Competitive salary
* Company Equity
* Exceptional benefits package
* Flexible Vacation \&amp; Paid Time Off
* Employer\-matched 401(k) plan
* A fun environment where work\-life balance is valued
* Lunch provided for employees in the Palo Alto office
The base salary range for this full\-time position is $100,000\-$130,000\.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pride ourselves on living our values. We are curious. We respect each other. We are proactively transparent. We relentlessly solve problems. We win together.
Will you join us? Apply now!</t>
        </is>
      </c>
    </row>
    <row r="139">
      <c r="A139" t="inlineStr">
        <is>
          <t>in-ea773b6e8f56ea6b</t>
        </is>
      </c>
      <c r="B139" t="inlineStr">
        <is>
          <t>Data Scientist</t>
        </is>
      </c>
      <c r="C139" t="inlineStr">
        <is>
          <t>University of California - San Francisco</t>
        </is>
      </c>
      <c r="D139" t="inlineStr">
        <is>
          <t>indeed</t>
        </is>
      </c>
      <c r="E139">
        <f>HYPERLINK("https://www.indeed.com/viewjob?jk=ea773b6e8f56ea6b", "https://www.indeed.com/viewjob?jk=ea773b6e8f56ea6b")</f>
        <v/>
      </c>
      <c r="F139">
        <f>HYPERLINK("https://sjobs.brassring.com/TGnewUI/Search/home/HomeWithPreLoad?partnerid=6495&amp;siteid=5861&amp;PageType=JobDetails&amp;jobid=3710429", "https://sjobs.brassring.com/TGnewUI/Search/home/HomeWithPreLoad?partnerid=6495&amp;siteid=5861&amp;PageType=JobDetails&amp;jobid=3710429")</f>
        <v/>
      </c>
      <c r="G139" t="inlineStr">
        <is>
          <t>San Francisco, CA, US</t>
        </is>
      </c>
      <c r="H139" s="3" t="n">
        <v>46061</v>
      </c>
      <c r="I139" t="inlineStr">
        <is>
          <t>Zuckerberg San Francisco General Hospital and the Division of Cardiology is at the forefront of applying artificial intelligence and machine learning (AI/ML) to help improve outcomes in vulnerable and underserved populations. We currently have a successful and growing ML predictive analytics team consisting of ML researchers, clinicians, informaticists, and biostatisticians. We seek a data scientist to join our team to develop AI/ML\-based algorithms to support clinical decision making, hospital performance improvement efforts, and more. This position requires experience in computer science, (bio)statistics, or another relevant field. A proven track record of productivity within academia or industry in publishing and/or developing and applying new algorithms is necessary for this role. The candidate should have experience developing in a Linux environment, using git\-based workflows, writing in Python/R, using high\-performance computing, and working collaboratively with a multidisclinary team. Ideally, the candidate also has experience cleaning and analyzing Electronic Health Record (EHR) data, creating datawarehouses for data analytics, and experience/interest in developing new ML algorithms including large language models.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$148,700 \- $360,900 (Annual Rate).
To learn more about the benefits of working at UCSF, including total compensation, please visit: https://ucnet.universityofcalifornia.edu/compensation\-and\-benefits/index.html
**Department Description**
This position is within the Division of Cardiology at San Francisco General Hospital and the Kaizen Promotion Office at Zuckerberg San Francisco General Hospital. The role will primarily support the application of machine learning and artificial intelligence within the predictive analytics team within the Kaizen Promotion Office. The predictive analytics team consists of an executive leader in performance excellence, multiple clinicians, a member of the clinical IT team, a data scientist, several student learners and a faculty member of the UCSF Department of Epidemiology and Biostatistics. The team has extensive experience with machine learning, artificial intelligence, informatics, biostatistics, performance improvement, implementation science and academic medicine. The position will be supervised primarily by the biostatistician and the clinicians on the team.
**Required Qualifications**
* Bachelor’s degree in Computer / Computational / Data Science, or Domain Sciences with computer / computational / data specialization or equivalent experience
* Ten or more years of relevant experience
* Expert knowledge of data science and/or clinical informatics.
* Experience with designing, and implementing, training, and deploying AI/ML\-based algorithms for biomedical applications
* Demonstrated ability to communicate technical information to technical and non\-technical personnel at various levels in the organization and to external research and education audiences
* Expert skills and experience in independently resolving complex computing / data / CI problems using introductory and / or intermediate principles
* Self\-motivated and works independently and as part of a team
* Demonstrated ability to effectively communicate with executive\-level management on a regular basis as well as funding agency program managers / directors
* Expert experience working in a complex computing / data / CI environment encompassing all or some of the following: HPC, data science infrastructure and tools / software, and diverse domain science application base
* Expert ability to independently plan, guide and execute innovative scientific research programs and development projects to completion by selecting approaches, and interpreting and evaluating results with researchers, staff and colleagues and supervisors
* Proven ability to establish realistic research priorities and lead, motivate and guide colleagues and staff for a sustained effort
**Preferred Qualifications**
* Master's degree or PhD in Computer / Computational / Data Science, or Domain Sciences with computer / computational / data specialization preferred
* Demonstrated ability to develop and lead one or multi\-institutional national scale proposals and acquire funding
* Expert ability to successfully work with multiple concurrent projects. Excellent research and technology project management skills
* In depth experience assessing a broad spectrum of technical and research needs and demands and establish priorities, leads development of solutions to meet such needs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Campus
**Job Code and Payroll Title**
006027 CMPTL AND DATA SCI RSCH SPEC 5
**Job Category**
Clinical Systems / IT Professionals, Research and Scientific
**Bargaining Unit**
Research and Public Service Professionals (RP)
**Employee Class**
Career
**Percentage**
100%
**Location**
San Francisco, CA
**Campus**
Zuckerberg San Francisco General (ZSFG)
**Work Style**
Flexible
**Shift**
Days
**Shift Length**
8 Hours
**Additional Shift Details**
M\-F 9am\-5pm; Flexible 3 Days Onsite</t>
        </is>
      </c>
    </row>
    <row r="140">
      <c r="A140" t="inlineStr">
        <is>
          <t>in-29c02f7cf2dea937</t>
        </is>
      </c>
      <c r="B140" t="inlineStr">
        <is>
          <t>Senior Data Scientist</t>
        </is>
      </c>
      <c r="C140" t="inlineStr">
        <is>
          <t>The Hartford</t>
        </is>
      </c>
      <c r="D140" t="inlineStr">
        <is>
          <t>indeed</t>
        </is>
      </c>
      <c r="E140">
        <f>HYPERLINK("https://www.indeed.com/viewjob?jk=29c02f7cf2dea937", "https://www.indeed.com/viewjob?jk=29c02f7cf2dea937")</f>
        <v/>
      </c>
      <c r="F140">
        <f>HYPERLINK("https://click.appcast.io/t/lbE3PqcAdjRwtY2dcBDqLFmu1qw2hXvwJlXI0TSjfLI=", "https://click.appcast.io/t/lbE3PqcAdjRwtY2dcBDqLFmu1qw2hXvwJlXI0TSjfLI=")</f>
        <v/>
      </c>
      <c r="G140" t="inlineStr">
        <is>
          <t>Hartford, CT, US</t>
        </is>
      </c>
      <c r="H140" s="3" t="n">
        <v>46058</v>
      </c>
      <c r="I140"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Actuarial Strategic Modeling (ASM) organization is seeking a Senior Data Scientist to strengthen analytical and modeling capabilities supporting pricing, segmentation, underwriting strategies, and portfolio insights within Business insurance.
**What You Will Do**
Model Development \&amp; Analytics
* Contribute and lead key phases of end\-to\-end model development including problem definition, data exploration, model development, validation, and monitoring.
* Engage in the development and enhancement of predictive models — while thoughtfully assessing alternative approaches and techniques to support loss, territory/Geography, and emerging claim level modeling needs.
* Partner with Data Engineering and MLOps teams to support deployment and monitoring.
Cross\-Functional Collaboration
* Partner with Actuarial, Underwriting, Product, Data Engineering, and Governance teams to align modeling work with business strategies.
* Communicate findings clearly to technical and non\-technical audiences.
Innovation \&amp; Modernization
* Explore new modeling methods, data sources, and tools.
* Contribute to shared modeling frameworks and best practices.
Technical Leadership \&amp; Mentorship
* Provide peer learning, code reviews, and technical guidance.
* Support continuous improvement of modeling standards.
**Qualifications**
Required
* 5\+ years experience developing statistical or ML models.
* Master’s/PhD in Statistics, Data Science, Applied Math, Computer Science, Actuarial Science, or related field.
* Strong Python and SQL skills; experience with Git and cloud ML environments.
* Ability to collaborate across functions and communicate insights effectively.
Preferred
* Insurance analytics experience.
* Familiarity with model governance and monitoring.
* Experience with Agile delivery or MLOps pipelines.
* Ability to mentor and support the development of Data Science and Actuarial peers.
Why Join Us?
* Engage in high\-visibility enterprise modeling initiatives.
* Work with modern analytical tools, ML, and generative AI.
* Work at the intersection of Data Science and Actuarial Science, partnering closely with diverse technical and business teams.
This role will have a Hybrid work schedule, with the expectation of working in an office (Columbus, OH, Chicago, IL, Hartford, CT or Charlotte, NC) 3 days a week (Tuesday through Thursday).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li-4370554676</t>
        </is>
      </c>
      <c r="B2" t="inlineStr">
        <is>
          <t>Data Scientist / Analytics Engineer</t>
        </is>
      </c>
      <c r="C2" t="inlineStr">
        <is>
          <t>Clarity Cubed</t>
        </is>
      </c>
      <c r="D2" t="inlineStr">
        <is>
          <t>linkedin</t>
        </is>
      </c>
      <c r="E2" t="inlineStr"/>
      <c r="F2" t="inlineStr"/>
      <c r="G2" t="inlineStr">
        <is>
          <t>New York, NY</t>
        </is>
      </c>
      <c r="H2" t="inlineStr"/>
      <c r="I2" t="inlineStr">
        <is>
          <t>**About Clarity Cubed** 
 Clarity Cubed is an early\-stage data and analytics company helping middle\-market businesses build data ecosystems by connecting data across systems, cleaning data, and positioning data to support the business and drive value creation. We work hands\-on with real operating systems (ERP, CRM, finance, ops), turning messy, fragmented data into a reliable ecosystem that is core to how a business is run.
 We are not an academic lab or a dashboard factory. We build practical data systems that work in the real world. We marry business acumen and experience with technical expertise to design thoughtful solutions that unlock value.
 This data hire will help us deliver client work and shape how we build going forward.
**The Role** 
 This is a hands\-on hybrid role spanning data engineering, analytics, and system design. You will design and build SQL\- and Python\-based workflows that ingest, clean, transform, and connect data across systems. You will own pipelines end\-to\-end and help drive analytics on top of them. You will also help build the IP that monitors these ecosystems and drives AI based workflows on top of the structured data sets.
 You will also have client exposure and the opportunity to shape Clarity Cubed’s internal IP, standards, and approach from the ground up.
**What You’ll Do** 
* Design, build, and maintain SQL\- and Python\-based data workflows
* Develop robust ETL/ELT pipelines and orchestration processes
* Work extensively with messy, real\-world operational and financial data
* Model data in Snowflake and similar cloud data warehouses
* Build secure, reliable connectivity across systems, using APIs exports and manual loads
* Partner with clients to understand business context and translate it into data solutions
* Support analytics use cases on top of engineered data sets
* Contribute to and help shape Clarity Cubed’s internal tools, templates, and best practices
* Explore and experiment with emerging AI tools as part of the data workflow (interest required; deep ML not required)
**What We’re Looking For** 
* **4–10 years** 
 experience in data science, analytics engineering, or data engineering
* Strong, hands\-on experience with SQL (advanced queries, modeling, performance)
* Strong experience with Python for data processing and pipeline development
* Experience building and orchestrating production data pipelines
* Familiarity with Snowflake or similar cloud data platforms (preferred)
* Comfort working across APIs and systems securely
* Ability to operate independently and own problems end\-to\-end
* Comfort with ambiguity and early\-stage environments
* Clear, direct communicator who can work with both technical and non\-technical stakeholders
* Entrepreneurial mindset and interest in building something from the ground floor
**Nice to have** 
* Experience with Power BI or other BI tools
* Exposure to financial or operational data
* Consulting or client\-facing experience
* Interest in applied AI tools and workflows
**How We Work** 
* In\-person team based in Dumbo, Brooklyn
* Early\-stage, high\-ownership environment
* Reasonable hours with real responsibility and trust
* Minimal travel (unless of interest)
* Direct, plain\-spoken culture with deep practical experience
**Why This Role Is Different** 
* Work with founders who bring extensive hands\-on business and investing experience
* Help shape how data is used to drive business at medium sized enterprises
* Nimble environment
* You will help use data to bring clarity to business at Clarity Cubed.</t>
        </is>
      </c>
    </row>
    <row r="3">
      <c r="A3" t="inlineStr">
        <is>
          <t>li-4357492872</t>
        </is>
      </c>
      <c r="B3" t="inlineStr">
        <is>
          <t>Data Engineer / Data Scientist / Data Architect - Full time</t>
        </is>
      </c>
      <c r="C3" t="inlineStr">
        <is>
          <t>Ztek Consulting</t>
        </is>
      </c>
      <c r="D3" t="inlineStr">
        <is>
          <t>linkedin</t>
        </is>
      </c>
      <c r="E3" t="inlineStr"/>
      <c r="F3" t="inlineStr"/>
      <c r="G3" t="inlineStr">
        <is>
          <t>Vienna, VA</t>
        </is>
      </c>
      <c r="H3" t="inlineStr"/>
      <c r="I3"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4">
      <c r="A4" t="inlineStr">
        <is>
          <t>li-4340156386</t>
        </is>
      </c>
      <c r="B4" t="inlineStr">
        <is>
          <t>Associate Director, Medical Omnichannel Data Scientist</t>
        </is>
      </c>
      <c r="C4" t="inlineStr">
        <is>
          <t>Otsuka Pharmaceutical Companies (U.S.)</t>
        </is>
      </c>
      <c r="D4" t="inlineStr">
        <is>
          <t>linkedin</t>
        </is>
      </c>
      <c r="E4" t="inlineStr"/>
      <c r="F4" t="inlineStr"/>
      <c r="G4" t="inlineStr"/>
      <c r="H4" t="inlineStr"/>
      <c r="I4" t="inlineStr">
        <is>
          <t>**About Otsuka**
 We defy limitation, so that others can too. In going above and beyond—under any circumstances—for patients, families, providers, and for each other. It’s this deep\-rooted dedication that drives us to uncover answers to complex, underserved medical needs, so that patients can push past the limitations of their disease and achieve more than they thought was possible each day.
**About The Role**
 The Omnichannel Center of Excellence is dedicated to driving innovation, building, and delivering capabilities that enhance Otsuka’s opportunity to make an impact in the lives of those we serve. We achieve this through our relentless focus on customer centricity, patient empathy, expertise in enabling pathways for disease education and awareness of management options, and our unwavering commitment to supporting access to treatment.
 We are looking for an
 **Omnichannel Data Scientist** 
 ,
 **Medical Omnichannel** 
 with strong expertise in artificial intelligence, encompassing machine learning, data mining, and information retrieval. This position specifically entails the conceptualization, prototyping and development of next generation advanced analytics model\-based decision engines and services. The ideal candidate will engage closely with key stakeholders to understand strategic objectives and leverage advanced data analytics and machine learning techniques to enhance communication strategies, ensuring seamless and personalized interactions with healthcare professionals (HCPs) and key opinion leaders (KOLs).
**Job Expectations/Responsibilities:**
**Data Integration \&amp; Management**
* Explore and analyze common pharmaceuticals data (e.g., claims) as well as novel data sets based on lab and EHR systems. Work with Omnichannel Data Engineer to Integrate data from multiple sources (e.g., CRM systems, social media, email platforms) to create a unified view of stakeholder interactions.
* Apply natural language processing (NLP) to extract insights from unstructured medical texts, such as clinical notes or call center transcripts.
* Identifying relevant data drivers (features) that can inform decision making closely tied with strategy and creating visualizations to help communicate findings.
**Advanced Analytics \&amp; Modeling**
* Implement advanced analytics models, including predictive analytics and clustering algorithms, to generate actionable insights and track trends across various channels.
* Work with Omnichannel ML/Ops engineer to build, test, and deploy production\-grade predictive models and algorithms as part of the Omnichannel COE decision engine to meet business needs, including optimization of sales activities and predicting drivers of customer behavior.
* Create repeatable, interpretable, dynamic, and scalable models that are seamlessly incorporated into analytic data products and match the needs of Otsuka’s growing portfolio.
* Collaborate on MLOPS life cycle experience with MLOPS workflows traceability and versioning of datasets. Build and maintain familiarity with Otsuka Machine Learning tech stack including AWS, Kubernetes, Snowflake, and Dataiku
**Omnichannel Optimization**
* Design and deploy recommendation systems to tailor communications based on stakeholder preferences and behaviors. Utilize machine learning algorithms (e.g., collaborative filtering, content\-based filtering) to enhance personalization efforts.
* Analyze the performance of omnichannel campaigns (email, SMS, in\-app, HCP portals, etc.) to identify high\-impact touchpoints and optimize engagement strategies. Use A/B testing and uplift modeling to evaluate the effectiveness of different communication strategies and content types.
**Stakeholder Collaboration**
* Effectively communicating analytical approach to address strategic objectives to business partners.
* Work closely with medical affairs, marketing, and IT teams to ensure alignment and integration of omnichannel strategies. Provide technical guidance and support to cross\-functional teams on data\-related projects.
* Stay updated with emerging industrial trends (Conferences and community engagement) and develop strategic industry partnerships on Omnichannel analytics to strengthen Otsuka’s analytical methods and outcomes.
* Model Otsuka’s core competencies (Accountability for Results, Strategic Thinking \&amp; Problem Solving, Patient \&amp; Customer Centricity, Impact Communications, Respectful Collaboration \&amp; Empowered Development) that define how we work together at Otsuka. Key matrixed partners included: Brand Marketing, Creative / CRM / Digital agencies, Media, Market Research, Analytics, Otsuka Information Technology (OIT), Sales Operations, and Medical/Regulatory/Legal integrated business partners.
**Minimum Qualification:**
* Bachelor’s degree in data sciences, computer science and 4\-6 years of relevant experience
**Preferred Knowledge, Skills, and Abilities:**
* Demonstrated experience with scripting and implementing data analytics algorithms and models. Hands on experience using a modeling and simulation software (e.g. Python, Matlab, R, NONMEM, SAS, S\-Plus, etc.) is a plus.
* Knowledge/Experience in the usage of machine learning/AI tools in life science area(s) and handling life science datasets is preferred.
* Excellent interpersonal, technical, and communication skills to lead cross\-functional teams.
* Profound grasp of Machine Learning lifecycle \- feature engineering, training, validation, scaling, deployment, scoring, monitoring, and feedback loop.
* Have implemented machine learning projects from initiation through completion with particular focus on automated deployment and ensuring optimized performance.
* Agile skills and experience
* Experience in Healthcare (esp. US) industry is a plus.
**Competencies**
**Accountability for Results \-** 
 Stay focused on key strategic objectives, be accountable for high standards of performance, and take an active role in leading change.
**Strategic Thinking \&amp; Problem Solving \-** 
 Make decisions considering the long\-term impact to customers, patients, employees, and the business.
**Patient \&amp; Customer Centricity \-** 
 Maintain an ongoing focus on the needs of our customers and/or key stakeholders.
**Impactful Communication \-** 
 Communicate with logic, clarity, and respect. Influence at all levels to achieve the best results for Otsuka.
**Respectful Collaboration \-** 
 Seek and value others’ perspectives and strive for diverse partnerships to enhance work toward common goals.
**Empowered Development \-** 
 Play an active role in professional development as a business imperative.
 Minimum $164,530\.00 \- Maximum $245,985\.00, plus incentive opportunity: The range shown represents a typical pay range or starting pay for individuals who are hired in the role to perform in the United States. Other elements may be used to determine actual pay such as the candidate’s job experience, specific skills, and comparison to internal incumbents currently in role. Typically, actual pay will be positioned within the established range, rather than at its minimum or maximum. This information is provided to applicants in accordance with states and local laws.
**Application Deadline** 
 : This will be posted for a minimum of 5 business days.
**Company benefits:** 
 Comprehensive medical, dental, vision, prescription drug coverage, company provided basic life, accidental death \&amp; dismemberment, short\-term and long\-term disability insurance, tuition reimbursement, student loan assistance, a generous 401(k) match, flexible time off, paid holidays, and paid leave programs as well as other company provided benefits.
 Come discover more about Otsuka and our benefit offerings; https://www.otsuka\-us.com/careers\-join\-otsuka.
**Disclaimer:**
 This job description is intended to describe the general nature and level of the work being performed by the people assigned to this position. It is not intended to include every job duty and responsibility specific to the position. Otsuka reserves the right to amend and change responsibilities to meet business and organizational needs as necessary.
 Otsuka is an equal opportunity employer. All qualified applicants are encouraged to apply and will be given consideration for employment without regard to race, color, sex, gender identity or gender expression, sexual orientation, age, disability, religion, national origin, veteran status, marital status, or any other legally protected characteristic.
 If you are a qualified individual with a disability or a disabled veteran, you may request a reasonable accommodation, if you are unable or limited in your ability to apply to this job opening as a result of your disability. You can request reasonable accommodations by contacting Accommodation Request.
**Statement Regarding Job Recruiting Fraud Scams**
 At Otsuka we take security and protection of your personal information very seriously. Please be aware individuals may approach you and falsely present themselves as our employees or representatives. They may use this false pretense to try to gain access to your personal information or acquire money from you by offering fictitious employment opportunities purportedly on our behalf.
 Please understand, Otsuka will
 **never** 
 ask for financial information of any kind or for payment of money during the job application process. We do not require any financial, credit card or bank account information and/or any payment of any kind to be considered for employment. We will also not offer you money to buy equipment, software, or for any other purpose during the job application process. If you are being asked to pay or offered money for equipment fees or some other application processing fee, even if claimed you will be reimbursed, this is not Otsuka. These claims are fraudulent and you are strongly advised to exercise caution when you receive such an offer of employment.
 Otsuka will also never ask you to download a third\-party application in order to communicate about a legitimate job opportunity. Scammers may also send offers or claims from a fake email address or from Yahoo, Gmail, Hotmail, etc, and not from an official Otsuka email address. Please take extra caution while examining such an email address, as the scammers may misspell an official Otsuka email address and use a slightly modified version duplicating letters.
 To ensure that you are communicating about a legitimate job opportunity at Otsuka, please only deal directly with Otsuka through its official Otsuka Career website https://vhr\-otsuka.wd1\.myworkdayjobs.com/en\-US/External.
 Otsuka will not be held liable or responsible for any claims, losses, damages or expenses resulting from job recruiting scams. If you suspect a position is fraudulent, please contact Otsuka’s call center at: 800\-363\-5670\. If you believe you are the victim of fraud resulting from a job recruiting scam, please contact the FBI through the Internet Crime Complaint Center at: https://www.ic3\.gov, or your local authorities.
 Otsuka America Pharmaceutical Inc., Otsuka Pharmaceutical Development \&amp; Commercialization, Inc., and Otsuka Precision Health, Inc. (“Otsuka”) does not accept unsolicited assistance from search firms for employment opportunities. All CVs/resumes submitted by search firms to any Otsuka employee directly or through Otsuka’s application portal without a valid written search agreement in place for the position will be considered Otsuka’s sole property. No fee will be paid if a candidate is hired by Otsuka as a result of an agency referral where no pre\-existing agreement is in place. Where agency agreements are in place, introductions are position specific. Please, no phone calls or emails.</t>
        </is>
      </c>
    </row>
    <row r="5">
      <c r="A5" t="inlineStr">
        <is>
          <t>li-4370550824</t>
        </is>
      </c>
      <c r="B5" t="inlineStr">
        <is>
          <t>Data Scientist</t>
        </is>
      </c>
      <c r="C5" t="inlineStr">
        <is>
          <t>Waymo</t>
        </is>
      </c>
      <c r="D5" t="inlineStr">
        <is>
          <t>linkedin</t>
        </is>
      </c>
      <c r="E5" t="inlineStr"/>
      <c r="F5" t="inlineStr"/>
      <c r="G5" t="inlineStr"/>
      <c r="H5" t="inlineStr"/>
      <c r="I5" t="inlineStr">
        <is>
          <t>**About The Company**
 Waymo is a pioneering autonomous driving technology company dedicated to transforming mobility and enhancing safety on our roads. Originating from the Google Self\-Driving Car Project in 2009, Waymo has consistently pushed the boundaries of innovation to develop the Waymo Driver—the world's most experienced autonomous driving system. Our mission is to be the most trusted driver, providing safe, reliable, and accessible transportation solutions. With extensive experience driving tens of millions of miles on public roads and billions in simulation, Waymo's technology powers Waymo One, a fully autonomous ride\-hailing service, and is adaptable across various vehicle platforms and use cases. Our commitment to rigorous testing and data\-driven safety standards positions us at the forefront of autonomous vehicle development, aiming to save lives and improve access to mobility for everyone.
**About The Role**
 We are seeking a highly skilled Data Scientist to join our team in a hybrid capacity, reporting to a Data Science Manager. In this role, you will play a critical part in evaluating and enhancing the performance of the Waymo Driver and simulation systems. Your primary responsibilities will include developing evaluation frameworks for autonomous vehicle performance, creating new metrics, analyzing data from both real\-world and simulated environments, and developing innovative statistical methods to address unique challenges in autonomous driving data. You will collaborate closely with product and engineering teams to facilitate deployment readiness and ensure our systems meet the highest standards of safety, compliance, and operational excellence. This position offers an exciting opportunity to contribute to cutting\-edge advancements in autonomous vehicle technology, leveraging your expertise in statistical analysis, machine learning, and data interpretation to support Waymo’s mission of safe and accessible mobility.
**Qualifications**
* Degree in a quantitative field such as Statistics, Mathematics, Physics, or related disciplines
* 3\+ years of industry experience solving complex data science problems or a PhD in a relevant field
* Expertise in advanced statistical methods within applied settings, with familiarity in machine learning systems and models
* Proficiency in Python, SQL, R, and related data analysis libraries and packages
* Strong analytical skills with the ability to interpret complex data sets and identify meaningful insights
* Excellent problem\-solving skills with the ability to frame and resolve ambiguous challenges
* Effective communication skills to present findings to senior stakeholders and cross\-functional teams
**Responsibilities**
* Develop comprehensive evaluation frameworks to assess autonomous vehicle performance, including large\-scale machine learning models and simulation quality
* Create and refine new metrics, analyze trends, and investigate anomalies in data derived from simulation and on\-road testing
* Design and implement novel statistical methods to address unique challenges in AV data, such as rare event rate estimation and integration of real and synthetic data
* Frame ambiguous problems, derive data\-driven insights, and communicate results effectively to senior management and technical teams
* Collaborate with product and engineering teams to develop and improve the Waymo Driver and simulation software, supporting deployment and operational readiness
* Participate in continuous research and development efforts to enhance evaluation methodologies and contribute to the advancement of autonomous driving safety and performance standards
**Benefits**
* Competitive salary within the range of $158,000—$200,000 USD, commensurate with experience and location
* Participation in Waymo’s discretionary annual bonus program and equity incentive plans
* Comprehensive health, dental, and vision insurance coverage
* Generous paid time off and flexible work arrangements
* Opportunities for professional development and career growth within a leading autonomous vehicle company
* Access to innovative projects and cutting\-edge technology in autonomous driving
 Equal Opportunity
 Waymo is an equal opportunity employer committed to fostering an inclusive environment. We celebrate diversity and are dedicated to creating a workplace where all employees are valued and respected regardless of race, ethnicity, gender, sexual orientation, age, disability, or any other characteristic protected by law. We believe that diverse perspectives drive innovation and excellence in our mission to build the most trusted driver.</t>
        </is>
      </c>
    </row>
    <row r="6">
      <c r="A6" t="inlineStr">
        <is>
          <t>li-4120827281</t>
        </is>
      </c>
      <c r="B6" t="inlineStr">
        <is>
          <t>Data Scientist, Product Analytics</t>
        </is>
      </c>
      <c r="C6" t="inlineStr">
        <is>
          <t>Meta</t>
        </is>
      </c>
      <c r="D6" t="inlineStr">
        <is>
          <t>linkedin</t>
        </is>
      </c>
      <c r="E6" t="inlineStr"/>
      <c r="F6" t="inlineStr"/>
      <c r="G6" t="inlineStr">
        <is>
          <t>Menlo Park, CA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li-4120820950</t>
        </is>
      </c>
      <c r="B7" t="inlineStr">
        <is>
          <t>Data Scientist, Product Analytics</t>
        </is>
      </c>
      <c r="C7" t="inlineStr">
        <is>
          <t>Meta</t>
        </is>
      </c>
      <c r="D7" t="inlineStr">
        <is>
          <t>linkedin</t>
        </is>
      </c>
      <c r="E7" t="inlineStr"/>
      <c r="F7" t="inlineStr"/>
      <c r="G7" t="inlineStr">
        <is>
          <t>Washington, DC</t>
        </is>
      </c>
      <c r="H7" t="inlineStr"/>
      <c r="I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li-4308316149</t>
        </is>
      </c>
      <c r="B8" t="inlineStr">
        <is>
          <t>Data Scientist, Strategic Intelligence &amp; Risk</t>
        </is>
      </c>
      <c r="C8" t="inlineStr">
        <is>
          <t>OpenAI</t>
        </is>
      </c>
      <c r="D8" t="inlineStr">
        <is>
          <t>linkedin</t>
        </is>
      </c>
      <c r="E8" t="inlineStr"/>
      <c r="F8" t="inlineStr"/>
      <c r="G8" t="inlineStr">
        <is>
          <t>San Francisco, CA</t>
        </is>
      </c>
      <c r="H8" t="inlineStr"/>
      <c r="I8" t="inlineStr">
        <is>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 Data Scientist, you will lead econometric and experimental analysis to understand how risk changes in complex human–AI systems. Your work will focus on measuring the magnitude and impact of risk shifts in a fast\-paced, rapidly evolving operational environment. You will design experiments and observational studies to identify causal drivers and analyze changes in risk across a wide range of surfaces and sources. Your analyses will directly inform prioritization and strategic risk management across the company.
 This role is based in San Francisco, CA (hybrid, 3 days/week). Relocation support is available
**In This Role, You Will**
* Own the design and execution of experimental and observational analyses used to assess strategic risk
* Develop econometric approaches to estimate the impact of product, policy, and external developments on key risk vectors
* Translate strategic risk questions into testable hypotheses and sound study designs
* Design and deploy A/B tests, as well as pseudo\-experimental studies, to measure changes in risks and understand underlying mechanisms
* Identify, test, and explain product\-driven, event\-driven, or signal\-driven changes in risk
* Establish baselines and statistical confidence around core metrics to size these problems
* Partner across teams to track strategic risks, identify opportunities for intervention, and develop analyses to evaluate those interventions
**You Might Thrive In This Role If You**
* Have 3–6\+ years in econometrics, causal inference, or experimental research
* Are comfortable owning ambiguous analyses with large\-scale influence
* Are strong in experimental design, observational methods, and statistical reasoning
* Write solid Python and SQL
* Experience delivering zero\-to\-one analyses and scaling them from concept through deployment
* Communicate data\-driven findings clearly, including uncertainty and trade\-offs, to non\-technical partners and leadership
* Nice to have: experience in trust and safety, integrity, operational security, intelligence analysis or other quantitative risk\-focused domains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$325K</t>
        </is>
      </c>
    </row>
    <row r="9">
      <c r="A9" t="inlineStr">
        <is>
          <t>li-4190617363</t>
        </is>
      </c>
      <c r="B9" t="inlineStr">
        <is>
          <t>Fraud Data Scientist</t>
        </is>
      </c>
      <c r="C9" t="inlineStr">
        <is>
          <t>ID.me</t>
        </is>
      </c>
      <c r="D9" t="inlineStr">
        <is>
          <t>linkedin</t>
        </is>
      </c>
      <c r="E9" t="inlineStr"/>
      <c r="F9" t="inlineStr"/>
      <c r="G9" t="inlineStr">
        <is>
          <t>Mountain View, CA</t>
        </is>
      </c>
      <c r="H9" t="inlineStr"/>
      <c r="I9"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**Role Overview**
 We are seeking a Fraud Data Scientist to gather critical insights and identify and analyze fraud patterns across the ID.me network. In this role, you will work closely with the Fraud Analytics Team, Fraud Investigations Team, Engineering, Product and Customer Success to execute on ID.me’s fraud strategy. If you are data\-driven, results\-oriented, and eager to help solve data problems related to fraud, then this would be the perfect opportunity for you.
**Responsibilities**
* Partner with fraud leadership and fraud investigators to develop our fraud strategy
* Design experiments, test hypotheses, and analyze fraud patterns that are effective at detecting fraud with low false positive rates
* Leverage data analytics evaluate, recommend, and manage fraud strategies to prevent fraudulent activity on the ID.me network
* Respond quickly to fraud attacks by developing fraud monitoring frameworks, dashboards, and solutions in collaboration with cross\-functional teams
* Recommend and build automated rules and models to support the detection and prevention of fraudulent activity
* Use signals and data collected by member interactions with the ID.me network to identify the use of stolen Personal Identifiable Information (PII), social engineering, and account takeover (ATO)
* Establish robust monitoring capabilities to ensure high performance of both automated and manual fraud detection processes
* Build strong relationships with key partners and the leadership
**Basic Qualifications**
* 2\+ years of hands\-on experience in fraud analytics or a high\-tech mature startup
* 1\+ years of experience with deep learning frameworks such as Tensorflow, Tensorflow Recommenders, Pytorch, MXNet, Keras
* MS in a highly quantitative field (Computer Science, Engineering, Math, Operations Research, Physics, Statistics, or related)
**Preferred Qualifications**
* Experience with SQL \&amp; the Python ML ecosystem \- pandas, numpy, sklearn, etc.
* Experience with Time Series Prediction models \&amp; one or more deep learning libraries
* Experience in developing, managing, and manipulating large, complex datasets
* Data\-driven, detail\-oriented individual with excellent storytelling and problem\-solving abilities
* Ability to work independently and autonomously, as well as part of a team
* Superb time management, prioritization of tasks and ability to meet deadlines with little supervision
 This role is based out of our
 **Mountain View, CA** 
 or
 **McLean, VA** 
 offices and requires
 **full\-time in\-office attendance** 
 .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U.S. Pay Range
 $130,000—$165,000 USD
 Mountain View, CA Pay Range
 $158,000—$185,000 USD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10">
      <c r="A10" t="inlineStr">
        <is>
          <t>li-4370526416</t>
        </is>
      </c>
      <c r="B10" t="inlineStr">
        <is>
          <t>Data Scientist</t>
        </is>
      </c>
      <c r="C10" t="inlineStr">
        <is>
          <t>Hirenza</t>
        </is>
      </c>
      <c r="D10" t="inlineStr">
        <is>
          <t>linkedin</t>
        </is>
      </c>
      <c r="E10" t="inlineStr"/>
      <c r="F10" t="inlineStr"/>
      <c r="G10" t="inlineStr"/>
      <c r="H10" t="inlineStr"/>
      <c r="I10" t="inlineStr">
        <is>
          <t>**About The Company**
 Guidehouse is a leading management consulting firm specializing in a wide range of services that help organizations navigate complex challenges and achieve their strategic objectives. Renowned for its innovative approach and commitment to excellence, Guidehouse partners with clients across various industries including government, healthcare, financial services, energy, and more. The company prides itself on fostering a diverse and inclusive work environment that encourages professional growth and development. With a focus on delivering measurable results, Guidehouse leverages deep industry expertise, cutting\-edge technology, and innovative methodologies to provide tailored solutions that drive operational efficiency, reduce costs, and enhance overall performance.
**About The Role**
 We are seeking a talented Data Scientist to join our AI and Data Capability Team at Guidehouse. This role offers an exciting opportunity to work on high\-impact projects that leverage data analytics, machine learning, and artificial intelligence to solve complex business problems. As a Data Scientist, you will be instrumental in transforming raw data into meaningful insights that inform decision\-making and support strategic initiatives. You will collaborate with cross\-functional teams, including data engineers, analysts, and business stakeholders, to develop innovative data\-driven solutions. This position requires a proactive mindset, strong technical skills, and the ability to communicate complex findings effectively to both technical and non\-technical audiences. The role involves up to 10% travel and requires the ability to obtain a Public Trust clearance.
**Qualifications**
 The ideal candidate will possess a combination of technical expertise, analytical skills, and professional experience. A US citizenship is mandatory. A bachelor’s degree in Computer Science, Data Science, Statistics, or a related field is required, with a minimum of three years of experience in data visualization using Power BI, Tableau, or similar tools. Proficiency in SQL, R, and other programming languages for data querying and statistical analysis is essential. Candidates should have a solid foundation in statistics, probability, and experimental design. Familiarity with cloud platforms such as AWS, Azure, or Google Cloud, along with containerization technologies like Docker, is highly desirable. Experience applying data governance principles to ensure data quality and reliability is also important. Strong communication skills are necessary to bridge the gap between technical teams and business stakeholders, facilitating effective collaboration and insight sharing.
**Responsibilities**
* Identify, gather, and manage data from various primary and secondary sources, ensuring its accuracy, consistency, and integrity for analysis.
* Clean and preprocess raw data by addressing inconsistencies, missing values, and errors to prepare datasets for analysis and modeling.
* Apply statistical techniques and analytical methods to explore datasets, identify trends, discover patterns, and generate actionable insights.
* Develop and maintain reports, dashboards, and visualizations using tools such as Tableau or Power BI to communicate findings clearly and effectively to stakeholders.
* Collaborate with cross\-functional teams to understand business requirements and translate them into technical solutions.
* Communicate complex data insights to non\-technical audiences, supporting data\-driven decision\-making processes.
* Address specific business challenges by analyzing data to identify underperforming processes, growth opportunities, and strategic improvements.
**Benefits**
 Guidehouse offers a comprehensive benefits package designed to support the health, well\-being, and professional growth of our employees. Our benefits include competitive medical, dental, vision, and prescription drug coverage, along with flexible spending accounts and health savings accounts. We provide paid time off for personal and family sick leave, as well as company holidays. The role may be eligible for a discretionary variable incentive bonus. Additional benefits include parental leave, adoption assistance, a 401(k) retirement plan, and life insurance options. We also offer short\-term and long\-term disability coverage, student loan repayment programs, tuition reimbursement, and opportunities for ongoing learning and certification. Our employee programs foster community engagement, skills development, and support a healthy work\-life balance.
 Equal Opportunity
 Guidehouse is an Equal Opportunity Employer committed to fostering an inclusive environment for all employees and applicants. We do not discriminate based on race, color, religion, sex, national origin, age, disability, veteran status, or any other protected characteristic. We welcome applications from qualified candidates with diverse backgrounds and experiences. Our company complies with all applicable laws and regulations, and we consider qualified applicants with criminal histories in accordance with relevant legal requirements. We are dedicated to creating a workplace where everyone feels valued, respected, and empowered to contribute their best.</t>
        </is>
      </c>
    </row>
    <row r="11">
      <c r="A11" t="inlineStr">
        <is>
          <t>li-4370553664</t>
        </is>
      </c>
      <c r="B11" t="inlineStr">
        <is>
          <t>Data Scientist II</t>
        </is>
      </c>
      <c r="C11" t="inlineStr">
        <is>
          <t>Tempus AI</t>
        </is>
      </c>
      <c r="D11" t="inlineStr">
        <is>
          <t>linkedin</t>
        </is>
      </c>
      <c r="E11" t="inlineStr"/>
      <c r="F11" t="inlineStr"/>
      <c r="G11" t="inlineStr"/>
      <c r="H11" t="inlineStr"/>
      <c r="I11" t="inlineStr">
        <is>
          <t>**About The Company**
 Tempus AI is a leading innovator in the field of precision medicine, dedicated to transforming healthcare through advanced data analytics and real\-world evidence. Our proprietary platform integrates vast amounts of clinical, genomic, and imaging data to provide real\-time, actionable insights that empower physicians and researchers to make informed decisions. By connecting an extensive ecosystem of healthcare data, Tempus aims to improve patient outcomes, facilitate scientific discovery, and accelerate the development of personalized treatments. Our commitment to technological excellence and scientific rigor positions us at the forefront of healthcare innovation, making a meaningful impact on patient care worldwide.
**About The Role**
 The Data Scientist II, Real World Data Science at Tempus is a pivotal role designed for individuals passionate about leveraging data to advance healthcare. In this position, you will serve as a key scientific and technical resource, assisting clients—primarily researchers and scientists—in integrating their research hypotheses with our cutting\-edge analytical platform. Your primary responsibilities will include onboarding new clients, translating complex scientific questions into actionable data workflows, and providing technical guidance to optimize their use of our platform. This role offers the opportunity to work at the intersection of data science, biomedical research, and client engagement, contributing directly to the development of personalized medicine solutions. You will collaborate closely with product, engineering, and data science teams to ensure client success and continuous platform improvement, ultimately helping to drive scientific breakthroughs and improve patient outcomes.
**Qualifications**
* Master’s or Ph.D. in Computational Biology, Bioinformatics, Genomics, Data Science, or a related life sciences discipline
* Proven experience working with large\-scale biomedical datasets, including genomic, clinical, and real\-world data
* Hands\-on experience with analytical tools and programming languages such as R (required), Python, SQL, and familiarity with cloud platforms like AWS or GCP
* Strong understanding of biomedical research workflows and data analysis techniques
* Excellent communication skills, capable of explaining complex scientific concepts to diverse audiences
* Proven ability to work collaboratively in a fast\-paced environment and adapt to shifting priorities
* Problem\-solving mindset with a track record of developing pragmatic, user\-friendly solutions to scientific and technical challenges
**Responsibilities**
* Lead the technical and scientific onboarding process for new clients, ensuring a seamless transition onto the Tempus Data Ecosystem and platform
* Engage with clients to understand their specific scientific hypotheses, including biomarker discovery, target identification, and clinical trial design
* Translate scientific questions into structured workflows, queries, and analysis strategies on the Tempus platform
* Design and optimize data analysis workflows involving genomic, clinical, and imaging datasets
* Identify opportunities for technological improvements and implement workflow enhancements to improve client experience
* Act as a bridge between clients and internal teams, providing feedback to prioritize product features and resolve technical issues
* Create comprehensive technical documentation, tutorials, and training materials to support client education and platform utilization
* Collaborate with cross\-functional teams to refine platform capabilities based on client needs and scientific advancements
**Benefits**
* Competitive salary range based on location and experience
* Comprehensive health insurance coverage, including medical, dental, and vision
* Incentive compensation and restricted stock units (RSUs)
* Flexible work arrangements, including remote work options
* Professional development opportunities and ongoing training
* Collaborative and innovative work environment with a mission\-driven focus
 Equal Opportunity
 Tempus AI is an equal opportunity employer. We are committed to creating an inclusive environment for all employees and do not discriminate based on race, religion, color, national origin, gender, sexual orientation, age, marital status, veteran status, or disability. We value diversity and strive to foster a workplace where everyone can thrive and contribute to our mission of advancing healthcare through data\-driven solutions.</t>
        </is>
      </c>
    </row>
    <row r="12">
      <c r="A12" t="inlineStr">
        <is>
          <t>li-4361843464</t>
        </is>
      </c>
      <c r="B12" t="inlineStr">
        <is>
          <t>Data Scientist</t>
        </is>
      </c>
      <c r="C12" t="inlineStr">
        <is>
          <t>SoTalent</t>
        </is>
      </c>
      <c r="D12" t="inlineStr">
        <is>
          <t>linkedin</t>
        </is>
      </c>
      <c r="E12" t="inlineStr"/>
      <c r="F12" t="inlineStr"/>
      <c r="G12" t="inlineStr">
        <is>
          <t>Richmond, VA</t>
        </is>
      </c>
      <c r="H12" t="inlineStr"/>
      <c r="I12" t="inlineStr">
        <is>
          <t>**Job Title: Data Scientist** 
**Location: Richmond, VA** 
**Type: Full Time** 
 Our client, a leading financial technology organization, is seeking a Data Scientist to join their Enterprise Payments team and help transform payment and transfer channels through advanced analytics and machine learning.
**Key Responsibilities** 
* Partner with cross‑functional teams to design and deliver customer‑focused solutions.
* Work across a diverse technology stack including Python, Snowflake, AWS, and more.
* Develop machine learning models through all phases: design, training, evaluation, validation, and deployment.
* Apply anomaly detection and agentic processes to optimize payment operations.
* Communicate complex findings in a clear, business‑oriented manner to leadership and stakeholders.
**The Ideal Candidate** 
* **Innovative:** 
 Continuously researches emerging technologies and applies them to real‑world challenges.
* **Creative:** 
 Thrives on solving undefined problems and generating new ideas.
* **Technical:** 
 Experienced with open‑source languages, cloud platforms, and production‑ready data science solutions.
* **Statistically‑minded:** 
 Skilled in clustering, classification, sentiment analysis, time series, and deep learning.
**Basic Qualifications** 
* Bachelor’s degree in a quantitative field (Statistics, Economics, Mathematics, Computer Science, etc.) plus 5\+ years of experience in data analytics, OR
* Master’s degree in a quantitative field or MBA with quantitative concentration plus 3\+ years of experience, OR
* PhD in a quantitative field.
**Preferred Qualifications** 
* Master’s or PhD in a STEM discipline.
* 1\+ year of experience with AWS.
* 3\+ years of experience with Python.
* 3\+ years of experience with machine learning.
* 3\+ years of experience with SQL.
* Experience building agentic systems and machine vision models.</t>
        </is>
      </c>
    </row>
    <row r="13">
      <c r="A13" t="inlineStr">
        <is>
          <t>li-4370555420</t>
        </is>
      </c>
      <c r="B13" t="inlineStr">
        <is>
          <t>Sr Data Scientist, TLM</t>
        </is>
      </c>
      <c r="C13" t="inlineStr">
        <is>
          <t>Uber</t>
        </is>
      </c>
      <c r="D13" t="inlineStr">
        <is>
          <t>linkedin</t>
        </is>
      </c>
      <c r="E13" t="inlineStr"/>
      <c r="F13" t="inlineStr"/>
      <c r="G13" t="inlineStr">
        <is>
          <t>San Francisco, CA</t>
        </is>
      </c>
      <c r="H13" t="inlineStr"/>
      <c r="I13" t="inlineStr">
        <is>
          <t>**About The Role**
 As a Data Science, Tech Lead Manager (TLM), you will play an instrumental role in shaping how Uber tracks its financial data as well as understands and optimizes its financial performance across diverse business lines. You'll work on a wide range of initiatives from building scalable financial data products and developing predictive models to improving reporting workflows and uncovering insights that drive strategic decisions. And you will lead a small team of data scientists partnering closely with teams in Finance and FinTech. This is a hands\-on leadership role where you'll balance managing projects and people with diving deep into data yourself.
**What You Will Do**
* Lead a team of data scientists located in the US and India
* Actively participate and contribute to the technical solutioning and execution of the data science roadmap including helping develop robust forecasting models and impactful Gen AI applications
* Collaborate closely with teams in finance, engineering, product, business analysts, legal and data science teams across different lines of businesses, to design, prototype, and productionize end\-to\-end data science solutions.
* Develop the team with active coaching and mentoring. Help grow the talent in the team via effective hiring and performance management.
* Deliver strong presentations to stakeholders and senior leadership on the team's work, models, solutions, and data science findings.
**Basic Qualifications**
**Basic Qualifications**
* M.S. or Bachelor's degree in Data Science, Computer Science, Statistics, Economics, Mathematics, Finance, or other quantitative fields.
* Minimum 4 years of industry experience as a data scientist with demonstrated ability working with large data sets, mining actionable insights, statistical methods, and basic ML model development
* Domain experience in Finance, Accounting, Payments, FinTech, Tax
* Minimum 1 year of experience managing a small team of Data/Applied Scientists with strong leadership skills, growing and mentoring your team members
* Proficiency in SQL and at least one programming language used for data analysis (e.g., Python or R)
* Experience with data visualization tools (e.g., Tableau, Power BI, Looker or similar)
* Demonstrated ability to translate business problems into analytical solutions and communicate findings to both technical and non\-technical audiences
* Strong communication and organizational skills with the ability to manage multiple projects and stakeholders simultaneously.
* Bias to action and proven track record of getting things done.
**Preferred Qualifications**
* Degree or work experience in finance, augmented with work experience as a data scientist (or experience as a data scientist in finance or a related domain) with minimum 1 year of tech leading or managerial experience
* Experience developing forecasting or anomaly detection models, ideally in financial or operational domains
 For San Francisco,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
      <c r="A14" t="inlineStr">
        <is>
          <t>li-4362201923</t>
        </is>
      </c>
      <c r="B14" t="inlineStr">
        <is>
          <t>Data Scientist</t>
        </is>
      </c>
      <c r="C14" t="inlineStr">
        <is>
          <t>SoTalent</t>
        </is>
      </c>
      <c r="D14" t="inlineStr">
        <is>
          <t>linkedin</t>
        </is>
      </c>
      <c r="E14" t="inlineStr"/>
      <c r="F14" t="inlineStr"/>
      <c r="G14" t="inlineStr">
        <is>
          <t>New York, United States</t>
        </is>
      </c>
      <c r="H14" t="inlineStr"/>
      <c r="I14" t="inlineStr">
        <is>
          <t>**Job Title : Data Scientist** 
**Location : New York, United States** 
**Job Type : Full Time** 
**Job Summary** 
 Our client is seeking a forward‑thinking innovator who is passionate about shaping next‑generation experiences built on emerging generative AI technologies.
 Role Overview
 In this position, the selected candidate will be a key contributor in building AI‑driven solutions that transform the way millions of customers engage with their financial lives.
**Key Responsibilities** 
* Collaborate closely with a diverse team of machine learning engineers, software developers, data scientists, and product leaders to deliver intelligent customer‑facing products.
* Work across a modern technology ecosystem—such as PyTorch, AWS high‑performance clusters, Hugging Face, LangChain, Lightning frameworks, and vector databases—to uncover insights from large‑scale structured and unstructured datasets.
* Serve as the in‑house expert on Natural Language Processing, leading initiatives involving large language models, including customization, fine‑tuning, and deployment.
* Design, train, evaluate, and validate machine learning and NLP models; and work with engineering partners to implement scalable, production‑ready systems that support more than 80 million users.
* Translate complex technical concepts into clear, actionable insights that align with broader business outcomes.
**Who Thrives in This Role** 
* **Customer‑centric thinkers:** 
 Individuals who value analytical excellence but never lose sight of the real‑world impact on users.
* **Curious innovators:** 
 Professionals who actively explore new methodologies, stay informed about state‑of‑the‑art research, and look for opportunities to apply novel techniques.
* **Creative problem‑solvers:** 
 People who enjoy defining structure around large, ambiguous challenges and aren’t afraid to propose bold ideas.
* **Influential leaders:** 
 Those who can guide teams, inspire new thinking, and advocate for high‑quality, forward‑looking AI development practices.
* **Technically strong candidates:** 
 Individuals with deep experience in machine learning, large‑scale model training, cloud platforms, and open‑source ecosystems.
* **Effective communicators:** 
 Professionals able to explain advanced AI concepts in a way that resonates with non‑technical colleagues.
**Preferred Expertise** 
* Background in training large language models or advanced computer vision frameworks.
* Knowledge in areas such as model optimization, self‑supervised learning, explainability, or reinforcement learning from human feedback.
* Proven ability to deliver machine learning solutions at scale, including developing libraries, platforms, or production‑ready components.
**Minimum Qualifications** 
 The candidate must have one of the following completed or in progress (to be finished before the start date):
* Bachelor’s degree in a quantitative discipline (e.g., Statistics, Mathematics, Analytics, Economics, Computer Science)
 **and** 
 5\+ years of experience in data analysis
* Master’s degree in a quantitative discipline
 **or** 
 MBA with a quantitative concentration
 **and** 
 3\+ years of data analytics experience
* PhD in a quantitative field
**Preferred Qualifications** 
* Master’s or PhD in a STEM field
* Experience with AWS
* 3\+ years of hands‑on programming in Python, Scala, or R
* 3\+ years of machine learning experience
* 3\+ years working with SQL</t>
        </is>
      </c>
    </row>
    <row r="15">
      <c r="A15" t="inlineStr">
        <is>
          <t>li-4370430413</t>
        </is>
      </c>
      <c r="B15" t="inlineStr">
        <is>
          <t>Data Scientist</t>
        </is>
      </c>
      <c r="C15" t="inlineStr">
        <is>
          <t>Horace Mann</t>
        </is>
      </c>
      <c r="D15" t="inlineStr">
        <is>
          <t>linkedin</t>
        </is>
      </c>
      <c r="E15" t="inlineStr"/>
      <c r="F15" t="inlineStr"/>
      <c r="G15" t="inlineStr"/>
      <c r="H15" t="inlineStr"/>
      <c r="I15" t="inlineStr">
        <is>
          <t>**Overall Objective:**
 To drive actionable insights and inform corporate strategies through the use of analytics, GenAI, advanced modeling, data mining, and market intelligence.
**Key Skills:**
* ****Strong Communication:****
  Demonstrates strong communication skills with a basic understanding of project management principles.  Ability to share updates with team members and manager clearly and concisely, with flexibility in discussions around project scope and deliverables.
* ****Data Visualization:****
  Ability to visualize data effectively to support clear insights and decision\-making.
* ****Analysis:****
  Proficiency in leveraging data and statistical modeling to identify, create, and solve business opportunities.
* ****GenAI and Machine Learning:****
   Some proficiency in GenAI and machine learning techniques to identify, create, and solve business opportunities. Shows a strong desire to build foundational skills first and demonstrates flexibility in selecting appropriate methods.
* ****Technical Data Proficiency:****
  Ability to work with data using programming languages (SQL, Python) and a solid understanding of relational data and data tools.
* ****Coding Skills:****
  Demonstrates the ability to write production\-ready code in Python that is modular, efficient, and well\-documented.
* ****BI Tools:****
  Experience developing dashboards preferred with Python\-based tools (PowerBI experience is a plus).
* ****Project Drive:****
 Demonstrates a desire to learn and own project workstreams with a GenAI/Data Science focus to positively impact business outcomes.
* ****Inquisitive Mindset:****
  Possesses an inquisitive mindset and a desire to delve into the details while maintaining a focus on business impact and practical solutions.
* ****Collaboration:****
 Capable of both independent work and collaboration within projects and cross\-functional teams to achieve targeted outcomes and drive shared success.
**Preferred education/experience: OR Required education**
* Master’s degree or higher in data science related areas (statistics, applied economics, data science)
* 2\+ years of professional analytical experience preferred
* 2\+ years of P\&amp;C or Life/Retirement experience preferred
 Salary Range:
 $89,800\.00 \- $125,500\.00  
 Salary is commensurate to experience, location, etc.
 \#VIZI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row>
    <row r="16">
      <c r="A16" t="inlineStr">
        <is>
          <t>li-4368576550</t>
        </is>
      </c>
      <c r="B16" t="inlineStr">
        <is>
          <t>Data Scientist</t>
        </is>
      </c>
      <c r="C16" t="inlineStr">
        <is>
          <t>ARAUCO - North America</t>
        </is>
      </c>
      <c r="D16" t="inlineStr">
        <is>
          <t>linkedin</t>
        </is>
      </c>
      <c r="E16" t="inlineStr"/>
      <c r="F16" t="inlineStr"/>
      <c r="G16" t="inlineStr">
        <is>
          <t>Atlanta, GA</t>
        </is>
      </c>
      <c r="H16" t="inlineStr"/>
      <c r="I16" t="inlineStr">
        <is>
          <t>**Looking for a rewarding career with a company that values people, growth, sustainability, and teamwork?** 
 Join our
 **Atlanta** 
 team as a
 **Data Scientist!**
 As part of the IT department, this position reports directly to the Technology and Innovations Manager. Please note that the role is internally classified as Optimization Development Specialist and differs from the posted title for clarity to job seekers.
 This role is
 **hybrid** 
 (onsite three days, and remote 2 days per week) and is located at our Atlanta Corporate Office in the Perimeter area.
**What We Are Looking For**
* Bachelor’s or Master’s degree in Data Science, Industrial Engineering, Operations Research, Applied Mathematics, or Computer Science.
* Recent graduate or professional with experience in data science, optimization, or AI model development (industry experience preferred).
* Strong proficiency in Python (Pandas, NumPy, SciPy, PuLP, OR\-Tools, or Pyomo).
* Experience with SQL/BigQuery and cloud\-based data platforms (Azure and Google Cloud preferred).
* Familiarity with SAP datasets or ERP\-related data structures is a strong plus.
* Working knowledge of Qlik Sense and Power Platform (Power Automate / Copilot Studio) is desirable.
* Excellent problem\-solving and communication skills with the ability to explain complex models to executives and operational teams.
* Willing to travel 25% of the time (\~ one week out of the month)
* Must be comfortable with working in both an industrial environment and corporate setting
**What We Offer**
* An attractive compensation package with bonus eligibility
* Health plans with options that meet your needs, including a wellness program, gym reimbursement, and additional benefits such as pet insurance, legal insurance, employer\-paid and voluntary life insurance, and more
* Paid maternity and paternity leave, a competitive vacation package, and company and floating holidays designed to support your work\-life balance
* Retirement planning options, including generous employer contributions
* Opportunities to learn and develop, including a tuition reimbursement program
**In This Role, You Will**
* Design and implement optimization and simulation models to solve business challenges such as production scheduling, cost\-to\-serve routing, inventory balancing, and pricing elasticity.
* Create and deploy computer vision solutions for safety, process monitoring, quality control, and automation (e.g., image recognition, object detection, anomaly detection).
* Develop heuristic and machine learning models using Python, BigQuery ML, and Azure services.
* Collaborate with data engineers to ensure reliable and efficient data pipelines from SAP and other enterprise systems.
* Translate business requirements into mathematical models (linear programming, mixed\-integer, constraint\-based, or stochastic optimization).
* Build and maintain dashboards and decision\-support tools.
* Prototype and deploy optimization microservices or AI agents integrated into business workflows.
* Conduct model validation, sensitivity analysis, and post\-implementation reviews to measure impact.
* Contribute to the citizen development framework, supporting business users in applying advanced analytics responsibly.
* Document methodologies and communicate insights clearly to technical and non\-technical stakeholders.</t>
        </is>
      </c>
    </row>
    <row r="17">
      <c r="A17" t="inlineStr">
        <is>
          <t>li-4370561185</t>
        </is>
      </c>
      <c r="B17" t="inlineStr">
        <is>
          <t>Data Scientist</t>
        </is>
      </c>
      <c r="C17" t="inlineStr">
        <is>
          <t>Elder Research</t>
        </is>
      </c>
      <c r="D17" t="inlineStr">
        <is>
          <t>linkedin</t>
        </is>
      </c>
      <c r="E17" t="inlineStr"/>
      <c r="F17" t="inlineStr"/>
      <c r="G17" t="inlineStr"/>
      <c r="H17" t="inlineStr"/>
      <c r="I17" t="inlineStr">
        <is>
          <t>**About The Company**
 Elder Research is a renowned consulting firm specializing in predictive analytics and data science solutions. With nearly three decades of experience in the data mining industry, Elder Research has established itself as a leader in delivering innovative, cutting\-edge solutions to complex real\-world problems. The company prides itself on its ability to provide exceptional value to clients across various sectors, leveraging advanced analytical methods, machine learning, and statistical modeling. Committed to fostering a collaborative and supportive work environment, Elder Research values continuous learning, integrity, and a culture of humility and servant leadership. The organization emphasizes work\-life balance, professional development, and employee ownership, making it an excellent place for motivated professionals to grow and contribute meaningfully.
**About The Role**
 The Data Scientist position at Elder Research offers an exciting opportunity to support U.S. Customs and Border Protection by applying advanced data analysis techniques to enhance national security efforts. Working remotely with a preference for candidates located in the National Capital Region (DMV), the successful candidate will operate with minimal supervision to transform raw data into actionable insights. The role involves designing and implementing data\-driven solutions, developing predictive models, and creating visualizations to identify trends and solve complex problems related to border security. The position requires staying current with emerging tools and techniques in machine learning, statistical modeling, and analytics. The ideal candidate will have a strong background in applied research, big data analytics, and data science, with the ability to communicate complex analysis effectively to diverse stakeholders.
**Qualifications**
* Six (6\) years of relevant experience in applied research, big data analytics, statistics, applied mathematics, data science, computer science, operations research, or a closely related quantitative discipline.
* At least three (3\) years of direct experience in machine learning.
* Advanced Degree (Masters or PhD) in Statistics, Applied Mathematics, Data Science, Computer Science, Operations Research, or a related field. A PhD may substitute for up to three (3\) years of experience.
* Knowledge of data mining methods, databases, data visualization, and machine learning techniques.
* Strong communication skills to explain analysis techniques, concepts, and products.
* Ability to develop data\-driven solutions, models, and visualizations.
**Responsibilities**
* Apply statistical analysis, data mining, and artificial intelligence techniques to extract value from large datasets.
* Design and develop advanced analytical models and data visualizations to support decision\-making processes.
* Transform raw data from multiple sources into concise, actionable insights through consulting and analysis.
* Create quantitative simulations and predictive models to recommend data\-driven solutions.
* Identify trends, anomalies, and potential issues through complex big data analysis.
* Maintain expertise in emerging tools, techniques, and methodologies in machine learning, statistical modeling, and analytics.
* Collaborate with cross\-functional teams to implement analytical solutions and communicate findings effectively.
* Develop and optimize SQL queries for data extraction, transformation, and loading tasks.
* Utilize cloud\-based technologies such as Databricks and PySpark for scalable data processing where applicable.
* Implement NLP techniques, including preprocessing, TF\-IDF, Named Entity Recognition, and language models, as needed.
**Benefits**
* Competitive salary and comprehensive benefits package.
* Opportunity to make a meaningful impact by supporting national security efforts.
* Job stability with a focus on career development rather than contract work.
* Remote work flexibility, especially for candidates in the DMV area.
* People\-focused culture that promotes work\-life balance and professional growth.
* Participation in company stock ownership, sharing in the company's success.
* Supportive environment with policies for parental leave, bereavement, and paid time off.
* Regular company\-wide “Tech Talk” sessions to foster continuous learning and community engagement.
 Equal Opportunity
 Elder Research is an Equal Opportunity Employer. All qualified applicants will receive consideration for employment without regard to race, color, religion, sex, sexual orientation, gender identity, national origin, protected veteran status, or disability. The company is committed to fostering an inclusive environment where diversity is valued and everyone has the opportunity to succeed. Additionally, as a government contractor, many positions require U.S. citizenship.</t>
        </is>
      </c>
    </row>
    <row r="18">
      <c r="A18" t="inlineStr">
        <is>
          <t>li-4370560314</t>
        </is>
      </c>
      <c r="B18" t="inlineStr">
        <is>
          <t>AFC Modelling - Data Scientist - Vice President</t>
        </is>
      </c>
      <c r="C18" t="inlineStr">
        <is>
          <t>Deutsche Bank</t>
        </is>
      </c>
      <c r="D18" t="inlineStr">
        <is>
          <t>linkedin</t>
        </is>
      </c>
      <c r="E18" t="inlineStr"/>
      <c r="F18" t="inlineStr"/>
      <c r="G18" t="inlineStr">
        <is>
          <t>New York, NY</t>
        </is>
      </c>
      <c r="H18" t="inlineStr"/>
      <c r="I18" t="inlineStr">
        <is>
          <t>Position Overview
**Job Title:** 
 AFC Modelling – Data Scientist
**Corporate Title:** 
 Vice President
**Location:** 
 New York, NY
**Overview** 
*Group Strategic Analytics , GSA concentrates Deutsche Bank’s quantitative and modelling expertise within a single unit. With group\-wide responsibility for model development, GSA takes a cross\-business and cross\-functional approach to solving quantitative modelling, analytics scenarios, and rolls out common development standards.* 
*Modelling supports the Anti Financial Crime (AFC) function, which performs a crucial role in keeping Deutsche Bank’s business operations and global financial services clean from financial crime while serving the interests of the Bank and society. Our regional/global matrix structure allows for flexible responses to challenges in the core areas of: Anti\-Money Laundering, Sanctions \&amp; Embargoes, Anti\-Fraud, Bribery \&amp; Corruption, Investigations \&amp; Intelligence, Monitoring \&amp; Screening, and Risk Assessment.* 
*Our team will provide you with opportunities to learn, grow and define your career. We foster an open, diverse, and inclusive team culture, that is engaged and well\-supported for prosperity and enjoyment of a life/work balance.*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Drive model implementation (from prototype to production), following rigorous coding, testing, and documentation best practice
* Responsible for Driving and execution of the Anti\-Money Laundering (AML) Transaction Monitoring Americas data strategy in line with the Global Data Strategy/Framework
* Develop and evolve platform reporting statistics/data to monitor ongoing model success; perform 'deep dives' to interpret data quality issues, identify remediation and track to resolution
* Represent the group in various data governance forums, and clearly communicate data related issues and potential resolution paths
* Work with Business (1LOD) to understand the products being offered and define specifications/red flags for Transaction Monitoring models
* Review and address open AML TM findings in a timely fashion, work in partnership with AFC stakeholders to develop and drive initiatives that transform and modernize the capabilities and services of Monitoring within the AFC function
**How You’ll Lead** 
* Establish a clear vision and goals for the team, Inspire the team to perform well and achieve business goals; provide guidance and instruction to the team, and coach them as needed.
* Oversee daily activities and progress towards goals, and ensure the team is adequately equipped to perform their duties.
* Prioritize tasks and allocating tasks to the team accordingly. The role will be collaborating across multiple teams within the M\&amp;S (Monitoring \&amp; Screening) function.
**Skills You’ll Need** 
* Bachelor’s/Master’s degree in Computer Science, Data Science, Management Information System (MIS), Information Management, or equivalent
* Previous relevant experience conducting data science or Model Development in a business setting coupled with excellent programming skills, predominantly across the Python/Anaconda suite (Scikit\-learn, Pandas, Numpy)
* Experience in Financial Crimes space with expertise in AML Transaction Monitoring and Advisory, with a deep understanding of transaction monitoring data for various lines of businesses, AML red flags, and AML typologies.
* Proficient in Financial Crime Compliance covering multiple product lines, such as Correspondent Banking, Private Banking, Wealth Management, Brokerage, Trade, and Asset Management.
* Demonstrated experience in Relational databases, Structured Query Language (SQL), Big Data Hadoop, Hive Query Language (HQL), Data visualization tools.
**Skills That Will Help You Excel** 
* Flexible and able to adapt to urgent deliverable timelines
* A positive outlook in a goal\-oriented organization
* Able to demonstrate excellent analytical, judgment, and research skills
* Meticulous with a strong attention to detail and the ability to multitask
* Able to interpret complex requirements and work proactively with stakeholders in different organizational units
**Expectations** 
 It is the Bank’s expectation that employees hired into this role will work in the New York City office in accordance with the Bank’s hybrid working model.
 Deutsche Bank provides reasonable accommodations to candidates and employees with a substantiated need based on disability and/or religion.
 The salary range for this position in New York City is $150,000 to 230,000\. Actual salaries may be based on a number of factors including, but not limited to, a candidate’s skill set, experience, education, work location and other qualifications. Posted salary ranges do not include incentive compensation or any other type of remuneration.</t>
        </is>
      </c>
    </row>
    <row r="19">
      <c r="A19" t="inlineStr">
        <is>
          <t>li-4361779599</t>
        </is>
      </c>
      <c r="B19" t="inlineStr">
        <is>
          <t>Data Scientist - Level 2</t>
        </is>
      </c>
      <c r="C19" t="inlineStr">
        <is>
          <t>Applied Network Solutions, Inc.</t>
        </is>
      </c>
      <c r="D19" t="inlineStr">
        <is>
          <t>linkedin</t>
        </is>
      </c>
      <c r="E19" t="inlineStr"/>
      <c r="F19" t="inlineStr"/>
      <c r="G19" t="inlineStr">
        <is>
          <t>Aurora, CO</t>
        </is>
      </c>
      <c r="H19" t="inlineStr"/>
      <c r="I19" t="inlineStr">
        <is>
          <t>**Description**
**Who we are:**
 At Applied Network Solutions (ANS), we bring together some of the most
 **curious** 
 minds in networking and cybersecurity. ANS was founded to
 **disrupt** 
 the
 **status quo** 
 . For over 20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**As a** 
***Data Scientist***
**on our team, you will:** 
 Be trusted to design and execute machine learning models and applications, document analytic results and create visualizations for client stakeholders.
**Requirements**
**Requirements:**
* Active TS/SCI clearance with Polygraph
* A Bachelor’s degree and 3 years of relevant experience. An Associate’s degree plus 5 years of relevant experience may be considered for individuals with in\-depth experience that is clearly related to the position.
* Degree must be in Mathematics, Applied Mathematics, Statistics, Applied Statistics, Machine Learning, Data Science, Operations Research, or Computer Science
* A broader range of degrees will be considered if accompanied by a Certificate in Data Science from an accredited college/university
* Experience in designing/implementing machine learning, data science, advanced analytical algorithms, programming (skill in at least one high\-level language (e.g., Python) and skill in at least one mid\-level language (e.g., C)), data mining, advanced statistical analysis (e.g., statistical foundations of machine learning, statistical approaches to missing data, time series), advanced mathematical foundations, artificial intelligence, workflow and reproducibility, data management and curation, data modeling and assessment (e.g., model selection, evaluation, and sensitivity analysis), experience as a data scientist working to support a single or multiple domain area, and/or software engineering.
**Desired Qualifications**
* Working knowledge of Big Data, dataflows, and ML/AI familiarity
* Working knowledge of Jupyter notebooks
* Working knowledge of Spark
**Responsibilities Include, But Are Not Limited To**
* Working knowledge of statistics, programing and predictive modeling
* Use programming languages (e.g., Python, R) to manipulate and analyze large data sets
* Design and implement machine learning, data science and advanced analytical algorithms
* Provide statistical analysis as well as (e.g. variability, sampling error, inference, hypothesis testing, EDA, applications of linear models), data management, data mining, data modeling and assessment
**Benefits**
 ANS offers excellent compensation along with a generous benefits package to include:
* Family Medical, Dental (w/ adult orthodontia) and Vision coverage
* Pet Discount Program
* PTO (Paid Time Off)
* Maternity/ Paternity Leave
* Supplemental Military Leave Pay
* 11 Paid Holidays
* 401(k) plan with 6% Company Contribution
* Generous Professional Development Program
* 100% Employer paid Short\- and Long\-Term Disability
* 100% Employer paid Life Insurance
* Supplemental Whole Life Insurance
* Lucrative Referral Bonus Program
* Annual Allowance for ANS Swag
* Potential for Paid Overtime
* Flexible Work Schedules
 Applied Network Solutions, Inc. is an Equal Opportunity Employer. All qualified applicants will receive consideration for employment without regard to race, color, religion, sex, pregnancy, sexual orientation, gender identity, national origin, age or protected veteran status and will not be discriminated against on the basis of disability.
 As required by local law, Applied Network Solutions, Inc. provides reasonable salary ranges of compensation for work performed in applicable states. Ranges are not a guarantee of compensation and depend on a variety of factors, including but not limited to contractual requirements, work location, years of experience, skill set, and education. Overtime is not guaranteed for this position.
 The anticipated pay range for this position is $100,000\.00 \- $165,000\.00 USD.</t>
        </is>
      </c>
    </row>
    <row r="20">
      <c r="A20" t="inlineStr">
        <is>
          <t>li-4370543480</t>
        </is>
      </c>
      <c r="B20" t="inlineStr">
        <is>
          <t>Data Scientist / Data Science Consultant – 1898 &amp; Co.</t>
        </is>
      </c>
      <c r="C20" t="inlineStr">
        <is>
          <t>1898 &amp; Co.</t>
        </is>
      </c>
      <c r="D20" t="inlineStr">
        <is>
          <t>linkedin</t>
        </is>
      </c>
      <c r="E20" t="inlineStr"/>
      <c r="F20" t="inlineStr"/>
      <c r="G20" t="inlineStr">
        <is>
          <t>Kansas City, MO</t>
        </is>
      </c>
      <c r="H20" t="inlineStr"/>
      <c r="I20" t="inlineStr">
        <is>
          <t>**Description** 
 Description
 At 1898 \&amp; Co., we help clients unlock the power of data and analytics to make smarter, faster, and more impactful business decisions. Our Business Intelligence \&amp; Analytics team partners with organizations across the energy, utility, and critical infrastructure sectors to design, develop, and implement data\-driven solutions that solve complex operational and strategic challenges. As part of Burns \&amp; McDonnell, we combine deep industry knowledge with advanced analytics and AI capabilities to deliver measurable results for our clients.
 We are seeking a data scientist who can provide consulting solutions that will leverage data and analytics to answer complex questions and influence business strategy. This role involves developing and applying standards of practice around data retrieval, manipulation, reporting, and analytics while executing high\-quality, insightful solutions that drive business value. The ideal candidate is passionate about using data science to solve real\-world problems and thrives in a collaborative, consulting\-focused environment.
 What You’ll Do
* Collaborate with engineering, product, and consulting teams to build advanced data analytics and AI solutions.
* Design and develop end\-to\-end data science workflows, including data preprocessing, modeling, evaluation, and deployment.
* Conduct studies using data wrangling, statistical analysis, and machine learning to create solutions that improve performance, identify inefficiencies, or optimize business outcomes.
* Partner with data engineers and IT professionals to ensure seamless integration of data science models and tools within client environments.
* Conduct research into the application of analytics and AI to new problem domains and emerging business needs.
* Apply a pragmatic, business\-focused problem\-solving approach to deliver high\-value, reliable, and scalable solutions.
* Document methodologies, summarize findings, and develop data visualizations to communicate insights clearly to internal stakeholders and clients.
* Stay current on emerging trends in data science, AI, and analytics technologies, and contribute to thought leadership within the organization.
* Provide expert advice and recommendations on data science methodologies, frameworks, and best practices.
* Support proposal development, client presentations, and business development activities as part of a consulting team.
* Mentor and train colleagues on data science tools, modeling techniques, and consulting best practices.
* Ensure compliance with company standards, quality processes, and safety policies.
* Perform other duties as assigned.
**Preferred Experience \&amp; Skills**
* Experience designing and implementing end\-to\-end data science solutions within enterprise or consulting environments.
* Proficiency with data analytics and processing frameworks such as Spark, Hadoop, or Flink.
* Hands\-on experience with statistical and machine learning techniques across supervised and unsupervised methods.
* Familiarity with commercial analytics tools such as SAS or SPSS and BI tools like ThoughtSpot, Tableau, or Power BI.
* Experience building data visualizations and presenting analytical findings to executive and business audiences.
* Proficiency with Python, SQL, or other programming languages commonly used for data science and analytics.
* Experience working within the electric utility industry or applying analytics to energy, infrastructure, or engineering domains.
* Strong problem\-solving and critical\-thinking skills with the ability to manage ambiguity and competing priorities.
* Ability to communicate technical concepts to non\-technical stakeholders clearly and persuasively.
* Experience collaborating with cross\-functional teams including engineers, IT professionals, and business leaders.
**Qualifications**
* Bachelor Degree in Data Analytics, Computer Science, Information Systems, Statistics, Engineering, Math, or related field and 3 years of related experience Required
* Demonstrated application of analytics processing engines such as Spark, Hadoop, Flink, Storm
* Experience with a commercial analytics tooling such as SAS, SPSS.
* Experience with Business Intelligence tools such as ThoughtSpot, Tableau or Power BI.
* Demonstrated application of data wrangling and supporting tools.
* Demonstrated application of statistical analytics and machine learning. Experience with a variety of machine learning algorithms and an understanding of the application of other algorithms.
* Experience with the domain of problems of an Electric Utility strongly preferred.
* Experience in utility analytics in a technology vendor or utility environment.
* Ability to work with team members and clients to assess needs, provide assistance, and resolve problems.
* Strong problem\-solving and analytical skills.
* Ability to present and explain technical concepts to business audiences.
 This job posting will remain open a minimum of 72 hours and on an ongoing basis until filled.
 EEO/Disabled/Veterans
**Job** 
 Database
**Primary Location** 
 US\-MO\-Kansas City
**Schedule:** 
 Full\-time
**Travel:** 
 Yes, 50 % of the Time
**About 1898 \&amp; Co.** 
 1898 \&amp; Co. is a business, technology and security solutions consultancy where experience and foresight come together to unlock lasting advancements. We innovate today to fuel our clients’ future growth, catalyzing insights that drive smarter decisions, improve performance and maximize value. As part of Burns \&amp; McDonnell, we draw on more than 120 years of deep and broad experience in complex industries as we envision and enable the future for our clients.
**Req ID:** 
 260688
**Job Hire Type** 
 Experienced \#E98 N/A</t>
        </is>
      </c>
    </row>
    <row r="21">
      <c r="A21" t="inlineStr">
        <is>
          <t>li-4370409239</t>
        </is>
      </c>
      <c r="B21" t="inlineStr">
        <is>
          <t>Business Data Scientist, Google Cloud Security Strategy</t>
        </is>
      </c>
      <c r="C21" t="inlineStr">
        <is>
          <t>Google</t>
        </is>
      </c>
      <c r="D21" t="inlineStr">
        <is>
          <t>linkedin</t>
        </is>
      </c>
      <c r="E21" t="inlineStr"/>
      <c r="F21" t="inlineStr"/>
      <c r="G21" t="inlineStr">
        <is>
          <t>Sunnyvale, CA</t>
        </is>
      </c>
      <c r="H21" t="inlineStr"/>
      <c r="I21" t="inlineStr">
        <is>
          <t>**Minimum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**Preferred qualifications:**
* 6 years of experience using analytics to solve product or business problems, coding (e.g., Python, R, SQL), querying databases or statistical analysis.
**About the job** 
 The Strategy and Operations Team is a small, high\-leverage unit designed to act as the connective tissue between Google's functional machinery and leadership across key business segments. The team's primary mission is to ensure the long\-term success of strategic initiatives and integrations by aligning organizational processes without impacting innovation or growth trajectories, and driving investments to accelerate success for Google and its partners.The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Integrate internal and external metrics into a single source of truth to provide an analytic basis for decision\-making.
* Create executive dashboards tracking talent, product velocity, and business outcomes.
* Conduct analysis to drive critical business decisions.
* Integrate critical agreement data across product, finance, and operating metrics into a single source of truth.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
      <c r="A22" t="inlineStr">
        <is>
          <t>li-4364260766</t>
        </is>
      </c>
      <c r="B22" t="inlineStr">
        <is>
          <t>Zappos Data Scientist III, Zappos/Shopbop Catalog Engineering</t>
        </is>
      </c>
      <c r="C22" t="inlineStr">
        <is>
          <t>Zappos</t>
        </is>
      </c>
      <c r="D22" t="inlineStr">
        <is>
          <t>linkedin</t>
        </is>
      </c>
      <c r="E22" t="inlineStr"/>
      <c r="F22" t="inlineStr"/>
      <c r="G22" t="inlineStr">
        <is>
          <t>New York, United States</t>
        </is>
      </c>
      <c r="H22" t="inlineStr"/>
      <c r="I22" t="inlineStr">
        <is>
          <t>**Description**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
**Company** 
 \- Zappos.com LLC
 Job ID: A3124684</t>
        </is>
      </c>
    </row>
    <row r="23">
      <c r="A23" t="inlineStr">
        <is>
          <t>li-4370427891</t>
        </is>
      </c>
      <c r="B23" t="inlineStr">
        <is>
          <t>Senior Data Scientist</t>
        </is>
      </c>
      <c r="C23" t="inlineStr">
        <is>
          <t>Software Guidance &amp; Assistance, Inc. (SGA, Inc.)</t>
        </is>
      </c>
      <c r="D23" t="inlineStr">
        <is>
          <t>linkedin</t>
        </is>
      </c>
      <c r="E23" t="inlineStr"/>
      <c r="F23" t="inlineStr"/>
      <c r="G23" t="inlineStr">
        <is>
          <t>Rockville, MD</t>
        </is>
      </c>
      <c r="H23" t="inlineStr"/>
      <c r="I23" t="inlineStr">
        <is>
          <t>Software Guidance \&amp; Assistance, Inc., (SGA), is searching for a
 **Senior Data Scientist** 
 for a
 **Contract** 
 assignment with one of our premier
 **Regulatory** 
 clients in
 **Rockville, MD or Tysons, VA.
 This role is hybrid (3 days/week Onsite in either Rockville or Tysons office)**
 The Surveillance Data Science team is looking for Python\-heavy, cloud\-savvy, data scientists to support and expand surveillance initiatives. Candidates will work with big data in AWS, develop prototypes, and create interactive dashboards (Plotly preferred). Strong communication skills are critical, candidates must be able to explain technical work to both business and technical audiences clearly and professionally. The role balances 80% assigned work with 20% R\&amp;D/innovation, including Graph\-based algorithms and generative AI, with an emphasis on practical, production\-ready solutions.
**Responsibilities** 
 :
* Develop prototypes and models to support surveillance workflows; work closely with engineering teams to hand off artifacts.
* Build interactive dashboards and visualizations to communicate insights; Plotly Dash preferred.
* Apply statistical methods, signal processing, anomaly detection, and time\-series analysis to extract actionable insights.
* Explore and implement GenAI and Graph\-based algorithms to expand surveillance capabilities.
* Collaborate with stakeholders and business users weekly; strong, polished communication is a must.
* Operate independently, efficiently, and flexibly; adapt to multiple priorities and fast\-paced workflows.
* Mentor or guide junior team members as needed; contribute to the growth of the data science practice.
**Requirements:**
* Python: Expert\-level; extensive open\-source experience; non\-negotiable.
* Cloud / Big Data: AWS experience essential; capable of handling large datasets and working with engineering teams.
* Visualization: Plotly/Plotly Dash preferred; experience building dashboards for technical and business users.
* GenAI / Graph Analytics: Exposure to generative AI, graph\-based algorithms, and agentic workflows; interest in R\&amp;D.
* Analytical / Statistical Rigor: Signal processing, anomaly detection, and time\-series analysis; strong problem\-solving.
* Communication: Must be able to clearly articulate work, influence stakeholders, and collaborate across teams.
* Education: Bachelor's required; Master's or PhD preferred.
**Preferred** 
**Skills** 
 :
* Generative AI: Experience with large language models (LLMs), prompt engineering, and GenAI applications
* Experience with graph databases and graph analytics
* Knowledge of network analysis and graph\-based algorithms
* Experience in financial services or regulated industries
* Familiarity with MLOps and model monitoring best practices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24">
      <c r="A24" t="inlineStr">
        <is>
          <t>li-4369688214</t>
        </is>
      </c>
      <c r="B24" t="inlineStr">
        <is>
          <t>Senior Data Scientist</t>
        </is>
      </c>
      <c r="C24" t="inlineStr">
        <is>
          <t>Blue Cross Blue Shield of Massachusetts</t>
        </is>
      </c>
      <c r="D24" t="inlineStr">
        <is>
          <t>linkedin</t>
        </is>
      </c>
      <c r="E24" t="inlineStr"/>
      <c r="F24" t="inlineStr"/>
      <c r="G24" t="inlineStr">
        <is>
          <t>Boston, MA</t>
        </is>
      </c>
      <c r="H24" t="inlineStr"/>
      <c r="I24" t="inlineStr">
        <is>
          <t>**Ready to help us transform healthcare? Bring your true colors to blue.**
 As a Senior Data Scientist working in the analytics hub within the finance department, you will serve as an analytics lead for our business units, responsible for connecting them with effective analytics solutions. Your work will go beyond traditional analysis; you will be deeply involved in understanding complex business challenges and building the analytical frameworks that guide our strategy and improve performance.
 This role is for a data scientist who wants to see their work make a direct impact. You will act as a trusted consultant to business leaders, using your expertise to solve meaningful problems and find new business opportunities.
 This role is eligible for our Flex Persona for candidates local to our Boston, MA office.
**What You Will Do**
* Drive Strategy \&amp; Discovery: Partner directly with business leaders to translate their goals into data\-driven hypotheses. You'll move beyond taking requirements to proactively identifying and framing complex problems that can be solved with advanced analytics and machine learning.
* End\-to\-End Model Development: Own the entire machine learning lifecycle, from prototyping and feature engineering to building, validating, and deploying production\-ready models. You'll be responsible for the quality and real\-world impact of your solutions.
* Quantify Business Impact: Develop and execute the frameworks for measuring the success of analytical initiatives. You will be expected to clearly communicate the value of your work to stakeholders, connecting model performance to key business metrics like revenue, efficiency, and customer satisfaction.
* Champion Technical Excellence: Promote best practices in code, modeling, and MLOps. You will build scalable, reproducible, and easily maintainable solutions and help mentor other members of the team.
* Lead through Influence: Act as the central point of contact for your projects, collaborating with Data Engineers, Product Managers, and business stakeholders to ensure your models are successfully integrated and adopted.
* Innovate and Explore: Stay current with state\-of\-the\-art techniques in the field and lead the exploration of new data sources, tools, and methodologies to solve emerging business challenges.
**What You Bring**
* Experience: 5\+ years of hands\-on experience transforming large, complex datasets into impactful analytical solutions that have driven business decisions. Experience with healthcare data (e.g., medical claims, pharmacy claims, eligibility) is highly desirable.
* Education: A degree in a quantitative field like Statistics, Mathematics, Computer Science, Engineering, or a related discipline.
**Technical Proficiency**
* Deep expertise in Python or R for statistical modeling, machine learning, and data manipulation.
* Proficiency in SQL and experience working with large\-scale relational databases (experience with Snowflake is highly desirable).
* Advanced knowledge of the end\-to\-end machine learning lifecycle, from feature engineering and model development to validation and performance monitoring.
* Proficiency with version control systems like Git for collaborative development.
* Strong data visualization skills, with expertise in tools like Tableau to create compelling, easy\-to\-understand dashboards.
**Strategic \&amp; Collaborative Mindset**
* A self\-directed and creative problem\-solver, with the ability to work independently on complex analytical challenges from data to platform to final solution.
* An efficiency\-driven approach, with a demonstrated ability to automate processes and build scalable, repeatable solutions.
* A proven ability to navigate ambiguity, translating high\-level business questions into well\-defined analytical projects.
* Experience leading projects in an Agile environment, from initial discovery and use case definition to final delivery.
* Excellent communication skills, with the ability to clearly explain complex technical concepts and results to both technical and non\-technical stakeholders.
* A natural curiosity and drive to innovate, with the ability to mentor others and introduce new tools and techniques to the team.
**Minimum Education Requirements**
 High school degree or equivalent required unless otherwise noted above
 Location
 Boston
 Time Type
 Full time
 Salary Range: $156,240\.00 \- $190,960\.00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25">
      <c r="A25" t="inlineStr">
        <is>
          <t>li-4370437146</t>
        </is>
      </c>
      <c r="B25" t="inlineStr">
        <is>
          <t>Senior Data Scientist</t>
        </is>
      </c>
      <c r="C25" t="inlineStr">
        <is>
          <t>Software Guidance &amp; Assistance, Inc. (SGA, Inc.)</t>
        </is>
      </c>
      <c r="D25" t="inlineStr">
        <is>
          <t>linkedin</t>
        </is>
      </c>
      <c r="E25" t="inlineStr"/>
      <c r="F25" t="inlineStr"/>
      <c r="G25" t="inlineStr">
        <is>
          <t>Tysons Corner, VA</t>
        </is>
      </c>
      <c r="H25" t="inlineStr"/>
      <c r="I25" t="inlineStr">
        <is>
          <t>Software Guidance \&amp; Assistance, Inc., (SGA), is searching for a
 **Senior Data Scientist** 
 for a
 **Contract** 
 assignment with one of our premier
 **Regulatory** 
 clients in
 **Rockville, MD or Tysons, VA.
 This role is hybrid (3 days/week Onsite in either Rockville or Tysons office)**
 The Surveillance Data Science team is looking for Python\-heavy, cloud\-savvy, data scientists to support and expand surveillance initiatives. Candidates will work with big data in AWS, develop prototypes, and create interactive dashboards (Plotly preferred). Strong communication skills are critical, candidates must be able to explain technical work to both business and technical audiences clearly and professionally. The role balances 80% assigned work with 20% R\&amp;D/innovation, including Graph\-based algorithms and generative AI, with an emphasis on practical, production\-ready solutions.
**Responsibilities** 
 :
* Develop prototypes and models to support surveillance workflows; work closely with engineering teams to hand off artifacts.
* Build interactive dashboards and visualizations to communicate insights; Plotly Dash preferred.
* Apply statistical methods, signal processing, anomaly detection, and time\-series analysis to extract actionable insights.
* Explore and implement GenAI and Graph\-based algorithms to expand surveillance capabilities.
* Collaborate with stakeholders and business users weekly; strong, polished communication is a must.
* Operate independently, efficiently, and flexibly; adapt to multiple priorities and fast\-paced workflows.
* Mentor or guide junior team members as needed; contribute to the growth of the data science practice.
**Requirements:**
* Python: Expert\-level; extensive open\-source experience; non\-negotiable.
* Cloud / Big Data: AWS experience essential; capable of handling large datasets and working with engineering teams.
* Visualization: Plotly/Plotly Dash preferred; experience building dashboards for technical and business users.
* GenAI / Graph Analytics: Exposure to generative AI, graph\-based algorithms, and agentic workflows; interest in R\&amp;D.
* Analytical / Statistical Rigor: Signal processing, anomaly detection, and time\-series analysis; strong problem\-solving.
* Communication: Must be able to clearly articulate work, influence stakeholders, and collaborate across teams.
* Education: Bachelor's required; Master's or PhD preferred.
**Preferred** 
**Skills** 
 :
* Generative AI: Experience with large language models (LLMs), prompt engineering, and GenAI applications
* Experience with graph databases and graph analytics
* Knowledge of network analysis and graph\-based algorithms
* Experience in financial services or regulated industries
* Familiarity with MLOps and model monitoring best practices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26">
      <c r="A26" t="inlineStr">
        <is>
          <t>li-4336246273</t>
        </is>
      </c>
      <c r="B26" t="inlineStr">
        <is>
          <t>Clinical Data Scientist</t>
        </is>
      </c>
      <c r="C26" t="inlineStr">
        <is>
          <t>ConcertAI</t>
        </is>
      </c>
      <c r="D26" t="inlineStr">
        <is>
          <t>linkedin</t>
        </is>
      </c>
      <c r="E26" t="inlineStr"/>
      <c r="F26" t="inlineStr"/>
      <c r="G26" t="inlineStr"/>
      <c r="H26" t="inlineStr"/>
      <c r="I26" t="inlineStr">
        <is>
          <t>**Job Requirements**
**Company Overview**
 ConcertAI is at the forefront of revolutionizing healthcare with our cutting\-edge AI and data solutions. Our mission is to accelerate insights, advance research, and improve patient outcomes in oncology and across life sciences. As a leader in real\-world evidence (RWE) and data\-driven technology, ConcertAI partners with top pharmaceutical companies, healthcare providers, and research institutions to enhance patient outcomes and streamline clinical research. By leveraging evidence\-generation and artificial intelligence, we deliver unparalleled insights into treatment effectiveness, patient care, and disease progression to advance precision medicine and medical innovation.
 Within the ConcertAI ecosystem, TeraRecon is a leading innovator in advanced visualization, artificial intelligence (AI), and image analysis solutions for healthcare. With a focus on improving clinical workflows and enhancing diagnostic precision, TeraRecon offers scalable platforms like Intuition and Eureka AI to integrate imaging, data, and AI\-driven insights seamlessly. Additionally, CancerLinQ, an oncology\-focused platform developed by ASCO and now part of ConcertAI, supports cancer centers and practices in improving care quality and discovery.
 Joining ConcertAI means becoming part of a visionary team dedicated to transforming the healthcare landscape. You'll have the opportunity to work on innovative projects that directly impact patient lives, collaborate with some of the brightest minds in the industry, and be at the cutting edge of technological advancements in healthcare. ConcertAI offers a dynamic and inclusive work environment, competitive benefits, and ample opportunities for personal and professional growth. If you're passionate about making a difference in healthcare and excited by the prospect of working with advanced AI and data solutions, ConcertAI is the perfect place for you to thrive and make a lasting impact.
**Role Summary**
 You will work within the Product Insights \&amp; Evidence (PIE) team that is responsible for supporting epidemiological and analytical utilization of ConcertAI data products.
**Responsibilities**
* Interpretation and analysis of clinical real world evidence studies
* Contribute to analyses on epidemiological research projects with potential to write and publish abstracts and manuscripts and participate in poster presentations
* Conduct in\-depth data investigations across the ConcertAI data pipeline to maintain a high level of data quality, completeness, and usability of ConcertAI data products
* Present key findings to internal and external stakeholders to provide guidance on the usability of ConcertAI data products
* Publish reproducible reports and develop applications to Posit Connect and/or Github for company\-wide consumption
* Contribute functions, algorithms, and business rules to ConcertAI R packages and Github repositories to increase efficiency and reproducibility of analyses
**Requirements**
* Advanced degree in Epidemiology/Biostatistics or 2\+ years of epidemiological research in a health care, pharmaceutical, or health\-related academic field
* 2\+ years of relevant work experience in epidemiological research, oncology and/or RWD
* Proficiency with statistical modeling methods, including time\-to\-event analysis (TTE), and methodology expertise with observational datasets
* Strong proficiency in querying databases with SQL
* Strong proficiency in programming languages (R preferred)
* Experienced conducting studies with medical coding sets (e.g. HCPCS, ICD, CPT, SNOMED, LOINC, and NDC)
* Experience working with EHR\-based RWD is a plus
* Familiarity with oncology data and studies is a plus
* Proactive and enjoys the data discovery process, digging deep and getting hands\-on with data
* Has an inquisitive mindset to constantly test assumptions and effectively communicate findings to both a technical and non\-technical audience
* Experience working with either Hematological Malignancy or Immunological Disorder is a plus
**Learn More About ConcertAI**
 Our team at ConcertAI is dedicated to transforming healthcare decision\-making through the application of RWE and AI to improve patient outcomes. We work in a fast\-paced, dynamic, high\-performing culture where diversity, collaboration, and innovation are valued. Join us on our quest to create a world free of disease. Learn more about ConcertAI at www.concertai.com , or follow us on LinkedIn. Serving 1,300 clinical sites globally, TeraRecon \- a ConcertAI company \- is a Best in KLAS solution provider for AI\-empowered radiology, oncology, cardiology, neurology, and vascular surgery. In the future, the combination with ConcertAI could bring a single, advanced AI\-augmented diagnosis and interpretation capability from clinical trials to patient care. Learn more about TeraRecon at www.terarecon.com , or follow us on LinkedIn.
**EEO**
 ConcertAI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**Work Experience**
* Advanced degree in Epidemiology/Biostatistics or 2\+ years of epidemiological research in a health care, pharmaceutical, or health\-related academic field
* 1\+ years of relevant work experience in epidemiological research, oncology and/or RWD
* Proficiency with statistical modeling methods, including time\-to\-event analysis (TTE), and methodology expertise with observational datasets
* Strong proficiency in querying databases with SQL
* Strong proficiency in programming languages (R preferred)
* Oncology work experience</t>
        </is>
      </c>
    </row>
    <row r="27">
      <c r="A27" t="inlineStr">
        <is>
          <t>li-4289457649</t>
        </is>
      </c>
      <c r="B27" t="inlineStr">
        <is>
          <t>Senior Data Scientist-Measurement</t>
        </is>
      </c>
      <c r="C27" t="inlineStr">
        <is>
          <t>The Trade Desk</t>
        </is>
      </c>
      <c r="D27" t="inlineStr">
        <is>
          <t>linkedin</t>
        </is>
      </c>
      <c r="E27" t="inlineStr"/>
      <c r="F27" t="inlineStr"/>
      <c r="G27" t="inlineStr">
        <is>
          <t>New York, United States</t>
        </is>
      </c>
      <c r="H27" t="inlineStr"/>
      <c r="I27"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small\-medium\-sized workplaces globally.
**About The Role**
 Data scientists at TTD work closely with engineering throughout the lifecycle of the product, from ideation to production and monitoring. Our data scientists are end\-to\-end owners. You will participate actively in all aspects of designing, researching, building, and delivering data\-focused products for our clients and traders.
 This particular role is responsible for research and application of state\-of\-art modeling techniques to solve measurement problems centered around Advertising Technology. This role will collect and explore data, research into methodologies, design experiments to validate model results, and implement research work in production. This role will be able to work across all methods of measurement in AdTech, but will have a particular focus on helping to move both internal and external clients towards more sophisticated measurement solutions that prove the causal impact of ads served by the TTD platform. The work of this role will help to build out and make causal lift more accessible and attainable on our platform.
 The main job directions include:
* Explore, evaluate and deploy models to solve the problem of “Are TTD ads driving incremental lift?”
* Help to define and build methods to optimize towards causal effects
* Explore data from various sources within TTD and prototype ETL pipelines to collect them for model training.
* Design and analyze experiments (e.g. A/B test) to validate model results.
* Work with cross\-functional stakeholders to come up with the best implementation and testing plan.
* Communicate learnings from data and insights from models in compelling ways to influence product decisions.
**Who We Are Looking For**
* Proficient in open\-source languages, you have a strong passion for enhancing and expanding your technical skills. Your expertise includes hands\-on development of statistical and machine learning models and solutions utilizing open\-source tools and cloud computing platforms. Has a deep understanding of the foundations of statistics and machine learning models.
* Hands\-on experience building models at scale. A track record of owning a project end\-to\-end (from research to production), and partnership with a cross\-functional team of data scientists, engineers and product managers to deliver advanced analytics or models.
* Possessing a keen sense of data intuition and the ability to innovate in the field of causal inference and/or machine learning, as evidenced by achievements like first\-author publications or project successes.
**What You Bring To The Table**
 We do not expect you to know every technology we use when you start at TTD. What we care most about is that you can learn quickly and solve complex problems using the best tools for the job. However, we find that the most successful candidates typically come in with something like the following experience:
* BS/MS with 4\+ years or a PhD with 2\+ years of experience working in a DS or ML role that involves bringing products from ideation to production.
* Experience in causal inference and lift measurement
* Experience of designing experiments in a production environment.
* Proficient in Python.
* Experience in programmatic advertising is a plus
* Experience running heavy workloads on a distributed computing cluster (especially EMR or Databricks), leveraging technologies like Spark to work with large datasets preferred.
* The ability to communicate with diverse stakeholders, making architecture recommendations, ensuring effective execution, and measuring quality of outcomes.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$124,900—$228,900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28">
      <c r="A28" t="inlineStr">
        <is>
          <t>li-4369982031</t>
        </is>
      </c>
      <c r="B28" t="inlineStr">
        <is>
          <t>Jr. Data Scientist</t>
        </is>
      </c>
      <c r="C28" t="inlineStr">
        <is>
          <t>Amentum</t>
        </is>
      </c>
      <c r="D28" t="inlineStr">
        <is>
          <t>linkedin</t>
        </is>
      </c>
      <c r="E28" t="inlineStr"/>
      <c r="F28" t="inlineStr"/>
      <c r="G28" t="inlineStr">
        <is>
          <t>Springfield, VA</t>
        </is>
      </c>
      <c r="H28" t="inlineStr"/>
      <c r="I28" t="inlineStr">
        <is>
          <t>**Purpose and Impact:**
 As a
 **Junior Data Scientist** 
 , you will support an exciting National Security mission to position NGA to be the enterprise and community GEOINT data provider, improving the way analysts, customers, and end users access, discover, stage, link, produce, re\-integrate, and deliver intelligence. You will work with talented developers and colleagues, gaining exposure to industry best practices such as AWS cloud solutions.
**Work Schedule:** 
 Monday – Friday 8am – 5pm
**Essential Responsibilities:**
* As a Junior Data Scientist, you will work as part of team of data engineers, database developers and visualization specialists to analyze large sets of structured data, looking for anomalies and undiscovered correlations
* Perform deep dive analysis into data sets and reports to identify problems or suspected issues with data
* Able to develop \&amp; use exceptionally complex concepts \&amp; processes that span multiple organizations and disciplines
* Participate in continuous improvement efforts to increase available data quality and speed of delivery
* Participate on an Agile development team, using Scrum techniques, as a contributing development team member
* Work with the software engineering team to deploy models that provide ongoing forecasts, optimizations, recommendations, and insights to support the Chief Data Office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Qualified applicants will receive consideration for employment without regard to race, color, religion, sex, national origin, sexual orientation, gender identity, disability or protected veteran status.
***As part of our commitment to maintaining a safe and compliant work environment, Amentum is a drug\-free workplace and requires all personnel to comply with company drug and alcohol policies as a condition of employment. Employment is contingent upon successful completion of the drug screening process. Please note that this may include pre\-hire screening for marijuana, as well as other federally controlled substances due to Amentum’s role as a federal contractor and trusted partner to the US Government.***
**Minimum Requirements (Knowledge, Skills, and Abilities):**
* Must have experience as a data scientist using imagery data
* Experience writing code in Python, R, Scala, JavaScript, C\+\+ with documentation for reproducibility Strong knowledge and experience of visual programming or object\-oriented modeling workflows to automate data acquisition
* Ability to manipulate data from multiple structured and unstructured data sources
* Apply analytical methodologies to diagnose data\-related challenges, implement solutions, and evaluate performance
* Ability to conduct data analytics, data engineering, data mining, exploratory analysis, predictive analysis, and statistical analysis, and uses scientific techniques to correlate data into graphical, written visual and verbal narrative products, enabling more informed analytic decisions
* Ability to identify and appropriately evaluate a wide range of existing methods, models and algorithms in familiar domains for a variety of mission driven problems while recognizing the capabilities and limitations of each method
* Ability to categorize the data and metadata to build the metadata application profile.
* Experience with Apache Hadoop, HUE, Hive, Pig, Spark, Elasticsearch, Kibana, or Tableau
**Clearance Required:**
* TS/SCI with Poly
**Minimum Education:**
* Bachelor’s degree plus 1\-3 years’ experience, or a Master's Degree plus 1\-3 years of experience
**Minimum Years of Experience:**
* 1 \- 3
**Preferred Qualifications:**
* AI/ML experience
* Knowledge of metadata standards
* Knowledge and experience with Search tools, Search results organization and the implications of metadata organization, indexing, catalog content
* Experience in GIS\-related applications
 \#javelin
**Compensation Details:**
 US:$100,00 \- $125,000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9">
      <c r="A29" t="inlineStr">
        <is>
          <t>li-4370563869</t>
        </is>
      </c>
      <c r="B29" t="inlineStr">
        <is>
          <t>Staff Data Scientist</t>
        </is>
      </c>
      <c r="C29" t="inlineStr">
        <is>
          <t>Unity</t>
        </is>
      </c>
      <c r="D29" t="inlineStr">
        <is>
          <t>linkedin</t>
        </is>
      </c>
      <c r="E29" t="inlineStr"/>
      <c r="F29" t="inlineStr"/>
      <c r="G29" t="inlineStr">
        <is>
          <t>Mountain View, CA</t>
        </is>
      </c>
      <c r="H29" t="inlineStr"/>
      <c r="I29" t="inlineStr">
        <is>
          <t>**The opportunity**
 At Unity, we foster a culture of collaboration and innovation. In our fast\-paced environment, we tackle complex challenges that create real impact for creators and users across our ecosystem.
 Our Ads Data Science team supports product and business success by transforming large\-scale data into actionable insights, defining success metrics, guiding product decisions, and measuring impact. In partnership with PM, Engineering, Sales, and Finance, the team informs every stage of the product lifecycle \- from identifying opportunities to evaluating performance and shaping long\-term strategy across supply, demand, and customer insights.
 As a founding Data Scientist on this team, you will have strong ownership to company revenue growth and overall business success and work across multiple areas within Ads, including Vector initiatives, supply\-side analytics, and Sales insights. You’ll establish a product analytics culture, take ownership of high\-impact ML products, and define how data drives decisions.
 If you’re excited about turning data into insights, driving real impact, and contributing to Unity’s mission, this is your opportunity to make a lasting difference.
**What You'll Be Doing**
* Collaborate closely with PM, Engineering, Sales, and other cross\-functional leaders to inform strategy and support decisions across our Ads group.
* Transform large\-scale datasets into actionable insights, using quantitative analysis, experimentation, and data mining to support product and business success.
* Define success metrics, track performance, and measure the impact of ML and product initiatives.
* Guide product decisions by uncovering trends, identifying opportunities, providing data\-driven recommendations and driving product roadmaps.
* Serve as a subject matter expert, translating business questions into analytical work that drives decisions and identifies process improvements.
**What We're Looking For**
* Advanced degree (MS or Ph.D.) in Computer Science, Machine Learning, Statistics, Mathematics, related field, or equivalent practical experience.
* 7\+ years of experience in statistical analysis and experimentation using Python, R, or equivalent, with strong skills in quantitative problem solving and understanding user behaviors and ecosystems.
* Strong experience transforming large\-scale data into actionable insights
* Bias for action, curiosity, and proactiveness, with the ability to break down ambiguous problems and explore patterns.
* Resilient and adaptable, navigating uncertainty and learning from setbacks, with an optimistic, solution\-focused approach grounded in first\-principles thinking.
**You might also have**
* Experience in AdTech, performance marketing, mobile games industry or SaaS (marketplace) products is a plus.
* Hands\-on experience developing, deploying, or analyzing ML products and models in a production environment.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$168,900—$321,600 USD</t>
        </is>
      </c>
    </row>
    <row r="30">
      <c r="A30" t="inlineStr">
        <is>
          <t>li-4370529996</t>
        </is>
      </c>
      <c r="B30" t="inlineStr">
        <is>
          <t>Applied Scientist II, Amazon Industrial Robotics</t>
        </is>
      </c>
      <c r="C30" t="inlineStr">
        <is>
          <t>Amazon</t>
        </is>
      </c>
      <c r="D30" t="inlineStr">
        <is>
          <t>linkedin</t>
        </is>
      </c>
      <c r="E30" t="inlineStr"/>
      <c r="F30" t="inlineStr"/>
      <c r="G30" t="inlineStr">
        <is>
          <t>Massachusetts, United States</t>
        </is>
      </c>
      <c r="H30" t="inlineStr"/>
      <c r="I30"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PhD, or Master's degree and 4\+ years of CS, CE, ML or related field experience
* Experience with state\-of\-the\-art in robotic manipulation models
* Experience with data generation in simulation and real world
* Experience in developing techniques that utilize multi\-modal sensor data from the arm and hands
**Preferred Qualifications**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
**Company** 
 \- Amazon.com Services LLC
 Job ID: A3173326</t>
        </is>
      </c>
    </row>
    <row r="31">
      <c r="A31" t="inlineStr">
        <is>
          <t>li-4370432455</t>
        </is>
      </c>
      <c r="B31" t="inlineStr">
        <is>
          <t>Senior Data Scientist, Data Management</t>
        </is>
      </c>
      <c r="C31" t="inlineStr">
        <is>
          <t>ICON plc</t>
        </is>
      </c>
      <c r="D31" t="inlineStr">
        <is>
          <t>linkedin</t>
        </is>
      </c>
      <c r="E31" t="inlineStr"/>
      <c r="F31" t="inlineStr"/>
      <c r="G31" t="inlineStr">
        <is>
          <t>Blue Bell, PA</t>
        </is>
      </c>
      <c r="H31" t="inlineStr"/>
      <c r="I31" t="inlineStr">
        <is>
          <t>Senior Data Scientist, Data Management \- Office Based in Blue Bell, PA or Raleigh, NC
 ICON plc is a world\-leading healthcare intelligence and clinical research organization. We’re proud to foster an inclusive environment driving innovation and excellence, and we welcome you to join us on our mission to shape the future of clinical development.
 Symphony Health, part of the ICON plc family, is a team of curious thinkers and intellectual problem solvers driving the healthcare data industry forward. We leverage our large, integrated healthcare data repository and our analytic expertise to build customized, agile data solutions which answer the questions our clients \-\- life science manufacturers, payers, and providers \-\- have today, as well as those they’ll have tomorrow. Together, we can help patients get the right drugs at the right times.
 We are currently seeking a Senior Data Scientist, Data Management to join our diverse and dynamic team. As a Senior Data Scientist at ICON Plc, you will play a crucial role in leveraging advanced analytical techniques and machine learning models to derive actionable insights from complex data sets. You will contribute to the success of our data\-driven initiatives by developing sophisticated models, performing in\-depth analyses, and guiding strategic decision\-making across the organization.
**What You Will Be Doing**
* Designing and implementing advanced data models and algorithms to solve complex business problems and drive strategic insights.
* Conducting in\-depth analyses of large and diverse data sets to uncover patterns, trends, and correlations that inform decision\-making.
* Collaborating with cross\-functional teams to understand business needs, translate them into analytical solutions, and communicate findings effectively.
* Developing and deploying machine learning models and statistical techniques to enhance predictive capabilities and optimize business processes.
* Providing thought leadership on data science best practices and emerging technologies to drive innovation and continuous improvement.
**Your Profile**
* Domain expertise in one or more targeted areas of the Revenue Cycle Management processes
* Proficient in deterministic and probabilistic linkage concepts/methodologies to support patient journeys derived from anonymized RCM data
* Advanced degree in a relevant field such as data science, statistics, computer science, or mathematics.
* Extensive experience in data science, with a strong track record of developing and implementing complex models and analyses.
* Proficiency in statistical analysis, machine learning techniques, and data visualization tools, with expertise in programming languages such as Python or R.
* Excellent problem\-solving skills and the ability to manage multiple projects and priorities effectively.
* Outstanding communication and interpersonal skills, with the ability to present complex data insights clearly and collaborate with stakeholders across the organization.
* Located in or around Blue Bell, PA or Raleigh, NC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 Various annual leave entitlements
* A range of health insurance offerings to suit you and your family’s needs.
* Competitive retirement planning offerings to maximize savings and plan with confidence for the years ahead.
* Global Employee Assistance Programme, LifeWorks, offering 24\-hour access to a global network of over 80,000 independent specialized professionals who are there to support you and your family’s well\-being.
* Life assurance
*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is>
      </c>
    </row>
    <row r="32">
      <c r="A32" t="inlineStr">
        <is>
          <t>li-4285935043</t>
        </is>
      </c>
      <c r="B32" t="inlineStr">
        <is>
          <t>Principal Data Scientist - West Bend, Wisconsin</t>
        </is>
      </c>
      <c r="C32" t="inlineStr">
        <is>
          <t>Delta Defense LLC</t>
        </is>
      </c>
      <c r="D32" t="inlineStr">
        <is>
          <t>linkedin</t>
        </is>
      </c>
      <c r="E32" t="inlineStr"/>
      <c r="F32" t="inlineStr"/>
      <c r="G32" t="inlineStr">
        <is>
          <t>West Bend, WI</t>
        </is>
      </c>
      <c r="H32" t="inlineStr"/>
      <c r="I32" t="inlineStr">
        <is>
          <t>**Applicants must be authorized to work for ANY employer in the U.S. We are unable to sponsor or take over sponsorship of an employment Visa at this time.**
 Principal Data Scientist \- why this role matters to you:
 Work for Delta Defense, the private company that provides Marketing, Operations and Customer Service for the U.S. Concealed Carry Association. The USCCA safeguards life, freedom, and finances for responsible American protectors. Learn more about the USCCA at https://www.usconcealedcarry.com/
 As Principal Data Scientist, you’ll lead the design and deployment of advanced analytics, machine learning, and AI solutions that directly enhance member services, strengthen operational decision\-making, and drive responsible gun ownership awareness. This role combines high\-level strategy with deep technical execution—few opportunities offer this level of meaningful, socially relevant impact.
 With modern platforms like Snowflake, Sigma, and Python plus hands\-on use of generative AI, LLMs, and agentic AI frameworks, you’ll be at the forefront of applied AI innovation. You’ll have the freedom to experiment, prototype, and deploy solutions that push the boundaries of what’s possible in our industry.
**Leadership And Strategy**
**Principal Data Scientist \- Essential Duties \&amp; Responsibilities:**
* Collaborate with the Director of Advanced Analytics to define and advance the data science vision and roadmap, ensuring alignment with enterprise goals.
* Lead, mentor, and develop the data science team and external consultants to build a high\-performing and collaborative practice.
* Champion the adoption of best practices in machine learning, MLOps, model governance, and AI safety.
* Provide expert guidance and technical oversight on all data science projects and initiatives.
* Fosters a culture of accountability, professional development, high performance, and integrity.
**Project Delivery And Business Partnership**
* Partner with senior leaders across business units to identify strategic opportunities for AI and data science innovation.
* Translate business problems into clear, measurable, and scalable data science solutions.
* Oversee end\-to\-end project execution, including scoping, design, development, deployment, and post\-implementation support.
* Communicate technical concepts and insights effectively to executive \&amp; non\-technical audiences.
**Technical Excellence And Innovation**
* Design, build, and deploy robust machine learning and optimization models using Python, SQL and Snowflake.
* Implement and maintain automated MLOps pipelines for model training, testing, deployment, and monitoring.
* Lead the development of generative AI applications (e.g., LLM\-based tools, summarization, recommendation engines) and agentic AI systems (e.g., multi\-agent planning, tool use frameworks).
* Promote experimentation and continuous learning to stay ahead of emerging technologies and methodologies.
**Governance And Enablement**
* Ensure all models and AI systems meet standards for security, compliance, ethics, and responsible AI.
* Develop reusable tools, templates, and frameworks to accelerate delivery and reduce technical debt.
* Collaborate with engineering, analytics, and IT teams to ensure cohesive platform architecture and infrastructure readiness.
**Principal Data Scientist \- Required Education, Experience And Skills**
* Master’s degree or PhD in Data Science, Machine Learning, Computer Science, Operations Research, or a related field is required.
* At least 7 years of experience developing and deploying data science solutions in business settings.
* Proven leadership experience with a demonstrated ability to mentor and manage high\-performing teams.
* Expert proficiency in Python (NumPy, Pandas, scikit\-learn, PyTorch, transformers) and advanced SQL.
* Experience with modern data and compute platforms including Snowflake, Databricks, Spark, and cloud services (AWS, Azure, GCP).
* Strong track record of delivering business value through predictive modeling, prescriptive analytics, and AI system design.
* Exceptional written and verbal communication skills, with the ability to influence and align cross\-functional stakeholders, explain complex technical concepts to non\-technical audiences, and present effectively to executive leadership.
* Demonstrates the Core Values of Delta Defense, LLC.
**This position is based at our corporate headquarters in West Bend, Wisconsin. A hybrid arrangement with some remote work will be considered.**
 Target base salary range $145,000 \- $180,000 based on experience. Eligible for company bonus plan.
**Review benefits information and submit your application at:** 
 Delta Defense Careers
**Why YOU should Work at Delta Defense!**
* We are a fun, fast\-paced, and rewarding place to work and grow!
* Nationally recognized in 2023 and 2024 as a Newsweek Top 100 America’s Most Loved Workplace
* Top Workplaces USA award in 2022!
* Named on Inc. 5000 “Fastest Growing Private Companies” list 14 years in a row!
* Milwaukee Journal Sentinel “Top Workplace” award 7 years in a row!
* Milwaukee Business Journal “Best Place to Work” award 6 years in a row!
 PM19</t>
        </is>
      </c>
    </row>
    <row r="33">
      <c r="A33" t="inlineStr">
        <is>
          <t>li-4346455188</t>
        </is>
      </c>
      <c r="B33" t="inlineStr">
        <is>
          <t>Sr Applied Scientist - Analytics AI, AI Core Infra - AI Analytics and Insights</t>
        </is>
      </c>
      <c r="C33" t="inlineStr">
        <is>
          <t>Amazon</t>
        </is>
      </c>
      <c r="D33" t="inlineStr">
        <is>
          <t>linkedin</t>
        </is>
      </c>
      <c r="E33" t="inlineStr"/>
      <c r="F33" t="inlineStr"/>
      <c r="G33" t="inlineStr">
        <is>
          <t>Seattle, WA</t>
        </is>
      </c>
      <c r="H33" t="inlineStr"/>
      <c r="I33" t="inlineStr">
        <is>
          <t>**Description**
 Amazon Advertising is one of Amazon's fastest growing and most profitable businesses, responsible for defining and delivering a collection of advertising solutions that drive product discovery and sales. We deliver billions of ad impressions every single day on behalf of our advertisers. You'll work with us to help our Advertising teams make sense of the torrent of data produced by the advertising lifecycle.
 We are using SOTA generative AI to help teams generate insights faster based on our massive data lake. You will need to invent new techniques for metrics retrieval and SQL generation to ensure we're retrieving accurate and trusted data. You'll create feedback loops to ensure our solution is constantly evaluating itself and improving.
**Role Overview**
 Being that this is for a conversational AI position, here is what our bot replied when we prompted it for a job description of who should help build it:
 We are looking for an exceptional applied scientist to join our team building SpektrBot, a conversational AI assistant that helps data engineers and analysts with their workflows. You will work closely with engineers and product managers to design, implement, and optimize natural language processing models like intent classification, named entity recognition, question answering, etc. that enable our Ads chatbot to understand user requests and have natural conversations.
**Responsibilities**
 Study and understand data engineering and analytics workflows to design the right conversational experiences
 Research, design, and develop NLP/NLU models for intent classification, entity extraction, sentiment analysis etc.
 Continuously improve models through techniques like active learning, transfer learning etc.
 Optimize models for metrics like precision, recall, latency, interpretability etc.
 Implement models within overall bot architecture and integrate with backend systems
 Collaborate with engineers to productionize and monitor models
 Stay up\-to\-date on latest advancements in conversational AI research, specifically in LLMs (multi\-agent, chain of thought, autonomous agents)
 Be familiar with optimizing retrievers in RAG architectures.
 Key job responsibilities
 You will test multiple foundational models and fine tune when appropriate. You will create feedback loops that will evaluate performance and improve our systems. You will optimize prompts for better responses from our LLMs. You will build tools to auto\-curate metadata using LLMs.
 A day in the life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**About The Team**
 We have a small scrappy team carved out from a large Ads wide data lake team. We are swimming in petabytes of data that we help the organization make sense of. Our team's mission is to help anyone in the Ads org find the data they need using only natural language. We are a supportive and collaborative team who iterates quickly and shares in each others' successes.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A3149459</t>
        </is>
      </c>
    </row>
    <row r="34">
      <c r="A34" t="inlineStr">
        <is>
          <t>li-4363030158</t>
        </is>
      </c>
      <c r="B34" t="inlineStr">
        <is>
          <t>Data Scientist</t>
        </is>
      </c>
      <c r="C34" t="inlineStr">
        <is>
          <t>Veracity Software Inc</t>
        </is>
      </c>
      <c r="D34" t="inlineStr">
        <is>
          <t>linkedin</t>
        </is>
      </c>
      <c r="E34" t="inlineStr"/>
      <c r="F34" t="inlineStr"/>
      <c r="G34" t="inlineStr">
        <is>
          <t>Charlotte, NC</t>
        </is>
      </c>
      <c r="H34" t="inlineStr"/>
      <c r="I34" t="inlineStr">
        <is>
          <t>**Job Title: Data Scientist**
**Duration: 06\+ Months \- potential to extend**
**Locations: Charlotte, NC / Dallas, TX / Phoenix/Chandler, AZ / San Francisco Bay Area, CA \- Hybrid Role (3 days onsite in a week)**
**About this role:**
* Seeking a Data Scientist role to join Commercial Banking Model Development CoE. This role is pivotal in accelerating the design, development, and implementation of cutting\-edge Generative AI (GenAI) and Agentic solutions within Commercial Banking.
* The successful candidate will optimize model development and implementation for GenAI/Agentic use cases, work with a team of data scientists and collaborate with business and technology partners to drive end\-to\-end solution design and development for content extraction, summarization, generation, automation use cases using agentic frameworks, build and deploy LLM evaluation framework, build and reuse prompt libraries at scale to improve employee/customer experience, drive operational efficiencies, drive growth, and mitigate risks.
* Working with data, platform, and technology partners, this role will accelerate and optimize design and delivery of GenAI and Agentic solutions by ensuring data, utilities, capabilities, and best practices are available on\-prem and in the cloud.
**Required Qualifications:**
* 7\+ years of Quantitative Analytics experience, or equivalent demonstrated through one or a combination of the following: work experience, training, military experience, education
* Master's degree or higher in a quantitative discipline such as mathematics, statistics, engineering, physics, economics, or computer science
* Strong full stack data science skills, hands on experience with ADK, MCP, A2A, O2A. LLM evaluation framework, design and develop LLM guardrails, assertions, controls, and performance monitoring.
* Proficiency in Python, PySpark, TensorFlow, PyTorch, and cloud platforms such as Google Cloud Platform (GCP), Vertex AI, Google ADK, MCP.
* Strong background in GenAI, Agentic workflow, machine learning, deep learning, and statistical analysis evidenced by successful deployment at scale
* Experience in the financial services industry, Commercial Banking a plus
* Familiarity with regulatory and compliance considerations in GenAI/AI model deployment
* Strong communication and presentation skills with the ability to translate complex technical concepts to non\-technical stakeholders</t>
        </is>
      </c>
    </row>
    <row r="35">
      <c r="A35" t="inlineStr">
        <is>
          <t>li-4361873681</t>
        </is>
      </c>
      <c r="B35" t="inlineStr">
        <is>
          <t>Senior Data Scientist</t>
        </is>
      </c>
      <c r="C35" t="inlineStr">
        <is>
          <t>Edmunds</t>
        </is>
      </c>
      <c r="D35" t="inlineStr">
        <is>
          <t>linkedin</t>
        </is>
      </c>
      <c r="E35" t="inlineStr"/>
      <c r="F35" t="inlineStr"/>
      <c r="G35" t="inlineStr"/>
      <c r="H35" t="inlineStr"/>
      <c r="I35" t="inlineStr">
        <is>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The Data Science Team at Edmunds.com is seeking a Senior Data Scientist who will help us design and implement the next generation of data and AI driven product initiatives. You will dive deep into Edmunds’ users and clients, as well as the automotive marketplace, to directly improve existing products and inspire new product experiences. We are committed to tackling the challenges of integrating Generative AI technology into the car buying experience. You will play a key role in developing ML \&amp; AI prototypes and production grade services that are integrated by the product engineers. Each project initiative will involve sound use of ML and/or AI models, carefully planned experiments, and innovative uses of Edmunds’ vast data resources. We are looking for someone who is smart, creative, ambitious and able to communicate complex ideas to people from all technical backgrounds. We especially want someone who is excited to keep current with new advancements in Gen AI and use it to strategically optimize our product offerings for our customers and clients. Edmunds is committed to helping our people grow. We care about what we do and we care about our people. A demonstrated passion for research and technology will provide incredible growth opportunities and make this the best job you’ve ever had.
**What You’ll Do**
* Engineering \&amp; Product Collaboration: Work closely with a team of engineers, data scientists and product managers to build scalable and high\-impact ML and AI systems. Collaborate on the end\-to\-end development process, from ideation to deployment, ensuring that data\-driven solutions are seamlessly integrated into our products and services.
* LLM Integration and Optimization: Oversee the integration and deployment of LLMs, including Retrieval\-Augmented Generation (RAG) in an agentic framework, with a focus on optimizing model performance and scalability to enhance user experience and drive business results.
* Own the complete ML lifecycle—from problem framing through data sourcing, modeling, deployment, monitoring, and continuous improvement.
* Build, manage, and maintain reliable data pipelines and ML workflows.
* Ensure reproducibility through versioning, testing, documentation, and proper model lineage.
**What You Need**
* Bachelor’s degree in a quantitative field preferred AND
+ An advanced degree \+ 3\-4 years of work experience in an analytics\-related position OR
+ 5\+ years of work experience in a data science\-related position
* Deep understanding of the data platforms in which you’ve previously worked
* Experience with deploying and scaling of machine learning models. This includes automating model training, optimizing runtime performance of models, and deployment processes to enable fast, reliable delivery of AI solutions in production environments.
* You are proficient in SQL, Python and ML frameworks with strong coding skills.
* Experience using data to intelligently optimize product performance
 The compensation range for this position is $137,000 \- $189,000 per year. The base pay will take into account internal equity as well as job\-related knowledge, skills, and experience among other factors. In addition, Edmunds offers full\-time employees a comprehensive total rewards package including the benefits listed below.
**Edmunds Perks**
* Flexible time off
* 13 Paid Holidays
* Comprehensive Health Benefits (medical, dental, vision, life and disability)
* Flexible Spending Accounts (Employees) and Health Savings Accounts (Employee and Employer Contributions)
* 401K Plan with company matching at 100%, up to 6% of eligible salary with immediate vesting
* Stock purchase program
* CarMax vehicle discount
* Up to 4 months Paid Parental Leave
* HeartCash matches employee donations to the causes that are important to them
* 2 Days of Paid Time Off for time to dedicate to social impact causes
* FitCash covers a portion of gym or fitness activity fees
* Well\-being sessions
* Employee Recognition Program
* On\-going career development opportunities
* Pet insurance
* Sabbatical leave
* Education Reimbursement
* Pre\-tax spending accounts for qualified transportation expenses
**Working @ Edmunds.com:**
 Employees think it’s a pretty great place to work and some pretty impressive publications think it is too: we have been recognized as one of the best places to work by Fortune Magazine, Great Places to Work, LA Business Journal, Newsweek, Computerworld, Built in LA, Inc. Magazine, The Wall Street Journal, Business Week Magazine, and Architectural Record. We've also been identified as one of the best workplaces specifically in Technology, for Diversity and Asian Americans, and as a Newsweek Most Loved Workplace for LGBTQ\+ employees. If you’re interested in learning more and joining our mission, we’d love to hear from you!
*E* 
*dmunds will consider for employment qualified candidates with criminal histories in a manner consistent with the requirements of all applicable laws.*
*\#BI\-Remote*</t>
        </is>
      </c>
    </row>
    <row r="36">
      <c r="A36" t="inlineStr">
        <is>
          <t>li-4370805389</t>
        </is>
      </c>
      <c r="B36" t="inlineStr">
        <is>
          <t>Sr. Staff Data Scientist - LinkedIn Premium</t>
        </is>
      </c>
      <c r="C36" t="inlineStr">
        <is>
          <t>LinkedIn</t>
        </is>
      </c>
      <c r="D36" t="inlineStr">
        <is>
          <t>linkedin</t>
        </is>
      </c>
      <c r="E36" t="inlineStr"/>
      <c r="F36" t="inlineStr"/>
      <c r="G36" t="inlineStr">
        <is>
          <t>Mountain View, CA</t>
        </is>
      </c>
      <c r="H36" t="inlineStr"/>
      <c r="I3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policy and operations to develop and deliver metrics, analyses, solutions, and insights, with actionable recommendations to business partners. Successful candidates will exhibit technical acumen, product sense and business savvy, with a passion for making an impact through creative storytelling and timely actions.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**Team Description**
 The Premium Data Science team plays a pivotal role in driving LinkedIn Premium subscription businesses, delivering value to consumers across Career, Business, Company Page, Sales, and Recruiter ecosystems.
 We leverage cutting\-edge machine learning / AI and data\-driven insights to inform business strategies, optimize monetization efforts and product performance, and support innovative initiatives that help 10 million Premium members achieve their goals and drive Premium growth. Working closely with product management, engineering, marketing, finance and other cross\-functional partners, our contributions drive huge business impact in a high\-tempo, high\-growth environment.
 In this Sr Staff DS role, you will act as a thought tech leader to identify business opportunities, drive Premium acquisition and retention, optimize product performance, and coach junior ICs. You will solve complex problems and champion innovative approaches. You will conduct deep dive analysis, design business metrics, craft compelling data stories and actionable recommendations, and collaborate with cross\-functional teams to influence business roadmaps and decision\-making.
**Responsibilities**
* Build and optimize data solutions / AI models for user acquisition, engagement, and retention to drive Premium subscription growth.
* Personalize the upsell targeting and new subscribers’ onboarding experiences, delivering tailored content and experiences to Premium members.
* Conduct advanced analytics to identify business opportunities and growth levers, uncover member needs and customize member experiences.
* Provide actionable insights to influence Premium business roadmaps and guide strategic decision\-making for product offering \&amp; development, pricing, and go\-to\-market.
* Act as a thought tech leader within the DS team and for cross\-functional partners, driving strategic decisions and fostering collaboration across technical and non\-technical disciplines.
* Collaborate with cross\-functional teams to ensure data\-driven strategies and deliver end\-to\-end solutions.
* Mentor and guide junior data scientists to foster talent growth and skill development.
**Qualifications**
**Basic Qualifications**
* Bachelor or higher degree in a quantitative discipline
* 7\+ years of relevant work experience
* Experience influencing cross\-function teams and business strategy through data\-driven insights and stories. Can push back when needed
* Proficient in SQL and at least one programming language (e.g., Python, R, Scala).
* Deep understanding and experience of statistical analysis, experimentation (A/B testing) and measurement, and advanced analytics techniques.
* Remarkable problem\-solving skills, with the ability to approach business challenges analytically and creatively
* Excellent communication skills, with the ability to synthesize, simplify and explain complex problems to different types of audience, including executives and compile compelling narratives.
**Preferred Qualifications**
* ML / AI experiences
* Experience in leveraging GenAI
* Strong coding skills
* Prior experience in subscription\-based business models and growth analytics.
* Proven record writing and optimizing code with high levels of craftsmanship, and coaching others to improve technical outputs.
* Experience mentoring other data scientists in an official or unofficial capacity.
**Suggested Skills**
* SQL
* Python
* Statistical Analysis
* Data Storytelling
* Data Interpretation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**Compensation**
 The pay range for this role is $168,000 \- $276,000\.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7">
      <c r="A37" t="inlineStr">
        <is>
          <t>li-4370817385</t>
        </is>
      </c>
      <c r="B37" t="inlineStr">
        <is>
          <t>Applied Scientist, New Construction</t>
        </is>
      </c>
      <c r="C37" t="inlineStr">
        <is>
          <t>Zillow</t>
        </is>
      </c>
      <c r="D37" t="inlineStr">
        <is>
          <t>linkedin</t>
        </is>
      </c>
      <c r="E37" t="inlineStr"/>
      <c r="F37" t="inlineStr"/>
      <c r="G37" t="inlineStr"/>
      <c r="H37" t="inlineStr"/>
      <c r="I37" t="inlineStr">
        <is>
          <t>**About The Team**
 The Shopping AI team is at the heart of Zillow Group’s mission to create a seamless digital real estate marketplace. We build and own the machine learning systems that power Zillow’s core user experiences—like personalized search, recommendations, and display optimization—across our apps and websites. Our close\-knit group of engineers and scientists collaborates with product and design to apply the latest AI advancements, tackling large\-scale challenges and shaping the future of home shopping at Zillow.
**About The Role**
 As an Applied Scientist, you will help drive the next generation of ranking, recommendation, and generative AI systems for Zillow’s home\-shopping experience. Your work will directly impact how millions of users discover and shop for homes, as you research, design, and deploy innovative machine learning models that power key product features. You’ll collaborate across disciplines to deliver solutions that make home shopping more intuitive, personalized, and efficient.
 You Will Get To
* Research, design, and prototype new machine learning models for Zillow’s consumer products, including search, ranking, recommendations, and notifications.
* Lead the full model lifecycle: from ideation and offline experimentation on large datasets to online deployment, A/B testing, and ongoing performance monitoring.
* Develop and test novel modeling approaches, such as deep learning architectures and large language models (LLMs), to improve the home\-shopping experience.
* Apply cutting\-edge AI techniques, including LLM\-based retrieval and RAG\-style systems, to create more natural and conversational property search experiences.
* Optimize how and when homes are displayed to users, ensuring relevance and context in every interaction.
* Collaborate with engineers, product managers, and designers to define, execute, and iterate on impactful projects.
* Partner with data engineering and infrastructure teams to leverage large\-scale distributed data systems for feature engineering and model training.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$136,300\.00 \- $217,700\.00 annually. This base pay range is specific to these locations and may not be applicable to other locations. In Colorado, Hawaii, Illinois, Minnesota, Nevada, Ohio, Rhode Island, and Vermont the standard base pay range for this role is $129,500\.00 \- $206,900\.00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Experienced in designing, training, and analyzing machine learning models to solve real\-world business problems, not just academic benchmarks.
* Proficient in Python and familiar with common ML libraries (e.g., PyTorch, TensorFlow, CatBoost, scikit\-learn, Hugging Face) and distributed data systems (e.g., Spark, Hive, Databricks, Airflow).
* Skilled in the scientific lifecycle: hypothesis formation, experiment design, result analysis, and clear communication to technical and non\-technical partners.
* Demonstrated experience in at least one of the following: search/information retrieval, personalized ranking/recommender systems, or generative AI/LLM\-based systems.
* Holds a PhD or Master’s degree in a relevant field (Computer Science, AI, Data Science, or related), or equivalent industry experience (typically 3\-4\+ years with a Master’s, or 1\+ year with a PhD).
* Comfortable working near production systems and collaborating closely with engineers and cross\-functional partners.
* Brings curiosity and excitement for applying generative AI and LLMs to transform the home\-shopping experience.
* Approaches challenges with ownership, scientific rigor, and a growth mindset.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8">
      <c r="A38" t="inlineStr">
        <is>
          <t>li-4370453511</t>
        </is>
      </c>
      <c r="B38" t="inlineStr">
        <is>
          <t>Data Scientist</t>
        </is>
      </c>
      <c r="C38" t="inlineStr">
        <is>
          <t>PMMC</t>
        </is>
      </c>
      <c r="D38" t="inlineStr">
        <is>
          <t>linkedin</t>
        </is>
      </c>
      <c r="E38" t="inlineStr"/>
      <c r="F38" t="inlineStr"/>
      <c r="G38" t="inlineStr"/>
      <c r="H38" t="inlineStr"/>
      <c r="I38" t="inlineStr">
        <is>
          <t>**Job Title: Data Scientist** 
**Reports To: Principal Data Scientist** 
**Department: Data Science** 
**About The Team**
 At PMMC, our mission is to improve the financial performance of healthcare organizations so they can dedicate more resources to patient care. We provide advanced revenue cycle management solutions to hospitals, health systems, and physician groups across the country. By helping clients recover revenue, streamline workflows, and strengthen margins, we enable them to better serve their communities.
 With today’s evolving healthcare landscape, including changing reimbursement models, price transparency, and population health, the revenue cycle has never been more critical. PMMC is committed to delivering innovative technology and strategic guidance to help providers successfully navigate these challenges.
**About The Role**
 As a Data Scientist at PMMC, you will design, develop, and deploy advanced analytical, machine learning, and generative AI solutions that drive financial and operational improvements for healthcare organizations. You will work with large\-scale, complex healthcare revenue cycle datasets to uncover actionable insights, forecast trends, and identify opportunities to improve outcomes.
 You will work closely with data science, engineering, BI, and product teams to translate business needs into analytical frameworks, build robust models and GenAI workflows, and operationalize intelligence within PMMC’s solutions.
**Responsibilities:**
* Lead complex machine learning, statistical modeling, and GenAI initiatives from ideation to production deployment to support revenue cycle optimization.
* Use advanced EDA techniques to discover trends, identify performance drivers, and generate actionable insights.
* Translate business questions into analytical approaches and collaborate cross\-functionally to deliver data\-driven recommendations.
* Drive innovation and influence strategic initiatives by identifying new opportunities for advanced analytics, AI, automation, and predictive intelligence to shape PMMC’s data and AI roadmap and enhance our product suite.
* Create clear visualizations, dashboards, and reports to communicate insights to stakeholders at all levels.
* Document data sources, methodologies, assumptions, and model architectures for technical and compliance purposes.
**Qualifications \&amp; Requirements**
* Master’s degree with 1\-5 years of experience
* OR PhD with 1\-3 years of experience in data science, ML engineering, or advanced analytics.
* Proficiency in Python, SQL, and data science libraries such as pandas, NumPy, scikit\-learn, and stats models.
* Experience developing and evaluating machine learning models and foundational generative AI/LLM applications, including prompt engineering or fine\-tuning.
* Strong analytical and problem\-solving skills with experience working with large or complex datasets.
* Ability to translate business needs into analytical solutions and communicate findings to both technical and non\-technical audiences.
* Ability to work independently in fast\-paced environments with multiple ongoing projects.
* Strong communication skills and proven ability to collaborate with stakeholders across product, engineering, and leadership teams.
**What We Look For**
 We seek curious, analytical, and impact\-oriented individuals who are passionate about leveraging data science to improve healthcare. Ideal candidates are comfortable working with ambiguity, thrive on solving complex problems, and enjoy collaborating with cross\-functional teams. Whether contributing as an individual contributor or leading large\-scale analytical initiatives, you will play a key role in advancing PMMC’s mission to empower healthcare organizations with data\-driven intelligence.
**Why Join PMMC**
 PMMC offers a dynamic, growth\-focused environment where innovation and teamwork drive success. We are dedicated to innovation, collaboration, and excellence in revenue cycle management. At PMMC, your work drives meaningful results for healthcare systems across the country.
**Benefits**
 Discover a wealth of benefits at PMMC, ranging from comprehensive healthcare plans to continuous learning opportunities, ensuring your well\-being and professional development. Enjoy a supportive work environment that values your contributions with competitive compensation packages, flexible PTO and perks designed to enhance your overall work\-life balance.
**Core Values**
 Join our team at PMMC. We
 **Grow or Die** 
 as individuals and as a collective force,
 **Inspiring One Another** 
 to reach new heights. We
 **Love to Win** 
 , not just for ourselves but for our entire team. We constantly
 **Innovate** 
 , finding fresh solutions to complex challenges. We pride ourselves on being
 **Productive \&amp; Efficient** 
 while always striving to
 **Do the Right Thing** 
 in all that we do.
 If you’re ready to make an impact and grow with us, we invite you to
 **apply** 
 today!
**\#TeamPMMC** 
 PMMC is an equal opportunity employer. We provide equal employment opportunities to all employees and applicants for employment without regard to race, color, religion, sex, national origin, age, disability, sexual orientation, gender identity or expression, veteran status, marital or citizenship status or any other status protected by applicable federal, state, or local law.</t>
        </is>
      </c>
    </row>
    <row r="39">
      <c r="A39" t="inlineStr">
        <is>
          <t>li-4370593743</t>
        </is>
      </c>
      <c r="B39" t="inlineStr">
        <is>
          <t>Data Scientist</t>
        </is>
      </c>
      <c r="C39" t="inlineStr">
        <is>
          <t>Hirenza</t>
        </is>
      </c>
      <c r="D39" t="inlineStr">
        <is>
          <t>linkedin</t>
        </is>
      </c>
      <c r="E39" t="inlineStr"/>
      <c r="F39" t="inlineStr"/>
      <c r="G39" t="inlineStr"/>
      <c r="H39" t="inlineStr"/>
      <c r="I39" t="inlineStr">
        <is>
          <t>**About The Company**
 Capital One is a leading financial services company renowned for its innovative approach to banking and credit solutions. Established in 1988, the company revolutionized the credit card industry by leveraging statistical modeling and relational database technology to personalize offers for consumers. Over the years, Capital One has grown significantly, transforming from a startup into a Fortune 200 enterprise that champions data\-driven decision\-making. The organization is committed to delivering exceptional customer experiences through advanced analytics, cutting\-edge technology, and a culture of continuous innovation. With a focus on leveraging data to create value, Capital One has established itself as a pioneer in applying artificial intelligence and machine learning to enhance financial products and services globally.
**About The Role**
 We are seeking a highly skilled Senior Associate, Data Scientist specializing in Applied AI to join our dynamic team. In this role, you will be at the forefront of developing and deploying advanced artificial intelligence solutions that directly impact our commercial banking operations. You will collaborate closely with cross\-functional teams, including data scientists, software engineers, and product managers, to create innovative AI\-driven products that enhance customer experience and operational efficiency. Your expertise will be instrumental in harnessing large volumes of textual and numerical data, utilizing state\-of\-the\-art techniques such as Retrieval Augmented Generation (RAG), Prompt Engineering, and Fine Tuning of Large Language Models (LLMs). This position offers an exciting opportunity to work on transformative projects that push the boundaries of AI within the financial industry, contributing to the company's mission of delivering smarter, more personalized financial solutions.
**Qualifications**
 The ideal candidate will possess a strong foundation in quantitative analysis, machine learning, and AI. They should hold at least a Bachelor's Degree in a relevant field such as Statistics, Economics, Operations Research, Analytics, Mathematics, or Computer Science, with a minimum of two years of applicable experience. A Master’s Degree or higher in a STEM discipline or an MBA with a quantitative focus is preferred. Candidates should have hands\-on experience working with cloud platforms like AWS, programming languages such as Python, R, or Scala, and proficiency in SQL for data retrieval and manipulation. Prior experience in AI, NLP, or information retrieval is highly desirable. The candidate must demonstrate excellent problem\-solving skills, a passion for innovation, and the ability to communicate complex technical concepts effectively to non\-technical stakeholders.
**Responsibilities**
* Partner with cross\-functional teams to design, develop, and deploy AI\-driven products that meet business needs and enhance customer experiences.
* Utilize a broad technology stack, including Python, AWS, Spark, H2O, and other tools, to analyze large datasets consisting of both structured and unstructured data.
* Build, validate, and refine machine learning models throughout all phases of development, from conceptualization to implementation.
* Translate complex data science insights into actionable business strategies and communicate findings effectively to stakeholders.
* Research and evaluate emerging AI technologies, continuously seeking innovative solutions to complex problems.
* Contribute to the development of cutting\-edge generative AI capabilities, including RAG, Prompt Engineering, and LLM Fine Tuning.
* Ensure the accuracy, robustness, and scalability of AI models, adhering to best practices and ethical standards.
**Benefits**
 Capital One offers a comprehensive benefits package designed to support your overall well\-being and professional growth. Employees are eligible for competitive salaries, performance\-based incentives, and long\-term incentives. The company provides health, dental, and vision insurance, along with wellness programs, retirement plans, and generous paid time off. Additionally, Capital One promotes a flexible work environment, encouraging work\-life balance and continuous learning opportunities. Employees have access to professional development resources, mentorship programs, and a collaborative culture that fosters innovation and inclusion. The organization is committed to creating a supportive environment where diverse talents can thrive and contribute meaningfully to the company's success.
 Equal Opportunity
 Capital One is an equal opportunity employer committed to fostering a diverse and inclusive workplace. We do not discriminate based on race, color, religion, sex, national origin, age, disability, veteran status, or any other protected characteristic in accordance with applicable federal, state, and local laws. We believe that diverse perspectives and experiences drive innovation and better decision\-making. We welcome applicants from all backgrounds and are dedicated to providing accommodations for individuals with disabilities throughout the recruitment process. Our commitment to equal opportunity ensures that every employee and applicant is treated with fairness and respect, fostering a culture of inclusion and mutual growth.</t>
        </is>
      </c>
    </row>
    <row r="40">
      <c r="A40" t="inlineStr">
        <is>
          <t>li-4370120091</t>
        </is>
      </c>
      <c r="B40" t="inlineStr">
        <is>
          <t>Data Scientist -HC Analytics</t>
        </is>
      </c>
      <c r="C40" t="inlineStr">
        <is>
          <t>Henry Ford Health</t>
        </is>
      </c>
      <c r="D40" t="inlineStr">
        <is>
          <t>linkedin</t>
        </is>
      </c>
      <c r="E40" t="inlineStr"/>
      <c r="F40" t="inlineStr"/>
      <c r="G40" t="inlineStr">
        <is>
          <t>Detroit, MI</t>
        </is>
      </c>
      <c r="H40" t="inlineStr"/>
      <c r="I40" t="inlineStr">
        <is>
          <t>**General Summary**
 The Data Scientist, Healthcare Analytics assists the Senior Data Scientist, Healthcare Analytics and other business analysts with working with business users to fully understand their needs for data science solutions. Works with a variety of data sources, both internal and external, big and small, structured and unstructured formats to build analytic models utilizing machine\-learning techniques. Partners with the IT group to ensure that the data is sourced from the right location for data science model building. Participates in the development of project deliverables, especially documentation, for data science deliverables. As a team player, interacts with various other roles such as data engineers, business analysts and others. The Data Scientist, Healthcare Analytics solves analytical problems and develops cutting edge solutions to business problems. Should also be skilled at extracting, transforming, and analyzing data using a variety of common analytical tools and statistical techniques. Should be able to present findings in a compelling manner to both a business and non\-technical audience. The position requires a team player that is eager to continue to learn and evolve with business needs and changes in the data and business environment.
**Education/Experience Required**
* Must have an undergraduate (BS) degree in Statistics, Mathematics, Econometrics, Operations Research, Public Health, and Epidemiology or another related field.
* MS degree is preferred.
* Three plus (3\+) years of professional work experience.
* Two plus (2\+) years of experience involving quantitative data analyses for problem solving in US Healthcare industry.
* Two plus (2\+) years of experience with predictive, forecasting, and optimization problem solving using data analytics tools like Python, R or SAS. Exposure of working with cloud Big Data Stack to orchestrate data gathering, cleansing, preparation and modelling preferred.
* Advanced SQL skills working with RDBMSs such as Oracle, SQL Server, etc.
* Experience working with data visualization tools or Data Visualization Designers in Tableau or Power BI. Also, experience with data visualization for analytic models in Rshiny, GGPlot, Qlik, Alteryx, Flask, D3, etc. used to tell the data story to business users to foster adoption of analytic outputs created preferred.
* Exceptionally skilled in machine learning, data analytics, pattern recognition and predictive modelling.
* Strong communication and presentation skills.
* Effective communication and storytelling skills.
* Energy and enthusiasm.
* Passion for learning and contributing to development. A true team player.
* Collaborative mindset for effective communication across teams.
 Additional Information
* Organization: Corporate Services
* Department: Helios Enter Data Wrhse IT Exp
* Shift: Day Job
* Union Code: Not Applicable</t>
        </is>
      </c>
    </row>
    <row r="41">
      <c r="A41" t="inlineStr">
        <is>
          <t>li-4370587946</t>
        </is>
      </c>
      <c r="B41" t="inlineStr">
        <is>
          <t>Data Scientist</t>
        </is>
      </c>
      <c r="C41" t="inlineStr">
        <is>
          <t>Oliver James</t>
        </is>
      </c>
      <c r="D41" t="inlineStr">
        <is>
          <t>linkedin</t>
        </is>
      </c>
      <c r="E41" t="inlineStr"/>
      <c r="F41" t="inlineStr"/>
      <c r="G41" t="inlineStr">
        <is>
          <t>Baltimore, MD</t>
        </is>
      </c>
      <c r="H41" t="inlineStr"/>
      <c r="I41" t="inlineStr">
        <is>
          <t>Job Opportunity: Data Scientist
**Client Overview**
 We are delighted to represent one of the leaders in the Energy industry. Our client is globally recognized for their commitment to innovation and excellence in harnessing the power of data to drive strategic decisions. They are currently seeking an enthusiastic and skilled Data Scientist to join their dynamic Nuclear team on a contractual basis.
**Role Summary**
 The Data Scientist will support analytics, modeling, and data pipeline efforts across multiple projects. Working under the guidance of senior data scientists and engineers, this role will help clean and analyze data, assist in building and evaluating models, and contribute to data\-driven insights. This position is well\-suited for someone with a strong analytical foundation who is eager to learn and grow in applied data science and machine learning.
**Roles \&amp; Responsibilities**
* Assist in collecting, cleaning, and validating data from multiple sources to support analysis and modeling efforts
* Support the development, training, and evaluation of machine learning models under guidance from senior team members
* Perform exploratory data analysis and feature engineering to identify patterns, trends, and data quality issues
* Help build, maintain, and document data pipelines and ETL workflows using Python, SQL, and platforms such as Databricks
* Create basic dashboards, reports, and visualizations to communicate findings to technical and non\-technical stakeholders
* Monitor data and model outputs, flag issues, and help maintain data quality and reliability
* Collaborate with cross\-functional partners and contribute to code reviews, documentation, and knowledge sharing
**Key Skills**
* Proficiency in Python for data analysis and basic model development using libraries such as Pandas, NumPy, and scikit\-learn
* Working knowledge of SQL and experience querying relational databases
* Foundational understanding of machine learning concepts including regression, classification, and clustering
* Experience or familiarity with exploratory data analysis and data visualization using tools like Matplotlib or Seaborn
* Exposure to data pipelines, ETL processes, or platforms such as Databricks, Spark, or cloud\-based data tools
* Ability to communicate analytical findings clearly and collaborate effectively with technical and non\-technical teammates
 Apply Now</t>
        </is>
      </c>
    </row>
    <row r="42">
      <c r="A42" t="inlineStr">
        <is>
          <t>li-4370453528</t>
        </is>
      </c>
      <c r="B42" t="inlineStr">
        <is>
          <t>Data Scientist</t>
        </is>
      </c>
      <c r="C42" t="inlineStr">
        <is>
          <t>Haystack</t>
        </is>
      </c>
      <c r="D42" t="inlineStr">
        <is>
          <t>linkedin</t>
        </is>
      </c>
      <c r="E42" t="inlineStr"/>
      <c r="F42" t="inlineStr"/>
      <c r="G42" t="inlineStr"/>
      <c r="H42" t="inlineStr"/>
      <c r="I42" t="inlineStr">
        <is>
          <t>**Data Scientist \| Washington, DC \| Hybrid \| $77,600 \- 176,000** 
 We're working with Booz Allen Hamilton on this exciting opportunity.
 Unleash the power of data to solve global challenges! As a Data Scientist, you'll transform complex datasets into actionable insights, leveraging cutting\-edge technologies like IoT, machine learning, and AI. This is your chance to make a real\-world impact across diverse sectors, from fraud detection to national intelligence.
**The Role** 
 • Partner with clients to understand their needs and solve complex data puzzles.
 • Develop advanced algorithms and systems to extract meaningful information from vast datasets.
 • Utilize Python, R, or SQL for statistical analysis and general\-purpose programming.
 • Design and develop automated analytic software, techniques, and algorithms.
 • Create impactful data visualizations using tools like Tableau, PowerBI, or FOSS libraries like seaborn and matplotlib.
**What You'll Need** 
 • Proven experience in data exploration, cleaning, analysis, visualization, and mining.
 • Expertise in creating robust ETL pipelines, including API querying and schema design.
 • Strong knowledge of version control tools such as Git, GitLab, GitHub, or Bitbucket.
 • Solid understanding of statistical analysis, predictive modeling, and machine learning methods.
 • Bachelor's degree in Data Science or Computer Science, or 4\+ years of relevant experience.
 • TS/SCI clearance is required.
**What's On Offer** 
 • Be part of a team that uses data science for good, tackling critical global issues.
 • Engage with a collaborative environment where continuous learning and development are highly valued.
 • Comprehensive benefits package including health, retirement, and professional growth opportunities.
 • A flexible work model that prioritizes your well\-being, with hybrid work options.
**Apply via Haystack today!**</t>
        </is>
      </c>
    </row>
    <row r="43">
      <c r="A43" t="inlineStr">
        <is>
          <t>li-4370451045</t>
        </is>
      </c>
      <c r="B43" t="inlineStr">
        <is>
          <t>Data Scientist</t>
        </is>
      </c>
      <c r="C43" t="inlineStr">
        <is>
          <t>Haystack</t>
        </is>
      </c>
      <c r="D43" t="inlineStr">
        <is>
          <t>linkedin</t>
        </is>
      </c>
      <c r="E43" t="inlineStr"/>
      <c r="F43" t="inlineStr"/>
      <c r="G43" t="inlineStr"/>
      <c r="H43" t="inlineStr"/>
      <c r="I43" t="inlineStr">
        <is>
          <t>**AI Integration Data Scientist / Engineer \| Remote \| $76,000 \- $116,000** 
 We're working with BWX Technologies on this exciting opportunity.
 Join BWX Technologies, a Fortune 1000 innovator, and be instrumental in shaping the future of AI integration within critical national security, clean energy, and space exploration initiatives. This pivotal role offers the chance to lead secure and scalable AI adoption, transforming cutting\-edge technology into real\-world impact across diverse platforms like Azure AI and AWS SageMaker.
**The Role** 
 • Partner with business units to identify and prioritize high\-impact AI use cases with measurable ROI.
 • Design and implement AI\-powered solutions that integrate seamlessly into existing systems and workflows.
 • Build prototypes and proof\-of\-concepts to validate AI applications before scaling.
 • Ensure all AI integrations comply with data governance, privacy regulations, and internal security protocols, leveraging your deep knowledge of cybersecurity principles.
 • Stay current with emerging AI technologies, regulations, and ethical standards.
**What You'll Need** 
 • Minimum of 6 years of relevant professional experience in AI/ML implementation, automation, or systems integration.
 • Strong understanding of machine learning, natural language processing, and data engineering.
 • Proficiency in Python, JavaScript, or similar programming languages.
 • Experience with enterprise\-grade AI platforms such as Azure AI, OpenAI, AWS SageMaker, or Google Vertex AI.
 • Deep knowledge of cybersecurity principles, data protection, secure software development, and responsible AI practices.
**What's On Offer** 
 • 12 paid holidays and a 9/80 work schedule, promoting work\-life balance.
 • Comprehensive benefits package including medical, dental, vision, tuition assistance, and generous retirement contributions.
 • Access to exclusive perks and discounts through Perks@Work, and support for family care via Care.com.
 • Opportunities for continuous learning and growth within a mission\-driven organization making a positive impact.
**Apply via Haystack today!**</t>
        </is>
      </c>
    </row>
    <row r="44">
      <c r="A44" t="inlineStr">
        <is>
          <t>li-4370819236</t>
        </is>
      </c>
      <c r="B44" t="inlineStr">
        <is>
          <t>Data Scientist III - Financial Crimes Modeling</t>
        </is>
      </c>
      <c r="C44" t="inlineStr">
        <is>
          <t>TD</t>
        </is>
      </c>
      <c r="D44" t="inlineStr">
        <is>
          <t>linkedin</t>
        </is>
      </c>
      <c r="E44" t="inlineStr"/>
      <c r="F44" t="inlineStr"/>
      <c r="G44" t="inlineStr">
        <is>
          <t>New York, NY</t>
        </is>
      </c>
      <c r="H44" t="inlineStr"/>
      <c r="I44" t="inlineStr">
        <is>
          <t>**Work Location:**
 New York, New York, États\-Unis d'Amérique
**Hours**
 40
**Pay Details**
 $96,130 \- $155,950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Analyses, informations et intelligence artificielle
**Job Description**
 The Data Scientist III provides technical leadership across the overall Analytics function which may have an enterprise mandate. This role generally provides deep technical knowledge and expertise in client interactions to explain complex data analysis related material.
**Department Overview**
 The US Financial Crime Risk Modeling \&amp; Advanced Analytics team within US Financial Crime department is responsible for developing, maintaining, and enhancing the Enterprise Anti\-Money Laundering / Counter\-Terrorism Financing (AML/CTF) models/AI solutions to comply with regulatory requirements/changes and internal policies, support TD's global AML/CTF strategies, address emerging risks, and be in accordance with best industry practice.
 We are seeking a Data Science specialist to join us to innovate, drive, and support initiatives and business as usual operations in multiple functional areas including, but not limited to, customer rating, sanctions screening, transaction monitoring, emerging risk, model performance monitoring, analytics and reporting.
**Depth \&amp; Scope**
* Generally accountable for a significant business management area that typically has enterprise\-wide impact or accountability
* Enterprise or functional expert, requiring broad managerial and deep specialized knowledge at the enterprise, business, regulatory and industry levels
* Undertakes and completes a variety of complex initiatives requiring seasoned specialist knowledge and/or the integration of cross functional processes
* Position typically deals with senior/executive management
* Works independently on activities related to analysis, design and support of technical data management solutions on various projects ranging in complexity and size
* Focuses on longer\-range planning for functional area (e.g. 12 months or greater)
* May manage and prioritize multiple projects at a given time
**Education \&amp; Experience**
* Undergraduate degree or advanced technical degree preferred (e.g., math, physics, engineering, finance or computer science) Graduate's degree preferred with either progressive project work experience or
* 5\+ year of relevant experience; higher degree education and research tenure can be counted
**Preferred Skills**
* In lieu of 5\+ years of relevant experience, we will consider 3\+ years of relevant experience
* Proficient with Python or equivalent programming language and SQL
* Experience in Financial Crimes / Compliance Risk Analytics is a plus
* Experience in optimization / testing / tuning of AML/CTF solutions, particularly transaction monitoring systems
* Experience in machine learning model development, validation, and deployment; experience with LLM\-based solutions a plus
* Familiarity with cloud platforms (Azure) and modern data stack tools a plus
**Customer Accountabilities**
* Works closely with business owners to identify opportunities and serves as an ambassador for data science
* Is familiar with the business context and data infrastructure and can translate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Collaborates with other partners, such as data and business analysts, software engineers, data engineers, and application developers to develop scalable and sustainable data science solutions that retains long term benefit to the business
**Shareholder Accountabilities**
* Analytical thought leadership and stays current on developments in data mining and the application of data science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enhances performance
* Adheres to enterprise frameworks or methodologies that relate to activities for business area
* Ensures respective programs/policies/practices are well managed, meet business needs, comply with internal and external requirements, and align with business priorities
* Participates in cross\-functional/enterprise initiatives as a subject matter expert helping to identify risk/provide guidance for complex situations
* Monitors service, productivity and assesses efficiency levels within own function and implements continuous process/performance improvements where opportunities exist
* Leads/facilitates and/or implements action/remediation plans to address performance/risk/governance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45">
      <c r="A45" t="inlineStr">
        <is>
          <t>li-4370453027</t>
        </is>
      </c>
      <c r="B45" t="inlineStr">
        <is>
          <t>Data Scientist</t>
        </is>
      </c>
      <c r="C45" t="inlineStr">
        <is>
          <t>Sprouts Farmers Market</t>
        </is>
      </c>
      <c r="D45" t="inlineStr">
        <is>
          <t>linkedin</t>
        </is>
      </c>
      <c r="E45" t="inlineStr"/>
      <c r="F45" t="inlineStr"/>
      <c r="G45" t="inlineStr">
        <is>
          <t>Phoenix, AZ</t>
        </is>
      </c>
      <c r="H45" t="inlineStr"/>
      <c r="I45" t="inlineStr">
        <is>
          <t>**Overview**
 Sprouts is currently at the beginning of a journey to provide personalized experiences to all of our customers every time they interact with us. The Data Scientist will join a team of other data scientists and analysts in helping develop the machine learning models, recommender systems and processes to make that vision a reality.
**Overview Of Responsibilities**
**Analytics \&amp; Business Partnering (70%)**
* Collaborate with cross functional stakeholders to understand business requirements/KPIs to design, develop \&amp; execute analytical solutions that support decisions and improve business outcomes
* Analyze data, identify anomalies and provide actionable insights to support business partners
* Conduct analyses with high degree of precision and accuracy with readily available tools
* Predict, test and measure organization initiatives to identify impacts to business outcomes
* At regular business intervals, update and distribute reports, dashboards, presentations to executive leadership
* Drive continuous improvements throughout the organization by improving the speed in which we can transform data into decisions, actions and quantifiable results.
* Respond to ad hoc data and analysis requests to support business partners
* Provide leadership and direction to ensure processes and procedures are in place to effectively use data to monitor and manage business performance.
**Development, Machine Learning \&amp; Maintenance (30%)**
* Train and Test Supervised and Unsupervised machine learning models to predict business outcomes, segment customers or products or create recommendations or other personalized content
* Work with IT to implement machine learning models into production
* In partnership with IT manage any automated ETL processes, narrowcast reports and maintenance of business intelligence \&amp; database servers supporting the Enterprise and Customer Analytics team.
* Continually improve the efficiency/usability of BI capabilities for business users
* Participate in projects to improve business intelligence capabilities, master data management, data governance, etc.
* Continually validate the integrity of data sources and partner with internal and external teams to remedy issues as necessary
* Develop processes and algorithms to cleanse/standardize/join disparate data sources
* Partner with internal and external teams to integrate new sources of data into existing datasets and/or improve the reliability and availability of existing datasets
**Qualifications**
* Bachelor’s Degree in computer science, math or related field required
* Ideal candidate would have 2\-5 years of prior experience in a joint business/technical role responsible for both development and delivering business results
* Prior role and/or project experience in Data Science demonstrating strong analytical and problem\-solving skills
* Experience training and implementing supervised and unsupervised machine learning models
* Strong programming experience, preferably in Python
* Advanced level of experience with databases and writing SQL
* Advanced level of experience with Business Intelligence tools, such as, PowerBI, Tableau, etc.
* Experience with Microsoft Azure and Databricks a plus
* Experience with Microsoft Office Suite tools including Outlook, Excel, Word, PowerPoint, Access, Vizio, etc.
* Familiarity with standard data formats including CSV, JSON, XML, etc.
* Ability to excel in an environment of change, ambiguity, and incomplete information
* Ability to work with very large, complex and disparate data sources (accessing, connecting, and analyzing)
* High level of business acumen, retail knowledge and intuition to guide analysis and insights preferred
* Proven ability to tell a story through data and communicate effectively with key stakeholders.
* Ability to handle multiple priorities against multiple deadlines
* Strong written and verbal communication skills with the ability to take and give direction while participating in a team environment
* Ability to effectively communicate information and respond to questions from groups of peers, managers, and business partners.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t>
        </is>
      </c>
    </row>
    <row r="46">
      <c r="A46" t="inlineStr">
        <is>
          <t>li-4370455092</t>
        </is>
      </c>
      <c r="B46" t="inlineStr">
        <is>
          <t>Senior Data Scientist – TechOps Predictive Engineering</t>
        </is>
      </c>
      <c r="C46" t="inlineStr">
        <is>
          <t>Delta Air Lines</t>
        </is>
      </c>
      <c r="D46" t="inlineStr">
        <is>
          <t>linkedin</t>
        </is>
      </c>
      <c r="E46" t="inlineStr"/>
      <c r="F46" t="inlineStr"/>
      <c r="G46" t="inlineStr">
        <is>
          <t>Atlanta, GA</t>
        </is>
      </c>
      <c r="H46" t="inlineStr"/>
      <c r="I46" t="inlineStr">
        <is>
          <t>**How You'll Help Us Keep Climbing (Overview \&amp; Key Responsibilities)**
 The Senior Data Scientist, Predictive Engineering will help advance the engineering and maintenance organization through the application of innovative and robust analytical and modeling solutions aimed at deriving insights from complex aircraft mechanical performance data. These include, but are not limited to, the application of machine learning techniques on both aircraft operational and maintenance data aimed at identifying precursors to component degradation across the entire aircraft. Analyses may also include cross\-skill partnerships for the development of risk metrics, key performance indicators leveraging large textual data repositories, and development of visual tools using business intelligence solutions.
 An appropriate candidate will have hands\-on experience in natural language processing, machine learning, statistical analysis, and data storytelling. The candidate should also have good organizational and communication skills.
**Primary Functions**
* Develop machine learning models and advanced analytics solutions for complex business problems in the engineering, predictive maintenance, and aircraft reliability space
* Make appropriate selection, utilization, and interpretation of advanced analytics methodologies
* Participate in continuous improvement of data science by developing replicable solutions and well documented models
* Seek further knowledge on key developments within data science and related fields
* Provide technical education on advanced analytics to the data science community
* Clearly communicate impacts of the recommended analytics solution to business partners to drive adoption and implementation
**What You Need To Succeed (Minimum Qualifications)**
* Master's degree in Data Science, Statistics, Mathematics, Operations Research, Computer Science, or equivalent combination of education and experience (Doctoral degree preferred)
* 3\-5 years of work experience in advanced analytics and data science
* Working knowledge of GIT for code management
* Hands‑on experience developing, training, and deploying models using Tensorflow and/or Pytorch
* Extensive experience in regression analysis including, but not limited to, linear regression, Logistic regression. Able to explain and quantify regression results
* Significant experience in developing neural network, decision tree, random forest, and LSTM models
* Good written, oral communication, and interpersonal skills
* Strong project management, organizational, and prioritization skills
* Embraces diverse people, thinking and styles
* Consistently makes safety and security, of self and others, the priority
* (For internal applicants) must be performing satisfactorily in present position
* Possesses a high school diploma, GED, or high school equivalency
* Is at least 18 years of age and has authorization to work in the United States
**What Will Give You a Competitive Edge (Preferred Qualifications)**
* Experience with AWS services for scalable Data Science development (e.g., Sagemaker, S3, Bedrock) or equivalent cloud services including Palantir Foundry
* Familiarization with API consumption and orchestration pipelines
* Knowledge of transformer architecture and current landscape of LLM
* Strong proficiency in Python, including pandas, scikit‑learn, NumPy, SciPy, and MLflow or similar tools.
* Experience with SQL and large‑scale data querying
* Experience with timeseries data modeling, anomaly detection
* Experience in using GE Aerospace EMS (Event Measurement System) application
**Benefits And Perks To Help You Keep Climbing**
 Our culture is rooted in a shared dedication to living our values – Care, Integrity, Resilience and Servant Leadership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New hires are eligible for up to 56 hours of paid personal time within a 12\-month period.
* 10 paid holidays per calendar year.
* Birthing parents are eligible for 12\-weeks of paid maternity/parental leave.
* Non\-birthing parents are eligible for 2\-weeks of paid parental leave.
* Comprehensive health beneﬁts including medical, dental, vision, short/long term disability and life insurance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47">
      <c r="A47" t="inlineStr">
        <is>
          <t>li-4370572580</t>
        </is>
      </c>
      <c r="B47" t="inlineStr">
        <is>
          <t>Data Scientist</t>
        </is>
      </c>
      <c r="C47" t="inlineStr">
        <is>
          <t>Federal Reserve Bank of St. Louis</t>
        </is>
      </c>
      <c r="D47" t="inlineStr">
        <is>
          <t>linkedin</t>
        </is>
      </c>
      <c r="E47" t="inlineStr"/>
      <c r="F47" t="inlineStr"/>
      <c r="G47" t="inlineStr">
        <is>
          <t>St Louis, MO</t>
        </is>
      </c>
      <c r="H47" t="inlineStr"/>
      <c r="I47" t="inlineStr">
        <is>
          <t>**Company**
 Federal Reserve Bank of St. Louis
 The St Louis Fed is one of 12 Reserve Banks serving all or parts of Missouri, Illinois, Indiana, Kentucky, Tennessee, Mississippi and Arkansas with branches in Little Rock, Louisville and Memphis. The St. Louis Fed’s most critical functions include promoting stable prices and economic growth, fostering a sound financial system, providing payment services to financial institutions, supporting the U.S. Treasury's financial operations, and advancing economic education, community development and fair access to credit.
 The Federal Reserve Bank of St. Louis is seeking a Data Scientist for the Treasury Division’s Forecasting and Cash Management Analytics Group. The team supports the U.S. Treasury’s Office of Fiscal Projections (OFP) in estimating the Government’s daily cash position, determining marketable borrowing requirements and ensuring total debt outstanding is within statutory limitations. The position interacts with product owners, software engineers and production support staff that support the Fiscal Projections System (FPS), to advance program goals.
**Responsibilities**
* Transform raw data into data\-driven insights, trends, and patterns, and recommendations through use of data science and analytics modeling and programing tools
* Develop and implement a variety of machine learning solutions (classification, regression, clustering, reinforcement learning, natural language processing, GenAI) across a broad domain of financial and operational datasets
* Partner with engineers to set up technologies such as cloud environments, data pipelines, ensuring data quality, integrity, and accessibility
* Utilize knowledge of forecasting techniques including time\-series, temporal disaggregation, and macroeconomic models to create, maintain, and enhance short\- and long\-term economic forecasting models
* Perform monthly comparative analysis of forecast model results using knowledge of forecast error metrics
* Produce reports suitable for technical and non\-technical audiences that include statuses, explanations of results, and recommendations to improve forecast performance
* Interact with Treasury clients to gather business requirements, understand macroeconomic and legislative factors influencing Federal expenditures and revenues, and acquire necessary data to test and integrate the information into forecast models
**Qualifications**
* Bachelor’s degree in economics, statistics, mathematics, or other quantitative discipline or commensurate experience; Master’s degree preferred
* 2\+ years statistical modeling experience, preferably in a financial institution or corporate Treasury area
* Demonstrated proficiency in Python, Stata, SAS, or other applicable statistical software packages
* Experience with GenAI, machine learning, cloud technologies
* Time\-series modeling experience using ARIMA, ARCH, GARCH, or VAR
* Demonstrated ability to learn new technical tools and software applications
* Ability to interact professionally and communicate clearly, both verbally and in writing, with U.S. Treasury, financial institutions and Federal Reserve Bank partners to obtain information, respond to inquiries, analyze documentation and resolve issues
* Demonstrated strong analytical, organizational, and problem\-solving skills and the ability to manage numerous projects and work processes
* Ability to carry out assignments with minimal supervision as well as work effectively as a part of a team
* Demonstrated strong customer service skills in providing information to all levels of the organization and customers
* Ability to comprehend, communicate and apply U.S. Treasury and Reserve Bank policies and procedures
* Candidates with less experience may be considered at a lower job grade and/or salary.
* Travel (5%)
* Position requires US Citizenship
**Total Rewards**
 Bring your passion and expertise, and we'll provide the opportunities that will challenge you and propel your growth—along with a wide range of benefits and perks that support your health, wealth, and life.
 Salary: $94,700\-120,700
 In addition to competitive compensation, we offer a comprehensive benefits package that all brought together in a flexible work environment where you can truly find balance:
* Generous paid time off
* Tuition \&amp; Training assistance/reimbursement
* 401(k) match \&amp; Annuity/Pension fund
* Top\-notch health care benefits
* Child and family care leave
* Professional development opportunities
* And more...
 At the Federal Reserve Bank of St. Louis, we are committed to a strong and resilient economy for all. We prioritize inclusion and strive to be a workplace where all employees can thrive. Learn more about Bank’s culture
 The Federal Reserve Bank of St Louis is an Equal Opportunity Employer.
**Full Time / Part Time**
 Full time
**Regular / Temporary**
 Regular
**Job Exempt (Yes / No)**
 Yes
**Job Category**
 Data Analytics Family Group
**Work Shift**
 First (United States of America)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row>
    <row r="48">
      <c r="A48" t="inlineStr">
        <is>
          <t>li-4370804442</t>
        </is>
      </c>
      <c r="B48" t="inlineStr">
        <is>
          <t>Data Scientist</t>
        </is>
      </c>
      <c r="C48" t="inlineStr">
        <is>
          <t>Best Job Tool</t>
        </is>
      </c>
      <c r="D48" t="inlineStr">
        <is>
          <t>linkedin</t>
        </is>
      </c>
      <c r="E48" t="inlineStr"/>
      <c r="F48" t="inlineStr"/>
      <c r="G48" t="inlineStr"/>
      <c r="H48" t="inlineStr"/>
      <c r="I48" t="inlineStr">
        <is>
          <t>**About The Company**
 Bowhead / UIC Technical Services is a renowned provider of specialized technical solutions and services to government agencies and defense organizations. Committed to excellence and innovation, the company supports critical national security missions by delivering advanced technological capabilities and expert support. With a focus on integrity, collaboration, and cutting\-edge research, Bowhead / UIC Technical Services strives to be a trusted partner in advancing defense and security initiatives across various domains.
**About The Role**
 We are seeking a highly skilled Data Scientist to join our team supporting the Naval Surface Warfare Center Dahlgren Division (NSWCDD), E Department. This role involves applying advanced data analysis techniques, including mathematics, statistics, predictive modeling, and machine learning, to uncover meaningful insights from complex datasets. The successful candidate will work onsite at either the Bowhead office or a Navy installation, contributing to projects that enhance decision\-making processes and operational effectiveness. The position offers an exciting opportunity to engage with high\-volume, high\-velocity data encompassing various formats such as numbers, symbols, text, sound, and images. The Data Scientist will be instrumental in designing, developing, and deploying analytical tools and models that provide real\-time, forward\-looking insights, ultimately supporting critical defense missions.
**Qualifications**
 The ideal candidate will possess a Bachelor’s Degree in physics or an equivalent field related to data science, coupled with a minimum of 5\-8 years of relevant experience. Strong analytical skills in database management and development are essential, along with a solid understanding of relational database management systems and data warehousing concepts. Experience in creating reports and dashboards, as well as proficiency in writing and analyzing SQL queries, is highly desirable. Candidates with virtual machine or artificial intelligence experience will have a competitive edge. Demonstrated coding and software development skills, along with mathematical reasoning capabilities, are necessary. Effective communication skills, both oral and written, are required to interact with technical teams and senior government customers. Candidates must be U.S. citizens capable of obtaining and maintaining a security clearance at the Secret level.
**Responsibilities**
* Apply advanced mathematical, statistical, and machine learning techniques to analyze large and diverse datasets, identifying patterns and extracting actionable insights.
* Design, develop, modify, verify, and document software components to support analytical objectives and stakeholder requirements.
* Create and refine tools for data testing, validation, and visualization to ensure data integrity and facilitate understanding across technical and non\-technical audiences.
* Analyze high\-volume, high\-velocity data streams, including text, symbols, sound, and images, to develop predictive and real\-time models that support decision\-making processes.
* Present complex data insights through clear, compelling visualizations and reports tailored to various audiences, including senior management and technical teams.
* Identify, validate, and leverage internal and external data sources, ensuring data quality and relevance for analytical projects.
* Manage and organize data and information in all its forms, including logical analysis of taxonomies, data structures, and metadata.
* Collaborate with cross\-functional teams to gather requirements, validate models, and implement solutions that meet operational needs.
* Perform other duties as assigned to support project objectives and organizational goals.
**Benefits**
 Bowhead / UIC Technical Services offers competitive compensation packages along with comprehensive benefits, including health, dental, and vision insurance, retirement plans, paid time off, and opportunities for professional development. The company fosters a collaborative and innovative work environment, encouraging continuous learning and career growth. Employees have access to state\-of\-the\-art tools and technologies, supporting their efforts to deliver impactful solutions in a dynamic defense landscape. Additionally, the organization values work\-life balance and provides a supportive culture that recognizes and rewards excellence.
 Equal Opportunity
 Bowhead / UIC Technical Services is an equal opportunity employer. We are committed to creating a diverse environment and are proud to be an equal opportunity employer. All qualified applicants will receive consideration for employment without regard to race, color, religion, sex, sexual orientation, gender identity, national origin, disability, or veteran status. We believe that diversity fosters innovation and excellence, and we actively seek to include individuals from all backgrounds to contribute to our mission and success.</t>
        </is>
      </c>
    </row>
    <row r="49">
      <c r="A49" t="inlineStr">
        <is>
          <t>li-4370468286</t>
        </is>
      </c>
      <c r="B49" t="inlineStr">
        <is>
          <t>Data Scientist (Insurance P&amp;C domain)</t>
        </is>
      </c>
      <c r="C49" t="inlineStr">
        <is>
          <t>Smart IT Frame LLC</t>
        </is>
      </c>
      <c r="D49" t="inlineStr">
        <is>
          <t>linkedin</t>
        </is>
      </c>
      <c r="E49" t="inlineStr"/>
      <c r="F49" t="inlineStr"/>
      <c r="G49" t="inlineStr"/>
      <c r="H49" t="inlineStr"/>
      <c r="I49" t="inlineStr">
        <is>
          <t>**Technical skills\-** 
* **Machine Learning algorithms** 
 for tabular data (Gradient Boosting, Random Forests, XGBoost, LightGBM, NLP\-Unstructured)
* **GLM modeling** 
 expertise (Poisson, Gamma, Tweedie, Logistic)
* **Python** 
 for data analysis and modeling (pandas, numpy, scikit\-learn, statsmodels)
* **Databricks** 
 / Spark (PySpark) for large\-scale data transformation and feature engineering
* **SQL** 
 for data extraction, transformation, and analytical queries</t>
        </is>
      </c>
    </row>
    <row r="50">
      <c r="A50" t="inlineStr">
        <is>
          <t>li-4370443905</t>
        </is>
      </c>
      <c r="B50" t="inlineStr">
        <is>
          <t>Data Scientist | Clinical AI</t>
        </is>
      </c>
      <c r="C50" t="inlineStr">
        <is>
          <t>RemoteHunter</t>
        </is>
      </c>
      <c r="D50" t="inlineStr">
        <is>
          <t>linkedin</t>
        </is>
      </c>
      <c r="E50" t="inlineStr"/>
      <c r="F50" t="inlineStr"/>
      <c r="G50" t="inlineStr"/>
      <c r="H50" t="inlineStr"/>
      <c r="I50"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1">
      <c r="A51" t="inlineStr">
        <is>
          <t>li-4367520920</t>
        </is>
      </c>
      <c r="B51" t="inlineStr">
        <is>
          <t>Data Scientist 3</t>
        </is>
      </c>
      <c r="C51" t="inlineStr">
        <is>
          <t>WebstaurantStore</t>
        </is>
      </c>
      <c r="D51" t="inlineStr">
        <is>
          <t>linkedin</t>
        </is>
      </c>
      <c r="E51" t="inlineStr"/>
      <c r="F51" t="inlineStr"/>
      <c r="G51" t="inlineStr">
        <is>
          <t>Lititz, PA</t>
        </is>
      </c>
      <c r="H51" t="inlineStr"/>
      <c r="I51"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2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52">
      <c r="A52" t="inlineStr">
        <is>
          <t>li-4370460070</t>
        </is>
      </c>
      <c r="B52" t="inlineStr">
        <is>
          <t>Data Scientist - Marketing</t>
        </is>
      </c>
      <c r="C52" t="inlineStr">
        <is>
          <t>WebstaurantStore</t>
        </is>
      </c>
      <c r="D52" t="inlineStr">
        <is>
          <t>linkedin</t>
        </is>
      </c>
      <c r="E52" t="inlineStr"/>
      <c r="F52" t="inlineStr"/>
      <c r="G52" t="inlineStr">
        <is>
          <t>Lititz, PA</t>
        </is>
      </c>
      <c r="H52" t="inlineStr"/>
      <c r="I52"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Maintaining and updating our in\-house Media Mix Models (MMM) and Multi\-Touch Attribution (MTA) models to ensure they reflect the current state of marketing spend and value
* Designing, implementing, and analyzing lift / blackout / other experiments to continually improve our attribution models
* Partnering with business and technical stakeholders, including our Google account team, to translate complex retail challenges into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2 years of professional experience in Data Science, or a PhD in mathematics, statistics, economics, or a related quantitative field.
* Advanced proficiency in Python and SQL, with strong foundation in statistical methods and advanced modeling techniques applied to marketing and growth problems.
* Hands\-on experience with experimentation and causal inference frameworks, including incrementality testing, geo experiments, holdout designs, or quasi\-experimental methods.
* Proven ability to partner with paid marketing teams to design, execute, and analyze experiments that inform budget allocation and channel strategy.
* Experience building, evaluating, or refining Media Mix Models (MMM) and/or Multi\-Touch Attribution (MTA) models to quantify marketing impact and reduce uncertainty.
* Ability to translate complex model outputs into clear, credible insights that drive stakeholder buy\-in and influence marketing decision\-making, even without direct ownership of spend.
* Comfortable navigating trade\-offs between model rigor, business timelines, and practical adoption by paid media stakeholders.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53">
      <c r="A53" t="inlineStr">
        <is>
          <t>li-4359263312</t>
        </is>
      </c>
      <c r="B53" t="inlineStr">
        <is>
          <t>Data Scientist</t>
        </is>
      </c>
      <c r="C53" t="inlineStr">
        <is>
          <t>Tata Consultancy Services</t>
        </is>
      </c>
      <c r="D53" t="inlineStr">
        <is>
          <t>linkedin</t>
        </is>
      </c>
      <c r="E53" t="inlineStr"/>
      <c r="F53" t="inlineStr"/>
      <c r="G53" t="inlineStr">
        <is>
          <t>Alpharetta, GA</t>
        </is>
      </c>
      <c r="H53" t="inlineStr"/>
      <c r="I53" t="inlineStr">
        <is>
          <t>**Job Description**
 Must Have Technical/Functional Skills
 Experience: 3\+ years of experience in AI, Machine Learning, or Data Science, with a strong preference for experience in a manufacturing or industrial setting.
**Technical Prowess**
 Proficiency in Python and its key ML libraries (e.g., scikit\-learn, TensorFlow, PyTorch).
 Strong SQL skills for data querying and manipulation.
 Familiarity with data visualization tools (e.g., Power BI, Tableau).
 Basic understanding of MLOps concepts for model deployment and management.
 Domain Knowledge (Nice to have): Understanding of manufacturing processes, data sources (like MES, ERP), and common challenges (e.g., quality control, predictive maintenance, order backlog etc).
 Problem\-Solving Skills: A curious mind and the ability to break down complex problems into manageable, data\-driven solutions.
 Collaboration \&amp; Communication: Excellent communication skills to work effectively with diverse teams, from plant operators to senior leadership.
**Nice\-to\-Haves**
 Experience with cloud platforms (AWS, Azure, GCP).
 Knowledge of time\-series analysis, anomaly detection, or optimization techniques.
 Roles \&amp; Responsibilities
 Groom AI/ML Use Cases: Collaborate with our manufacturing and business teams to pinpoint opportunities where AI and machine learning can solve problems, improve efficiency, and create value. You will help define project scopes and success metrics.
 Execute End\-to\-End ML Projects: Take ownership of machine learning initiatives from start to finish. This includes everything from data collection and preparation to model development, deployment, and ongoing monitoring in production environments.
 Programming \&amp; Data Engineering: Write clean, efficient code (primarily in Python) to build data pipelines, develop machine learning models, and automate analytical workflows. You will also work with SQL for data extraction and manipulation.
 Data Analysis \&amp; Modeling: Dive deep into manufacturing data (from sources like MES, ERP, and IoT sensors) to uncover patterns, engineer features, and build robust predictive or prescriptive models (e.g., for quality, maintenance, or process optimization).
 Communicate Insights: Translate complex technical findings into clear, understandable recommendations for non\-technical stakeholders, helping them make data\-driven decisions.
 Base Salary Range: $110,000 \- $135,000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54">
      <c r="A54" t="inlineStr">
        <is>
          <t>li-4370435217</t>
        </is>
      </c>
      <c r="B54" t="inlineStr">
        <is>
          <t>Data Scientist</t>
        </is>
      </c>
      <c r="C54" t="inlineStr">
        <is>
          <t>Boeing Intelligence &amp; Analytics</t>
        </is>
      </c>
      <c r="D54" t="inlineStr">
        <is>
          <t>linkedin</t>
        </is>
      </c>
      <c r="E54" t="inlineStr"/>
      <c r="F54" t="inlineStr"/>
      <c r="G54" t="inlineStr">
        <is>
          <t>Herndon, VA</t>
        </is>
      </c>
      <c r="H54" t="inlineStr"/>
      <c r="I54" t="inlineStr">
        <is>
          <t>**Data Scientist** 
**Why This is an Exciting Role:** 
 The Boeing Defense, Space \&amp; Security (BDS) organization, Intelligence Systems portfolio, is seeking a DevOps Developer to join our Mission Operations team in Herndon, VA. Our team focuses on delivering complex solutions in some of the most challenging environments on Earth. We provide support for our Mission Operations Portfolio area which design, build, test, deploy, operate, and maintain a wide variety of mission critical platforms and systems for
 commercial and government customers.
 This Data Scientist position performs data analytics development and data visualization to meet business requirements and provide data to the engineering teams to decrease risk and ensure engineering excellence.
* Developing data analytics capabilities in Python to solve business problems
* Developing automated processes/scripts to capture and analyze data to track Key Performance Indicators across a large\-scale distributed system
* Assisting with system designs to enable data science capabilities
* Assisting with maintaining data quality
* Analyzing system performance, identifying bottlenecks, and suggesting optimizations to improve overall system efficiency and responsiveness
* Maintaining accurate documentation of system configurations, procedures, and troubleshooting steps
* Participating in the planning and implementation of new systems, upgrades, and migrations, ensuring compatibility and adherence to best
* practices
* Staying up\-to\-date with the latest technologies, industry trends, and security practices, and continuously improving skills and knowledge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 Our talented employees bring software development, systems engineering, and advanced analytics expertise.
* We offer numerous prime contract opportunities with customers headquartered in Maryland, Virginia, and the District of Columbia, as well as subcontract opportunities that align with our areas of focus and additional opportunities nationwide through our parent company.
* We have current open positions on awarded programs across diverse customer sets and are anticipating upcoming contract awards with a 5\-year life cycle and an additional 5 option years.
* Our diverse portfolio allows our employees to move to other projects and teams as they gain further proficiency in their current skill set and learn new skill sets along the way.
* We offer hands\-on access to cutting\-edge technologies and a culture of technical excellence.
**Experience and Qualifications:** 
 To be eligible for this demanding position, the ideal candidate should demonstrate the following experience and qualifications:
**Required Education and Years of Experience:** 
* Education/experience typically acquired through advanced technical education (e.g. Bachelor) and typically 14 or more years' related work experience or an equivalent combination of technical education and experience (e.g. PhD\+9 years' related work experience, Master\+12 years' related work experience, 18 years' related work experience, etc.).
**Required Qualifications:** 
* Requires an active TS/SCI with Polygraph Clearance (Has been active in the past 24 months)
* U.S. Citizenship
* 3 or more years' experience in Data Science
* Experience developing data analytics with Python
* Experience with common data analysis and data visualization
**Desired Qualifications:** 
* Experience with common Python packages used for data science
* Experience with cloud platforms such as AWS, Azure, and/or GCP
* Certifications in Data Science and/or Data Visualization
**Telework/Remote Availability:** 
 Telework/Remote work currently not authorized
**Work Location(s):** 
 Herndon, VA
**Summary Pay Range:** 
 Please note that the information shown below is a general guideline only. Pay is based upon candidate experience and qualifications, as well as market and business considerations.
 $231,000 \- $283,000
**Expected Closure Date:** 
 Applications for this position will be accepted through
 **March 6, 2026** 
**Application Privacy Policy:** 
 This notice pertains to the collection and processing of personal information of applicants to The Boeing Company and its group of companies (“Boeing”), worldwide.
 To review Boeing’s Privacy Policy, copy and paste this link into a new tab and following the URL:
**https://www.boeing.com/careers/privacy\-statement**</t>
        </is>
      </c>
    </row>
    <row r="55">
      <c r="A55" t="inlineStr">
        <is>
          <t>li-4370444932</t>
        </is>
      </c>
      <c r="B55" t="inlineStr">
        <is>
          <t>Sr Data Scientist</t>
        </is>
      </c>
      <c r="C55" t="inlineStr">
        <is>
          <t>WebstaurantStore</t>
        </is>
      </c>
      <c r="D55" t="inlineStr">
        <is>
          <t>linkedin</t>
        </is>
      </c>
      <c r="E55" t="inlineStr"/>
      <c r="F55" t="inlineStr"/>
      <c r="G55" t="inlineStr">
        <is>
          <t>Lititz, PA</t>
        </is>
      </c>
      <c r="H55" t="inlineStr"/>
      <c r="I55"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5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56">
      <c r="A56" t="inlineStr">
        <is>
          <t>li-4370445546</t>
        </is>
      </c>
      <c r="B56" t="inlineStr">
        <is>
          <t>AI/ML &amp; Data Scientist SME</t>
        </is>
      </c>
      <c r="C56" t="inlineStr">
        <is>
          <t>Zachary Piper Solutions</t>
        </is>
      </c>
      <c r="D56" t="inlineStr">
        <is>
          <t>linkedin</t>
        </is>
      </c>
      <c r="E56" t="inlineStr"/>
      <c r="F56" t="inlineStr"/>
      <c r="G56" t="inlineStr">
        <is>
          <t>Washington, DC</t>
        </is>
      </c>
      <c r="H56" t="inlineStr"/>
      <c r="I56" t="inlineStr">
        <is>
          <t>Zachary Piper Solutions is seeking an
 **AI/ML \&amp; Data Scientist SME** 
 to support
 **hybrid** 
 operations in
 **Washington, DC** 
 . This role will analyze data, build clear visualizations, and automate cloud‑based workflows to deliver actionable insights.
**Responsibilities for the AI/ML \&amp; Data Scientist SME include:**
* Analyze complex datasets and deliver actionable insights using BI, AI/ML, and predictive analytics.
* Create clear, impactful Tableau/Power BI dashboards and communicate findings effectively.
* Perform SQL\-based ETL, manage relational databases, and ensure data quality through governance best practices.
* Use AWS and Power Automate to modernize data workflows and automate scalable processes.
**Qualifications for the AI/ML \&amp; Data Scientist SME include:**
* Bachelor’s degree (Master’s preferred) and 6\+ years in AI/ML, data analysis, and visualization
* Proficient in Python, SQL, and automated data workflows/pipelines
* Strong Tableau/Power BI dashboard and reporting expertise
* Familiar with AWS cloud services and Collibra Data Governance
* Active DHS or Top Secret clearance
**Compensation for the AI/ML \&amp; Data Scientist SME include:**
* Salary Range: $120,000 \- $140,000 based on years of experience
* Benefits: Medical, Dental, Vision, 401k Plan, PTO (Paid Time Off), Holidays, Sick leave as required by law
**This job opens for applications on 1/20/2025\. Applications for this job will be accepted for at least 30 days from the posting date**
**Keywords:** 
 AI/ML, data analytics, data visualization, Power BI, Tableau, SQL, ETL, Python, AWS, S3, EC2, RDS, Lambda, automation, Power Automate, data governance, Collibra, dashboards, reporting, predictive analytics, generative AI, data modeling, business intelligence, cloud computing, data pipelines, workflow automation, Oracle, PostgreSQL, MySQL, data quality, data integrity, data lineage, stakeholder engagement, insights, analytics solutions, data storytelling, relational databases, cloud modernization, analytics engineering, data processing, data extraction, KPI reporting, communication skills, cross\-functional collaboration, technical analysis, data\-driven decision\-making, performance metrics, analytics strategy, enterprise data, trends and patterns</t>
        </is>
      </c>
    </row>
    <row r="57">
      <c r="A57" t="inlineStr">
        <is>
          <t>li-4368513139</t>
        </is>
      </c>
      <c r="B57" t="inlineStr">
        <is>
          <t>Data Scientist</t>
        </is>
      </c>
      <c r="C57" t="inlineStr">
        <is>
          <t>Tata Consultancy Services</t>
        </is>
      </c>
      <c r="D57" t="inlineStr">
        <is>
          <t>linkedin</t>
        </is>
      </c>
      <c r="E57" t="inlineStr"/>
      <c r="F57" t="inlineStr"/>
      <c r="G57" t="inlineStr">
        <is>
          <t>Basking Ridge, NJ</t>
        </is>
      </c>
      <c r="H57" t="inlineStr"/>
      <c r="I57" t="inlineStr">
        <is>
          <t>**Job Description**
 Must Have Technical/Functional Skills
**Technical**
* Strong proficiency in Python / R (Pandas, NumPy, Scikit\-learn, PySpark)
* Experience with time\-series data and event/alarm analytics,sliding winsows, inmemory DB
* Knowledge of machine learning algorithms for classification, clustering, and anomaly detection
* Experience with SQL, big data platforms (Spark, Hadoop),Kafka
* Visualization tools: Tableau, Power BI, Grafana, or Python visualization libraries Domain
* Understanding of Wireless Networks (2G/3G/4G/5G, RAN, Core)
* Knowledge of IEN / IP / Ethernet networking concepts
* Familiarity with network alarms, fault management, OSS/NMS systems
 Roles \&amp; Responsibilities
 Data Analysis \&amp; Insight Generation
* Analyze large\-scale wireless (RAN, Core) and IEN network alarm data from OSS/NMS systems
* Identify patterns, trends, and recurring fault signatures across network domains
* Develop KPIs and dashboards to track network health and fault trends
 Machine Learning \&amp; Modeling
* Build models for:
* Alarm correlation and noise reduction
* Root cause analysis (RCA)
* Anomaly detection
* Predictive fault and failure forecasting
* Apply supervised and unsupervised learning techniques (clustering, classification, time\-series analysis)
 Data Engineering \&amp; Automation
* Clean, normalize, and enrich alarm data from multiple sources
* Integrate data from OSS, EMS, NMS, CMDB, and performance systems
* Automate fault insight pipelines and model deployment
 Collaboration \&amp; Operations Support
* Work closely with NOC, Network Engineering, and Reliability teams
* Translate analytical findings into operational recommendations
* Support proactive maintenance and incident prevention initiatives
 Visualization \&amp; Reporting
* Create interactive dashboards and reports for real\-time fault monitoring
* Present insights clearly to technical and non\-technical stakeholders
**Generic Managerial Skills**
* Strong analytical and problem\-solving skills
* Ability to communicate insights effectively
* Experience working in cross\-functional operational teams
 Salary Range: $120,000\-$150,000 a year</t>
        </is>
      </c>
    </row>
    <row r="58">
      <c r="A58" t="inlineStr">
        <is>
          <t>li-4370452868</t>
        </is>
      </c>
      <c r="B58" t="inlineStr">
        <is>
          <t>Senior Data Scientist</t>
        </is>
      </c>
      <c r="C58" t="inlineStr">
        <is>
          <t>RemoteHunter</t>
        </is>
      </c>
      <c r="D58" t="inlineStr">
        <is>
          <t>linkedin</t>
        </is>
      </c>
      <c r="E58" t="inlineStr"/>
      <c r="F58" t="inlineStr"/>
      <c r="G58" t="inlineStr"/>
      <c r="H58" t="inlineStr"/>
      <c r="I58" t="inlineStr">
        <is>
          <t>About the Opportunity:
 The organization provides a platform that simplifies building and scaling in\-app subscriptions. It serves as a default monetization platform for mobile, present in over 40% of newly shipped subscription apps, processing more than $10 billion in annual purchase volume, and supporting a diverse range of developers globally. The Senior Data Scientist role focuses on driving product impact through proactive data analysis and collaboration with Product, Engineering, and Analytics teams, powering customer\-facing features and shaping product direction using data.
 Responsibilities:
 • Proactively explore the organization’s data to identify customer problems, opportunities, and product bets.
 • Translate ambiguous product and business questions into clear analyses, models, and recommendations.
 • Partner with Product Managers to shape roadmaps.
 • Design, build, and ship production\-grade predictive and descriptive models powering customer features.
 • Define and evaluate statistical approaches for experimentation, benchmarking, and forecasting.
 • Communicate insights clearly to technical and non\-technical audiences, emphasizing customer impact.
 • Continuously iterate on models and features based on usage and feedback.
 Requirements:
 • 5\+ years of experience as a Data Scientist.
 • Strong SQL skills and experience with data modeling.
 • Experience building and deploying predictive and descriptive models in production.
 • Experience writing or collaborating on production\-ready Python code.
 • Solid understanding of statistics and experimentation, ideally including Bayesian methods.
 • Ability to explain complex ideas and results clearly to broad audiences.
 • Highly proactive, comfortable pushing ideas forward.
 • Experience working with messy, real\-world data and imperfect information.
 • Focus on creating customer value over academic elegance.
 • Comfortable operating in ambiguity and building structure where none exists.
 • Enjoy working closely with Product teams and influencing decisions.
 • Interest in the consumer subscription ecosystem and developer monetization.
 Benefits \&amp; Perks:
 • Competitive equity in a fast\-growing, Series C startup backed by top\-tier investors including Y Combinator.
 • 10\-year window to exercise vested equity options.
 • Fully remote and flexible work environment.
 • 4\-5 weeks of suggested annual time off for mental, physical, and emotional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li-4364060880</t>
        </is>
      </c>
      <c r="B59" t="inlineStr">
        <is>
          <t>Zappos Data Scientist III, Zappos/Shopbop Catalog Engineering</t>
        </is>
      </c>
      <c r="C59" t="inlineStr">
        <is>
          <t>Zappos</t>
        </is>
      </c>
      <c r="D59" t="inlineStr">
        <is>
          <t>linkedin</t>
        </is>
      </c>
      <c r="E59" t="inlineStr"/>
      <c r="F59" t="inlineStr"/>
      <c r="G59" t="inlineStr">
        <is>
          <t>Madison, WI</t>
        </is>
      </c>
      <c r="H59" t="inlineStr"/>
      <c r="I59" t="inlineStr">
        <is>
          <t>**Description**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
**Company** 
 \- Zappos.com LLC
 Job ID: A3124684</t>
        </is>
      </c>
    </row>
    <row r="60">
      <c r="A60" t="inlineStr">
        <is>
          <t>li-4370563871</t>
        </is>
      </c>
      <c r="B60" t="inlineStr">
        <is>
          <t>Staff Data Scientist</t>
        </is>
      </c>
      <c r="C60" t="inlineStr">
        <is>
          <t>Unity</t>
        </is>
      </c>
      <c r="D60" t="inlineStr">
        <is>
          <t>linkedin</t>
        </is>
      </c>
      <c r="E60" t="inlineStr"/>
      <c r="F60" t="inlineStr"/>
      <c r="G60" t="inlineStr">
        <is>
          <t>Mountain View, CA</t>
        </is>
      </c>
      <c r="H60" t="inlineStr"/>
      <c r="I60" t="inlineStr">
        <is>
          <t>**The opportunity**
 At Unity, we foster a culture of collaboration and innovation. In our fast\-paced environment, we tackle complex challenges that create real impact for creators and users across our ecosystem.
 Our Ads Data Science team supports product and business success by transforming large\-scale data into actionable insights, defining success metrics, guiding product decisions, and measuring impact. In partnership with PM, Engineering, Sales, and Finance, the team informs every stage of the product lifecycle \- from identifying opportunities to evaluating performance and shaping long\-term strategy across supply, demand, and customer insights.
 As a founding Data Scientist on this team, you will have strong ownership to company revenue growth and overall business success and work across multiple areas within Ads, including Vector initiatives, supply\-side analytics, and Sales insights. You’ll establish a product analytics culture, take ownership of high\-impact ML products, and define how data drives decisions.
 If you’re excited about turning data into insights, driving real impact, and contributing to Unity’s mission, this is your opportunity to make a lasting difference.
**What You'll Be Doing**
* Collaborate closely with PM, Engineering, Sales, and other cross\-functional leaders to inform strategy and support decisions across our Ads group.
* Transform large\-scale datasets into actionable insights, using quantitative analysis, experimentation, and data mining to support product and business success.
* Define success metrics, track performance, and measure the impact of ML and product initiatives.
* Guide product decisions by uncovering trends, identifying opportunities, providing data\-driven recommendations and driving product roadmaps.
* Serve as a subject matter expert, translating business questions into analytical work that drives decisions and identifies process improvements.
**What We're Looking For**
* Advanced degree (MS or Ph.D.) in Computer Science, Machine Learning, Statistics, Mathematics, related field, or equivalent practical experience.
* 7\+ years of experience in statistical analysis and experimentation using Python, R, or equivalent, with strong skills in quantitative problem solving and understanding user behaviors and ecosystems.
* Strong experience transforming large\-scale data into actionable insights
* Bias for action, curiosity, and proactiveness, with the ability to break down ambiguous problems and explore patterns.
* Resilient and adaptable, navigating uncertainty and learning from setbacks, with an optimistic, solution\-focused approach grounded in first\-principles thinking.
**You might also have**
* Experience in AdTech, performance marketing, mobile games industry or SaaS (marketplace) products is a plus.
* Hands\-on experience developing, deploying, or analyzing ML products and models in a production environment.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$168,900—$321,600 USD</t>
        </is>
      </c>
    </row>
    <row r="61">
      <c r="A61" t="inlineStr">
        <is>
          <t>li-4352420548</t>
        </is>
      </c>
      <c r="B61" t="inlineStr">
        <is>
          <t>Senior Data Scientist</t>
        </is>
      </c>
      <c r="C61" t="inlineStr">
        <is>
          <t>Jobs via eFinancialCareers</t>
        </is>
      </c>
      <c r="D61" t="inlineStr">
        <is>
          <t>linkedin</t>
        </is>
      </c>
      <c r="E61" t="inlineStr"/>
      <c r="F61" t="inlineStr"/>
      <c r="G61" t="inlineStr">
        <is>
          <t>New York, NY</t>
        </is>
      </c>
      <c r="H61" t="inlineStr"/>
      <c r="I61"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experiencein data science or a related field, with a focus on AI, machine learning, and NLP, preferably in a senior technical or leadership role.
* Bachelor's or Master's degreein Computer Science, Engineering, Data Science, or related field. A Ph.D. in a relevant field is a plus.
* Expertise in Natural Language Processing (NLP)with a deep understanding of the latest NLP stack, including transformer\-based architectures such as BERT, GPT, T5, and newer models like GPT\-4, PaLM, and other state\-of\-the\-art large language models (LLMs) that are driving the evolution of NLP applications.
* Extensive experiencewith advanced machine learning and deep learning frameworks such as TensorFlow 2\.x, PyTorch, Hugging Face, and JAX for NLP and other advanced AI tasks.
* Deep knowledge of cloud services (AWS, GCP, Azure)and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NLTKfor efficient model training, fine\-tuning, and data preprocessing.
* Strong programming skills in Python, R, and SQL, with advanced proficiency in handling large\-scale data using distributed data systemslike Apache Spark, cloud\-native NoSQL databasessuch as MongoDB, Cassandra, and DynamoDB, as well as search engines like Elasticsearchand vector databasesfor semantic search (e.g., Pinecone, Weaviate).
* Hands\-on experiencewith data ingestion, data wrangling, and data pipeline orchestration using tools like Apache Kafka, Apache Spark, Airflow, and distributed computing frameworks like Daskand Ray.
* Experience with advanced data science methodologies, including ensemble learning, deep reinforcement learning, transfer learning, and deploying large pre\-trained modelsfor real\-time inference and production.
* Ability to design, prototype, and deploy NLP modelsfor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rolesis highly valued, particularly in the enterprise tech or financial sectors.
* Familiarity with AI\-powered product developmentin industries such as finance, healthcare, or e\-commerce.
* Experience with data visualization toolslike Tableau, Power BI, or Plotlyto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62">
      <c r="A62" t="inlineStr">
        <is>
          <t>li-4370439649</t>
        </is>
      </c>
      <c r="B62" t="inlineStr">
        <is>
          <t>Senior Data Scientist</t>
        </is>
      </c>
      <c r="C62" t="inlineStr">
        <is>
          <t>Jobs via Dice</t>
        </is>
      </c>
      <c r="D62" t="inlineStr">
        <is>
          <t>linkedin</t>
        </is>
      </c>
      <c r="E62" t="inlineStr"/>
      <c r="F62" t="inlineStr"/>
      <c r="G62" t="inlineStr">
        <is>
          <t>Spring, TX</t>
        </is>
      </c>
      <c r="H62" t="inlineStr"/>
      <c r="I62" t="inlineStr">
        <is>
          <t>Dice is the leading career destination for tech experts at every stage of their careers. Our client, Nava Software Solutions, is seeking the following. Apply via Dice today!
**NAVA Software solutions is looking for a Sr Data Scientist.**
**Details:**
**Senior Data Scientist**
**Location: Spring TX \- Hybrid**
**Duration: 6\-12 months**
**Job Duties/Roles**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**Knowledge, Skills And Abilities Required (KSAR)**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quickly adapt and learn new domains, technologies, and platforms.
* Proven ability to lead data\-driven projects and guide strategic decisions through analytics.
* Strong mentoring skills to support junior team members and interns.
* Demonstrated ability to solve complex problems with innovative and practical solutions.
* Entrepreneurial mindset with a focus on experimentation, scalability, and business value.
**Minimum Years Of Experience**
 2 to 3 years' work experience as a Senior Data Scientist and over 7 years' experience in Data Science, Information Systems, Computer Science, Engineering or other relevant field with relevant experience.
**Required/Preferred Education Requirements**
 Preferred \- master's degree in data science, Data Analytics, Information Systems, Computer Science, Engineering or other relevant field. Required bachelor's degree in data science, Information Systems, Computer Science, Engineering or other relevant field with relevant experience.
**Required/Preferred Professional Requirements**
* Prefer to have Career Essentials in Generative AI by Microsoft and LinkedIn
* Prefer to have Build Your Generative AI Productivity Skills with Microsoft and LinkedIn
* Prefer to have Azure AI Fundamentals
* Prefer to have Azure Data Scientist Associate
* Prefer to have Azure AI Engineer Associate</t>
        </is>
      </c>
    </row>
    <row r="63">
      <c r="A63" t="inlineStr">
        <is>
          <t>li-4370457296</t>
        </is>
      </c>
      <c r="B63" t="inlineStr">
        <is>
          <t>Principal Data Scientist - Florida</t>
        </is>
      </c>
      <c r="C63" t="inlineStr">
        <is>
          <t>Jobs via Dice</t>
        </is>
      </c>
      <c r="D63" t="inlineStr">
        <is>
          <t>linkedin</t>
        </is>
      </c>
      <c r="E63" t="inlineStr"/>
      <c r="F63" t="inlineStr"/>
      <c r="G63" t="inlineStr">
        <is>
          <t>Vero Beach, FL</t>
        </is>
      </c>
      <c r="H63" t="inlineStr"/>
      <c r="I63" t="inlineStr">
        <is>
          <t>Dice is the leading career destination for tech experts at every stage of their careers. Our client, SRS Consulting Inc, is seeking the following. Apply via Dice today!
**Role:** 
**Principal Data Scientist**
 Location: VERO BEACH, FL\- Onsite
**Duration:** 
 Long Term
**Description**
 We are seeking a Data Scientist with 9 or more years of hands on experience in data cleaning, transformation, and analysis using Python. The ideal candidate is comfortable working with large, messy datasets, has exposure to modern data technologies, and brings a strong analytical mindset. Experience with machine learning and LLMs is a strong plus
 **.**
* Data scientists with proven time\-series forecasting portfolios
* Candidates from energy, utility, or renewable sectors
* Profiles showing ARIMA/SARIMAX/Prophet/LSTM experience
* Evidence of weather\-dependent forecasting projects
* Production deployment of operational forecasting systems
**Key Responsibilities**
* Clean, preprocess, and transform structured and unstructured data using Python
* Perform exploratory data analysis (EDA) to uncover insights and trends
* Build reusable data pipelines and feature engineering workflows
* Work with SQL and/or cloud based data warehouses to extract and prepare data
* Collaborate with stakeholders to translate business problems into data driven solutions
* Develop and maintain analytical models and dashboards
* Apply basic to intermediate machine learning techniques where applicable
* Experiment with and support LLM based solutions (prompting, embeddings, APIs) as needed
* Ensure data quality, reliability, and documentation
**Required Skills \&amp; Qualifications**
* 9\+ years of experience as a Data Scientist / Data Analyst
* Strong proficiency in Python for data manipulation and analysisPandas, NumPy, SciPy
* Solid understanding of data cleaning, transformation, and feature engineering
* Experience with SQL (PostgreSQL, MySQL, BigQuery, Snowflake, etc.)
* Familiarity with data visualization toolsMatplotlib, Seaborn, Plotly, or Power BI/Tableau
* Understanding of statistics and data analysis fundamentals
* Experience working with APIs and external data sources
* Strong problem solving and communication skills
* Modern / Latest Tech Stack (Preferred)
* Python (3\.x)
* Pandas, NumPy, Scikit learn
* Jupyter, VS Code
* Git / GitHub
* Cloud platforms: AWS / Azure / Google Cloud Platform
* Data tools: Airflow, dbt, Spark (basic exposure)
* Containerization: Docker (nice to have)
**Good to Have**
* Hands on experience with Machine Learning modelsRegression, classification, clustering, time series
* Exposure to LLMs and Generative AIOpenAI / Azure OpenAI APIs
* Prompt engineering
* Embeddings, vector databases (FAISS, Pinecone, Chroma)
* Experience with NLP or text analytics
* Knowledge of MLOps basics (model versioning, monitoring)</t>
        </is>
      </c>
    </row>
    <row r="64">
      <c r="A64" t="inlineStr">
        <is>
          <t>li-4370450596</t>
        </is>
      </c>
      <c r="B64" t="inlineStr">
        <is>
          <t>Senior Data Scientist -  Plano, TX(Hybrid)</t>
        </is>
      </c>
      <c r="C64" t="inlineStr">
        <is>
          <t>Jobs via Dice</t>
        </is>
      </c>
      <c r="D64" t="inlineStr">
        <is>
          <t>linkedin</t>
        </is>
      </c>
      <c r="E64" t="inlineStr"/>
      <c r="F64" t="inlineStr"/>
      <c r="G64" t="inlineStr">
        <is>
          <t>Plano, TX</t>
        </is>
      </c>
      <c r="H64" t="inlineStr"/>
      <c r="I64" t="inlineStr">
        <is>
          <t>Dice is the leading career destination for tech experts at every stage of their careers. Our client, TechniPros, LLC, is seeking the following. Apply via Dice today!
**Job Title: Senior Data Scientist**
**Location: Plano, TX(Hybrid)**
**Looking For W2 Not C2C**
**Experience Required: 11 \+ Years
 Job Summary:**
 We are seeking a Senior Data Scientist with extensive experience in the Databricks and Spark ecosystems to drive high\-impact AI/ML initiatives. This role requires a technical leader who can architect scalable data processing solutions using PySpark and Scala, build predictive models with Spark ML, and implement robust MLOps pipelines. You will lead the integration of Generative AI and cloud\-native machine learning services across AWS, ensuring that data\-driven insights are converted into strategic business outcomes for Toyota.
**Key Responsibilities \&amp; Required Skills:**
 Scalable Data Engineering \&amp; Spark
**Advanced Data Processing:** 
 Design and implement high\-performance analytics solutions using Spark SQL, PySpark, and Spark Scala.
**Lakehouse Optimization:** 
 Utilize Databricks Delta Lake and Databricks SQL to ensure reliable, performant data storage and retrieval for large\-scale Modeling.
**Workflow Automation:** 
 Develop and manage Databricks Workflows to streamline complex data processing pipelines and improve operational uptime.
 Machine Learning \&amp; AI Innovation
**Model Development:** 
 Lead the creation of scalable machine learning models utilizing Spark ML to provide deep predictive insights.
**Generative AI:** 
 Apply GenAI techniques to solve complex business challenges and drive technological innovation within the organization.
**Cloud AI Services:** 
 Implement and scale AI applications using AWS Machine Learning and explore multi\-cloud capabilities across Google Cloud Platform and Azure.
 MLOps \&amp; Operational Excellence
**Reliability \&amp; Scalability:** 
 Optimize MLOps frameworks to ensure the continuous integration, deployment, and monitoring of production\-grade models.
**Performance Monitoring:** 
 Regularly evaluate model accuracy and effectiveness, providing actionable recommendations to senior stakeholders based on rigorous data analysis.
**Cross\-Functional Leadership** 
 : Provide technical mentorship and collaborate with cross\-functional teams to integrate AI concepts into existing enterprise workflows.
**Qualifications:**
 Bachelor's or master's degree in computer science, Statistics, or a related quantitative field.
 Strong analytical skills with a proven track record of providing actionable insights to support strategic decision\-making.
 Excellent communication skills for stakeholder engagement and cross\-team collaboration.
**Best Regards:**
**Peerbhi SK**
 Phone:
 Email:</t>
        </is>
      </c>
    </row>
    <row r="65">
      <c r="A65" t="inlineStr">
        <is>
          <t>li-4370616079</t>
        </is>
      </c>
      <c r="B65" t="inlineStr">
        <is>
          <t>Product Data Scientist, Operation Center</t>
        </is>
      </c>
      <c r="C65" t="inlineStr">
        <is>
          <t>Waymo</t>
        </is>
      </c>
      <c r="D65" t="inlineStr">
        <is>
          <t>linkedin</t>
        </is>
      </c>
      <c r="E65">
        <f>HYPERLINK("https://www.linkedin.com/jobs/view/4370616079", "https://www.linkedin.com/jobs/view/4370616079")</f>
        <v/>
      </c>
      <c r="F65" t="inlineStr"/>
      <c r="G65" t="inlineStr">
        <is>
          <t>Mountain View, CA</t>
        </is>
      </c>
      <c r="H65" t="inlineStr"/>
      <c r="I6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Data Science team works cross\-functionally with Engineering, Product and Operations to help the company make the most informed decisions using data. Our team collaborates on high\-impact projects across the company — from driving quality and operational efficiency to market analysis and rider satisfaction scores — we help to safely and efficiently scale the Waymo Driver. We are data\-driven, curious, open\-minded, and adapt quickly to new information.
*This role follows a hybrid work schedule and you will report to the Manager of Product Data Science.*
**You Will**
* Develop and deploy statistical models to determine optimal staffing levels, ensuring rapid response times to AV and rider inquiries while upholding Waymo's safety standards
* Collaborate with Engineering to design and implement optimization models for request prioritization and queuing, driving cutting\-edge scalability for operations
* Conduct deep\-dive data analysis and trend evaluation to identify and execute on opportunities to improve Operations Center efficiency and customer experience
* Partner with Product and Operation to define metrics, measurement framework, and be a promoter of experimentation
* Build and maintain robust data foundations and reporting infrastructure
**You Have**
* Coding skills (Python and SQL),
* Experience with Modeling and Optimization
* At least 8 years of industry experience
* Strong Communication and Stakeholder \&amp; Management skills
**We Prefer**
* Experience with Experimentation
* Previous experience with Call Centers and queuing theory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66">
      <c r="A66" t="inlineStr">
        <is>
          <t>li-4370615121</t>
        </is>
      </c>
      <c r="B66" t="inlineStr">
        <is>
          <t>Product Data Scientist, Operation Center</t>
        </is>
      </c>
      <c r="C66" t="inlineStr">
        <is>
          <t>Waymo</t>
        </is>
      </c>
      <c r="D66" t="inlineStr">
        <is>
          <t>linkedin</t>
        </is>
      </c>
      <c r="E66">
        <f>HYPERLINK("https://www.linkedin.com/jobs/view/4370615121", "https://www.linkedin.com/jobs/view/4370615121")</f>
        <v/>
      </c>
      <c r="F66" t="inlineStr"/>
      <c r="G66" t="inlineStr">
        <is>
          <t>San Francisco, CA</t>
        </is>
      </c>
      <c r="H66" t="inlineStr"/>
      <c r="I6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Data Science team works cross\-functionally with Engineering, Product and Operations to help the company make the most informed decisions using data. Our team collaborates on high\-impact projects across the company — from driving quality and operational efficiency to market analysis and rider satisfaction scores — we help to safely and efficiently scale the Waymo Driver. We are data\-driven, curious, open\-minded, and adapt quickly to new information.
*This role follows a hybrid work schedule and you will report to the Manager of Product Data Science.*
**You Will**
* Develop and deploy statistical models to determine optimal staffing levels, ensuring rapid response times to AV and rider inquiries while upholding Waymo's safety standards
* Collaborate with Engineering to design and implement optimization models for request prioritization and queuing, driving cutting\-edge scalability for operations
* Conduct deep\-dive data analysis and trend evaluation to identify and execute on opportunities to improve Operations Center efficiency and customer experience
* Partner with Product and Operation to define metrics, measurement framework, and be a promoter of experimentation
* Build and maintain robust data foundations and reporting infrastructure
**You Have**
* Coding skills (Python and SQL),
* Experience with Modeling and Optimization
* At least 8 years of industry experience
* Strong Communication and Stakeholder \&amp; Management skills
**We Prefer**
* Experience with Experimentation
* Previous experience with Call Centers and queuing theory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67">
      <c r="A67" t="inlineStr">
        <is>
          <t>li-4370903554</t>
        </is>
      </c>
      <c r="B67" t="inlineStr">
        <is>
          <t>Data Scientist (REMOTE)</t>
        </is>
      </c>
      <c r="C67" t="inlineStr">
        <is>
          <t>Lensa</t>
        </is>
      </c>
      <c r="D67" t="inlineStr">
        <is>
          <t>linkedin</t>
        </is>
      </c>
      <c r="E67">
        <f>HYPERLINK("https://www.linkedin.com/jobs/view/4370903554", "https://www.linkedin.com/jobs/view/4370903554")</f>
        <v/>
      </c>
      <c r="F67" t="inlineStr"/>
      <c r="G67" t="inlineStr">
        <is>
          <t>Dallas, TX</t>
        </is>
      </c>
      <c r="H67" t="inlineStr"/>
      <c r="I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68">
      <c r="A68" t="inlineStr">
        <is>
          <t>li-4362224209</t>
        </is>
      </c>
      <c r="B68" t="inlineStr">
        <is>
          <t>Sr. Data Scientist (Credit Risk)</t>
        </is>
      </c>
      <c r="C68" t="inlineStr">
        <is>
          <t>Achieve</t>
        </is>
      </c>
      <c r="D68" t="inlineStr">
        <is>
          <t>linkedin</t>
        </is>
      </c>
      <c r="E68">
        <f>HYPERLINK("https://www.linkedin.com/jobs/view/4362224209", "https://www.linkedin.com/jobs/view/4362224209")</f>
        <v/>
      </c>
      <c r="F68" t="inlineStr"/>
      <c r="G68" t="inlineStr">
        <is>
          <t>Dallas, TX</t>
        </is>
      </c>
      <c r="H68" t="inlineStr"/>
      <c r="I68"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We are looking for an experienced, hands\-on
 **Credit Risk, Sr. Data Scientist** 
 who is comfortable working with large data sets, coding in SQL and Python and gaining insights from the data and translating the results into actionable insights for business stakeholders. In this role, you will maintain and enhance our credit risk models/policies to monitor the portfolio and gain insights. You will also build and monitor credit risk models with an eye on loss forecasting and communicate the results to different teams such as Capital Market and Marketing. The candidate should have a passion for streamlining processes and building tools which can monitor models/portfolio effectively. You will be a key contributor to our risk management processes.
**Key Responsibilities**
* Building, maintaining and enhancing credit risk models for lending portfolios.
* Extract, clean and manipulate large data sets using SQL and Python; build pipelines and analytics to perform model and portfolio monitoring.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insights to business stakeholders on credit policy assumptions, model health, and emerging portfolio risks.
* Automate reporting, dashboards and pipelines to streamline model monitoring and improve efficiency and accuracy.
* Document model methodologies, assumptions, data sources and results in clear, audit\-ready format consistent with risk governance requirements.
* Participate in governance and review of credit model methodology, model validation support and liaise with external auditors or regulators where needed.
* Continuously identify opportunities to improve credit decisioning accuracy, data infrastructure, modeling techniques, and integrate advanced statistical or machine\-learning techniques as appropriate.
**Qualifications**
**Required:**
* Minimum of 3 years’ hands\-on experience in credit risk modeling and portfolio monitoring. For example, roles in model and performance monitoring, tracking charge\-offs, delinquencies, vintage analysis, roll\-rates, etc.
* Strong programming skills in Python/SQL for data analysis, modeling and automation.
* Solid background in Probability \&amp; Statistics
* Experience with pricing and price optimization along with analytics and monitoring related to pricing
* Experience with credit risk modeling methodologies: Scorecard models, XGBoost, time\-series analysis, vintage modeling, roll\-rate curves, survival analysis or logistic regression in consumer credit risk context.
* Familiarity with data visualization tools (e.g., Tableau, Python Widgets) or dashboarding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lending (personal loans or credit cards) or fintech lending environment.
* Experience with credit risk modeling (development \&amp; monitoring)
* Experience working with credit decisioning engines such as Oscilar, TakTile etc…
* Experience working in CKLightbox environment
* Experience working in the GCP environment.
* A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69">
      <c r="A69" t="inlineStr">
        <is>
          <t>li-4370877166</t>
        </is>
      </c>
      <c r="B69" t="inlineStr">
        <is>
          <t>Applied Scientist</t>
        </is>
      </c>
      <c r="C69" t="inlineStr">
        <is>
          <t>Huzzle.com</t>
        </is>
      </c>
      <c r="D69" t="inlineStr">
        <is>
          <t>linkedin</t>
        </is>
      </c>
      <c r="E69">
        <f>HYPERLINK("https://www.linkedin.com/jobs/view/4370877166", "https://www.linkedin.com/jobs/view/4370877166")</f>
        <v/>
      </c>
      <c r="F69" t="inlineStr"/>
      <c r="G69" t="inlineStr"/>
      <c r="H69" t="inlineStr"/>
      <c r="I69" t="inlineStr">
        <is>
          <t>**Founding Applied Scientist** 
**Location:** 
 Hybrid / San Francisco
**Compensation:** 
 $140k–$240k base \+ equity \+ bonus
 This role sits at the intersection of
 **applied research and frontier\-lab GTM** 
 . You will anticipate upcoming data needs at leading AI labs, turn those insights into concrete data products, and drive early pilots with top frontier teams.
**I. Applied Research** 
* Anticipate future human data requirements by tracking recent research papers and gathering insight through your network.
* Translate research signals into executable data projects (across SFT / RLHF data, evals, RL environments, etc.)
* Scope projects end\-to\-end and cordinate with operations to support execution through early iterations.
* Work on internal data initiatives and
 **run experiments you're excited about!**
**II. Frontier Lab GTM** 
* Prepare data and project proposals for frontier AI labs.
* Lead technical GTM conversations with researchers.
* Secure pilots with leading AI labs.
**Role Evolution** 
 This role can evolve into a
 **higher\-level position** 
 , such as
 **Founding GM, Huzzle Labs** 
 , with ownership over long\-term strategy, hiring, and investments.
**Team \&amp; Company** 
 Huzzle is a team of \~30 across Berlin, London, and San Francisco. We work primarily remotely, with hubs in Berlin and London, and plan to establish a physical presence in SF.
 Huzzle is backed by the co\-founder of Hugging Face, researchers from Magic, Meta, and Applied Intuition, and investors including 10X Founders, Emerge Capital, and Angel Invest.</t>
        </is>
      </c>
    </row>
    <row r="70">
      <c r="A70" t="inlineStr">
        <is>
          <t>li-4361875108</t>
        </is>
      </c>
      <c r="B70" t="inlineStr">
        <is>
          <t>Sr. Data Scientist (Credit Risk)</t>
        </is>
      </c>
      <c r="C70" t="inlineStr">
        <is>
          <t>Achieve</t>
        </is>
      </c>
      <c r="D70" t="inlineStr">
        <is>
          <t>linkedin</t>
        </is>
      </c>
      <c r="E70">
        <f>HYPERLINK("https://www.linkedin.com/jobs/view/4361875108", "https://www.linkedin.com/jobs/view/4361875108")</f>
        <v/>
      </c>
      <c r="F70" t="inlineStr"/>
      <c r="G70" t="inlineStr">
        <is>
          <t>San Mateo, CA</t>
        </is>
      </c>
      <c r="H70" t="inlineStr"/>
      <c r="I70"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We are looking for an experienced, hands\-on
 **Credit Risk, Sr. Data Scientist** 
 who is comfortable working with large data sets, coding in SQL and Python and gaining insights from the data and translating the results into actionable insights for business stakeholders. In this role, you will maintain and enhance our credit risk models/policies to monitor the portfolio and gain insights. You will also build and monitor credit risk models with an eye on loss forecasting and communicate the results to different teams such as Capital Market and Marketing. The candidate should have a passion for streamlining processes and building tools which can monitor models/portfolio effectively. You will be a key contributor to our risk management processes.
**Key Responsibilities**
* Building, maintaining and enhancing credit risk models for lending portfolios.
* Extract, clean and manipulate large data sets using SQL and Python; build pipelines and analytics to perform model and portfolio monitoring.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insights to business stakeholders on credit policy assumptions, model health, and emerging portfolio risks.
* Automate reporting, dashboards and pipelines to streamline model monitoring and improve efficiency and accuracy.
* Document model methodologies, assumptions, data sources and results in clear, audit\-ready format consistent with risk governance requirements.
* Participate in governance and review of credit model methodology, model validation support and liaise with external auditors or regulators where needed.
* Continuously identify opportunities to improve credit decisioning accuracy, data infrastructure, modeling techniques, and integrate advanced statistical or machine\-learning techniques as appropriate.
**Qualifications**
**Required:**
* Minimum of 3 years’ hands\-on experience in credit risk modeling and portfolio monitoring. For example, roles in model and performance monitoring, tracking charge\-offs, delinquencies, vintage analysis, roll\-rates, etc.
* Strong programming skills in Python/SQL for data analysis, modeling and automation.
* Solid background in Probability \&amp; Statistics
* Experience with pricing and price optimization along with analytics and monitoring related to pricing
* Experience with credit risk modeling methodologies: Scorecard models, XGBoost, time\-series analysis, vintage modeling, roll\-rate curves, survival analysis or logistic regression in consumer credit risk context.
* Familiarity with data visualization tools (e.g., Tableau, Python Widgets) or dashboarding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lending (personal loans or credit cards) or fintech lending environment.
* Experience with credit risk modeling (development \&amp; monitoring)
* Experience working with credit decisioning engines such as Oscilar, TakTile etc…
* Experience working in CKLightbox environment
* Experience working in the GCP environment.
* A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71">
      <c r="A71" t="inlineStr">
        <is>
          <t>li-4370496942</t>
        </is>
      </c>
      <c r="B71" t="inlineStr">
        <is>
          <t>Associate Data Scientist</t>
        </is>
      </c>
      <c r="C71" t="inlineStr">
        <is>
          <t>Quantifind</t>
        </is>
      </c>
      <c r="D71" t="inlineStr">
        <is>
          <t>linkedin</t>
        </is>
      </c>
      <c r="E71">
        <f>HYPERLINK("https://www.linkedin.com/jobs/view/4370496942", "https://www.linkedin.com/jobs/view/4370496942")</f>
        <v/>
      </c>
      <c r="F71" t="inlineStr"/>
      <c r="G71" t="inlineStr">
        <is>
          <t>Palo Alto, CA</t>
        </is>
      </c>
      <c r="H71" t="inlineStr"/>
      <c r="I71" t="inlineStr">
        <is>
          <t>**Who You Are**
 You are a quantitative thinker who wants to develop further as both a data scientist and an engineer. You are skilled at finding the precise mathematical kernels of real\-world problems and want to bring that talent to bear on the business questions facing the world’s leading financial services companies. You are excited to apply your existing expertise in fields such as statistics and computer science to solve mission critical problems. You are excited to work at a fast\-paced startup where you will have a chance to expand your scientific and engineering skills to new areas. You share Quantifind’s commitment to winning together, and are eager to see your coworkers build on the technical foundations you will be creating. You are passionate about maintaining the high scientific and engineering standards required to enable your peers. Above all, you are a curious and independent problem solver who is motivated to find a place where your skills can have real impact.
**Who We Are**
 Quantifind helps some of the world’s biggest banks catch money laundering and fraud. Quantifind also works with government agencies to use the same platform to uncover criminal networks and combat money laundering committed by internationally sanctioned entities. Unlike other players in this space, Quantifind delivers results as Software\-as\-a\-Service (SaaS) with consumer\-grade user experiences.
 Quantifind is a data science technology company whose AI platform uncovers signals of risk across disparate and unstructured text sources.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through Machine Learning driven solutions that resolve for both accuracy and relevance.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**What You'll Be Doing**
 Members of the Data Science team prototype and build complex Machine Learning solutions, improve and refine existing products through data\-driven development cycles, and support our customers extract the maximum value out of Quantifind's Graphyte platform through proofs of concepts (POC) and purpose built solutions as necessary. We work closely with the Product Management and Platform teams to anticipate company needs and quickly put state\-of\-the\-art Data Science and AI tools into the hands of end users. As a team member your duties will include:
* Collaborating with fellow team members and key stakeholders, such as, Product Managers, Platform Engineers to explore ideas, test hypotheses, and prototype solutions.
* Working in an agile environment breaking down complex problems into smaller manageable tasks with the help of your teammates and manager.
* Leveraging SQL, Python and PySpark to analyze large unstructured data sets to answer key business questions, inform research directions, or set up modeling tasks.
* Designing, writing, and maintaining ETL pipelines for integrating large and complex datasets.
* Experimenting with novel ways to use existing data\-based solutions to support customers’ unique challenges.
* Training machine learning models to solve complex problems.
* Implementing Data Science solutions in our Production Scala codebase following software engineering best practices.
* Leveraging Large Language Models (LLMs) to scale up various data science tasks (for example: data labeling, extracting structured information, …)
* Participating in code reviews.
**What A Great Candidate Looks Like**
* MS or higher in the following areas: Statistics, Mathematics, or Computer Science
* At least 1 year of professional industry experience, in addition to your academic experience
* Outstanding analytical skills and the ability to communicate quantitative results to technical and non\-technical audiences
* Strong knowledge of Statistics/Probability/Machine Learning including core concepts of hypothesis testing, inference, bias\-variance trade\-off, regularization, dimensionality reduction etc.
* Experience using supervised and unsupervised statistical techniques such as regression, classification, and clustering
* Experience with popular machine learning algorithms such as random forests, Boosting, and neural networks
* Experience with Applied NLP methods is a strong plus, including topic modeling, text classification, word embeddings, and named entity extraction
* Strong programming experience in Python and one or more of the following: Scala/Java or R
* Experience with SQL and/or Spark
* Knowledge of data structures and algorithm complexity
**The Opportunity We Offer**
 Quantifind is seeking to fill an Associate Data Scientist position on our Data Science team in Palo Alto, California. Our development team is centered here in Palo Alto, and we have technology hubs in Atlanta, Georgia, and in Washington, D.C. We are currently using a hybrid mix of working from home and in the office.
**A Highlight Of Our Benefits**
* Competitive salary
* Company Equity
* Exceptional benefits package
* Flexible Vacation \&amp; Paid Time Off
* Employer\-matched 401(k) plan
* A fun environment where work\-life balance is valued
* Lunch provided for employees in the Palo Alto office
 The base salary range for this full\-time position is $100,000\-$130,000\.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pride ourselves on living our values. We are curious. We respect each other. We are proactively transparent. We relentlessly solve problems. We win together.
 Will you join us? Apply now!</t>
        </is>
      </c>
    </row>
    <row r="72">
      <c r="A72" t="inlineStr">
        <is>
          <t>li-4363021112</t>
        </is>
      </c>
      <c r="B72" t="inlineStr">
        <is>
          <t>Data Scientist</t>
        </is>
      </c>
      <c r="C72" t="inlineStr">
        <is>
          <t>Vox Media</t>
        </is>
      </c>
      <c r="D72" t="inlineStr">
        <is>
          <t>linkedin</t>
        </is>
      </c>
      <c r="E72">
        <f>HYPERLINK("https://www.linkedin.com/jobs/view/4363021112", "https://www.linkedin.com/jobs/view/4363021112")</f>
        <v/>
      </c>
      <c r="F72">
        <f>HYPERLINK("https://app.greenhouse.io/embed/job_app?token=7590118&amp;urlHash=up1l", "https://app.greenhouse.io/embed/job_app?token=7590118&amp;urlHash=up1l")</f>
        <v/>
      </c>
      <c r="G72" t="inlineStr"/>
      <c r="H72" t="inlineStr"/>
      <c r="I72" t="inlineStr">
        <is>
          <t>As a Data Scientist focused on our Consumer Revenue businesses, you’ll work on problems that fuel the next stage of growth. You will build tools, models, and frameworks that push our understanding of what our paying subscribers care about, what marketing strategies work and the impact they have, and what to try next.
 This role is on Vox Media’s Data team, which is responsible for maintaining our data warehouse and for a number of backend systems that power personalized audience experiences across our brands, like search and personalized feeds in the Eater app and reading recommendations on New York magazine.
**What You’ll Do**
* Solve problems like churn risk modeling, LTV calculations, retention impact measurement, paid marketing attribution, etc. and build tools and integrations to make their outputs actionable.
* Define measurement frameworks and build tools and dashboards to measure impact of initiatives across acquisition, engagement, and retention.
* Work closely with team leads on the Data and Consumer Revenue teams to understand problems, discuss approaches, and make decisions about approaches and tradeoffs.
* In partnership with data engineers and analysts, help with ongoing measurement and reporting needs for this business.
* Occasionally work in partnership with others on audience\-facing initiatives like recommendations.
**Who You Are**
* Familiarity with Python and SQL, particularly in the context of data science and analytics
* Self\-sufficiency. You feel comfortable owning a problem end\-to\-end, identifying the right approach, writing transformation logic to create a dataset, building a model, and a tool to consume its output.
* Experience working with a cloud\-based data warehouse, like BigQuery or Snowflake. We use BigQuery with dbt for transformation and Dagster for orchestration.
* Demonstrable experience using data science to solve a business problem. This does not need to be cutting\-edge ML. We’re looking for someone who can evaluate tradeoffs and choose the right solution for the problem, even if that’s rule\-based logic.
* Adept at leveraging AI both to accelerate your own work and to automate data science and analytics workflows. Expect to use AI regularly in this role to understand new problem spaces and common approaches, write code and documentation, and build tools.
* Some experience with experiment design and measurement.
 NICE TO HAVES:
* Experience with data and analytics in the context of a recurring subscription business model
* Prior exposure to methodologies like survival analysis for retention measurement, Markov Chains for multi\-touch attribution, frameworks for measuring and segmenting engagement levels
* Experience with tools in our stack — BigQuery, dbt, Dagster, Hightouch, Looker
 If you think you have what it takes, but don't meet every single point in our job posting, please apply with a cover letter to let us know how you believe you can bring your unique skills to the Vox Media team or get in touch!
**WHERE YOU’LL WORK**
**This job is remote.**
**WHY VOX MEDIA?**
**What We Offer**
**This is a permanent, full\-time position** 
 . This job is benefits\-eligible. We pride ourselves in providing comprehensive benefits to support all of our employees wherever they are in life. You can find more information about our benefits here.
**OUR DEI\+ COMMITMENT**
 Vox Media is committed to building an inclusive environment where everyone can show up as their authentic selves and create their best work. We recognize that great stories, platforms, products and services come from people with all manner of backgrounds and experiences. We recognize that our commitments require ongoing work and sustained attention, as well as adaptation to new insights and best practices. We keep data regarding the demographics of our employees public and you can access it here. Learn more about our approach to corporate citizenship here.
 Vox Media is an Equal Opportunity Employer and qualified applicants will receive consideration without regard to race, color, gender, sexual orientation, gender identity or expression, religion, disability, national origin, protected veteran status, age, or any other status protected by applicable national, federal, state, or local law. Vox Media will also consider all qualified applicants with criminal histories in accordance with applicable Fair Chance laws. We are also committed to providing reasonable accommodations as part of the application process to candidates with disabilities. If you require a reasonable accommodation as part of the application process, please contact our People \&amp; Culture team (recruitment@voxmedia.com).
**What Comes Next**
 Our recruiting team will go through applications in a timely manner. Please note that our recruiting team will only contact you from @voxmedia.com email addresses, never via text message. Read more about how our recruiting team operates, and how to protect yourself from recruitment fraud, here.
**PAY TRANSPARENCY**
 The salary range listed below represents the minimum and maximum base pay for this position at the time of this posting. Final salary offered to the candidate selected for the position will be based on factors including but not limited to the candidate's skills and experience.
 Pay Range
 $127,000—$160,000 USD</t>
        </is>
      </c>
    </row>
    <row r="73">
      <c r="A73" t="inlineStr">
        <is>
          <t>li-4362291703</t>
        </is>
      </c>
      <c r="B73" t="inlineStr">
        <is>
          <t>Sr. Data Scientist (Credit Risk)</t>
        </is>
      </c>
      <c r="C73" t="inlineStr">
        <is>
          <t>Achieve</t>
        </is>
      </c>
      <c r="D73" t="inlineStr">
        <is>
          <t>linkedin</t>
        </is>
      </c>
      <c r="E73">
        <f>HYPERLINK("https://www.linkedin.com/jobs/view/4362291703", "https://www.linkedin.com/jobs/view/4362291703")</f>
        <v/>
      </c>
      <c r="F73" t="inlineStr"/>
      <c r="G73" t="inlineStr">
        <is>
          <t>Tempe, AZ</t>
        </is>
      </c>
      <c r="H73" t="inlineStr"/>
      <c r="I73"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We are looking for an experienced, hands\-on
 **Credit Risk, Sr. Data Scientist** 
 who is comfortable working with large data sets, coding in SQL and Python and gaining insights from the data and translating the results into actionable insights for business stakeholders. In this role, you will maintain and enhance our credit risk models/policies to monitor the portfolio and gain insights. You will also build and monitor credit risk models with an eye on loss forecasting and communicate the results to different teams such as Capital Market and Marketing. The candidate should have a passion for streamlining processes and building tools which can monitor models/portfolio effectively. You will be a key contributor to our risk management processes.
**Key Responsibilities**
* Building, maintaining and enhancing credit risk models for lending portfolios.
* Extract, clean and manipulate large data sets using SQL and Python; build pipelines and analytics to perform model and portfolio monitoring.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insights to business stakeholders on credit policy assumptions, model health, and emerging portfolio risks.
* Automate reporting, dashboards and pipelines to streamline model monitoring and improve efficiency and accuracy.
* Document model methodologies, assumptions, data sources and results in clear, audit\-ready format consistent with risk governance requirements.
* Participate in governance and review of credit model methodology, model validation support and liaise with external auditors or regulators where needed.
* Continuously identify opportunities to improve credit decisioning accuracy, data infrastructure, modeling techniques, and integrate advanced statistical or machine\-learning techniques as appropriate.
**Qualifications**
**Required:**
* Minimum of 3 years’ hands\-on experience in credit risk modeling and portfolio monitoring. For example, roles in model and performance monitoring, tracking charge\-offs, delinquencies, vintage analysis, roll\-rates, etc.
* Strong programming skills in Python/SQL for data analysis, modeling and automation.
* Solid background in Probability \&amp; Statistics
* Experience with pricing and price optimization along with analytics and monitoring related to pricing
* Experience with credit risk modeling methodologies: Scorecard models, XGBoost, time\-series analysis, vintage modeling, roll\-rate curves, survival analysis or logistic regression in consumer credit risk context.
* Familiarity with data visualization tools (e.g., Tableau, Python Widgets) or dashboarding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lending (personal loans or credit cards) or fintech lending environment.
* Experience with credit risk modeling (development \&amp; monitoring)
* Experience working with credit decisioning engines such as Oscilar, TakTile etc…
* Experience working in CKLightbox environment
* Experience working in the GCP environment.
* A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74">
      <c r="A74" t="inlineStr">
        <is>
          <t>li-4370912356</t>
        </is>
      </c>
      <c r="B74" t="inlineStr">
        <is>
          <t>Data Scientist</t>
        </is>
      </c>
      <c r="C74" t="inlineStr">
        <is>
          <t>Lensa</t>
        </is>
      </c>
      <c r="D74" t="inlineStr">
        <is>
          <t>linkedin</t>
        </is>
      </c>
      <c r="E74">
        <f>HYPERLINK("https://www.linkedin.com/jobs/view/4370912356", "https://www.linkedin.com/jobs/view/4370912356")</f>
        <v/>
      </c>
      <c r="F74" t="inlineStr"/>
      <c r="G74" t="inlineStr">
        <is>
          <t>San Francisco, CA</t>
        </is>
      </c>
      <c r="H74" t="inlineStr"/>
      <c r="I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an experienced Data Scientist to support our central analytics and finance disciplines at Twitch. Bringing to bear a mixture of data analysis, dashboarding, and SQL query skills, you will use data\-driven methods to answer business questions, and deliver insights that deepen understanding of our viewer behavior and monetization performance. Reporting to the VP of Finance, Analytics, and Business Operations, your team will be located in San Francisco.
 Our team is based in San Francisco, CA.
 You Will
* Create actionable insights from data related to Twitch viewers, creators, advertising revenue, commerce revenue, and content deals.
* Develop dashboards and visualizations to communicate points of view that inform business decision\-making.
* Create and maintain complex queries and data pipelines for ad\-hoc analyses.
* Author narratives and documentation that support conclusions.
* Collaborate effectively with business partners, product managers, and data team members to align data science efforts with strategic goals.
 Perks
* Medical, Dental, Vision \&amp; Disability Insurance
* 401(k)
* Maternity \&amp; Parental Leave
* Flexible PTO
* Amazon Employee Discount
**Basic Qualifications**
* Knowledge of Python or R or other scripting language
* 3\+ years of data science experience with a Bachelor's degree in a quantitative field (e.g., Statistics, Business Analytics, Data Science, Mathematics, Economics, Engineering or Computer Science).
* Expertise in using SQL for data analysis, reporting, and dashboarding.
* Expertise with visualization tools like Tableau or Quicksight.
* Comfort with data warehouses and big data technologies at consumer scale such as Redshift, Snowflake, Big Query, etc.
**Preferred Qualifications**
* Master's or Doctorate degree in a quantitative field (e.g. Statistics, Business Analytics, Data Science, Mathematics, Economics, Engineering, or Computer Science)
* Experience in gaming or digital media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 FRANCISCO \- 157,300\.00 \- 212,800\.00 USD annually
 USA, CA, San Francisco \- 157,300\.00 \- 212,800\.00 USD annually
 If you have questions about this posting, please contact support@lensa.com</t>
        </is>
      </c>
    </row>
    <row r="75">
      <c r="A75" t="inlineStr">
        <is>
          <t>li-4370899577</t>
        </is>
      </c>
      <c r="B75" t="inlineStr">
        <is>
          <t>Data Scientist (REMOTE)</t>
        </is>
      </c>
      <c r="C75" t="inlineStr">
        <is>
          <t>Lensa</t>
        </is>
      </c>
      <c r="D75" t="inlineStr">
        <is>
          <t>linkedin</t>
        </is>
      </c>
      <c r="E75">
        <f>HYPERLINK("https://www.linkedin.com/jobs/view/4370899577", "https://www.linkedin.com/jobs/view/4370899577")</f>
        <v/>
      </c>
      <c r="F75" t="inlineStr"/>
      <c r="G75" t="inlineStr">
        <is>
          <t>Greensboro, NC</t>
        </is>
      </c>
      <c r="H75" t="inlineStr"/>
      <c r="I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76">
      <c r="A76" t="inlineStr">
        <is>
          <t>li-4370473408</t>
        </is>
      </c>
      <c r="B76" t="inlineStr">
        <is>
          <t>Data Scientist</t>
        </is>
      </c>
      <c r="C76" t="inlineStr">
        <is>
          <t>HD Supply</t>
        </is>
      </c>
      <c r="D76" t="inlineStr">
        <is>
          <t>linkedin</t>
        </is>
      </c>
      <c r="E76">
        <f>HYPERLINK("https://www.linkedin.com/jobs/view/4370473408", "https://www.linkedin.com/jobs/view/4370473408")</f>
        <v/>
      </c>
      <c r="F76" t="inlineStr"/>
      <c r="G76" t="inlineStr">
        <is>
          <t>Wisconsin, United States</t>
        </is>
      </c>
      <c r="H76" t="inlineStr"/>
      <c r="I76" t="inlineStr">
        <is>
          <t>Must reside in the state(s) specified above. This position is only open to residents in the state(s) specified above.
**Job Summary**
 Responsible for modeling complex enterprise problems, discovering enterprise insights, and identifying opportunities through the use of statistical and machine learning algorithms, data mining, and visualization techniques. Integrates and prepares varied datasets, architects custom data environments, and communicates validation of results.
**Major Tasks, Responsibilities, And Key Accountabilities**
* Leads discovery processes with key stakeholders to identify business requirements and expected outcomes.
* Makes strategic recommendations on data collection, integration and retention, business requirements, and knowledge of best practices.
* Develops innovative and effective approaches to solve analytics problems and communicates results and methodologies.
* Collaborates with subject matter experts regarding relevant sources of information and makes recommendations on data collection, integration, and retention requirements.
* Recommends new and improved methods to improve data and search quality and predictive and prescriptive capabilities.
* Integrates and prepares large, varied datasets. Architects specialized database and computing environments and communicates results.
* Creates statistical and machine learning models to solve complex business problems across Sales, Marketing, and Supply Chain.
* Partners with Data Engineers and Information Technology to operationalize machine learning algorithms in a production environment.
**Nature and Scope**
* Identifies key barriers/core problems and applies problem solving skills in order to deal creatively with complex situations. Troubleshoots and resolves complex problems. Makes decisions under conditions of uncertainty, sometimes with incomplete information, that produce effective end results.
* Independently performs assignments with instruction limited to the expected results. Determines and develops an approach to solutions. Receives technical guidance only on unusual or complex problems or issues.
* May oversee the completion of projects and assignments, including planning, assigning, monitoring and reviewing progress and accuracy of work, evaluating results, etc. Contributes to employees' professional development but does not have hiring or firing authority.
**Work Environment**
* Located in a comfortable indoor area. Any unpleasant conditions would be infrequent and not objectionable.
* Most of the time is spent sitting in a comfortable position and there is frequent opportunity to move about. On rare occasions there may be a need to move or lift light articles.
* Typically requires overnight travel less than 10% of the time.
**Education And Experience**
* Typically requires BS/BA in a related discipline. Generally 5\-8 years of experience in a related field OR MS/MA and generally 3\-5 years of experience in a related field. Certification is required in some areas.
**Our Goals for Diversity, Equity, and Inclusion**
 We are committed to creating a culture that promotes equity, respect, and advocacy for every HD Supply associate. We value the diversity of our people.
**Equal Employment Opportunity**
 HD Supply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77">
      <c r="A77" t="inlineStr">
        <is>
          <t>li-4370553664</t>
        </is>
      </c>
      <c r="B77" t="inlineStr">
        <is>
          <t>Data Scientist II</t>
        </is>
      </c>
      <c r="C77" t="inlineStr">
        <is>
          <t>Tempus AI</t>
        </is>
      </c>
      <c r="D77" t="inlineStr">
        <is>
          <t>linkedin</t>
        </is>
      </c>
      <c r="E77">
        <f>HYPERLINK("https://www.linkedin.com/jobs/view/4370553664", "https://www.linkedin.com/jobs/view/4370553664")</f>
        <v/>
      </c>
      <c r="F77" t="inlineStr"/>
      <c r="G77" t="inlineStr"/>
      <c r="H77" t="inlineStr"/>
      <c r="I77" t="inlineStr">
        <is>
          <t>**About The Company**
 Tempus AI is a leading innovator in the field of precision medicine, dedicated to transforming healthcare through advanced data analytics and real\-world evidence. Our proprietary platform integrates vast amounts of clinical, genomic, and imaging data to provide real\-time, actionable insights that empower physicians and researchers to make informed decisions. By connecting an extensive ecosystem of healthcare data, Tempus aims to improve patient outcomes, facilitate scientific discovery, and accelerate the development of personalized treatments. Our commitment to technological excellence and scientific rigor positions us at the forefront of healthcare innovation, making a meaningful impact on patient care worldwide.
**About The Role**
 The Data Scientist II, Real World Data Science at Tempus is a pivotal role designed for individuals passionate about leveraging data to advance healthcare. In this position, you will serve as a key scientific and technical resource, assisting clients—primarily researchers and scientists—in integrating their research hypotheses with our cutting\-edge analytical platform. Your primary responsibilities will include onboarding new clients, translating complex scientific questions into actionable data workflows, and providing technical guidance to optimize their use of our platform. This role offers the opportunity to work at the intersection of data science, biomedical research, and client engagement, contributing directly to the development of personalized medicine solutions. You will collaborate closely with product, engineering, and data science teams to ensure client success and continuous platform improvement, ultimately helping to drive scientific breakthroughs and improve patient outcomes.
**Qualifications**
* Master’s or Ph.D. in Computational Biology, Bioinformatics, Genomics, Data Science, or a related life sciences discipline
* Proven experience working with large\-scale biomedical datasets, including genomic, clinical, and real\-world data
* Hands\-on experience with analytical tools and programming languages such as R (required), Python, SQL, and familiarity with cloud platforms like AWS or GCP
* Strong understanding of biomedical research workflows and data analysis techniques
* Excellent communication skills, capable of explaining complex scientific concepts to diverse audiences
* Proven ability to work collaboratively in a fast\-paced environment and adapt to shifting priorities
* Problem\-solving mindset with a track record of developing pragmatic, user\-friendly solutions to scientific and technical challenges
**Responsibilities**
* Lead the technical and scientific onboarding process for new clients, ensuring a seamless transition onto the Tempus Data Ecosystem and platform
* Engage with clients to understand their specific scientific hypotheses, including biomarker discovery, target identification, and clinical trial design
* Translate scientific questions into structured workflows, queries, and analysis strategies on the Tempus platform
* Design and optimize data analysis workflows involving genomic, clinical, and imaging datasets
* Identify opportunities for technological improvements and implement workflow enhancements to improve client experience
* Act as a bridge between clients and internal teams, providing feedback to prioritize product features and resolve technical issues
* Create comprehensive technical documentation, tutorials, and training materials to support client education and platform utilization
* Collaborate with cross\-functional teams to refine platform capabilities based on client needs and scientific advancements
**Benefits**
* Competitive salary range based on location and experience
* Comprehensive health insurance coverage, including medical, dental, and vision
* Incentive compensation and restricted stock units (RSUs)
* Flexible work arrangements, including remote work options
* Professional development opportunities and ongoing training
* Collaborative and innovative work environment with a mission\-driven focus
 Equal Opportunity
 Tempus AI is an equal opportunity employer. We are committed to creating an inclusive environment for all employees and do not discriminate based on race, religion, color, national origin, gender, sexual orientation, age, marital status, veteran status, or disability. We value diversity and strive to foster a workplace where everyone can thrive and contribute to our mission of advancing healthcare through data\-driven solutions.</t>
        </is>
      </c>
    </row>
    <row r="78">
      <c r="A78" t="inlineStr">
        <is>
          <t>li-4370912364</t>
        </is>
      </c>
      <c r="B78" t="inlineStr">
        <is>
          <t>Data Scientist, Product Analytics</t>
        </is>
      </c>
      <c r="C78" t="inlineStr">
        <is>
          <t>Lensa</t>
        </is>
      </c>
      <c r="D78" t="inlineStr">
        <is>
          <t>linkedin</t>
        </is>
      </c>
      <c r="E78">
        <f>HYPERLINK("https://www.linkedin.com/jobs/view/4370912364", "https://www.linkedin.com/jobs/view/4370912364")</f>
        <v/>
      </c>
      <c r="F78">
        <f>HYPERLINK("https://lensa.com/cgw/4882eee512c246afbd7e51ae4d1c4921tjo1?jpsi=directemployers&amp;publisher_preference=easier_apply&amp;utm_campaign=Computer%20Occupations&amp;utm_medium=slot&amp;utm_source=linkedin&amp;utm_term=jse&amp;urlHash=417-", "https://lensa.com/cgw/4882eee512c246afbd7e51ae4d1c4921tjo1?jpsi=directemployers&amp;publisher_preference=easier_apply&amp;utm_campaign=Computer%20Occupations&amp;utm_medium=slot&amp;utm_source=linkedin&amp;utm_term=jse&amp;urlHash=417-")</f>
        <v/>
      </c>
      <c r="G78" t="inlineStr">
        <is>
          <t>Menlo Park, CA</t>
        </is>
      </c>
      <c r="H78" t="inlineStr"/>
      <c r="I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**Required Skills**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Preferred Qualifications:
* Master's or Ph.D. Degree in a quantitative field
**Public Compensation**
 $119,000/year to $173,000/year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79">
      <c r="A79" t="inlineStr">
        <is>
          <t>li-4370897489</t>
        </is>
      </c>
      <c r="B79" t="inlineStr">
        <is>
          <t>Data Scientist, Product Analytics</t>
        </is>
      </c>
      <c r="C79" t="inlineStr">
        <is>
          <t>Lensa</t>
        </is>
      </c>
      <c r="D79" t="inlineStr">
        <is>
          <t>linkedin</t>
        </is>
      </c>
      <c r="E79">
        <f>HYPERLINK("https://www.linkedin.com/jobs/view/4370897489", "https://www.linkedin.com/jobs/view/4370897489")</f>
        <v/>
      </c>
      <c r="F79">
        <f>HYPERLINK("https://lensa.com/cgw/90682dac826a4838bf7d220a86bd597ftjo1?jpsi=directemployers_no_redirect&amp;publisher_preference=easier_apply&amp;utm_campaign=Computer%20Occupations&amp;utm_medium=slot&amp;utm_source=linkedin&amp;utm_term=jse&amp;urlHash=U9b9", "https://lensa.com/cgw/90682dac826a4838bf7d220a86bd597ftjo1?jpsi=directemployers_no_redirect&amp;publisher_preference=easier_apply&amp;utm_campaign=Computer%20Occupations&amp;utm_medium=slot&amp;utm_source=linkedin&amp;utm_term=jse&amp;urlHash=U9b9")</f>
        <v/>
      </c>
      <c r="G79" t="inlineStr">
        <is>
          <t>Burlingame, CA</t>
        </is>
      </c>
      <c r="H79" t="inlineStr"/>
      <c r="I7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**Required Skills**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Preferred Qualifications:
* Master's or Ph.D. Degree in a quantitative field
**Public Compensation**
 $177,000/year to $247,000/year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80">
      <c r="A80" t="inlineStr">
        <is>
          <t>li-4362223872</t>
        </is>
      </c>
      <c r="B80" t="inlineStr">
        <is>
          <t>Entry Level Data Scientist</t>
        </is>
      </c>
      <c r="C80" t="inlineStr">
        <is>
          <t>AAA Auto Club Enterprises</t>
        </is>
      </c>
      <c r="D80" t="inlineStr">
        <is>
          <t>linkedin</t>
        </is>
      </c>
      <c r="E80">
        <f>HYPERLINK("https://www.linkedin.com/jobs/view/4362223872", "https://www.linkedin.com/jobs/view/4362223872")</f>
        <v/>
      </c>
      <c r="F80" t="inlineStr"/>
      <c r="G80" t="inlineStr">
        <is>
          <t>Costa Mesa, CA</t>
        </is>
      </c>
      <c r="H80" t="inlineStr"/>
      <c r="I80" t="inlineStr">
        <is>
          <t>AAA is offering an exciting opportunity to join our Data Science team, where you'll gain hands\-on experience using data to solve real\-world problems. You'll work with our marketing department to develop data pipelines and uncover insights that help us attract and retain new members and policyholders
**What You’ll Do**
* Build an understanding of marketing’s business operations, KPI’s and strategic goals
* Develop and automate data pipelines and dashboards monitoring marketing campaign performance
* Maintain documentation, validate ongoing data pipelines and implement anomaly detection and other data quality monitoring algorithms
* Support development and implementation of AI capabilities into marketing operations
**What You’ll Need**
* Bachelor’s Degree from an accredited University or College with an emphasis on computer science, statistics, business analytics or a related subject area
* Experience working with relational databases and coding in SQL
* Experience coding in Python or R
* Ability to communicate effectively in a variety of business\-related contexts including in\-person, video calls and email/slack
**Nice to Have**
* Working knowledge of digital marketing platforms and channels
* Graduate degree or data science certification
 The starting pay range for this position is:
 $33\.43 \- $44\.53
 Additionally, for full time positions, you will be eligible to participate in our incentive program based upon the achievement of organization, team and personal performance.
**Remarkable benefits:**
* Health coverage for medical, dental, vision
* 401(K) saving plans with company match AND Pension
* Tuition assistance
* Floating holidays and PTO for community volunteer programs
* Paid parental leave
* Wellness programs
* Employee discounts (membership, insurance,
 travel, entertainment, services and more!)
 Auto Club Enterprises is the largest federation of AAA clubs in the nation. We have 14,000 employees in 21 states helping 17 million members. The strength of our organization is our employees. Bringing together and supporting different cultures, backgrounds, personalities, and strengths creates a team capable of delivering legendary, lifetime service to our members. When we embrace our diversity – we win. All of Us! With our national brand recognition, long\-standing reputation since 1902, and constantly growing membership, we are seeking career\-minded, service\-driven professionals to join our team.
 “Through dedicated employees we proudly deliver legendary service and beneficial products that provide members peace of mind and value.”
 AAA is an Equal Opportunity Employer
**The Automobile Club of Southern California will consider for employment all qualified applicants, including those with criminal histories, in a manner consistent with the requirements of applicable federal, state, and local laws, including the City of Los Angeles’ Fair Chance Initiative for Hiring Ordinance (FCIHO), the Unincorporated Los Angeles County (ULAC) regulation, and the California Fair Chance Act (CFCA).**</t>
        </is>
      </c>
    </row>
    <row r="81">
      <c r="A81" t="inlineStr">
        <is>
          <t>li-4362291532</t>
        </is>
      </c>
      <c r="B81" t="inlineStr">
        <is>
          <t>Data Scientist</t>
        </is>
      </c>
      <c r="C81" t="inlineStr">
        <is>
          <t>University of California, San Francisco</t>
        </is>
      </c>
      <c r="D81" t="inlineStr">
        <is>
          <t>linkedin</t>
        </is>
      </c>
      <c r="E81">
        <f>HYPERLINK("https://www.linkedin.com/jobs/view/4362291532", "https://www.linkedin.com/jobs/view/4362291532")</f>
        <v/>
      </c>
      <c r="F81">
        <f>HYPERLINK("https://sjobs.brassring.com/TGnewUI/Search/home/HomeWithPreLoad?PageType=JobDetails&amp;partnerid=6495&amp;siteid=5861&amp;jobId=3710429&amp;urlHash=mm08", "https://sjobs.brassring.com/TGnewUI/Search/home/HomeWithPreLoad?PageType=JobDetails&amp;partnerid=6495&amp;siteid=5861&amp;jobId=3710429&amp;urlHash=mm08")</f>
        <v/>
      </c>
      <c r="G81" t="inlineStr">
        <is>
          <t>San Francisco, CA</t>
        </is>
      </c>
      <c r="H81" t="inlineStr"/>
      <c r="I81" t="inlineStr">
        <is>
          <t>MED\-ZSFG\-CARD
 Full Time
 87814BR
**Job Summary**
 Zuckerberg San Francisco General Hospital and the Division of Cardiology is at the forefront of applying artificial intelligence and machine learning (AI/ML) to help improve outcomes in vulnerable and underserved populations. We currently have a successful and growing ML predictive analytics team consisting of ML researchers, clinicians, informaticists, and biostatisticians. We seek a data scientist to join our team to develop AI/ML\-based algorithms to support clinical decision making, hospital performance improvement efforts, and more. This position requires experience in computer science, (bio)statistics, or another relevant field. A proven track record of productivity within academia or industry in publishing and/or developing and applying new algorithms is necessary for this role. The candidate should have experience developing in a Linux environment, using git\-based workflows, writing in Python/R, using high\-performance computing, and working collaboratively with a multidisclinary team. Ideally, the candidate also has experience cleaning and analyzing Electronic Health Record (EHR) data, creating datawarehouses for data analytics, and experience/interest in developing new ML algorithms including large language models.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$148,700 \- $360,900 (Annual Rate).
 To learn more about the benefits of working at UCSF, including total compensation, please visit: https://ucnet.universityofcalifornia.edu/compensation\-and\-benefits/index.html
**Department Description**
 This position is within the Division of Cardiology at San Francisco General Hospital and the Kaizen Promotion Office at Zuckerberg San Francisco General Hospital. The role will primarily support the application of machine learning and artificial intelligence within the predictive analytics team within the Kaizen Promotion Office. The predictive analytics team consists of an executive leader in performance excellence, multiple clinicians, a member of the clinical IT team, a data scientist, several student learners and a faculty member of the UCSF Department of Epidemiology and Biostatistics. The team has extensive experience with machine learning, artificial intelligence, informatics, biostatistics, performance improvement, implementation science and academic medicine. The position will be supervised primarily by the biostatistician and the clinicians on the team.
**Required Qualifications**
* Bachelor’s degree in Computer / Computational / Data Science, or Domain Sciences with computer / computational / data specialization or equivalent experience
* Ten or more years of relevant experience
* Expert knowledge of data science and/or clinical informatics.
* Experience with designing, and implementing, training, and deploying AI/ML\-based algorithms for biomedical applications
* Demonstrated ability to communicate technical information to technical and non\-technical personnel at various levels in the organization and to external research and education audiences
* Expert skills and experience in independently resolving complex computing / data / CI problems using introductory and / or intermediate principles
* Self\-motivated and works independently and as part of a team
* Demonstrated ability to effectively communicate with executive\-level management on a regular basis as well as funding agency program managers / directors
* Expert experience working in a complex computing / data / CI environment encompassing all or some of the following: HPC, data science infrastructure and tools / software, and diverse domain science application base
* Expert ability to independently plan, guide and execute innovative scientific research programs and development projects to completion by selecting approaches, and interpreting and evaluating results with researchers, staff and colleagues and supervisors
* Proven ability to establish realistic research priorities and lead, motivate and guide colleagues and staff for a sustained effort
**Preferred Qualifications**
* Master's degree or PhD in Computer / Computational / Data Science, or Domain Sciences with computer / computational / data specialization preferred
* Demonstrated ability to develop and lead one or multi\-institutional national scale proposals and acquire funding
* Expert ability to successfully work with multiple concurrent projects. Excellent research and technology project management skills
* In depth experience assessing a broad spectrum of technical and research needs and demands and establish priorities, leads development of solutions to meet such needs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Campus
**Job Code and Payroll Title**
 006027 CMPTL AND DATA SCI RSCH SPEC 5
**Job Category**
 Clinical Systems / IT Professionals, Research and Scientific
**Bargaining Unit**
 Research and Public Service Professionals (RP)
**Employee Class**
 Career
**Percentage**
 100%
**Location**
 San Francisco, CA
**Campus**
 Zuckerberg San Francisco General (ZSFG)
**Work Style**
 Flexible
**Shift**
 Days
**Shift Length**
 8 Hours
**Additional Shift Details**
 M\-F 9am\-5pm; Flexible 3 Days Onsite</t>
        </is>
      </c>
    </row>
    <row r="82">
      <c r="A82" t="inlineStr">
        <is>
          <t>li-4344399248</t>
        </is>
      </c>
      <c r="B82" t="inlineStr">
        <is>
          <t>Senior Data Scientist, Analytics - GTM Ads</t>
        </is>
      </c>
      <c r="C82" t="inlineStr">
        <is>
          <t>Discord</t>
        </is>
      </c>
      <c r="D82" t="inlineStr">
        <is>
          <t>linkedin</t>
        </is>
      </c>
      <c r="E82">
        <f>HYPERLINK("https://www.linkedin.com/jobs/view/4344399248", "https://www.linkedin.com/jobs/view/4344399248")</f>
        <v/>
      </c>
      <c r="F82">
        <f>HYPERLINK("https://job-boards.greenhouse.io/discord/jobs/8343795002?gh_src=5117e0c52us&amp;urlHash=0v1c", "https://job-boards.greenhouse.io/discord/jobs/8343795002?gh_src=5117e0c52us&amp;urlHash=0v1c")</f>
        <v/>
      </c>
      <c r="G82" t="inlineStr"/>
      <c r="H82" t="inlineStr"/>
      <c r="I82"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At Discord, we're building something special \- a place where hundreds of millions of people connect, play, and belong. Our ads business is entering an exciting growth phase, and we need a Senior Data Scientist who's passionate about building advertising technology that respects our users while delivering real value to brands. We are establishing the groundwork for advanced advertising capabilities that uphold user privacy and simultaneously achieve outstanding results for advertisers \- now that’s true win\-win\-win!
 You'll be the data science lead on a nimble cross\-functional squad, working alongside Product, Sales, and Engineering to shape the future of ads on Discord. We're looking for a Senior Data Scientist to join our GTM team. This role reports to the Director of Data Science, Analytics for Ads.
 **If using data to build world\-class advertising experiences that enhance rather than interrupt the magic of Discord communities sounds exciting, we'd love to hear from you!**
**What You'll Be Doing**
* Lead data science strategy and execution on GTM squad, partnering directly with PM, Sales, and Engineering leadership
* Build the analytical foundation for Discord's next\-generation ad products using our rich first\-party data from 200M\+ monthly active users, combined with strategic third\-party partnerships
* Collaborate with product and sales teams to develop learning agendas, experimentation plans, and solutions that drive product\-market\-fit and advertiser performance
* Lead cross\-functional data projects to deepen our understanding of users, communities, and advertiser performance that directly inform better ad products
* Build plans to evaluate product or vertical performance, run experimentation, identify improvement opportunities, and share these learnings with cross\-functional peers and executives
* Apply 80/20 thinking to prioritize the highest\-impact initiatives while championing user privacy and data governance standards across the company
**What You Should Have**
* 5\+ years of data science experience in ads tech, with preference for gaming, social media, or community platforms
* Deep understanding of the ads tech ecosystem, including auction\-based delivery systems, real\-time bidding, audience data integrations, and data partners.
* 4\+ years of experience building performant dashboards using Looker, or similar software with proficiency in designing intuitive visualizations
* 4\+ years experience writing excellent SQL with proficiency in big data platforms
* Experimentation expertise: 3\+ years designing, running, and analyzing A/B tests for large\-scale consumer products
* Visualization and Dashboards: Proven experience building executive\-level dashboards and reports using Looker, Tableau, or similar tools
* Cross\-functional collaboration: Track record of working effectively with cross\-functional teams to drive business outcomes and advertiser performance
* Strong Communication skills: Ability to translate complex technical concepts into actionable insights for both technical and business stakeholders
* Attribution and measurement: Experience with incrementality testing, multi\-touch attribution, and campaign effectiveness measurement in privacy\-first environments
* Experience working with first\-party and third\-party data, as well as attribution partners
* Curiosity and collaboration: You thrive in ambiguous environments and love solving complex problems with amazing teammates
**Bonus Points**
* Discord passion: You're an active Discord user or have deep knowledge of gaming and creator communities
* Privacy\-first measurement: Background in privacy\-preserving technologies and ethical advertising practices
* Leadership experience: Background mentoring junior data scientists or leading technical initiatives
* Sales partnership: Direct experience translating technical capabilities into compelling sales narratives
* Experience with analytics for social media, gaming platforms, or community\-driven products, including familiarity with social graphs, community dynamics, and user\-lifecycle analysis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83">
      <c r="A83" t="inlineStr">
        <is>
          <t>li-4248973844</t>
        </is>
      </c>
      <c r="B83" t="inlineStr">
        <is>
          <t>Data Scientist, Experimentation</t>
        </is>
      </c>
      <c r="C83" t="inlineStr">
        <is>
          <t>BetterHelp</t>
        </is>
      </c>
      <c r="D83" t="inlineStr">
        <is>
          <t>linkedin</t>
        </is>
      </c>
      <c r="E83">
        <f>HYPERLINK("https://www.linkedin.com/jobs/view/4248973844", "https://www.linkedin.com/jobs/view/4248973844")</f>
        <v/>
      </c>
      <c r="F83" t="inlineStr"/>
      <c r="G83" t="inlineStr">
        <is>
          <t>San Jose, CA</t>
        </is>
      </c>
      <c r="H83" t="inlineStr"/>
      <c r="I83"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data to drive insight into the product and business with a focus. The ideal candidate would have experience analyzing large and complex data sets related to web products. You'll be doing plenty of experiment design and post\-hoc analysis to support product improvements and business decisions.
**What will you do?**
* Get insight from an enormous amount of data, and take a proactive role partnering with the product team in finding and testing data\-driven ideas for improving our products.
* Collaborate with the product team and development team to design effective, statistically rigorous experiments, including simple A/B tests as well as more advanced experiment designs that account for complexities such as network effects.
* Monitor and analyze several product tests with statistical rigor, present the data and insights to the team, and drive product decisions.
* Look at complex problems and come up with testable models and algorithms that have measurable business impact.
* Enjoy great teamwork, have lots of fun, and take pride in building a world\-class product that makes a difference in people's lives.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1\+ years of experience in a data science role or relevant internships, ideally applying analytical skills to real\-world problems
* Degree in a quantitative discipline such as Statistics, Math, Economics, or Operations Research
* Familiarity with analyzing A/B tests or similar experiments through coursework or projects
* Proficiency in SQL and experience working with data transformation tools such as dbt
* Hands\-on experience with data analysis, experiment design, and statistical methods through work, internships, or academic projects
* Strong grasp of statistical concepts, especially around hypothesis testing and experiment design
* Clear and thoughtful communicator, with a desire to keep improving how complex ideas are shared across different audience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$115,000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84">
      <c r="A84" t="inlineStr">
        <is>
          <t>li-4370876520</t>
        </is>
      </c>
      <c r="B84" t="inlineStr">
        <is>
          <t>Lead Data Scientist</t>
        </is>
      </c>
      <c r="C84" t="inlineStr">
        <is>
          <t>Altak Group Inc.</t>
        </is>
      </c>
      <c r="D84" t="inlineStr">
        <is>
          <t>linkedin</t>
        </is>
      </c>
      <c r="E84">
        <f>HYPERLINK("https://www.linkedin.com/jobs/view/4370876520", "https://www.linkedin.com/jobs/view/4370876520")</f>
        <v/>
      </c>
      <c r="F84" t="inlineStr"/>
      <c r="G84" t="inlineStr">
        <is>
          <t>Virginia, United States</t>
        </is>
      </c>
      <c r="H84" t="inlineStr"/>
      <c r="I84" t="inlineStr">
        <is>
          <t>**Job Title: Lead Data Scientist – Healthcare (AI Architecture Focus)** 
**Location: DMV Area (Washington DC, Virginia, Maryland)** 
**Work Mode: Onsite or Hybrid** 
**Employment Type: Contract** 
**Role Overview** 
 We are seeking an experienced Lead Data Scientist with a strong background in the
 healthcare domain and hands\-on exposure to AI architecture. This role requires a
 senior individual who has led data science initiatives end\-to\-end while collaborating
 closely with engineering, product, and AI architecture teams to design scalable,
 production\-ready AI solutions.
 The ideal candidate has a balance of strategic leadership, deep technical expertise,
 and healthcare domain understanding, enabling them to translate complex business
 and clinical problems into impactful data\-driven solutions.
**Key Responsibilities** 
 • Lead the design, development, and deployment of advanced data science and
 machine learning solutions within the healthcare domain.
 • Act as a technical lead, guiding data scientists and collaborating with AI
 Architects to ensure scalable, secure, and compliant AI systems.
 • Architect and optimize end\-to\-end ML pipelines, including data ingestion,
 feature engineering, model training, validation, and deployment.
 • Work with structured and unstructured healthcare data such as EHR/EMR,
 claims, clinical notes, imaging metadata, and operational data.
 • Partner with stakeholders to define problem statements, success metrics, and
 data strategies aligned with clinical and business goals.
 • Ensure models comply with healthcare regulations and standards, including
 HIPAA and data privacy best practices.
 • Evaluate and recommend tools, frameworks, and cloud\-based solutions for ML
 and AI workloads.
 • Oversee model monitoring, performance tuning, explainability, and governance
 in production environments.
 • Contribute to AI strategy, solution roadmaps, and architectural decisions
 alongside AI and platform teams.
**Required Qualifications** 
 • 7\+ years of experience in data science, with recent experience in a Lead Data
 Scientist or similar senior role.
 • Strong experience working in the healthcare domain (payer, provider, life
 sciences, digital health, or health tech).
 • Hands\-on experience designing and deploying ML models in production
 environments.
 • Solid understanding of AI architecture concepts, including scalable ML
 systems, MLOps, and cloud\-based deployments.
 • Proficiency in Python and common ML libraries (e.g., scikit\-learn, TensorFlow,
 PyTorch).
 • Experience with SQL and big data technologies (e.g., Spark, Databricks,
 Snowflake).
 • Strong understanding of data modeling, statistics, and machine learning
 algorithms.
 • Experience working in cloud environments such as AWS, Azure, or GCP.
 • Excellent communication skills with the ability to explain complex technical
 concepts to non\-technical stakeholders.</t>
        </is>
      </c>
    </row>
    <row r="85">
      <c r="A85" t="inlineStr">
        <is>
          <t>li-4370903139</t>
        </is>
      </c>
      <c r="B85" t="inlineStr">
        <is>
          <t>Data Scientist</t>
        </is>
      </c>
      <c r="C85" t="inlineStr">
        <is>
          <t>Sammons Financial Group Companies</t>
        </is>
      </c>
      <c r="D85" t="inlineStr">
        <is>
          <t>linkedin</t>
        </is>
      </c>
      <c r="E85">
        <f>HYPERLINK("https://www.linkedin.com/jobs/view/4370903139", "https://www.linkedin.com/jobs/view/4370903139")</f>
        <v/>
      </c>
      <c r="F85" t="inlineStr"/>
      <c r="G85" t="inlineStr">
        <is>
          <t>Chicago, IL</t>
        </is>
      </c>
      <c r="H85" t="inlineStr"/>
      <c r="I85" t="inlineStr">
        <is>
          <t>**What You Can Expect In This Role**
 Responsible for contributing to and scaling advanced analytics within the Life Business Unit. Applies strong, developing\-to\-advanced skills in machine learning, statistical analysis, and data\-driven decision making—along with emerging Generative AI capabilities—to design, prototype, and implement analytics solutions and decision\-support tools. Works collaboratively with business and technology partners to deliver measurable outcomes, following established engineering, governance, and risk management standards.
**What You'll Do In This Role**
* Apply statistics, machine learning, programming, and data modeling to identify patterns, generate hypotheses, and develop prototypes that improve business outcomes.
* Produce innovative solutions driven by exploratory data analysis from complex and high\-dimensional datasets.
* Design, develop, and evaluate predictive models and algorithms to extract value from structured enterprise data.
* Identify, frame, and prototype Generative AI use cases that improve business outcomes (e.g., summarization, extraction, classification, enterprise Q\&amp;A, decision\-support assistants) using approved enterprise tools and data sources.
* Create and present materials that translate complex data analysis into easy\-to understand stories with persuasive recommendations for all levels of management.
* Support experimentation and measurement: analyze and interpret results from tests/experiments; communicate findings and recommendations to product, service, and business stakeholders.
* Use a flexible, analytical approach to design, develop and evaluate predictive models and advanced algorithms that lead to optimal value extraction from the data.
* Collaborate with both business and IT subject matter experts (SMEs) to implement and support solutions.
* Provide thought leadership by researching best practices, conducting experiments, and demonstrating/articulating value proposition for the use of advanced analytics.
* Write production\-quality code and documentation that is clear, testable, and maintainable.
* Participate in transformation, analytics, and customer journey initiatives as needed as part of the Life Operating Model.
* Commitment to embrace Sammons Financial Group Companies shared values (Accountability, Connection, Openness, Respect and Integrity).
* As stated within the Company Attendance and Punctuality policy, regular attendance is required and expected in order to meet the business service levels and workflow demands.
* Participate in other initiatives and/or projects as necessary.
**What We're Looking For**
* Bachelor's Degree in Computer Science, Statistics, Mathematics or related technical discipline Required
* Master's Degree or PhD in Computer Science, Statistics, Mathematics or related technical discipline Preferred
* Minimum 5 years' statistical or data science experience Required
* Experience working with large data sets, simulation/optimization, and distributed computing tools strongly preferred
* Experience with common data visualization tools such as PowerBI or Tableau strongly preferred
* Experience applying machine learning/statistics to business problems (modeling, measurement, and communicating results) Required
* Experience in insurance and financial services, specifically life insurance and annuities strongly preferred
* Experience with Hadoop, Azure, Snowflake or similar Preferred
* Experience with initiatives such as life insurance underwriting, annuity suitability, sales modeling, fraud detection or claims Preferred
* Hands\-on experience building proofs of concept or production quality features using LLMs (via approved APIs/platforms) Preferred
* Proficiency with R, Python, SAS and/or background in programming required
* Deep knowledge of machine learning statistics, optimization or related field required
* Strong written and verbal communication skills including the ability to work with business leaders at all levels
* Ability to independently research, analyze and resolve problem situations using good judgment and sound decision making
* Strong interpersonal skills with ability to influence without authority, ability to adapt to change and ability to think creatively to accomplish results
* Ability to create and deliver presentations and demonstrations to executives
* Demonstrated track record of dealing well with ambiguity, prioritizing needs and delivering results in a dynamic environment
* Strong initiative, self\-motivation and ability to work independently
* Ability to handle multiple projects at one time and effectively work under deadline pressures
**Other Requirements**
* Criminal background check required.
**What you can expect when you join Sammons Financial Group**
* Sammons Financial Group offers a competitive benefit package that includes: Health, Dental, Vision, Company Paid Retirement, PTO and Holiday Pay.
* Our Employee Stock Ownership Plan (ESOP) is a 100% company\-funded retirement plan, so you can save for retirement without contributing a penny of your own paycheck.
* Healthy balance between work and personal lives. Friday afternoons off all year long, competitive PTO, and generous number of paid holidays.
* Our incentive program for defined goals subject to eligibility and performance. Monetary rewards are based on individual and/or overall company performance.
* Colleagues who support one another, model our core values, and drive our healthy, high\-performing culture.
**Salary Range Information**
 USD $76,158\.00 \- USD $158,663\.00 /Yr. Range includes data points from multiple labor markets. Specific range is dependent on the labor market where the incumbent will be hired to perform the position. Starting salary is dependent on candidate qualifications and experience. For a narrower salary range specific to your labor market, please inquire.
**Work Authorization/Sponsorship**
 At this time, we’re not considering candidates that need any type of immigration sponsorship now or in the future or those needing work authorization for this role (This includes, but is not limited to students on F1\-OPT, F1\-CPT, J\-1, etc.)</t>
        </is>
      </c>
    </row>
    <row r="86">
      <c r="A86" t="inlineStr">
        <is>
          <t>li-4370484721</t>
        </is>
      </c>
      <c r="B86" t="inlineStr">
        <is>
          <t>202782 Data Scientist $230,000.00</t>
        </is>
      </c>
      <c r="C86" t="inlineStr">
        <is>
          <t>B4Corp</t>
        </is>
      </c>
      <c r="D86" t="inlineStr">
        <is>
          <t>linkedin</t>
        </is>
      </c>
      <c r="E86">
        <f>HYPERLINK("https://www.linkedin.com/jobs/view/4370484721", "https://www.linkedin.com/jobs/view/4370484721")</f>
        <v/>
      </c>
      <c r="F86" t="inlineStr"/>
      <c r="G86" t="inlineStr">
        <is>
          <t>McLean, VA</t>
        </is>
      </c>
      <c r="H86" t="inlineStr"/>
      <c r="I86" t="inlineStr">
        <is>
          <t>Labor Category: Data Scientist
 Position Title: Data Scientist
 Position Level: Level 1 – Subject Matter Expert
 Salary: Up to $230,000\.00 per year
 Core Hours: 9am to 4pm
 Location: McLean VA
**Description**
 Position Requires a Top Secret (TS/SCI) Clearance with a Polygraph.
 This position is being bid on an closes on 2/23/26 – The Customer requires subject matter expertise to develop a tool to enhance their signature management capabilities and to integrate the Customer’s diverse data holdings
 The Customer requires subject matter expertise to develop a tool to enhance their signature management capabilities and to integrate the Customer’s diverse data holdings and to leverage novel AI/ML solutions to support the Customer’s operational requirements. The Data Scientist will work closely with other teams; however, the Customer project manager will manage the priorities. The Data Scientist will integrate with Customer team to develop an understanding of Customer data structures. The Data Scientist will build out schema and data models, as required by the Customer. The Data Scientist will complete the Customer’s systems administrator security course (approx. 8 hours of training). The Data Scientist will provide weekly highlights summarizing work progress as required by the Customer. The Data Scientist will provide briefings, to include presentation slides and user guide documentation, as required by the Customer.
**Details**
 Labor Category: Data Scientist
 Position Title: Data Scientist
 Position Level: Level 1 – Subject Matter Expert
 Salary: Up to $230,000\.00 per year
 Core Hours: 9am to 4pm
 Location: McLean VA
**Mandatory Requirements**
* Developmental (0\-2 years’ experience)
* Full Performance (3\-5 years’ experience)
* Senior (6\-10 years’ experience)
* Expert (11\-15 years’ experience)
* SME (16\+ years’ experience)
* Demonstrated experience with proficiency in Python.
* Demonstrated experience with data analytics and transformations.
* Demonstrated experience with complex graph database queries.
* Demonstrated experience in cloud compute environments.
* Demonstrated ability to effectively communicate (verbal and written) with technical and non\-technical personnel as well as all levels of management and staff.
**Optional Requirements**
* Demonstrated experience with proficiency in SQL
* Demonstrated experience with Cypher
* Demonstrated experience with Amazon Web Service (AWS), (Lambda)
* Demonstrated experience with Docker
**B4CORP Company Information**
 B4Corp is a small defense contracting company that focuses on providing an optimum environment for mission\-focused, highly 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our outstanding compensation and benefits package. B4Corp’s benefits reflect the company’s policy of putting the employees first. B4Corp’s maximum flexibility comp / makeup time policy, along with the company’s cafeteria\-style benefit plan that allows employees to maximize their Benefit Dollars, reflects B4Corp’s commitment to its employees.
**Compensation**
* Outstanding Salaries
**Retirement**
* Full Vanguard 401k Plan – Featuring a full scope of investment options – 100% employer matched contribution up to 6% of employee's salary – Ability to max out 401k savings $57k ($63\.5k if over 50\)
* Employees receive B4Corp phantom stock each year (2\-year vesting period)
**Insurance**
* Medical – United Health Care (UHC) (multiple plan options)
* Dental – United Concordia (UC) Flex Plan
* Vision – Vision Service Plan Insurance Co (VSP) Signature Plans
* Mutual of Omaha short\-term disability (60% of salary up to $2,000\.00/week)
* Mutual of Omaha long\-term disability (60% of salary up to $10,000\.00/month)
* Mutual of Omaha life insurance ($200,000\.00\)
**Employee Referral Bonus**
* Refer a friend or a coworker and receive $3,000 per year for every year the person works for B4CORP
**Paid Time Off (PTO)**
* Seven weeks of leave per year (including ten federal holidays)
* Flexible work schedule with comp time (with customer approval)
**Tuition And Training**
* Free CBTNuggets Online Training Account – More than 200 online IT courses on a large variety of topics, including networking, security, virtualization, and the cloud – Cisco, Microsoft, and Google – Virtual Labs
* Free L inux Academy Online Training Account
 Internal Tracking \-V\-4175\.02
 If You Would Like To Complete a Detailed B4Corp Employment Application, Please Do So Using This Form (You Only Need To Fill Out This Application Once For B4Corp Or If You Have Updates To The Information.)
 https://b4corp.com/b4corp\-employment\-application/.
 This form will help us find you the best position quicker.
*B4Corp is an EEO and e\-Verify employer. All qualified applicants will receive consideration for employment without regard to race, color, religion, gender, sexual orientation or national origin. Please take the time to review and complete these three voluntary identification forms if you choose to do so and email them to hr@b4corp.com.*</t>
        </is>
      </c>
    </row>
    <row r="87">
      <c r="A87" t="inlineStr">
        <is>
          <t>li-4361247361</t>
        </is>
      </c>
      <c r="B87" t="inlineStr">
        <is>
          <t>Data Scientist</t>
        </is>
      </c>
      <c r="C87" t="inlineStr">
        <is>
          <t>ECS</t>
        </is>
      </c>
      <c r="D87" t="inlineStr">
        <is>
          <t>linkedin</t>
        </is>
      </c>
      <c r="E87">
        <f>HYPERLINK("https://www.linkedin.com/jobs/view/4361247361", "https://www.linkedin.com/jobs/view/4361247361")</f>
        <v/>
      </c>
      <c r="F87" t="inlineStr"/>
      <c r="G87" t="inlineStr"/>
      <c r="H87" t="inlineStr"/>
      <c r="I87" t="inlineStr">
        <is>
          <t>**Job Description**
 ECS is seeking a
 ***Data Scientist***
 to work
 ***remotely***
 .
 **Please Note:** 
**This position is contingent upon contract award.**
 This Data Scientist role is full\-time supporting the Department of Veterans Affairs (VA), Office of Information Technology (OIT) Veteran Experience Services Eligibility and Enrollment (VESEE) Product Line. This role supports modernization of Eligibility and Enrollment to build a seamless experience for Veterans, their families, and caregivers and contributes to improving VA employee and Veteran lives and working towards a larger mission. The position will involve identifying methods to create valuable insights from existing data, and preparing and making data\-driven recommendations for business automation and other insights.
**Tasks For This Role Include**
* Data mining, statistical and graph\-based algorithms via technologies like R, Python, and PowerBI
* Identifying opportunities to leverage AI and emerging technologies
* Support efforts to improve the policies, procedures, and tools the agency has at its disposal to improve data quality
* Reviewing application and enterprise data models (conceptual, logical, physical) to identify data quality problems
* Writing code to ensure the performance and reliability of data extraction and processing
* Configuring test and training data sets for use by team members
* Collaborating with stakeholders to understand business requirements and translate them into data science solutions
*Salary Range: $90,000 \- $100,000*
**General Description Of Benefits**
 Required Skills
* Bachelor’s degree required
* 5\+ years experience
* Experience in design, analysis, and implementation of large\-scale, complex data architectures
* Good analytical skills with a focus on critical thinking, problem\-solving, numeric reasoning, and creativity
* Quantitative analysis including experience with SQL or statistical/mathematical software (e.g., R, SAS, Stata)
* Strong Python skills
* Knowledgeable in a breadth of statistical computer languages to manipulate data and draw insights from large data sets
* Knowledge of Data Management and Data Architecture concepts, Data Warehousing and Big Data tools, Data Analytics and applicable knowledge of Data Science concepts and tools
* Experience with data standardization and data governance processes
* Experience in analyzing data to draw business\-relevant conclusions, and ability to communicate them with data visualization techniques and tools
* Demonstrated strong communication and presentation skills (particularly to non\-technical audiences)
* Good team player, able to manage multiple assignments, and adapt to changing client needs
* Ability to work in a dynamic, collaborative, results\-driven environment
* Ability to obtain a Public Trust clearance
 Desired Skills
* Experience working with VA or other Federal agencies
* Experience in Federal Healthcare consulting
* Experience working with business improvement initiatives preferred
* Strong written and verbal communication skills including technical writing skills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88">
      <c r="A88" t="inlineStr">
        <is>
          <t>li-4370881588</t>
        </is>
      </c>
      <c r="B88" t="inlineStr">
        <is>
          <t>DATA SCIENTIST</t>
        </is>
      </c>
      <c r="C88" t="inlineStr">
        <is>
          <t>University of Alabama at Birmingham</t>
        </is>
      </c>
      <c r="D88" t="inlineStr">
        <is>
          <t>linkedin</t>
        </is>
      </c>
      <c r="E88">
        <f>HYPERLINK("https://www.linkedin.com/jobs/view/4370881588", "https://www.linkedin.com/jobs/view/4370881588")</f>
        <v/>
      </c>
      <c r="F88" t="inlineStr"/>
      <c r="G88" t="inlineStr">
        <is>
          <t>Greater Birmingham, Alabama Area</t>
        </is>
      </c>
      <c r="H88" t="inlineStr"/>
      <c r="I88" t="inlineStr">
        <is>
          <t>The University of Alabama at Birmingham (UAB), Med \- Pulmonary/Allergy/Critical Care, is seeking a Data Scientist who applies knowledge of statistics, machine learning, programming, data modeling, simulation, and advanced mathematics to recognize patterns, identify opportunities, pose business questions, and make valuable discoveries leading to the development and improvement of processes.
 Applies knowledge of statistics, machine learning, programming, data modeling, simulation, and advanced mathematics to recognize patterns, identify opportunities, pose business questions, and make valuable discoveries leading to the development and improvement of processes. Identify limitations, or potential issues with datasets and data types that may impact performance from machine learning algorithms. Re\-train models as needed to address new challenges, or novel goals. Aid investigators and stakeholders in the validation of results. Generate detailed reports and presentations. May mentor and train junior staff members.
**Duties and Responsibilities** 
 :
* Applies knowledge of data science, genetic epidemiology, biostatistics,
* AI/ML and programming to identify 'omic risk factors of disease.
* Designs, develops and implements software tools and analytical procedures supporting bioinformatics analysis.
* Provides computational support services such as study design, data management and data migration.
* Stays current with evolving multi\-omics technologies and computational tools, introducing innovative methods where they can add value.
* Communicates key findings clearly through reports, visualizations, and presentations to technical and non\-technical audiences.
* Mentors and train junior staff members.
* Perform other duties as assigned
**Salary Range** 
 : $85,600 \- $111,280
 Doctorate degree in a related field OR Master's degree in a related field and two (2\) years of related experience OR Bachelor's degree in related field and four (4\) years of related experience required.
 **Work experience may NOT substitute for education requirement.**
**Preferred skills \&amp; Knowledge:**
* Masters and/ or PhD degree in data science, genetic epidemiology, biostatistics, computer science or statistical genetics
* Strong working knowledge of 'omic analyses.
* Experience in High Performance Computing Environment.
* Experience with analysis of complex data specifically whole genome sequence data via cloud computing, transcriptomics (single cell and spatial) and metabolomics data.
* Experience working in Linux\-based, command\-line environments.
* Proficient in scripting languages such as, R, Python, and shell.
* Knowledge of best practices of reproducible and scalable research such as version control (git) and environment managing systems (e.g.: conda, Docker, Singularity).
* Proficiency in the visualization of omics data.
* Ability to work as part of team.
* Excellent written and verbal communication skills.
* Familiarity with project management tools such as Asana.
 UAB is an Equal Employment/Equal Educational Opportunity Institution dedicated to providing equal opportunities and equal access to all individuals regardless of race, color, religion, ethnic or national origin, sex (including pregnancy), genetic information, age, disability,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University
**Job Category**
 Information Technology
**Organization**
 311402800 Med \- Pulmonary/Allergy/Critical Care
**Employee Status**
 Regular
**Shift**
 Day/1st Shift
**Work Arrangement (final schedule to be determined by the department/hiring manager)**
 Remote/Hybrid Eligible</t>
        </is>
      </c>
    </row>
    <row r="89">
      <c r="A89" t="inlineStr">
        <is>
          <t>li-4370896435</t>
        </is>
      </c>
      <c r="B89" t="inlineStr">
        <is>
          <t>Data Scientist, Product Analytics</t>
        </is>
      </c>
      <c r="C89" t="inlineStr">
        <is>
          <t>Lensa</t>
        </is>
      </c>
      <c r="D89" t="inlineStr">
        <is>
          <t>linkedin</t>
        </is>
      </c>
      <c r="E89">
        <f>HYPERLINK("https://www.linkedin.com/jobs/view/4370896435", "https://www.linkedin.com/jobs/view/4370896435")</f>
        <v/>
      </c>
      <c r="F89">
        <f>HYPERLINK("https://lensa.com/cgw/5ac6be82c7524b9f925f8c7b8f90eab5tjo1?jpsi=directemployers&amp;publisher_preference=easier_apply&amp;utm_campaign=Computer%20Occupations&amp;utm_medium=slot&amp;utm_source=linkedin&amp;utm_term=jse&amp;urlHash=KplZ", "https://lensa.com/cgw/5ac6be82c7524b9f925f8c7b8f90eab5tjo1?jpsi=directemployers&amp;publisher_preference=easier_apply&amp;utm_campaign=Computer%20Occupations&amp;utm_medium=slot&amp;utm_source=linkedin&amp;utm_term=jse&amp;urlHash=KplZ")</f>
        <v/>
      </c>
      <c r="G89" t="inlineStr">
        <is>
          <t>Concord, NH</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**Required Skills**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Preferred Qualifications:
* Master's or Ph.D. Degree in a quantitative field
**Public Compensation**
 $147,000/year to $208,000/year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90">
      <c r="A90" t="inlineStr">
        <is>
          <t>li-4370910467</t>
        </is>
      </c>
      <c r="B90" t="inlineStr">
        <is>
          <t>Fraud Data Scientist</t>
        </is>
      </c>
      <c r="C90" t="inlineStr">
        <is>
          <t>Lensa</t>
        </is>
      </c>
      <c r="D90" t="inlineStr">
        <is>
          <t>linkedin</t>
        </is>
      </c>
      <c r="E90">
        <f>HYPERLINK("https://www.linkedin.com/jobs/view/4370910467", "https://www.linkedin.com/jobs/view/4370910467")</f>
        <v/>
      </c>
      <c r="F90">
        <f>HYPERLINK("https://lensa.com/cgw/032dba6c75a247aab8523528239767b0tjo1?jpsi=directemployers&amp;publisher_preference=easier_apply&amp;utm_campaign=Computer%20Occupations&amp;utm_medium=slot&amp;utm_source=linkedin&amp;utm_term=jse&amp;urlHash=Ldv6", "https://lensa.com/cgw/032dba6c75a247aab8523528239767b0tjo1?jpsi=directemployers&amp;publisher_preference=easier_apply&amp;utm_campaign=Computer%20Occupations&amp;utm_medium=slot&amp;utm_source=linkedin&amp;utm_term=jse&amp;urlHash=Ldv6")</f>
        <v/>
      </c>
      <c r="G90" t="inlineStr">
        <is>
          <t>Columbus, OH</t>
        </is>
      </c>
      <c r="H90" t="inlineStr"/>
      <c r="I9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UMB Bank. Clicking "Apply Now" or "Read more" on Lensa redirects you to the job board/employer site. Any information collected there is subject to their terms and privacy notice.
 The
 **Enterprise** 
**Fraud Strategy** 
 group provides bank\-wide support for detecting, preventing, and investigating fraudulent activity across multi\-channel payment systems.
 The
 **Fraud Data Scientist** 
 reports directly to the Manager, Fraud Reporting \&amp; Analytics, supporting business reporting and analytical needs for fraud initiatives. The
 **Fraud Data Scientist** 
 works as a member of a reporting and analytics team and utilizes tools for conducting analytics for managing fraud strategies, as well as creating reports consumed by LOB (lines of business) senior executives. This is a subset of the overall responsibilities which involves other multiple initiatives as assigned by Bank Operations leadership.
 This role is hybrid (Mon through Thu on\-site / Fri remote) for candidates in the Kansas City metropolitan area and open to qualified remote candidates outside of the Kansas City area but only within the US.
**How You’ll Spend Your Time**
* Work closely across the organization to develop and implement statistical analysis, artificial intelligence, machine learning processes and algorithms, and deep learning for fraud modeling.
* Use dynamic techniques like Machine Learning to gain insights about the future.
* Answer the “What will happen, and What should be done?” questions.
* Gather business detail from peers and internal customers to adapt/enhance models.
* Routinely measure model performance and implement modifications as needed.
**We’re Excited To Talk If You Have**
* Master’s Degree in Computer Science, Math, Economics, Statistics, or another quantitative field and 2\+ years of unsupervised data modeling and segmentation experience OR any combination of education and experience that would provide an equivalent background.
* Proven expert level foundation of math, statistics, and programming.
* Demonstrated hands\-on working knowledge of R or Python, Snowflake, SQL Server or similar database management tool and visualization tools such as Tableau or Power BI.
* Superior critical thinking skills.
* Strong proficiency in statistical algorithm development and evaluation.
* Proficiency in advanced statistics, hyperparameter tuning, A/B Testing, predictive modeling, recommendation systems, propensity scoring, natural language processing, clustering, customer segmentation, data acquisition, mining structured and unstructured data, designing tools, automation systems, and data frameworks.
**Bonus Points If You Have**
* Banking or financial services industry experience.
* Fraud reporting or analytics experience.
**Applicants must have legal authority to work in the United States. Work Visa sponsorship not available for this position.**
 Deadline to Apply: March 8, 2026
**Compensation Range**
 $69,230\.00 \- $149,000\.00
*The posted compensation range on this listing represents UMB’s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
*UMB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
*If you are a California resident, please visit our* 
 Privacy Notice for California Job Candidates (https://p1\.aprimocdn.net/umb/cdbf5f22\-8f7a\-43b9\-bd03\-b09f014a39c3/Privacy\_Notice\_for\_California\_Candidates\_Original\_file.pdf)
 *to understand how we collect and use your personal information when you apply for employment with UMB.*
**Who We Are**
 We are more than a company. We are advisors, consultants, problem solvers, friends, community members, experts, and we are here to help you make the best of every moment with a financial foundation that can help you succeed.
 Learn more about UMB's vision (https://p1\.aprimocdn.net/umb/8cf58ce2\-e9d6\-4621\-b60a\-b09f01638943/UMB\_Tuce\_Book\_Original\_file.pdf)
 Check out the road to a career at UMB
 If you have questions about this posting, please contact support@lensa.com</t>
        </is>
      </c>
    </row>
    <row r="91">
      <c r="A91" t="inlineStr">
        <is>
          <t>li-4315758490</t>
        </is>
      </c>
      <c r="B91" t="inlineStr">
        <is>
          <t>Applied Scientist III</t>
        </is>
      </c>
      <c r="C91" t="inlineStr">
        <is>
          <t>Uber Freight</t>
        </is>
      </c>
      <c r="D91" t="inlineStr">
        <is>
          <t>linkedin</t>
        </is>
      </c>
      <c r="E91">
        <f>HYPERLINK("https://www.linkedin.com/jobs/view/4315758490", "https://www.linkedin.com/jobs/view/4315758490")</f>
        <v/>
      </c>
      <c r="F91" t="inlineStr"/>
      <c r="G91" t="inlineStr">
        <is>
          <t>Chicago, IL</t>
        </is>
      </c>
      <c r="H91" t="inlineStr"/>
      <c r="I91" t="inlineStr">
        <is>
          <t>**Schedule: Full Time Employment**
**Job Type: Hybrid**
**Salary Type: Salary**
**Req \#:1756**
**About The Role**
 As an Applied Scientist III at Uber Freight, you will develop and implement advanced machine learning, statistical, economic, and optimization approaches to solve complex business problems and improve performance. You will apply modeling skills and data\-driven methods to enhance our core product experience and top line business metrics. You’ll collaborate closely with Product, Operations, and Engineering teams to turn insights into impact.
**What The Candidate Will Do**
* Develop creative solutions and build prototypes to business problems using algorithms based on machine learning, causal inference, statistics, and optimization.
* Collaborate with engineering and product teams to productionize these solutions and create a lasting impact.
* Drive clarity and solve ambiguous, challenging business problems using data\-driven approaches, with an emphasis on understanding causal relationships when applicable.
* Propose and guide robust frameworks of data analysis to drive business insights and inform decision\-making.
* Contribute to establishing standard methodologies for data science, including modeling, coding, analytics, and experimentation.
* Leverage data to understand product performance and identify improvement opportunities, including analyzing potential causal factors.
* Design product experiments and interpret results to draw detailed and impactful conclusions.
* Communicate findings and insights to senior management and cross\-functional teams.
* Provide recommendations to assist quick product ideation and feature launch decisions.
* Build intelligent data\-driven products to provide the best user experience.
**Basic Qualifications**
* Bachelor’s degree in Statistics, Machine Learning, Operations Research, Economics, Computer Science, or another related field
* 3 years of related experience
* Demonstrated proficiency in programming languages like Python or R for purposes of model development and analysis
* Proficiency in SQL for data manipulation and analysis
* Proficiency in building and managing data pipelines for purposes of model development or analysis
* Proficiency in designing, launching, and analyzing A/B tests or other types of online experiments
**Preferred Qualifications**
* Master’s or Ph.D. in Statistics, Machine Learning, Operations Research, Economics, Computer Science, or a related field
* Strong knowledge of experimental design and analysis
* Expertise in observational causal inference or statistical analysis
* Ability to use a programming language like Python or R to work efficiently at scale with large data sets
* Proficiency in Spark for data manipulation and analysis at scale
* Experience working on fraud, recommendation or dynamic pricing algorithms in a production environment
**Benefits \&amp; Compensation For U.S. Employees**
 Employees working more than 30 hours in the US at Uber Freight are eligible for benefits like a company sponsored health plan, dental and vision benefits, 401k match, financial and mental wellness benefits, parental leave, short\- and long\-term disability coverage, life insurance and more. US based employees may also be eligible for a performance or sales incentive bonus program, participation in Uber Freight equity awards, and other types of compensation depending upon the role.
**About Uber Freight**
 Uber Freight helps companies move goods more reliably and efficiently. We bring together the technology, people, and transportation capacity they need, using real‑time data from millions of shipments to guide smarter decisions. That helps customers spot issues early, avoid costly surprises, and deliver on time. Uber Freight works with 1 in 3 Fortune 500 shippers across North America and manages over $17B in freight. Learn more at www.uberfreight.com.
**Candidate Privacy Notice**
 Uber Freight is committed to protecting the privacy of our candidates. We collect and process personal data in accordance with applicable data protection laws. For detailed information on how we handle candidate data, please review our Candidate Privacy Notice.
**EEOC**
 Uber Freight is proud to be an Equal Opportunity/Affirmative Action employer. All qualified applicants will receive consideration for employment without regards to sex, gender identity, sexual orientation, race, color, religion, national origin, disability, protected Veteran status, age, or any other characteristic protected by law. We also consider qualified applicants regardless of criminal histories, consistent with legal requirements.
 For Chicago\-based roles: The salary range for this role is $128,750\.00 \- $151,950\.00</t>
        </is>
      </c>
    </row>
    <row r="92">
      <c r="A92" t="inlineStr">
        <is>
          <t>li-4370498030</t>
        </is>
      </c>
      <c r="B92" t="inlineStr">
        <is>
          <t>Senior Data Scientist</t>
        </is>
      </c>
      <c r="C92" t="inlineStr">
        <is>
          <t>ClickUp</t>
        </is>
      </c>
      <c r="D92" t="inlineStr">
        <is>
          <t>linkedin</t>
        </is>
      </c>
      <c r="E92">
        <f>HYPERLINK("https://www.linkedin.com/jobs/view/4370498030", "https://www.linkedin.com/jobs/view/4370498030")</f>
        <v/>
      </c>
      <c r="F92" t="inlineStr"/>
      <c r="G92" t="inlineStr"/>
      <c r="H92" t="inlineStr"/>
      <c r="I92"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ClickUp is seeking a technical expert in
 **recommendation systems** 
 and
 **advanced deep learning** 
 that has strengths in architecting comprehensive, end\-to\-end machine learning pipelines and deployment strategies. This individual has a strong and balanced understanding of model architectures such as Graph Neural Networks (GNN) and Transformers, and is well versed in
 **modern MLOps practices** 
 .
 The ideal Senior Data Scientist understands the mechanics of
 **Product\-Led Growth (PLG)** 
 and has prior experience working with Product, Analytics, and Engineering teams to build
 **Next Best engines** 
 and
 **intelligent personalization features** 
 . You are an innovative technical thinker who makes impactful decisions supported by rigorous experimentation and large\-scale data analysis. If you're a curious, precise, and impact\-driven go\-getter that thrives when faced with complex technical challenges...this role is meant for you!
**The Role:**
* Build advanced recommendation models, such as Next Best Offer systems, leveraging cutting\-edge techniques.
* Create and own the end\-to\-end lifecycle of machine learning models, from data preprocessing and feature engineering to production deployment.
* Design and deploy scalable machine learning architectures that integrate seamlessly into customer\-facing applications.
* Continuously evaluate and improve model accuracy, scalability, and computational efficiency.
* Stay up\-to\-date with the latest advancements in machine learning to ensure best\-in\-class solutions are applied to business problems.
* Report to the Director of Growth Data Science.
* Work with the Growth Data Science team to drive measurable impact on user engagement and business outcomes.
* Collaborate with cross\-functional partners in Product, Engineering, Analytics, and Marketing to deliver data\-driven solutions.
* Identify new opportunities to uncover actionable insights from large\-scale datasets.
* Grow the effectiveness of the PLG funnel through optimized model performance and personalization.
**Qualifications:**
* 5\+ years of direct experience in data science or machine learning, with a specific focus on recommendation systems.
* Proven experience deploying machine learning models end\-to\-end in a SaaS or PLG environment.
* Strong proficiency in Python and deep learning frameworks such as TensorFlow or PyTorch.
* Hands\-on experience with GNN, Transformers, or other advanced ML architectures.
* Solid understanding of MLOps best practices, data pipelines, and containerization (Docker, Kubernetes).
* Expertise in working with large\-scale datasets and distributed computing tools (e.g., Spark, Hadoop).
* Strong problem\-solving skills and the ability to communicate complex technical concepts to non\-technical stakeholders.
* Hands\-on experience with the modern data stack: Snowflake, Hex, and cloud platforms (AWS/GCP).
* Solid understanding of MLOps best practices and CI/CD for machine learning (MLflow, Docker, Kubernetes).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$140K \- $190K</t>
        </is>
      </c>
    </row>
    <row r="93">
      <c r="A93" t="inlineStr">
        <is>
          <t>li-4331562012</t>
        </is>
      </c>
      <c r="B93" t="inlineStr">
        <is>
          <t>Data Scientist III - Carrier Fraud</t>
        </is>
      </c>
      <c r="C93" t="inlineStr">
        <is>
          <t>Uber Freight</t>
        </is>
      </c>
      <c r="D93" t="inlineStr">
        <is>
          <t>linkedin</t>
        </is>
      </c>
      <c r="E93">
        <f>HYPERLINK("https://www.linkedin.com/jobs/view/4331562012", "https://www.linkedin.com/jobs/view/4331562012")</f>
        <v/>
      </c>
      <c r="F93" t="inlineStr"/>
      <c r="G93" t="inlineStr">
        <is>
          <t>Chicago, IL</t>
        </is>
      </c>
      <c r="H93" t="inlineStr"/>
      <c r="I93" t="inlineStr">
        <is>
          <t>**Schedule: Full Time Employment**
**Job Type: Hybrid**
**Salary Type: Salary**
**Req \#: 2124**
**About The Role**
 We are seeking an exceptionally passionate person to join our Marketplace Data Science team. As a Data Scientist focused on Carrier Fraud, you will be driving the development and evaluation of metrics, products and models to minimize fraud within Uber Freight’s digital marketplace. You will need to collaborate effectively with product managers, engineers, operations, and business stakeholders, and other members of the Data Science team to solve problems, create efficiencies, and successfully deliver against high organizational standards.
**What The Candidate Will Do**
* Perform data analysis to investigate patterns underlying fraud incidents
* Perform statistical analysis to estimate the impact of new fraud prevention techniques before deployment
* Design, execute and analyze A/B and marketplace experiments in order to directly measure the business impact of new fraud prevention products on a variety of metrics
* Work efficiently at scale with large data sets
* Collaborate with cross\-functional teams such as product, engineering, and operations to drive system development end\-to\-end from conceptualization to productization
**Basic Qualifications**
* Bachelor’s degree in Statistics, Mathematics, Computer Science, Economics or related field
* 3 years of related experience
* Experience with SQL, Python
**Preferred Qualifications**
* Masters with 3 years of experience or Bachelors with 5 years of relevant experience
* Experience with orchestration tools (e.g., Airflow)
* Experience with Spark
* Advanced knowledge of experiment design and statistical methods
* Strong presentation skills
* Experience working in a digital marketplace and/or fraud domain
**Benefits \&amp; Compensation For U.S. Employees**
 Employees working more than 30 hours in the US at Uber Freight are eligible for benefits like a company sponsored health plan, dental and vision benefits, 401k match, financial and mental wellness benefits, parental leave, short\- and long\-term disability coverage, life insurance and more. US based employees may also be eligible for a performance or sales incentive bonus program, participation in Uber Freight equity awards, and other types of compensation depending upon the role.
**About Uber Freight**
 Uber Freight helps companies move goods more reliably and efficiently. We bring together the technology, people, and transportation capacity they need, using real‑time data from millions of shipments to guide smarter decisions. That helps customers spot issues early, avoid costly surprises, and deliver on time. Uber Freight works with 1 in 3 Fortune 500 shippers across North America and manages over $17B in freight. Learn more at www.uberfreight.com.
**Candidate Privacy Notice**
 Uber Freight is committed to protecting the privacy of our candidates. We collect and process personal data in accordance with applicable data protection laws. For detailed information on how we handle candidate data, please review our Candidate Privacy Notice.
**EEOC**
 Uber Freight is proud to be an Equal Opportunity/Affirmative Action employer. All qualified applicants will receive consideration for employment without regards to sex, gender identity, sexual orientation, race, color, religion, national origin, disability, protected Veteran status, age, or any other characteristic protected by law. We also consider qualified applicants regardless of criminal histories, consistent with legal requirements.
 For Chicago\-based roles: The salary range for this role is $94,000\.00 \- $115,000\.00 per year</t>
        </is>
      </c>
    </row>
    <row r="94">
      <c r="A94" t="inlineStr">
        <is>
          <t>li-4370895889</t>
        </is>
      </c>
      <c r="B94" t="inlineStr">
        <is>
          <t>Lead Data Scientist</t>
        </is>
      </c>
      <c r="C94" t="inlineStr">
        <is>
          <t>Caterpillar Inc.</t>
        </is>
      </c>
      <c r="D94" t="inlineStr">
        <is>
          <t>linkedin</t>
        </is>
      </c>
      <c r="E94">
        <f>HYPERLINK("https://www.linkedin.com/jobs/view/4370895889", "https://www.linkedin.com/jobs/view/4370895889")</f>
        <v/>
      </c>
      <c r="F94" t="inlineStr"/>
      <c r="G94" t="inlineStr">
        <is>
          <t>Peoria, IL</t>
        </is>
      </c>
      <c r="H94" t="inlineStr"/>
      <c r="I94"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As a Lead Data Scientist in Corporate Aftermarket Finance Services, you will provide specialized data science expertise and technical leadership to support all aspects of forecast analytics for Caterpillar aftermarket parts and related special projects. The role is responsible for managing and optimizing key analytical processes that support the enterprise\-critical Dealer Parts Orders (DPO) forecast and insights generation. This position oversees the end‑to‑end Parts Long‑Term Forecast (LTF) process – spanning system architecture design and implementation; data engineering and statistical model development; user training, and stakeholder approvals – to ensure accurate and efficient forecasting. The role owns design, maintenance and enhancements of Power BI dashboards to deliver clear, actionable insights to stakeholders.
 A core responsibility is safeguarding the integrity of both the Sales \&amp; Operations Planning (S\&amp;OP) forecast disaggregation and the annual business plan disaggregation for DPO. This includes owning the statistical modeling required to calculate probabilistic confidence intervals for aftermarket parts forecasts. The position also ensures timely, accurate updates to DPO systems and provides expert\-level support for all product‑based allocation inquiries.
 The role requires strong planning and prioritization skills to independently complete broadly scoped assignments and drive key business outcomes. Success in this position directly contributes to organizational goals related to customer satisfaction, process quality, accuracy, efficiency, and continuous improvement.
**What You Will Do**
* Responsible for answering questions regarding the Dealer Parts Orders (DPO) product\-based allocation.
* Own the Parts LTF process: system architecture design, analytics solution development, and user training.
* Own the design, development and maintenance of PowerBI dashboards to deliver the forecast analytics solutions.
* Responsible for the integrity of the disaggregation of the S\&amp;OP forecast.
* Own the foundational research in leveraging Gen AI LLM models for explainable forecast initiative.
* Lead design and implementation of LLM\-powered analytics insight generation to explain forecast miss
* Own the statistical modelling for calculating forecast confidence intervals for aftermarket parts.
* Responsible for the integrity of the annual business plan disaggregation for DPO.
* Regularly and accurately maintain and update DPO systems and answer all related queries for their assigned allocations.
* Responsible for setting priorities and preparing work plan to complete broadly defined assignments and achieve desired results.
* Responsible for Value Stream Mapping for Business Process analysis and improvement.
* Responsible for Impact key quality goals including Customer Satisfaction, Continuous Improvement, Timeliness, Accuracy, Efficiency, Cost Savings, Process Quality, etc.
**What You Have**
 Business Statistics: In\-depth knowledge of statistical methods, models, tools, and techniques, as used as industry\-best\-practices to solve diverse business problems and support business decision\-making.
 Time Series Modeling: In\-depth knowledge of fundamental concepts of time series stationarity, seasonality, and time series decomposition. Extensive experience in applying statistical tools and techniques for time series analysis and modelling.
 Machine Learning: In\-depth knowledge of principles, technologies and algorithms of machine learning and deep learning; Demonstrated ability to develop, implement and deliver related systems, products and services.
 Accuracy and Attention to Detail: Understanding the necessity and value of accuracy; ability to complete tasks with high levels of precision.
 Analytical Thinking: Knowledge of techniques and tools that promote effective analysis; ability to determine the root cause of organizational problems and create alternative solutions that resolve these problems.
 Platform and Programming Skill: Knowledge of basic concepts and capabilities of analytics programming languages; Ability to use tools, techniques and platforms in order to write and modify analytics programs; Proficiency in the following:
* Analytics Programming Language: Python, R, SQL and SAS
* Data Engineering and Warehousing: Snowflake
* ML Platform: PyTorch or Tensorflow
* Insights Delivery: PowerBI; Rshiny / Dash / Streamlit
* Cloud Platform: AWS (S3, EC2, LAMBDA, Glue, Sagemaker) or its equivalent in Azure
* AI and Gen AI Orchestration: Ollama, AWS Bedrock / Sagemaker or Azure ML / Azure OpenAI
 Query and Database Access Tools: Knowledge of data management systems; ability to use, support and access facilities for searching, extracting and formatting data for further use; Specifically, Proficiency in Snowflake SQL.
 Requirements Analysis: Knowledge of tools, methods, and techniques of requirement analysis; ability to elicit, analyze and record required business functionality and non\-functionality requirements to ensure the success of a system or software development project. Specifically, Experience in Azure DevOps
**Top Candidates Will Also Have**
* Doctoral or Master’s degree with 5 years of experience or a Bachelor’s degree with 10 years of experience in Computer Science, Mathematics, Engineering, Accounting, Statistics, Data Science, Business Analytics, or a closely related field with extensive coursework in mathematical and statistical modeling.
* 5\+ years of extensive experience in applying statistical models and methods to solve wide range of industry problems.
* 5\+ years of extensive experience in applying statistical tools and techniques for time series analysis and modelling; demonstrating deep understanding of fundamental concepts of time series analysis: stationarity; seasonality; time series decomposition.
* 5\+ years of extensive experience in developing end\-to\-end analytics solutions that span from data pipeline to insights delivery.
* Deep expertise and experience in applying classical statistical modelling methods, tools and techniques for time series forecasting included in the GLM, ARIMA and State Space family of models.
* Deep expertise and experience in contemporary deep learning tools and techniques for time series forecasting included in Transformer family of models with self\-attention mechanism.
* Deep understanding of models and methods for Hierarchical time series and forecast reconciliation.
* Extensive experience and proficiency in R, Python and SQL / Snowflake queries
* Experience with AWS Cloud platform and AWS Glue
* Experience with Alteryx and SAS
* Extensive experience with PowerBI for development of reporting dashboards
* Experience with Rshiny / Dash / Streamlit for development of interactive web application for forecast analytics.
* High level of interpersonal skills and excellent communication and storytelling skills
* Experience in Value Stream Mapping for Business Process analysis and improvement
**Additional Info**
* The ideal location for this role is Peoria – IL or Dallas \- TX
* This position may require 10% travel.
**About Caterpillar \-**
 For more than a century, Caterpillar has helped build a better, more sustainable world. With 2025 sales and revenues of $67\.6 billion, Caterpillar Inc. is shaping the future as the world’s leading manufacturer of construction and mining equipment, off\-highway diesel and natural gas engines, industrial gas turbines and diesel\-electric locomotives. Backed by one of the largest independent global dealer networks and financing services through Cat Financial, the company’s primary business segments: Power \&amp; Energy, Construction Industries and Resource Industries are solving customers’ toughest challenges through commercial excellence and advanced technology, driven by a highly skilled, dedicated global team. Learn more at www.caterpillar.com.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9,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95">
      <c r="A95" t="inlineStr">
        <is>
          <t>li-4370923263</t>
        </is>
      </c>
      <c r="B95" t="inlineStr">
        <is>
          <t>Lead Data Scientist</t>
        </is>
      </c>
      <c r="C95" t="inlineStr">
        <is>
          <t>Capgemini</t>
        </is>
      </c>
      <c r="D95" t="inlineStr">
        <is>
          <t>linkedin</t>
        </is>
      </c>
      <c r="E95">
        <f>HYPERLINK("https://www.linkedin.com/jobs/view/4370923263", "https://www.linkedin.com/jobs/view/4370923263")</f>
        <v/>
      </c>
      <c r="F95" t="inlineStr"/>
      <c r="G95" t="inlineStr">
        <is>
          <t>Seattle, WA</t>
        </is>
      </c>
      <c r="H95" t="inlineStr"/>
      <c r="I9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Developing expertise in Generative AI; experience with generative models and experience in deploying AI models in production environments
* Proficiency in programming; ability to write robust code in Python (preferred) or another programming language
* Demonstrated knowledge of RAG (Retrieval Augmented Generation), Zeroshot (ZSL), Multishot prompting and other prompt engineering approaches, common AI/ML frameworks (e.g., TensorFlow, PyTorch), GIT, Docker and vector databases
* Demonstrated knowledge of cloud AI services (AWS SageMaker, GCP AI Platform, Azure ML) and APIs
* Proficiency in using and configuring Linux systems
* A demonstrated proficiency in containerization technologies such as docker
* Additional coursework or certifications in machine learning, NLP, Large Language Models (LLMs), multi\-modal foundation models, and generative AI techniques
* Innovative prompt design skills possessing the ability to develop and refine advanced prompts to maximize the efficacy and creativity of AI responses
* Understanding of trends in the GenAI landscape and know how to prioritize and apply them to our offerings and projects
* Implement machine learning algorithms and software architectures to achieve outlined goals.
* Write and maintain clear and concise documentation for data dictionaries, models, and code.
* Collaborate effectively with team members and stakeholders to deliver high quality solutions '
**Required Skills And Experience**
 Should have at least 12\+ years of IT experience in Data and analytics
 Should have 2 \+ Years experience in Generative AI model developmentManage a team of data scientists and provide technical guidance, mentorship, and coaching to ensure team members professional development and growth.
 Drive cross functional alignment with teams across sales, engineering, product, marketing, etc. to advance strategic priorities for our customers.
 The base compensation range for this role in the posted location is:$180,000 to $220,000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96">
      <c r="A96" t="inlineStr">
        <is>
          <t>li-4370873249</t>
        </is>
      </c>
      <c r="B96" t="inlineStr">
        <is>
          <t>VP, Credit Risk Review Data Scientist</t>
        </is>
      </c>
      <c r="C96" t="inlineStr">
        <is>
          <t>Santander</t>
        </is>
      </c>
      <c r="D96" t="inlineStr">
        <is>
          <t>linkedin</t>
        </is>
      </c>
      <c r="E96">
        <f>HYPERLINK("https://www.linkedin.com/jobs/view/4370873249", "https://www.linkedin.com/jobs/view/4370873249")</f>
        <v/>
      </c>
      <c r="F96">
        <f>HYPERLINK("https://santander.wd3.myworkdayjobs.com/en-US/SantanderCareers/job/VP\u002d\u002dCredit-Risk-Review-Data-Scientist_Req1537843?utm_source=santander.com&amp;utm_medium=referral&amp;utm_campaign=home&amp;source=Santander_com&amp;urlHash=z3JB", "https://santander.wd3.myworkdayjobs.com/en-US/SantanderCareers/job/VP\u002d\u002dCredit-Risk-Review-Data-Scientist_Req1537843?utm_source=santander.com&amp;utm_medium=referral&amp;utm_campaign=home&amp;source=Santander_com&amp;urlHash=z3JB")</f>
        <v/>
      </c>
      <c r="G96" t="inlineStr">
        <is>
          <t>Massachusetts, United States</t>
        </is>
      </c>
      <c r="H96" t="inlineStr"/>
      <c r="I96" t="inlineStr">
        <is>
          <t>**The Difference You Make:** 
 This is an individual contributor role. The three primary functions of the Credit Risk Review – Data Science role are to:
 1\. Maintain and, as and when needed, refine and enhance Credit Risk Review’s (“CRR”) existing applications, including as CRR’s methodologies change and when technological capabilities advance.
 2\. Ensure the smooth operation of all CRR\-specific applications with timely and accurate reporting and output for processes that are “Self\-Service” as well as periodic reporting from applications that are dependent on the incumbent’s expertise.
 3\. Build new applications to advance CRR’s ability to both analyze portfolios and risks as well as the ability to analyze results from CRR’s reviews and continuous monitoring.
 The incumbent will make important contributions to the assessment of the quality, quantity, direction, and overall credit risk in the organization as well as compliance with established underwriting policies, procedures, limits, and concentrations. Specific responsibilities include:
* Extract portfolio data elements from the bank’s systems of record / data warehouses.
* Decipher and organize key portfolio data elements into a format which is understandable and usable by Credit Risk Review (CRR) team\-members.
* Data\-mine large amounts of portfolio information using Microsoft Excel, Python, SAS, SQL or other tools.
* Innovate, enhance and as needed, build new applications to support advancement of CRR’s analytical capabilities to identify themes, trends and emerging risks.
* Where possible, devise solutions to reduce CRR’s residual manual dependencies.
**What You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preferably in Data Science, Data Analysis or equivalent field, or equivalent quantitative experience.
* 7\-12 Years’ banking experience, preferably concentrated in Data Management or Data Analytics functions.
* Experience with Microsoft Tools and Power Platform preferred (SharePoint, Power \&amp; Automate) as well as with Microsoft Excel, SAS, Python, SQL.
* Ability to write code to facilitate the extract of key data elements from the bank’s various data warehouses/data marts, interpreting the elements/attributes of the data,
* Detail\-oriented and ability to work independently with limited supervision.
* Strong modeling and data manipulation skills.
* Understanding of credit risk concepts and drive to grow expertise.
* Ability to interact and communicate effectively across the organization.
* Strong written and verbal communication skills; communicate in a timely and straightforward manner.
* Strong time management and organizational skills.
* Team\-player and follows through to meet commitments to others.
* Takes responsibility for achieving strong results and delivering on\-time while flexible and able to balance multiple complex demands.
**Certifications:** 
* CFA (Chartered Financial Analyst): Finance certifications desired \- Preferred.
**It Would Be Nice For You To Have:** 
* Established work history or equivalent demonstrated through a combination of work experience, training, military service, or education.
* Experience in Microsoft Office products.
**Base Pay Range:** 
 Minimum:
 $108,750\.00 USD
 Maximum:
 $180,000\.00 USD</t>
        </is>
      </c>
    </row>
    <row r="97">
      <c r="A97" t="inlineStr">
        <is>
          <t>li-4370932048</t>
        </is>
      </c>
      <c r="B97" t="inlineStr">
        <is>
          <t>Applied Scientist II, Amazon Fulfillment Technology (AFT) Science</t>
        </is>
      </c>
      <c r="C97" t="inlineStr">
        <is>
          <t>Amazon</t>
        </is>
      </c>
      <c r="D97" t="inlineStr">
        <is>
          <t>linkedin</t>
        </is>
      </c>
      <c r="E97">
        <f>HYPERLINK("https://www.linkedin.com/jobs/view/4370932048", "https://www.linkedin.com/jobs/view/4370932048")</f>
        <v/>
      </c>
      <c r="F97" t="inlineStr"/>
      <c r="G97" t="inlineStr">
        <is>
          <t>Bellevue, WA</t>
        </is>
      </c>
      <c r="H97" t="inlineStr"/>
      <c r="I97" t="inlineStr">
        <is>
          <t>**Description**
 The Amazon Fulfillment Technology (AFT) Science team is seeking an exceptional Applied Scientist with strong operations research and optimization expertise to develop production solutions for one of the most complex systems in the world: Amazon's Fulfillment Network. At AFT Science, we design, build, and deploy optimization, statistics, machine learning, and GenAI/LLM solutions that power production systems running across Amazon Fulfillment Centers worldwide. We solve a wide range of challenges encountered throughout the network, including labor planning and staffing, pick scheduling, stow guidance, and capacity risk management. We are tasked with developing innovative, scalable, and reliable science\-driven production solutions that exceed the published state of the art, enabling systems to run frequently (ranging from every few minutes to every few hours per use case) and continuously across our large\-scale network.
 Key job responsibilities
**Responsibilities**
 As an Applied Scientist, you will collaborate with other scientists, software engineers, product managers, and operations leaders to develop optimization\-driven solutions using a variety of tools and observe direct impact on process efficiency and associate experience in the fulfillment network. Key responsibilities include:
* Develop understanding and domain knowledge of operational processes, system architecture and functions, and business requirements
* Deep dive into data and code to identify opportunities for continuous improvement and/or disruptive new approaches
* Develop scalable mathematical models for production systems to derive optimal or near\-optimal solutions for existing and new challenges
* Create prototypes and simulations for agile experimentation of devised solutions
* Advocate for technical solutions with business stakeholders, engineering teams, and senior leadership
* Partner with engineers to integrate prototypes into production systems
* Design experiments to test new or incremental solutions launched in production and build metrics to track performance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Amazon Fulfillment Technology (AFT) designs, develops, and operates end\-to\-end fulfillment technology solutions for all Amazon Fulfillment Centers (FCs). We harmonize the physical and virtual worlds so Amazon customers can get what they want, when they want it.
 The AFT Science team has expertise in operations research, optimization, statistics, machine learning, and GenAI/LLM. We also possess deep domain expertise in operational processes within FCs and their challenges. We prioritize advancements that support AFT tech teams and focus areas rather than specific fields of research or individual business partners. We influence each stage of innovation from inception to deployment, which includes both developing novel solutions and improving existing approaches. Resulting production systems rely on a diverse set of technologies; our teams therefore invest in multiple specialties as the needs of each focus area evolve.
**Basic Qualifications**
* PhD, or Master's degree and 4\+ years of science, technology, engineering or related field experience
* 3\+ years of building models for business application experience
* Experience programming in Java, C\+\+, Python or related language
* Master's degree in operations research, applied mathematics, theoretical computer science, or equivalent, or PhD and 7\+ years of industry or academic research experience
**Preferred Qualifications**
* PhD in Operations Research, Statistics, Applied Mathematics, Engineering, Computer Science or related field, or Bachelor's degree
* Experience in labor planning, managing and coaching employee performance
* Experience demonstrating software engineering skills in a previous intership, work experience, coding competitions, or publications, or experience with programming/scripting (Batch, VB, PowerShell, Java, C\#, Chef, Perl, Ruby and/or PHP) and experience that includes strong analytical skills, attention to detail, and effective communication abilities
* Experience in analyzing data to drive decisions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A3177196</t>
        </is>
      </c>
    </row>
    <row r="98">
      <c r="A98" t="inlineStr">
        <is>
          <t>li-4370605171</t>
        </is>
      </c>
      <c r="B98" t="inlineStr">
        <is>
          <t>Sr. Data Scientist/AI ML Engineer - Onsite</t>
        </is>
      </c>
      <c r="C98" t="inlineStr">
        <is>
          <t>Jobs via Dice</t>
        </is>
      </c>
      <c r="D98" t="inlineStr">
        <is>
          <t>linkedin</t>
        </is>
      </c>
      <c r="E98">
        <f>HYPERLINK("https://www.linkedin.com/jobs/view/4370605171", "https://www.linkedin.com/jobs/view/4370605171")</f>
        <v/>
      </c>
      <c r="F98">
        <f>HYPERLINK("https://click.appcast.io/t/mck62OqxYVvP2esTiUQMhc3L3FMWSr02GuTdiG_-R-Y=&amp;urlHash=F3m6", "https://click.appcast.io/t/mck62OqxYVvP2esTiUQMhc3L3FMWSr02GuTdiG_-R-Y=&amp;urlHash=F3m6")</f>
        <v/>
      </c>
      <c r="G98" t="inlineStr">
        <is>
          <t>Walnut Creek, CA</t>
        </is>
      </c>
      <c r="H98" t="inlineStr"/>
      <c r="I98" t="inlineStr">
        <is>
          <t>Dice is the leading career destination for tech experts at every stage of their careers. Our client, Acunor Infotech, is seeking the following. Apply via Dice today!
**Job Title Senior Data \+ AI/ML Engineer**
**Location:** 
 Walnut Creek, CA (Hybrid 2/3 days per week onsite) Candidates MUST be local to Bay area.
**Duration:** 
 6\+ Months
**Job Description:**
* Architected and led end\-to\-end data and AI platforms, spanning data ingestion, processing, model training etc.
* Strong experience with Python and ML frameworks such as TensorFlow, PyTorch, scikit\-learn etc.
* Solid understanding of supervised and unsupervised learning including classification, clustering, and predictive modeling techniques.
* Expert level experience with AWS, including designing, deploying and managing production grade AI/ML solutions using service such as S3 ,EC2,EKS/ECS, Lambda, RDS, IAM etc.
* Proven experience working designing and building large scale, complex datasets including data transformation, normalization and data quality management etc.
* Hands on experience deploying and operating ML workloads in AWS GovCloud with strong knowledge of security, compliance, and government cloud constraints.
* Strong experience designing and implementing Retrieval\-Augmented Generation (RAG) architectures, including document generation, vector and LLM integration.
* Experience integrating LLMs with structured and unstructured data to generate accurate, explainable and context aware responses.
* Strong understanding of ML Ops and LLM Ops practices, including model / version management, prompt management, evaluation, monitoring and retraining.
* Experience building scalable batch and real time pipelines for data engineering, ML and generative AI workloads.
* Familiarity with data security, privacy and compliance requirements in regulated or public sector environments.
* Excellent communication and collaboration skills with the ability to work independently and drive technical initiatives.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2026-02-10T04:25:52Z</dcterms:created>
  <dcterms:modified xsi:type="dcterms:W3CDTF">2026-02-10T04:25:52Z</dcterms:modified>
</cp:coreProperties>
</file>