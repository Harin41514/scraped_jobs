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in-0619e646eae6e3cb</t>
        </is>
      </c>
      <c r="B2" t="inlineStr">
        <is>
          <t>Data Engineer II</t>
        </is>
      </c>
      <c r="C2" t="inlineStr">
        <is>
          <t>Lennar</t>
        </is>
      </c>
      <c r="D2" t="inlineStr">
        <is>
          <t>indeed</t>
        </is>
      </c>
      <c r="E2" t="inlineStr"/>
      <c r="F2" t="inlineStr"/>
      <c r="G2" t="inlineStr">
        <is>
          <t>Irving, TX, US</t>
        </is>
      </c>
      <c r="H2" s="2" t="n">
        <v>46061</v>
      </c>
      <c r="I2"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A career with purpose.
* A career built on making dreams come true.
* A career built on building zero defect homes, cost management, and adherence to schedules.
Your Responsibilities on the Team*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\#LI\-CA1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3">
      <c r="A3" t="inlineStr">
        <is>
          <t>in-4788bc28bd3d0bc8</t>
        </is>
      </c>
      <c r="B3" t="inlineStr">
        <is>
          <t>Sr Data Engineer</t>
        </is>
      </c>
      <c r="C3" t="inlineStr">
        <is>
          <t>LegitScript</t>
        </is>
      </c>
      <c r="D3" t="inlineStr">
        <is>
          <t>indeed</t>
        </is>
      </c>
      <c r="E3" t="inlineStr"/>
      <c r="F3" t="inlineStr"/>
      <c r="G3" t="inlineStr">
        <is>
          <t>Portland, OR, US</t>
        </is>
      </c>
      <c r="H3" s="2" t="n">
        <v>46062</v>
      </c>
      <c r="I3"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**Overview:**
We're an innovative technology incubator seeking an experienced and forward\-thinking Sr Data Engineer specializing in Generative AI to join our team. In this role, you'll spearhead the development and implementation of cutting\-edge AI solutions, with a primary focus on creating a sophisticated risk detection algorithm using large language models, Generative AI techniques, and traditional machine learning methods within our SaaS environment.
 **What You'll Do:**
* Design, build, and maintain scalable data pipelines to ingest data from disparate sources into our data warehouse/lake.
* Research and develop high\-performance machine learning models to solve complex business problems.
* Wrap models into production\-ready APIs and integrate them into our core product.
* Implement automated workflows for data validation, model training, and continuous deployment (CI/CD for ML).
* Monitor pipeline latency and model drift, ensuring that the system remains performant and accurate as data evolves.
 **What You'll Bring:**
* 5–8\+ years in a Data Engineering or Data Science role, with a proven track record of shipping models to production.
* Advanced proficiency in Structured Query Language for complex data transformation and analysis.
* Hands\-on experience with cloud\-based data platforms such as Databricks or Snowflake.
* Experience with ETL and ELT tools or frameworks such as Lakeflow Declarative Pipelines, Databricks Autoloader, Informatica, Talend, or dbt.
* Strong proficiency in Python, Spark/PySpark, and DABs/Terraform for data processing and pipeline development.
* Strong understanding of data modeling, database design principles, and building curated datasets for analytics and operational use cases.
* Experience with DevOps practices including IAC, CI/CD, Git\-based development, branching strategies, and code reviews.
* Proven history implementing continuous integration and continuous deployment for data pipelines and managing deployments across environments.
* Familiarity with orchestration and workflow tools such as Databricks Workflows or Airflow is preferred.
* Previous experience working with containerization technologies such as Docker
* Proficiency with ML experiment tracking tools like MLFlow or Weights \&amp; Biases
* Design ML models that do the heavy lifting—prioritizing tasks and automating risk assessment to make our operations smarter.
* Ensure every prediction is explainable, turning "black box" code into actionable "reason codes" for our end users.
* Partner directly with the teams using your tools to refine features and improve model relevance based on their feedback.
* Own the success of your models by measuring their real\-world efficacy, focusing on business ROI.
 **In addition to competitive salaries, full\-time employees enjoy a great benefits package:**
* Multiple Medical,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This job description is not designed to cover or contain a comprehensive listing of all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\*\*We do not accept unsolicited applications from third\-party recruiters or agencies for this job posting. Any candidate submission without a prior agreement will be considered the property of our company, and we will not be responsible for any fees or obligations related to such submissions. We encourage interested candidates to apply directly through our official channels.\*\*</t>
        </is>
      </c>
    </row>
    <row r="4">
      <c r="A4" t="inlineStr">
        <is>
          <t>in-f364656524981d52</t>
        </is>
      </c>
      <c r="B4" t="inlineStr">
        <is>
          <t>Data Engineer</t>
        </is>
      </c>
      <c r="C4" t="inlineStr">
        <is>
          <t>Sans Consulting Services Inc.</t>
        </is>
      </c>
      <c r="D4" t="inlineStr">
        <is>
          <t>indeed</t>
        </is>
      </c>
      <c r="E4" t="inlineStr"/>
      <c r="F4" t="inlineStr"/>
      <c r="G4" t="inlineStr">
        <is>
          <t>New York, NY, US</t>
        </is>
      </c>
      <c r="H4" s="2" t="n">
        <v>46062</v>
      </c>
      <c r="I4" t="inlineStr">
        <is>
          <t>**PYTHON – good in python**
**Good in SQL**
**Prior experience in a large variety of alternative data sets \&lt;\-\-\-\- THIS IS KEY**
**Must have financial services**
**What is Alternative Data Sets \- (NON Market data) – Data from a vendor like consumer spending behavior or web traffic behavior, various kinds of data you get from web scrapes**
Alternative data hedge funds use non\-traditional data, like satellite imagery, social media sentiment, geolocation, and web scraping, to find investment signals missed by conventional research, offering early insights into market trends, consumer behavior, and company performance to gain an edge over rivals. This diverse data, often large and complex (big data), comes from outside a company and helps funds spot opportunities and risks before they appear in standard reports, with most hedge funds now integrating some form of it.
**Common Sources of Alternative Data**
* **Geolocation Data :** Foot traffic, device movement to gauge retail/foot traffic.
* **Social Media \&amp; Web Data :** Sentiment analysis from Twitter, Reddit, review sites, web scraping for trends.
* **Satellite Imagery :** Tracking parking lots, oil storage, construction to predict retail/commodity activity.
* **Credit Card \&amp; Transaction Data :** Aggregated purchase data to see consumer spending patterns.
* **Web Traffic \&amp; App Downloads :** Real\-time indicators of product adoption and company health.
**How Hedge Funds Use It**
* **Early Signals :** Spotting shifts in demand or sentiment before earnings reports.
* **Competitive Edge :** Gaining insights into consumer perception and competitor performance.
* **Quantitative Models :** Feeding large datasets into complex algorithms for predictive power.
**Key Providers \&amp; Tools**
* **Data Vendors:**
Companies like YipitData, Quandl (now part of Nasdaq), and others gather and process this data.
* **Platforms:**
Services like AlphaSense and AlternativeSoft help manage and analyze this information.
**Challenges**
* **Data Quality:** Ensuring data is accurate, relevant, and not misleading.
* **Volume \&amp; Complexity:** Handling massive, unstructured datasets requires advanced tech.
**Integrate with APIs and bring into Snowflake \&lt;\-\-\- Must have API experience and Snowflake**
**Write ETL process, ingest from APIs – S3 Buckets – STFP servers – Snowflake vendor shares. \&lt;\-\-\- Must have ETL, APIs, S3 Buckets, STFP Servers, Snowflake Vendor Shares.**
**Required to write the code to put it into snowflake as a starting point – Data engineering work is to put it into snowflake**
**Next part of the role is to \-\-**
**Integrate the raw data they’ve ingested into their analytics systems – Which is internally built Python tools and SQL processes they’ve developed. They have Internally built Python libraries. PREFECT is an orchestration tool. (Prefect.io)**
**DBT – a data transformation tool** 
**Candidate must be users of existing tools and processes and someone who has enough experience to suggest improvements to things** **, they have a non\-perfect system and they want someone who can contribute ideas and do the necessary work to improve their data processes. They want someone who can build data quality and alerting tools and building leveraging DBT \*\*\* for work flows and adding features to existing things what they’ve already built. Help out in every way possible.** 
**PYTHON SKILLS THEY MUST HAVE \-**
**Numpy, SiPy or sip y, Pandas SiPy \- they have a fairyy typical data manipulation stack in python. But we’re also open to other libraries that they don’t use**
**Like – Polars, desk pyspark.** 
**ALSO**
**Mixed in with the above is improvement projects, this new feature in data loading project to get more visibility to the project for the stakeholders**
**Python on Windows. We work in a Virtual machine based environment. They work instead a slightly less modern – environment. Virtual machine and this influences how they think of problem solving.** 
**Normal hours are 9\-6 hours—(someone builds a data process and it breaks you would have to have some amount of ownership. ) They may need to start at 6 in the morning to fix the problem in the system they built themselves. (own what you built) 5 days a week, 4 days on site but also must – get up at 6 in the am to fix something to fix it.** 
**Excellent communications and talk to other engineers and talk to the data scientists to talk to the business. Understand the down stream intent of using the data \&lt;\-\-\- What is the business purpose of this data? Be smart.**
**8\-10 daily rate (due support element )** 
**dbt (data build tool) is an analytics engineering framework that helps data teams transform data in their warehouses using SQL, bringing software development best practices (like version control, testing, and documentation) to data pipelines, enabling analysts and engineers to build scalable, reliable, and collaborative data models for analytics and BI. It focuses on the "T" (transformation) in ELT , allowing teams to build modular, testable, and documented data transformations directly within cloud data warehouses.** 
Job Type: Contract
Work Location: In person</t>
        </is>
      </c>
    </row>
    <row r="5">
      <c r="A5" t="inlineStr">
        <is>
          <t>in-43432b6acc457768</t>
        </is>
      </c>
      <c r="B5" t="inlineStr">
        <is>
          <t>Azure Data Engineer</t>
        </is>
      </c>
      <c r="C5" t="inlineStr">
        <is>
          <t>American business solutions inc</t>
        </is>
      </c>
      <c r="D5" t="inlineStr">
        <is>
          <t>indeed</t>
        </is>
      </c>
      <c r="E5" t="inlineStr"/>
      <c r="F5" t="inlineStr"/>
      <c r="G5" t="inlineStr">
        <is>
          <t>Jackson, MS, US</t>
        </is>
      </c>
      <c r="H5" s="2" t="n">
        <v>46062</v>
      </c>
      <c r="I5" t="inlineStr">
        <is>
          <t>Position Description and Job Skill Set
Description of the job functions the contractor will be expected to perform.  
 Design, build, and maintain Azure\-based data pipelines using Synapse Analytics to support MSIS and  
related education systems.  
 Develop and optimize ETL/ELT processes to ingest, transform, and validate K\-12 education data from  
multiple source systems.  
 Implement and manage data models, views, and performance tuning in Azure SQL and Synapse  
environments.  
 Monitor, troubleshoot, and resolve data pipeline and performance issues.  
 Document data flows, transformations, and technical standards.  
 Collaborate with analysts, reporting teams, and vendors to deliver timely, accurate data for federal and  
state reporting.
Required Skills/Experience  
Provide the minimum required skills and/or experience the contractor must possess to qualify for this position. These requirements  
will be transferred to the Score Sheet and candidates without these requirements reflected on their resume will NOT be presented  
to the manager for consideration.  
A minimum of 5 years of experience in the following:  
 Advanced development and orchestration of data pipelines using Azure Data Factory/Synapse or  
similar cloud based platforms. (pipelines, triggers, integration runtimes, parameterization).  
2  
4\. Scoring Method  
Criteria Score Percentage Must equal 100%  
Cost 30  
Required Skills/Experience 25  
Preferred Skills/Experience 10  
Candidate Interview 35  
 Data warehousing and analytics engineering using Azure Synapse Analytics or similar cloud based  
platforms (dedicated and serverless SQL pools).  
 Strong T\-SQL skills, including query optimization, indexing strategies, stored procedures, and  
performance tuning.  
 Implementation of ETL/ELT frameworks, including incremental loads, CDC patterns, and error handling.  
 Integration of structured and semi\-structured data (CSV, JSON, XML) from APIs, SFTP, and vendor  
systems.  
 Source control and deployment practices using Azure DevOps, Git, and CI/CD pipelines.</t>
        </is>
      </c>
    </row>
    <row r="6">
      <c r="A6" t="inlineStr">
        <is>
          <t>in-607a604ae03e995e</t>
        </is>
      </c>
      <c r="B6" t="inlineStr">
        <is>
          <t>Principal/Senior Data Engineer</t>
        </is>
      </c>
      <c r="C6" t="inlineStr">
        <is>
          <t>TAB Bank</t>
        </is>
      </c>
      <c r="D6" t="inlineStr">
        <is>
          <t>indeed</t>
        </is>
      </c>
      <c r="E6" t="inlineStr"/>
      <c r="F6" t="inlineStr"/>
      <c r="G6" t="inlineStr">
        <is>
          <t>Ogden, UT, US</t>
        </is>
      </c>
      <c r="H6" s="2" t="n">
        <v>46062</v>
      </c>
      <c r="I6" t="inlineStr">
        <is>
          <t>The Principal Data Engineer will provide leadership in the ongoing development of new and existing data pipelines including development of data movement, data quality, data cleansing and other ETL\-related activities at TAB. The role is intended to serve the data services and information needs of TAB. The candidate will work with all areas at TAB to ensure functional use and access to data intelligence, information and analytics.
**Essential Duties and Responsibilities:**
* Participate in all phases of data integration, such as analysis, requirement gathering, design, documentation and development of data related architectures, structures, and ETL processes.
* Develop and maintain high volume streaming pipelines as well as batch processes.
* Maintain and improve existing framework to support data integration pipelines.
* Conduct code reviews with peers and provide best\-practice design and architecture suggestions.
* Interface with all areas of TAB to understand and analyze business and functional requirements.
* Provide tactical solutions on priority issues/requirements.
* Maintain the data dictionary as processes and applications change.
* Understand and implement best practices, tuning and optimization for applications and reporting systems.
* Other duties as assigned.
**Education and Experience Requirements:**
* BS, MS Degree in a computer science, information technology or another computer\-based discipline.
* 8\+ years of experience in designing and developing ETL data pipelines.
* 8\+ years of experience in OOP programming language (Python, C\#, Java)
* Mastery of ETL methodologies and practices.
* Mastery of large\-scale streaming pipelines.
* Proven analytical and database skills.
* Expert level MSSQL and NoSQL experience.
* Mastery in utilizing and extending ETL processes in a complex, high\-volume data environment.
* Or an equivalent combination of education and experience that provides the required knowledge, skills and abilities.
**Knowledge, Skills, and Abilities Requirements:**
* Expert level proficiency in Python, SQL/T\-SQL and other ETL/ELT applications.
* Expert level experience in executing high\-volume data load to SQL and NoSQL environments.
* Mastery of RESTful API architecture including experience with creation and consumption.
* Comfortable using GIT version control and working in CI/CD pipeline.
* Must have independent problem\-solving skills and ability to develop solutions to complex analytical/data storage problems.
* Excellent interpersonal skills necessary to work effectively with colleagues at various levels of the organization and across multiple locations.
* Successfully engage in multiple initiatives simultaneously.
* Identifies critical issues with ease and determines appropriate level of escalation, if needed.
* Work successfully in a team environment using Agile Scrum methodologies.
* Continually seeks opportunities to increase internal customer satisfaction and deepen relationships.
* Suggests areas for improvement in internal processes along with possible solutions.
* Excellent verbal and written communication skills and the ability to interact professionally with a diverse group including executives, managers, and subject matter experts.
* Experience in Big Data technologies and utilities is preferred.
* Financial Services and Commercial Banking experience is a plus.
**TAB Bank Offers:**
* Onsite Gym
* Tuition Reimbursement
* Paid Holidays
* Gym Reimbursement
* College Scholarships for Employees and Families
* 401(k)
* Paid Time Off (PTO)
* Employee Assistance Program (EAP)
* I Made the Grade
* Holiday Club Program
* Medical, Dental, Vision, Life and AD\&amp;D, Voluntary Disability, Flex Spending \&amp; Dependent Care
**TAB Bank will not sponsor applicants for work visas.**</t>
        </is>
      </c>
    </row>
    <row r="7">
      <c r="A7" t="inlineStr">
        <is>
          <t>in-08024e8a312159d0</t>
        </is>
      </c>
      <c r="B7" t="inlineStr">
        <is>
          <t>Senior Data Engineer</t>
        </is>
      </c>
      <c r="C7" t="inlineStr">
        <is>
          <t>innoVet Health, LLC</t>
        </is>
      </c>
      <c r="D7" t="inlineStr">
        <is>
          <t>indeed</t>
        </is>
      </c>
      <c r="E7" t="inlineStr"/>
      <c r="F7" t="inlineStr"/>
      <c r="G7" t="inlineStr">
        <is>
          <t>US</t>
        </is>
      </c>
      <c r="H7" s="2" t="n">
        <v>46062</v>
      </c>
      <c r="I7" t="inlineStr">
        <is>
          <t>InnoVet Health, a small and growing business that provides health IT professional services to the Department of Veterans Affairs (VA) is looking for an experienced Sr. Azure Data Engineer proficient in Databricks, Delta Lake, and medallion/lakehouse architectures to support healthcare analytics, interoperability, and data integration needs. You will build scalable data pipelines, ensure data quality, and support advanced analytics across clinical, operational, and regulatory datasets. Your work will directly impact VA healthcare delivery by building an analytical infrastructure that enables AI/ML and advanced analytics to deliver short\-term and longitudinal insights to healthcare professionals serving Veterans. You will work in an agile environment alongside VA and contractor stakeholders. It is flexible, full\-time, and does not require relocation (work\-from\-home). The pay, benefits, and growth potential are competitive.
Responsibilities
* Gather and translate business, technical, and functional requirements into data architecture and pipeline design decisions. Design and develop Azure Data Factory and Databricks\-based ETL/ELT pipelines using PySpark, Delta Lake, and medallion/lakehouse architecture.
* Ingest and transform healthcare data (clinical, claims, FHIR, HL7, EHR, ADT, PGHD) from diverse sources.
* Build secure, scalable solutions using Azure Data Lake Storage, ADF, and Event Hubs, and related services, with attention to latency and reliability requirements.
* Implement data quality, lineage, and governance using Microsoft Purview.
* Optimize Databricks jobs (performance tuning, cluster sizing, Z\-ordering, partitioning).
* Enforce HIPAA\-aligned security practices: RBAC, Key Vault, private endpoints, PHI protection.
* Collaborate with data scientists, analysts, and clinical informatics teams.
* Stay up to date with emerging technologies and trends in data engineering and healthcare data management.
* Present and discuss results with IT and business stakeholders.
* Participate in company growth and other responsibilities, as assigned.
Qualifications
* Bachelor’s or master’s degree in computer science, data analytics, or related field.
* Minimum 6\+ years data engineering experience; 4\+ years hands\-on with Azure and 2\+ years hands\-on with Databricks.
* Strong skills in PySpark, Delta Lake, SQL, and distributed data processing.
* Experience with healthcare data standards (FHIR, HL7, X12/EDI, CCD, claims data, PGHD).
* Strong understanding of HIPAA, PHI handling, and secure data architecture.
* Experience with ADF, ADLS Gen2, Azure Functions, and event\-driven ingestion.
* Strong understanding of data modeling for analytics (dimensional \+ lakehouse).
* Excellent problem\-solving, collaboration and communication skills.
* Green card or US citizen required because of government contract work.
* No 1099 or corp\-to\-corp or international outsourcing or staffing agencies.
Preferred
* Experience with Federal EHR (VistA and Oracle Health) data.
* Experience with Azure Event Hubs, Stream Analytics, AWS Kinesis, or similar data streaming platforms is also a plus.
Job Type: Full\-time
Pay: From $140,000\.00 per year
Benefits:
* 401(k)
* 401(k) matching
* Dental insurance
* Health insurance
* Paid time off
* Referral program
* Vision insurance
Application Question(s):
* This position works directly with US government contracts and under Order 11935, it requires either U.S. Citizenship or valid Green Card. Please answer 2 if you are a US citizen, 1 if you have a valid green card, 0 if neither. Please make sure to answer this question.
* Your LinkedIn profile link (required):
Education:
* Bachelor's (Required)
Experience:
* Azure Data Lake: 4 years (Required)
* Databricks: 4 years (Required)
Location:
* United States (Required)
Work Location: Remote</t>
        </is>
      </c>
    </row>
    <row r="8">
      <c r="A8" t="inlineStr">
        <is>
          <t>in-d8b230e27562e2d8</t>
        </is>
      </c>
      <c r="B8" t="inlineStr">
        <is>
          <t>Data Engineer</t>
        </is>
      </c>
      <c r="C8" t="inlineStr">
        <is>
          <t>MRCOOL, LLC</t>
        </is>
      </c>
      <c r="D8" t="inlineStr">
        <is>
          <t>indeed</t>
        </is>
      </c>
      <c r="E8" t="inlineStr"/>
      <c r="F8" t="inlineStr"/>
      <c r="G8" t="inlineStr">
        <is>
          <t>Hickory, KY, US</t>
        </is>
      </c>
      <c r="H8" s="2" t="n">
        <v>46062</v>
      </c>
      <c r="I8" t="inlineStr">
        <is>
          <t>**Data Engineer**
MRCOOL® designs innovative, energy\-efficient HVAC systems, including our DIY\-friendly ductless mini splits and ducted central air solutions, built to last. Working at MRCOOL is a unique opportunity to do rewarding, meaningful, high\-visibility work for a leader in the HVAC industry.
**Your Role and Impact**
Reporting to the Director of IT, the Data Engineer is a high impact role that will directly enable business leaders to make faster and more informed business judgements based on the datasets you build. You will be responsible for developing our data warehouse by evaluating, cleansing, and transforming our data into actionable and consumable reports and dashboards.
**Responsibilities**
* Collaborate with stakeholders to understand business requirements and translate them into data\-driven solutions.
* Develop and manage scalable data pipelines to extract, transform, and load data from various sources.
* Automate data processing and reporting workflows to improve efficiency and data integrity. Develop software programs, algorithms, and automated processes that cleanse, integrate, and evaluate large data sets from multiple disparate sources.
* Use predictive modeling to increase and optimize customer experiences, revenue generation, data insights, and other business outcomes.
* Develop visualizations to make your sophisticated analyses accessible to a broad audience. Identify and create key metrics and dashboards to track program success.
* Develop and manage scalable, automated, and fault\-tolerant data solutions using technologies such as Spark, EMR, Python, Redshift, Glue, and S3\.
* Set up and manage API connections for data streams. Develop strategies to query, prioritize, and optimize datasets. Data refinement, migration, and merging datasets together.
**Qualifications**
* 8\+ years of experience as a data engineer.
* Experience with NetSuite and NSAW preferred.
* Experience with technologies such as: SQL, Tableau, PowerBI, Hadoop, Hive, Spark, EMR, Redshift, Snowflake, and Databricks.
* Experience with a scripting language (e.g., Python, Java, or R).
* You appreciate the importance of schema design, and can evolve an analytics schema on top of unstructured data.
* You are a champion for data privacy and integrity, and always act in the best interest of consumers.
* Bachelor's degree, or Master's degree in computer science, statistics, information systems, or a related, technical field.
Job Types: Full\-time, Permanent
Benefits:
* 401(k)
* 401(k) matching
* Dental insurance
* Employee discount
* Health insurance
* Life insurance
* Paid time off
* Retirement plan
* Vision insurance
Location:
* Hickory, KY 42051 (Preferred)
Work Location: In person</t>
        </is>
      </c>
    </row>
    <row r="9">
      <c r="A9" t="inlineStr">
        <is>
          <t>in-1ce3a3714645db45</t>
        </is>
      </c>
      <c r="B9" t="inlineStr">
        <is>
          <t>Data Engineer</t>
        </is>
      </c>
      <c r="C9" t="inlineStr">
        <is>
          <t>American business solutions inc</t>
        </is>
      </c>
      <c r="D9" t="inlineStr">
        <is>
          <t>indeed</t>
        </is>
      </c>
      <c r="E9" t="inlineStr"/>
      <c r="F9" t="inlineStr"/>
      <c r="G9" t="inlineStr">
        <is>
          <t>Lansing, MI, US</t>
        </is>
      </c>
      <c r="H9" s="2" t="n">
        <v>46062</v>
      </c>
      <c r="I9" t="inlineStr">
        <is>
          <t>**Required Skills**
-------------------
12\+ years developing complex database systems.
8\+ years Databricks.
8\+ years using Elastic search, Kibanna.
8\+ years using Python/Scala.
8\+ years Oracle.
5\+ years//' experience with Extract, Transform, and Load (ETL) processes and developing Data Pipelines.
5\+ years//' experience with AWS.
5\+ years//' experience with data warehousing, data visualization Tools, data integrity.
5\+ years using CMM/CMMI Level 3 methods and practices.
5\+ years implemented agile development processes including test driven development.
**Preferred Skills**
--------------------
3\+ years//' experience or Knowledge on creating CI/CD pipelines using Azure DevOps.</t>
        </is>
      </c>
    </row>
    <row r="10">
      <c r="A10" t="inlineStr">
        <is>
          <t>in-65c2c7df75663f70</t>
        </is>
      </c>
      <c r="B10" t="inlineStr">
        <is>
          <t>IT Applications Data Engineer</t>
        </is>
      </c>
      <c r="C10" t="inlineStr">
        <is>
          <t>Pantex Plant</t>
        </is>
      </c>
      <c r="D10" t="inlineStr">
        <is>
          <t>indeed</t>
        </is>
      </c>
      <c r="E10" t="inlineStr"/>
      <c r="F10" t="inlineStr"/>
      <c r="G10" t="inlineStr">
        <is>
          <t>Amarillo, TX, US</t>
        </is>
      </c>
      <c r="H10" s="2" t="n">
        <v>46061</v>
      </c>
      <c r="I10" t="inlineStr">
        <is>
          <t>**Location:** Amarillo, TX \- Pantex Plant  
**Job Title:** IT Applications Data Engineer  
**Career Level From:** Senior Associate  
**Career Level To:** Senior Specialist  
**Organization:** NSE Integration Services (51130643\)  
**Job Specialty:** Service Transition  
**What You'll Do**
------------------
A career at Pantex can offer you the opportunity to make a personal impact on our nation. We recognize that excellent employees are absolutely critical for mission success. We are seeking a Data Engineer to design, build, and optimize the high\-performance data pipelines and data infrastructure necessary to power enterprise\-level Artificial Intelligence (AI), machine learning, and advanced analytics capabilities.
Primary duties include building and maintenance of data pipelines, hands\-on development of robust, scalable Extract, Load, and Transform (ELT)/Extract, Transfer and Load (ETL) processes, integrating diverse operational and analytical data sources, and ensuring the reliability and quality of all data assets used for modeling and reporting.
Additional duties may include performance tuning of centralized data platforms, implementing DataOps methodologies, and collaborating closely with Data Architects and Data Scientists to translate data requirements into fully operationalized solutions.
**Core Responsibilities and Duties**
* Build, test, and maintain highly scalable data pipelines for both batch and real\-time data consumption using cloud\-native services and distributed processing frameworks.
* Construct and manage data systems within the modern data stack (e.g., Databricks, Snowflake, or equivalent cloud data warehouse/lakehouse solutions) to ensure optimal data accessibility and performance.
* Write production\-grade code (primarily Python or Scala) to cleanse, transform, and load complex, high\-volume data into structured data models defined by the Data Architect.
* Implement and manage data quality checks, data lineage tools, and pipeline monitoring to ensure data integrity and immediate detection of failures across the data platform.
* Optimize and fine\-tune database performance, query efficiency, and cost management across data storage and processing services in a secure cloud environment.
* Support Data Science teams by providing efficient access to data, developing feature engineering workflows, and integrating model\-ready data into the Machine Learning Operations (MLOps) platform.
**Other Responsibilities and Duties**
* Participate in defining and enforcing DataOps and DevSecOps practices for data pipeline automation, testing, and secure deployment.
* Maintain comprehensive documentation of data flows, data dictionaries, and operational runbooks for all production data infrastructure.
* Collaborate with application development teams and Application Programming Interface (API) developers to establish secure and efficient data ingestion points from source systems.
* Work with Data Architects on modeling new data sources to ensure new data assets adhere to established enterprise data standards and architectures.
 **What You Can Expect***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 Bachelor’s degree in engineering/science discipline: Minimum 2 years of relevant experience. Typical engineering/science experience ranging from 3 to 7 years.
* OR Applicants without a bachelor's degree may be considered based on a combination of at least 10 years of completed education and/or relevant experience.
**Department of Energy (DOE ) Order 426\.2A Requirements**
----------------------------------------------------------
* Not applicable
**Preferred Job Requirements**
------------------------------
* Master's degree (MS) in a relevant technical field with minimum 3 years of relevant experience.
* Minimum of 4 years of relevant experience, with at least 3 years specifically focused on building and managing enterprise\-grade data pipelines and ELT/ETL processes.
* Expert proficiency in Structured Query Language (SQL) and Python or Scala for data manipulation, transformation, and automation.
* Demonstrated experience with distributed processing frameworks (e.g., Apache Spark, Databricks, Snowflake) and cloud\-based data services (e.g., Azure Data Factory, Amazon Web Services (AWS) Glue).
* Relevant certifications from modern data stack providers (e.g., Databricks Certified Data Engineer, Snowflake Certification) or cloud platforms (e.g., Azure Data Engineer Associate).
* Experience implementing data streaming technologies (e.g., Kafka, Azure Event Hubs) for near real\-time data ingestion.
* Prior experience with data modeling concepts (e.g., Dimensional Modeling, Data Vault) as implemented in data warehousing solutions.
**\#JointheMission: Your Impact Starts Here**
---------------------------------------------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11">
      <c r="A11" t="inlineStr">
        <is>
          <t>in-1c126a335b27d32d</t>
        </is>
      </c>
      <c r="B11" t="inlineStr">
        <is>
          <t>Senior Data Engineer</t>
        </is>
      </c>
      <c r="C11" t="inlineStr">
        <is>
          <t>PA Consulting</t>
        </is>
      </c>
      <c r="D11" t="inlineStr">
        <is>
          <t>indeed</t>
        </is>
      </c>
      <c r="E11" t="inlineStr"/>
      <c r="F11" t="inlineStr"/>
      <c r="G11" t="inlineStr">
        <is>
          <t>Boston, MA, US</t>
        </is>
      </c>
      <c r="H11" s="2" t="n">
        <v>46061</v>
      </c>
      <c r="I11" t="inlineStr">
        <is>
          <t>We believe in the power of ingenuity to build a positive human future.
As strategies, technologies, and innovation collide, we create opportunity from complexity.
Our diverse teams of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 **Job description**
**Your day to day**
We’re an innovation and transformation consultancy that believes in the power of ingenuity to build a positive\-human future in a technology\-driven world. Our diverse teams of experts combine innovative thinking with breakthrough\-technologies to progress further, faster.
Are you ready to harness the power of data to drive advancements in healthcare? Are you passionate about both developing new capabilities and ensuring the optimization and reliability of existing data systems? Are you passionate about designing, building, and operating data infrastructure that plays a pivotal role in improving patient outcomes and shaping the future of medicine?
If you're seeking a rewarding career at the intersection of healthcare and technology, we invite you to be part of our dynamic team. This is a unique, multi\-year, project\-based opportunity to build and grow a clinical data registry platform over many years working with a dedicated team of collaborators and customers.
As a Data Engineer for our cutting\-edge medical data registry, you'll be at the forefront of managing, optimizing, and expanding our data infrastructure, enabling critical insights that can positively impact patient outcomes. This role provides a dynamic mix of innovative new development—enhancements, optimizations, and Proofs of Concept—alongside meaningful hands‑on ownership of production pipelines, data flows, and platform operations.
You will contribute to system improvements while also owning the monitoring, troubleshooting, tuning, and day\-to\-day reliability of the existing data ecosystem. If you're excited about leveraging your data engineering skills to make a difference in the world of healthcare, we want to hear from you.
#### **Qualifications**
* At least 6 years of industry working experience
* Advanced SQL and Python
* Expertise in the design and construction of Big Data Lakes and Data Warehouses capable of ingesting, standardizing, and serving billions of data rows spanning diverse datasets ranging from tens to hundreds
* Experience building dynamic, metadata driven pipelines and analyses
* Experience maintaining and supporting production data systems, including pipeline monitoring, troubleshooting, and delivering long‑term reliability and optimization enhancements
* Building and managing fully automated data pipelines (ETL, ELT, ELTL) including:
	+ Designing and building data interfaces to source systems
	+ Combining and transforming data into the appropriate format for storage
	+ Developing data sets for analytics purposes
	+ Developing pipelines that can handle common issues/errors in a robust and automated way
	+ Implementing data quality checks, observability, and cost/performance optimization
* Cloud experience in Azure, AWS or GCP
* Ability to balance enhancement work with operational responsibilities in a production environment
**Preferred qualifications**
* Spark / PySpark experience highly preferable
* Working in Agile and DevOps environments
* Basic Python, Bash, or PowerShell for automation
* Data modelling – Kimball, Data Vault, Star/Snowflake schema, Query\-first etc.
* Data visualisation in Power BI, Tableau, Qlik or similar
* Architecting Data Platforms \- designing BI/MI/Analytics solutions using Big Data, Relational or Streaming technologies
* Experience with monitoring/observability tools (logging, alerting, pipeline health dashboards)
* One or more of the following certifications:
	+ Microsoft Certified: Azure Data Engineer Associate
	+ AWS Certified Data Analytics \- Specialty
	+ GCP Professional Data Engineers
#### **Additional information**
Hybrid working \- our approach is to be in the office or on client site a minimum of 2 days per week. However, the actual time you spend and where you spend it will vary by role or assignment, including up to 5 days per week on a client site  
Life At PA encompasses our peoples' experience at PA. It's about how we enrich peoples’ working lives by giving them access to unique people and growth opportunities and purpose led meaningful work.
We are currently operating a discretionary hybrid working model which is designed to help you plan your work and your life. We want our people to come into the office at least two days a week.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We are dedicated to supporting the physical, emotional, social and financial well\-being of our people.
The salary range for this role is between $90,000 \- $125,000\.  
Benefits
* Group medical insurance
* Health Savings Account with company match
* Teladoc and informed Nurse line resources
* Long term care plan
* Group dental insurance
* Vision plan
* 401(k) Savings Plan with company profit sharing contribution
* Commuter and Parking tax\-savings benefit
* 15 days paid vacation days with the opportunity to buy five additional days
* 10 paid Holidays plus 10 paid sick days
* Company and Voluntary income protection benefits
* Gym and health incentive reimbursement
* Pet and legal insurance Plans
* Employee Assistance Plan
* Annual performance\-based bonus
\#LI\-MB1</t>
        </is>
      </c>
    </row>
    <row r="12">
      <c r="A12" t="inlineStr">
        <is>
          <t>in-22e4659d6c236865</t>
        </is>
      </c>
      <c r="B12" t="inlineStr">
        <is>
          <t>Lead Data Platform Engineer</t>
        </is>
      </c>
      <c r="C12" t="inlineStr">
        <is>
          <t>Exactera</t>
        </is>
      </c>
      <c r="D12" t="inlineStr">
        <is>
          <t>indeed</t>
        </is>
      </c>
      <c r="E12" t="inlineStr"/>
      <c r="F12" t="inlineStr"/>
      <c r="G12" t="inlineStr">
        <is>
          <t>San Diego, CA, US</t>
        </is>
      </c>
      <c r="H12" s="2" t="n">
        <v>46061</v>
      </c>
      <c r="I12" t="inlineStr">
        <is>
          <t>**Exactera** has offices in **New York City, Tarrytown NY, London,** and **Argentina.**
### **The Role**
As Lead Data Platform Engineer, you'll architect and implement our centralized data platform on Databricks. You'll establish governance patterns using Unity Catalog, optimize for cost and performance at scale, and enable our existing Data Engineers to build confidently on the platform. This is a data infrastructure role—focused on pipelines, storage, governance, and platform operations.
### **The Business Challenge**
We operate multiple product lines (Transfer Pricing, R\&amp;D Services, RoyaltyStat, Provisioning), each with distinct databases containing enterprise financial data—journal entries, general ledgers, and financial statements. Our immediate challenge is migrating multi\-terabyte datasets from legacy systems to a unified Databricks lakehouse while establishing governance patterns that enable multi\-product operations at scale.
### **What You'll Build**
* Data Structuring: Design data models and implement unified schemas across multiple disparate product lines.
* Unity Catalog Architecture: Design and implement multi\-catalog governance strategy supporting data isolation, cross\-product data sharing, and comprehensive lineage tracking across our product portfolio
* Delta Lake Optimization: Establish patterns for Z\-ordering, compaction, and liquid clustering at multi\-TB scale. Define table structures, partitioning strategies, and retention policies that balance query performance with storage costs
* ETL Pipeline Framework: Build declarative pipeline patterns using Delta Live Tables. Create orchestration workflows for ingesting data from internal sources such as SQL databases and S3
* Third Party Integrations: Integrate with third party data sources such as ERP systems (Netsuite etc.) and external data providers (S\&amp;P etc.) with automated ingest, robust error handling and monitoring.
* Platform Operations: Implement cost monitoring and optimization strategies, establish data quality frameworks, create self\-service patterns enabling Data Engineers to work independently while maintaining governance standards
### **Business Problems You'll Solve**
* Key Legacy Product Migrations: Lead the architecture for migrating multi\-terabyte datasets from legacy systems to Databricks—establishing patterns that will be reused across multiple product lines
* Multi\-Product Data Architecture: Design Unity Catalog structures enabling secure data separation between product lines while allowing controlled cross\-product analytics where appropriate
* Cost\-Efficient Scale: Build infrastructure that scales efficiently—through intelligent caching, query optimization, and compute management strategies that avoid linear cost growth
* Platform Reliability: Establish monitoring, alerting, and data quality validation ensuring the platform operates reliably as foundation for both analytics and AI workloads
### **Required Experience**
Databricks Expertise (Required)
* Unity Catalog: Production experience with multi\-catalog governance, metastore design, and lineage tracking.
* Data Structuring: Experience designing and building unified schemas across multiple disparate product lines.
* Delta Lake: Expert\-level experience with Z\-ordering, compaction, liquid clustering, and performance tuning at multi\-TB scale
* Delta Live Tables: Strong hands\-on experience building declarative ETL pipelines, including change data capture and expectations/constraints
* Databricks Workflows: Experience with job orchestration, scheduling, and operational monitoring
* Business Intelligence: Experience enabling company\-wide analytics and reporting with modern business intelligence tools and maintaining source of truth data and metrics.
* PySpark \&amp; Databricks SQL: Strong proficiency for code review, performance tuning, and query optimization
Core Platform Engineering
* 5\-8 years in data engineering or data platform roles, with 3\+ years hands\-on Databricks experience
* Track record leading at least one significant platform build or migration project
* AWS experience (S3, IAM, VPC) with ability to collaborate on infrastructure decisions
* Infrastructure\-as\-code experience (Terraform preferred)
Technical Leadership
* Demonstrated ability architecting data platforms from first principles and defending technical decisions
* Strong written and verbal communication— document architecture decisions and present to both technical and business stakeholders
Preferred But Not Required
* Experience with financial data, accounting systems (NetSuite), or enterprise ERP platforms
* Background building platforms that serve AI/ML workloads (experience preparing data for downstream ML consumption, RAG and retrieval, and LLMs.
* Understand advanced intelligence concepts such as relationship surfacing with knowledge graphs
* Familiarity with data governance frameworks and compliance requirements for regulated industries
### **What We Offer**
* A collaborative team culture with opportunities for career development.
* Ample opportunities to be recognized, build valuable skills, and grow your career.
* A Generous vacation policy and paid parental leave.
* Comprehensive health plans with FSA and HSA options.
* 401(k) retirement plan.
* Life and disability insurance coverage.
* Supplemental benefits include dependent care savings plan, pet insurance, will preparation, and an employee assistance program.
### **About Us**
Exactera is an AI\-first tax technology company transforming how businesses manage corporate tax compliance. We deliver innovative solutions for transfer pricing, tax provision (ASC 740\), and R\&amp;D tax credits; combining cutting\-edge AI with deep tax expertise to help finance professionals work smarter, mitigate risk, and turn compliance into strategic insight. Headquartered in Tarrytown, New York, and backed by leading investors including Insight Partners and Savant Growth, Exactera serves hundreds of customers worldwide, including some of the world's most recognized brands. We're building the future of finance services by seamlessly fusing technology and human expertise to solve the most complex challenges across the finance function.
### **What We Offer:**
***(The following only applies to US\-based positions)***
* A collaborative team culture with opportunities for career development.
* Ample opportunities to be recognized, build valuable skills, and grow your career.
* Generous vacation policy, including paid parental leave.
* Comprehensive health plans with FSA and HSA options.
* 401(k) retirement plan.
* Life and disability insurance coverage.
* Supplemental benefits like a dependent care savings plan, pet insurance, will preparation, and an employee assistance program.
### **About Us:**
At Exactera, a FinTech SaaS start\-up founded in 2016, we stand at the intersection of human and machine intelligence. Our corporate tax solutions are powered by AI and cloud\-based technologies, serving customers worldwide. With over $100 million in funding from Savant Venture Fund and Insight Partners, we are poised for growth. We are committed to diversity, inclusion, and equal opportunities for all.</t>
        </is>
      </c>
    </row>
    <row r="13">
      <c r="A13" t="inlineStr">
        <is>
          <t>in-5e184167921d4408</t>
        </is>
      </c>
      <c r="B13" t="inlineStr">
        <is>
          <t>Principal Analytics Engineer</t>
        </is>
      </c>
      <c r="C13" t="inlineStr">
        <is>
          <t>Cambridge Mobile Telematics</t>
        </is>
      </c>
      <c r="D13" t="inlineStr">
        <is>
          <t>indeed</t>
        </is>
      </c>
      <c r="E13" t="inlineStr"/>
      <c r="F13" t="inlineStr"/>
      <c r="G13" t="inlineStr">
        <is>
          <t>Cambridge, MA, US</t>
        </is>
      </c>
      <c r="H13" s="2" t="n">
        <v>46061</v>
      </c>
      <c r="I13"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The Principal Analytics Engineer is a senior individual contributor and technical leader on the Customer Analytics team. This role is responsible for shaping and delivering customer\-facing B2B analytics and machine\-learning–driven products, with a focus on scalable design, technical rigor, and measurable business impact. The role works closely with Product, Engineering, Data Engineering, and customer\-facing teams to solve complex customer and business problems through analytics and ML.
CMT is looking for a collaborative, customer\-committed, and creative **Principal Analytics Engineer I** who wants to join us in making roads safer by making drivers better!
**Responsibilities:**
* Use independent judgment and discretion to translate ambiguous business and customer needs into well\-defined analytical frameworks, success metrics, and product requirements that inform the analytics roadmap
* Design and evaluate advanced analytical and machine learning approaches, including experimentation design, causal evaluation, and rigorous validation of results
* Own the end\-to\-end lifecycle of customer\-facing analytics and ML products, spanning problem framing, analytical and model design, experimentation, deployment, monitoring, and iteration in production environments
* Provide technical and analytical thought leadership on advanced analytics–driven solutions that deliver sustained business value
* Partner with Product Management, Data Engineering, and Data Science teams to architect and deliver scalable, production\-grade analytics, ML, and AI systems
* Clearly communicate complex analytical concepts, methodologies, and findings to both technical and non\-technical audiences
* Mentor and guide analysts, lead technical reviews, and help establish and evolve analytics best practices across the team
* Complete any additional tasks as they arise
**Qualifications:**
* Bachelor's degree or equivalent years of experience and/or certification in a related field
* 7\+ years of experience in analytics, data science, analytics engineering, or data engineering
* Strong SQL expertise and proficiency in at least one analytics or data science language (Python or R preferred)
* Strong foundation in statistics, causal inference, time series analysis, and optimization
* Experience deploying analytics and ML solutions to production environments with appropriate monitoring and alerting
* Familiarity with modern data platforms (e.g., Databricks, Snowflake) preferred
* Communication and collaboration skills, with the ability to influence across functions and levels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$122,200 to $152,700\. This range is specifically for Cambridge, MA
**A****dditional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join****our growing team.**
*We do not discriminate based on race, religion, color, national origin, gender, sexual orientation, age,* *m**arital status, veteran status or disability state. CMT is headquartered in Cambridge, MA. To learn more, visit www.cmtelematics.com and follow us on X @cmtelematics.*</t>
        </is>
      </c>
    </row>
    <row r="14">
      <c r="A14" t="inlineStr">
        <is>
          <t>in-1435954e80bb807a</t>
        </is>
      </c>
      <c r="B14" t="inlineStr">
        <is>
          <t>Senior Data Engineer</t>
        </is>
      </c>
      <c r="C14" t="inlineStr">
        <is>
          <t>Byrider</t>
        </is>
      </c>
      <c r="D14" t="inlineStr">
        <is>
          <t>indeed</t>
        </is>
      </c>
      <c r="E14" t="inlineStr"/>
      <c r="F14" t="inlineStr"/>
      <c r="G14" t="inlineStr">
        <is>
          <t>Carmel, IN, US</t>
        </is>
      </c>
      <c r="H14" s="2" t="n">
        <v>46061</v>
      </c>
      <c r="I14" t="inlineStr">
        <is>
          <t>Senior Data Engineer \- Byrider Corporate \- 12802 Hamilton Crossing Blvd. \- Carmel, IN 46032
**Rewards for Senior Data Engineer:**
* Competitive starting salary
* Annual bonus
* Great benefits \&amp; paid time off
* Growing national company in business for 37 years
* Nice office with plenty of parking
* Hybrid work schedule
**Job Summary:**
We seek a highly skilled and experienced Senior Data Engineer to join our dynamic team. As a Senior Data Engineer, you will play a critical role in designing, developing, and maintaining our data infrastructure, ensuring the availability, reliability, and performance of our data systems. You will drive the data engineering initiatives and collaborate closely with cross\-functional teams to support data\-driven decision\-making within the organization. You must also be skilled at finding solutions to problems while keeping the environment well\-structured, stable, and secure. This position reports to the Director of Solutions Engineering.
**Specific Responsibilities:**
* Data Architecture: Lead the design and development of complex data pipelines, data models, and data integration solutions that meet business requirements and performance standards
* Data Ingestion: Architect and oversee the development of efficient and scalable data ingestion processes from various sources, including databases, APIs, and external data providers (AWS Redshift, AWS DynamoDB, AWS S3, MS SQL, etc.)
* Data Transformation: Develop advanced data transformation pipelines and ETL processes to convert raw data into structured and meaningful formats
* Data Quality: Establish and enforce best practices for data quality, validation, cleaning, and error handling
* Data Storage: Manage and optimize data storage solutions, including databases, data lakes, and cloud storage services
* Data Security: Implement advanced data security measures and access controls to protect sensitive data
* Performance Optimization: Continuously monitor and optimize the performance of data pipelines and databases, implementing best practices to ensure efficient data processing
* Collaboration: Collaborate closely with leadership, analysts, and business stakeholders to understand their data requirements and deliver advanced data solutions that meet their evolving needs
* Innovation: Stay at the forefront of emerging data engineering technologies, industry trends, and best practices, and drive innovation within the data engineering domain
* Documentation: Maintain comprehensive documentation of data pipelines, data models, and processes, and ensure knowledge sharing within the team
**Products and Stacks:**
**Languages**
* C\#
* TypeScript
* Python
* TSQL
* Java
* Scala
**Frameworks**
* .Net Core
* .Net Framework
* ASP .NET
**Database**
* MS SQL
* DynamoDB
* Redshift
* Postgresql
**Amazon Web Services**
* ECS
* Cloudwatch
* Lambda
* S3
* Secrets
* DynamoDB
* API Gateway
* SNS
* SQS
* SES
* CloudFormation
* Glue
**Azure Cloud Services**
* Service Fabric Clusters
* Service Bus
* App Services
* Application Insights
* Key Vaults
* Databricks
* Function Apps
**Tools and Platforms**
* Docker
* Bitbucket
* Azure Devops
* Jira
* Confluence
* Lucidspark
* Looker
**Skills:**
* Proven experience as a Senior Data Engineer, with a strong understanding of information data security and data access controls
* Proficiency in programming languages such as Python, Java, or Scala
* Strong SQL skills and deep experience with database technologies (e.g., SQL, NoSQL)
* Expertise in data warehousing and ETL tools (e.g., Kodda, AWS Glue)
* Extensive knowledge of data modeling techniques and data warehouse design
* Excellent problem\-solving and communication skills
* Ability to work collaboratively in a team, adapt to a fast\-paced, evolving environment, and work individually to accomplish goals
* Experience with cloud platforms (e.g., AWS, Azure) and containerization (e.g., Docker, Kubernetes)
* Strong commitment to data accuracy, data quality, and data security
* Ability to work with minimal supervision.
**Qualities:**
* Strong teamwork is a must
* Resilience and resourcefulness
* Strong customer service focus
* High energy with self\-motivation
* Ability and eagerness to solve problems
**Educational Requirements:**
* Bachelor's degree in Computer Science, Information Technology, or equivalent experience
* Technology\-related certifications are a plus
**Experience Required:**
* 3\+ years of Python experience
* 3\+ years of SQL experience
* 3\+ years of experience with data modeling and data warehousing
* Experience with frameworks and products described in the “Products and Stacks” section
* Experience with standard tools such as Atlassian product suite, AWS and Databricks</t>
        </is>
      </c>
    </row>
    <row r="15">
      <c r="A15" t="inlineStr">
        <is>
          <t>in-90512f07bc2a261d</t>
        </is>
      </c>
      <c r="B15" t="inlineStr">
        <is>
          <t>Senior Data Engineer</t>
        </is>
      </c>
      <c r="C15" t="inlineStr">
        <is>
          <t>BlackStone eIT</t>
        </is>
      </c>
      <c r="D15" t="inlineStr">
        <is>
          <t>indeed</t>
        </is>
      </c>
      <c r="E15" t="inlineStr"/>
      <c r="F15" t="inlineStr"/>
      <c r="G15" t="inlineStr">
        <is>
          <t>Egypt, AR, US</t>
        </is>
      </c>
      <c r="H15" s="2" t="n">
        <v>46061</v>
      </c>
      <c r="I15" t="inlineStr">
        <is>
          <t>Key Responsibilities:  
* Design and implement scalable data architecture and end\-to\-end ETL/ELT pipelines
* Analyze diverse data sources and create high\-quality, structured data layers
* Lead large\-scale data migrations to cloud\-based platforms (Azure, AWS, GCP)
* Optimize complex SQL queries and database performance
* Collaborate with analysts, data scientists, and business stakeholders
* Ensure data governance, quality, and regulatory compliance
* Mentor junior engineers and promote engineering best practices
Qualifications:  
* 8\+ years in data engineering and architecture
* Strong experience with cloud platforms (Azure, AWS, GCP) and big data tools (Spark, Hadoop)
* Hands\-on with modern data warehouses (Snowflake, Azure Synapse)
* Expertise in SQL, data pipelines (Airflow, Data Factory), and database tuning
* Knowledge of data governance frameworks (GDPR, HIPAA)</t>
        </is>
      </c>
    </row>
    <row r="16">
      <c r="A16" t="inlineStr">
        <is>
          <t>in-63c07fdf9f38ab16</t>
        </is>
      </c>
      <c r="B16" t="inlineStr">
        <is>
          <t>Azure Data Engineer</t>
        </is>
      </c>
      <c r="C16" t="inlineStr">
        <is>
          <t>Intellibee Inc</t>
        </is>
      </c>
      <c r="D16" t="inlineStr">
        <is>
          <t>indeed</t>
        </is>
      </c>
      <c r="E16" t="inlineStr"/>
      <c r="F16" t="inlineStr"/>
      <c r="G16" t="inlineStr">
        <is>
          <t>Richmond, VA, US</t>
        </is>
      </c>
      <c r="H16" s="2" t="n">
        <v>46061</v>
      </c>
      <c r="I16" t="inlineStr">
        <is>
          <t>We are seeking a skilled Cloud Data Engineer to join our development team and help build modern, cloud‑native applications across leading cloud platforms, with a particular emphasis on Microsoft Azure.
We are seeking a skilled Cloud Data Engineer to join our development team and help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**Skill Matrix:**
* Azure, AWS, Google Cloud Required 4 Years
* Azure App Service, AKS, Functions, Storage, Databases Required 4 Years
* Docker, Kubernetes Required 3 Years
* C\#, Java, Python, Go, Node.js Required 3 Years
* Azure DevOps, Gitlab, GitLab Required 3 Years
* IAM, Data Protection, Cloud Security Best Practices Required 3 Years
* SQL Server, Oracle, NoSQL Databases Required 3 Years
* Agile Methodologies, DevOps Practices Required 3 Years
* Communication, Problem Solving, Collaboration Required 4 Years</t>
        </is>
      </c>
    </row>
    <row r="17">
      <c r="A17" t="inlineStr">
        <is>
          <t>in-8eda1e19ddab09d6</t>
        </is>
      </c>
      <c r="B17" t="inlineStr">
        <is>
          <t>Senior Data Engineer</t>
        </is>
      </c>
      <c r="C17" t="inlineStr">
        <is>
          <t>Sumitomo Group</t>
        </is>
      </c>
      <c r="D17" t="inlineStr">
        <is>
          <t>indeed</t>
        </is>
      </c>
      <c r="E17" t="inlineStr"/>
      <c r="F17" t="inlineStr"/>
      <c r="G17" t="inlineStr">
        <is>
          <t>Charlotte, NC, US</t>
        </is>
      </c>
      <c r="H17" s="2" t="n">
        <v>46061</v>
      </c>
      <c r="I1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$142,000\.00 and $196,000\.00\.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The Cloud Data Engineer is part of the Data Management’s Design \&amp; Development group within the Americas Division Tech and is responsible for building technical architecture for our Azure platform and support the on\-prem to cloud migration initiative and cloud consolidation strategy.
Role is located in Charlotte, North Caroline with a Hybrid presence in office.
**Role Objectives**
-------------------
The Azure Cloud Engineer strategizes, designs, develops and work with a team of dynamic and passionate data engineers to deliver automated cloud infrastructure and DevOps solutions. The incumbent will play a key role in supporting the growth and scale of our Azure cloud\-based technology infrastructure. This role is also responsible for complex interface process development, troubleshooting issues, supporting weekend maintenance and production support of the interface processes development by the Design \&amp; Development team. Reports to the ETL Team Leader.
**Role Objectives**
-------------------
* We are currently seeking a talented and motivated Senior Data Engineer to join our Cloud data solutions team.
* This role will be responsible for designing, developing \&amp; deploying cloud data solutions for risk, regulatory, finance \&amp; compliance projects and be at the forefront of on\-prem to cloud migration initiative.
* This role will require indirect leadership and mentorship of junior team members.
* Work with business teams, product managers, and other stakeholders to understand business requirements, needs, or process gaps that would be addressed via proposed applications.
* Engage with IT systems architects, database administrators, and cyber security team to meet the back\-end functionality demands of the application.
* Liaise with other technology and development teams as needed to coordinate on the integration of applications with the larger company software ecosystem.
* Participate in periodic development meetings to align development priorities and objectives, assign tasks, and share experiences and challenges with applications under development
**Role Objectives**
-------------------
* Extensive experience on Cloud solutions, specifically in Azure
* Experience with Azure cloud services, Azure Data Factory, Gen 2, Azure Databases, Functions, Databricks, etc
* Strong knowledge of Python, Java or similar high\-level server\-side languages
* Advanced working SQL knowledge on relational databases, preferably on MS SQL Server and databases on Azure cloud
* Experience designing and architecting distributed systems, containerization, Web API’s and gateway management.
* Experience with the DevOps lifecycle (git, Jenkins, etc.)
* Experience with Jira/Confluence
* Experience with REST web services and microservice architecture
* Good understanding of ETL/ELT
* Databricks Cluster configuration, Unity catalog repository configuration.
* Build large\-scale batch and real\-time data pipelines with data processing frameworks in Azure cloud platform.
* Partner with architects, engineers, information analysts, business, and technology stakeholders for developing and deploying enterprise grade platforms that enable data\-driven solutions.
* Provide technical guidance on technology implementation and architectural changes.
* Coordinating with platform, APIM, Azure DevOps, and Support.
* Analyze and design technical solutions on Azure to address business needs.
* Develop, test, and modify software to improve efficiency of data platforms and applications.
* Ability to own projects from end to end, working with business stakeholders, IT teams, data stewards, and 3rd party companies to ensure accurate and insightful outcomes.
* Integrating data from a variety of sources, assuring that they adhere to data quality and accessibility standards.
* Enable streaming data use\-cases and standard design patterns in a big data environment.
* Review and provide feedback on core code changes and support production deployment
**Qualifications and Skills**
-----------------------------
10\+ years of software development experience in enterprise applications, preferably in the financial services industry and on data\-heavy systems.  
Bachelor’s or Master’s degree in computer science or information systems preferred.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8">
      <c r="A18" t="inlineStr">
        <is>
          <t>in-4e774f8955a054cc</t>
        </is>
      </c>
      <c r="B18" t="inlineStr">
        <is>
          <t>Lead Data Engineer</t>
        </is>
      </c>
      <c r="C18" t="inlineStr">
        <is>
          <t>Lennar</t>
        </is>
      </c>
      <c r="D18" t="inlineStr">
        <is>
          <t>indeed</t>
        </is>
      </c>
      <c r="E18" t="inlineStr"/>
      <c r="F18" t="inlineStr"/>
      <c r="G18" t="inlineStr">
        <is>
          <t>Miami, FL, US</t>
        </is>
      </c>
      <c r="H18" s="2" t="n">
        <v>46061</v>
      </c>
      <c r="I18" t="inlineStr">
        <is>
          <t>Lead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The Lead Data Engineer is responsible for overseeing the data engineering team and driving the strategic direction of data initiatives. The role involves managing projects, ensuring the scalability of data solutions, and collaborating with stakeholders to meet organizational goals.* A career with purpose.
* A career built on making dreams come true.
* A career built on building zero defect homes, cost management, and adherence to schedules.
Your Responsibilities on the Team* Lead and manage the data engineering team, including project planning, resource allocation, and performance management.
* Develop and enforce data engineering standards, processes, and best practices, ensuring consistency and quality across all data projects.
* Collaborate with stakeholders, including business leaders, data scientists, and IT teams, to understand and prioritize data\-related business needs and translate them into actionable technical requirements.
* Ensure data solutions are scalable, secure, and aligned with the long\-term goals of the organization, considering both current and future data needs.
* Drive the adoption of new technologies, tools, and methodologies that improve the efficiency, reliability, and scalability of data engineering practices.
* Oversee the development and maintenance of comprehensive data documentation, including data architecture diagrams, process flows, and technical specifications.
* Manage the team's technical debt, ensuring that legacy systems are modernized and that new solutions are built with maintainability and scalability in mind.
* Provide technical leadership in the resolution of complex data issues, guiding the team in troubleshooting and problem\-solving efforts.
Knowledge* Extensive experience with data pipeline orchestration tools (e.g., Apache Airflow, Prefect) and data integration platforms (e.g., Apache Spark, Glue).
* Extensive experience working on AWS data stack i.e., Data engineering, Warehousing and AI/ML.
* Advocate best practices with AWS including Glue, EMR, Airflow and etc.,
* Strong leadership and project management skills, with experience leading cross\-functional teams and managing multiple projects simultaneously.
* Expertise in cloud data platforms (AWS, Azure) and big data ecosystems, with a focus on optimizing cost, performance, and scalability.
* Proficient in advanced data modeling, including the design of enterprise data warehouses, data lakes, and data marts.
* In\-depth knowledge of data governance practices, including data cataloging, data lineage, and data quality management.
* Experience with enterprise data management frameworks, such as Master Data Management (MDM) and metadata management.
* Advanced skills in programming and scripting languages (e.g., Python, Java, Scala) for developing and automating data workflows.
* Experience with real\-time data processing and event\-driven architectures, leveraging tools such as Apache Kafka, Spark Streaming.
Requirements* Bachelor's or Master's degree in Computer Science, Information Technology, or a related field.
* 7\-10 years of experience in data engineering, with significant leadership and project management experience.
* AWS, Snowflake, Azure
* AWS Glue, AWS Appflow, Prefect, dbt, S3, Qlik
* SQL, Python, Java
* Exceptional ability to influence and engage senior leaders with data\-driven insights.
* Expert in resolving complex, high\-stakes problems with innovative solutions.
* Leads with a collaborative spirit, driving team success through shared goals.
* Sets the standard for integrity within the organization, fostering a culture of trust and ethical behavior.
* Demonstrates unwavering resilience in the face of adversity, guiding the team through challenges.
* Acts as a change agent, leading transformative initiatives that drive business success.
* Leads and coordinates efforts across multiple departments, ensuring alignment with organizational goals.
* Provides visionary leadership, inspiring and developing future leaders within the organization.
* Establishes a culture of accountability, ensuring that all team members meet their commitments and deliver high\-quality work.
\#LI\-CA1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19">
      <c r="A19" t="inlineStr">
        <is>
          <t>in-a68dfb266d8c9047</t>
        </is>
      </c>
      <c r="B19" t="inlineStr">
        <is>
          <t>Data Engineer, Denied Party Screening, AWS Compliance &amp; Security Assurance</t>
        </is>
      </c>
      <c r="C19" t="inlineStr">
        <is>
          <t>Amazon.com</t>
        </is>
      </c>
      <c r="D19" t="inlineStr">
        <is>
          <t>indeed</t>
        </is>
      </c>
      <c r="E19" t="inlineStr"/>
      <c r="F19" t="inlineStr"/>
      <c r="G19" t="inlineStr">
        <is>
          <t>Seattle, WA, US</t>
        </is>
      </c>
      <c r="H19" s="2" t="n">
        <v>46029</v>
      </c>
      <c r="I1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
      <c r="A20" t="inlineStr">
        <is>
          <t>in-51c3ca69eee32129</t>
        </is>
      </c>
      <c r="B20" t="inlineStr">
        <is>
          <t>Data Engineer, Denied Party Screening, AWS Compliance &amp; Security Assurance</t>
        </is>
      </c>
      <c r="C20" t="inlineStr">
        <is>
          <t>Amazon.com</t>
        </is>
      </c>
      <c r="D20" t="inlineStr">
        <is>
          <t>indeed</t>
        </is>
      </c>
      <c r="E20" t="inlineStr"/>
      <c r="F20" t="inlineStr"/>
      <c r="G20" t="inlineStr">
        <is>
          <t>Dallas, TX, US</t>
        </is>
      </c>
      <c r="H20" s="2" t="n">
        <v>46029</v>
      </c>
      <c r="I2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1">
      <c r="A21" t="inlineStr">
        <is>
          <t>in-83b2ff4da3935a81</t>
        </is>
      </c>
      <c r="B21" t="inlineStr">
        <is>
          <t>Data Engineer</t>
        </is>
      </c>
      <c r="C21" t="inlineStr">
        <is>
          <t>Amazon.com</t>
        </is>
      </c>
      <c r="D21" t="inlineStr">
        <is>
          <t>indeed</t>
        </is>
      </c>
      <c r="E21" t="inlineStr"/>
      <c r="F21" t="inlineStr"/>
      <c r="G21" t="inlineStr">
        <is>
          <t>Seattle, WA, US</t>
        </is>
      </c>
      <c r="H21" s="2"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in-7b7ead3be789b528</t>
        </is>
      </c>
      <c r="B22" t="inlineStr">
        <is>
          <t>Data Engineer</t>
        </is>
      </c>
      <c r="C22" t="inlineStr">
        <is>
          <t>Amazon.com</t>
        </is>
      </c>
      <c r="D22" t="inlineStr">
        <is>
          <t>indeed</t>
        </is>
      </c>
      <c r="E22" t="inlineStr"/>
      <c r="F22" t="inlineStr"/>
      <c r="G22" t="inlineStr">
        <is>
          <t>San Francisco, CA, US</t>
        </is>
      </c>
      <c r="H22" s="2"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in-4eaa7fe6c81b2ba9</t>
        </is>
      </c>
      <c r="B23" t="inlineStr">
        <is>
          <t>Delivery Consultant - Data Engineer, Data and Machine Learning, WWPS US Federal</t>
        </is>
      </c>
      <c r="C23" t="inlineStr">
        <is>
          <t>Amazon Web Services</t>
        </is>
      </c>
      <c r="D23" t="inlineStr">
        <is>
          <t>indeed</t>
        </is>
      </c>
      <c r="E23" t="inlineStr"/>
      <c r="F23" t="inlineStr"/>
      <c r="G23" t="inlineStr">
        <is>
          <t>Herndon, VA, US</t>
        </is>
      </c>
      <c r="H23" s="2" t="n">
        <v>45991</v>
      </c>
      <c r="I2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in-728fce9397027b57</t>
        </is>
      </c>
      <c r="B24" t="inlineStr">
        <is>
          <t>Delivery Consultant - Data Engineer, Data and Machine Learning, WWPS US Federal</t>
        </is>
      </c>
      <c r="C24" t="inlineStr">
        <is>
          <t>Amazon Web Services</t>
        </is>
      </c>
      <c r="D24" t="inlineStr">
        <is>
          <t>indeed</t>
        </is>
      </c>
      <c r="E24" t="inlineStr"/>
      <c r="F24" t="inlineStr"/>
      <c r="G24" t="inlineStr">
        <is>
          <t>Arlington, VA, US</t>
        </is>
      </c>
      <c r="H24" s="2" t="n">
        <v>45991</v>
      </c>
      <c r="I2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in-4ec88fa69029312b</t>
        </is>
      </c>
      <c r="B25" t="inlineStr">
        <is>
          <t>Associate Director, Data and Analytics Engineering</t>
        </is>
      </c>
      <c r="C25" t="inlineStr">
        <is>
          <t>AbbVie</t>
        </is>
      </c>
      <c r="D25" t="inlineStr">
        <is>
          <t>indeed</t>
        </is>
      </c>
      <c r="E25" t="inlineStr"/>
      <c r="F25" t="inlineStr"/>
      <c r="G25" t="inlineStr">
        <is>
          <t>Mettawa, IL, US</t>
        </is>
      </c>
      <c r="H25" s="2" t="n">
        <v>46062</v>
      </c>
      <c r="I25"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International Commercial Business is seeking a highly skilled and experienced individual for its “Winning with Data” capability to join our team as an Associate Director of Data and Analytics Engineering. In this role, you will be responsible for leading the development and implementation of data engineering and analytics solutions. You will work closely with cross\-functional teams to drive data\-driven decision\-making and enable advanced analytics capabilities across the organization. The ideal candidate is a strategic thinker, a strong leader, and possesses a deep understanding of data engineering principles, analytics methodologies, and experience with Palantir Foundry (or other similar data management platforms)
Responsibilities
* Lead and manage a team of data engineers and analytics professionals, providing guidance, mentoring, and performance management.
* Collaborate with cross\-functional teams, to identify and prioritize data and analytics requirements, ensuring alignment with business goals and regulatory compliance.
* Oversee the design, development, implementation, and maintenance of AbbVie's data management and analytics solutions using Palantir Foundry platform.
* Drive the adoption and utilization of Palantir Foundry's capabilities to streamline data ingestion, data transformation, data quality, data governance, and analytics workflows.
* Work closely with stakeholders like Data Product Managers, Capability Product Owners, Affiliates, Customer Excellence to understand their data needs, challenges, and opportunities, and translate them into scalable and efficient data solutions.
* Define and implement data governance strategies, ensuring data quality, integrity, and security in adherence to regulations and internal policies.
* Develop and optimize data pipelines, data transformation processes, and data models to enable efficient and reliable data consumption by various business units.
* Drive the adoption of advanced analytics techniques, such as machine learning, predictive modeling, and data visualization, leveraging Palantir Foundry's capabilities.
* Track key performance indicators (KPIs) to measure the effectiveness and impact of data and analytics initiatives on commercial operations.
* Provide thought leadership and contribute to the development of data and analytics strategies, roadmaps, and best practices.
 **Qualifications*** Bachelor's Degree in computer science, data engineering, bioinformatics, or a related field with 9 years’ experience; Master's Degree with 8 years’ experience; PhD with 4 years’ experience.
* Proven experience (8\+ years) in data engineering, analytics engineering, or a similar role, preferably within the pharmaceutical or life sciences industry.
* Strong leadership and team management skills, with the ability to motivate and inspire a diverse team of professionals.
* Deep understanding and hands\-on experience with Palantir Foundry or other similar data management platforms, including data governance, data modeling, and analytics capabilities.
* Proficiency in programming languages commonly used in data engineering, such as Python, SQL, and/or Scala.
* Experience with big data technologies, such as Hadoop, Spark, or NoSQL databases, and familiarity with cloud platforms, such as AWS or Azure.
* Solid understanding of analytics methodologies, including machine learning, predictive modeling, and data visualization techniques.
* Excellent problem\-solving and analytical skills, with the ability to translate complex business requirements and scientific concepts into technical solutions.
* Strong communication and interpersonal skills, with the ability to effectively collaborate with both technical and non\-technical stakeholders in a highly regulated environment.
* Knowledge of pharmaceutical industry regulations, such and data privacy laws, is highly desirable.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postingbased on the job grade for this position. Individual compensation paid within this range will depend on many factors including geographic location, and we may ultimately paymore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commission,incentive, benefits, or any other form of compensation and benefits that are allocable to a particular employee remains in the Company's sole and absolute discretion unless and untilpaid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26">
      <c r="A26" t="inlineStr">
        <is>
          <t>in-e815d80a73e5f658</t>
        </is>
      </c>
      <c r="B26" t="inlineStr">
        <is>
          <t>Data Scientist - Analytics Engineer (N375)</t>
        </is>
      </c>
      <c r="C26" t="inlineStr">
        <is>
          <t>Heluna Health</t>
        </is>
      </c>
      <c r="D26" t="inlineStr">
        <is>
          <t>indeed</t>
        </is>
      </c>
      <c r="E26" t="inlineStr"/>
      <c r="F26" t="inlineStr"/>
      <c r="G26" t="inlineStr">
        <is>
          <t>Los Angeles, CA, US</t>
        </is>
      </c>
      <c r="H26" s="2" t="n">
        <v>46062</v>
      </c>
      <c r="I26" t="inlineStr">
        <is>
          <t>**Salary Range: $8,840\.09\-$11,912\.82 monthly**
**SUMMARY**
The Los Angeles County Department of Homeless Services and Housing (HSH**)** consolidates our countywide response to homelessness**.** The driving force behind HSH is increasing accountability and transparency, improving care for people experiencing or at risk of homelessness, and streamlining collaboration with partners including services providers, the County’s 88 cities, and unincorporated areas to deliver high\-quality, life\-saving care. Staff schedules are based on business need and may include the option for a hybrid work schedule where employees work remotely and from the office.
The Analytics Engineer plays a key role on the HSH Data Engineering team, building the semantic layer that supports performance tracking, evaluation, and policy guidance. This position translates analytic requirements into curated silver and gold data models using Databricks and supports integration of data from normalized backend systems.
This is a chance to architect a scalable data environment from the ground up in a mission\-driven context. The engineering team plays a central role in the County’s data strategy, with opportunities for mentorship, innovation, and cross\-sector impact.
**ESSENTIAL FUNCTIONS**
* Build and maintain semantic data models (silver and gold layers) in Spark/Databricks, primarily through ETL pipelines written in PySpark.
* Understand and identify entity relationships among large collections of normalized backend tables to design accurate, denormalized, analyst\-ready structures.
* Contribute to schema and catalog design decisions, including naming conventions for static vs. live feeds and ad hoc data use cases. This includes creating and maintaining documentation that clarifies data model logic, table relationships, and mapping assumptions to support downstream users and internal knowledge transfer.
* Collaborate with program and analytic teams to understand and translate both business rules used to define data fields as well as needs of analytic teams using semantic layer to produce reports and dashboards.
* Collaborate with the Privacy Engineer to ensure analytic datasets align with RBAC policies, de\-identification requirements, and data classification standards set for Departmental and Countywide use.
* Contribute to, update, and maintain centralized code repositories used for data transformations.
* Participate in Dev/Prod promotion workflows using GitHub, ensuring proper validation and configuration for CI/CD deployment.
* Apply expectations and version control to standardize, test, and document pipelines.
* Collaborate with Evaluation and Reporting teams to align models with use cases and downstream needs.
* Participate in integration of external and internal sources using Azure services and contribute to scalable, secure data pipelines.
* Support data modeling standards and technical documentation practices.
* Assist in onboarding and training analysts to use the semantic layer effectively.
**JOB QUALIFICATIONS**
Option I: Two (2\) years of experience applying advanced statistical analyses, including predictive analytics or data engineering, to produce actionable recommendations to support data\-driven program, policy, and operational decision\-making, at a level equivalent to the Los Angeles County class of Predictive Data Analyst.
Experience at the level of Predictive Data Analyst is defined as using machine learning techniques or data engineering practices to analyze or support analysis of complex data sets and find statistically significant, meaningful predictive patterns, relevant to program goals, that human intelligence could not identify on its own.
Option II: A Bachelor’s degree from an accredited college in a field of applied research such as Data Science, Machine Learning, Mathematics, Statistics, Business Analytics, Psychology, Computer Science, or Public Health that included 12 semester or 18 quarter units of coursework in data science, data engineering, predictive analytics, quantitative research methods, or statistical analysis \-AND\- Four (4\) years of experience applying data engineering, machine learning, predictive analytics, and data management, to conduct or support hypothesis\-driven data analysis to produce actionable recommendations to support data\-driven program, policy, and operational decision\-making. A Master’s or Doctoral degree from an accredited college or university in a field of applied research such Data Science, Machine Learning, Mathematics, Statistics, Business Analytics, Psychology, Public Health, or similar related fields may substitute for up to two (2\) years of experience.
**Certificates/Licenses/Clearances**
* A valid California Class C Driver License or the ability to utilize an alternative method of transportation when needed to carry out job\-related essential functions.
* Successful clearance of Live Scan with the County of Los Angeles.
**Other Skills, Knowledge, and Abilities**
* 4\+ years of experience building data transformations and models in Databricks or Spark\-based environments.
* Strong knowledge of Medallion Architecture and curated model development.
* Skilled in working with normalized datasets and applying entity resolution techniques to build clean, reliable analytic tables joined across systems (e.g., MDM\-linked client records).
* Experience using declarative syntax to manage and implement data transformations in such tools as Delta Live Tables, dbt, and Spark.
* Proficient in SQL, Python, GitHub, and CI/CD workflows.
* Experience developing and maintaining Databricks notebooks used in orchestrated jobs, including environment\-based configuration using YAML/JSON.
* Familiar with Azure Data Factory, Synapse, and Terraform.
* Understanding of HIPAA, FERPA, and governance in health and social service data.
* Experience supporting dashboards (Power BI, Tableau) and ensuring downstream data usability.
* Ability to work across technical and program teams and contribute to shared engineering practices.
**PHYSICAL DEMANDS**
**Stand:** Frequently
**Walk:** Frequently
**Sit:** Frequently
**Reach Outward:** Occasionally
**Reach Above Shoulder:** Occasionally
**Climb, Crawl, Kneel, Bend:** Occasionally
**Lift / Carry:** Occasionally \- Up to 15 lbs.
**Push/Pull:** Occasionally \- Up to 15 lbs.
**See:** Constantly
**Taste/ Smell:** Not Applicable
**Not Applicable \=** Not required for essential functions
**Occasionally \=** (0 \- 2 hrs./day)
**Frequently \=** (2 \- 5 hrs./day)
**Constantly \=** (5\+ hrs./day)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t>
        </is>
      </c>
    </row>
    <row r="27">
      <c r="A27" t="inlineStr">
        <is>
          <t>in-3e8d183a4c94786f</t>
        </is>
      </c>
      <c r="B27" t="inlineStr">
        <is>
          <t>Data Engineer</t>
        </is>
      </c>
      <c r="C27" t="inlineStr">
        <is>
          <t>DS Technologies Inc</t>
        </is>
      </c>
      <c r="D27" t="inlineStr">
        <is>
          <t>indeed</t>
        </is>
      </c>
      <c r="E27" t="inlineStr"/>
      <c r="F27" t="inlineStr"/>
      <c r="G27" t="inlineStr">
        <is>
          <t>New York, NY, US</t>
        </is>
      </c>
      <c r="H27" s="2" t="n">
        <v>46062</v>
      </c>
      <c r="I27"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Engineer** rolefor one of our premier clients.  
**Job Title: Data Engineer**
**Location: San Francisco Bay Area, CA (or) New York City, NY (Onsite)**  
**Position Type: Full\-Time**
**Experience: 4\-7 Years**  
**Note: Any VISA'S are accepted**  
**Primary focus :** Model reproduction, feature engineering logic, performance validation, and ensuring alignment with client's’s established modelling frameworks.  
* Rebuild and port existing client's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28">
      <c r="A28" t="inlineStr">
        <is>
          <t>in-b5e10eeeec503e4d</t>
        </is>
      </c>
      <c r="B28" t="inlineStr">
        <is>
          <t>Data Engineer</t>
        </is>
      </c>
      <c r="C28" t="inlineStr">
        <is>
          <t>DS Technologies Inc</t>
        </is>
      </c>
      <c r="D28" t="inlineStr">
        <is>
          <t>indeed</t>
        </is>
      </c>
      <c r="E28" t="inlineStr"/>
      <c r="F28" t="inlineStr"/>
      <c r="G28" t="inlineStr">
        <is>
          <t>San Francisco, CA, US</t>
        </is>
      </c>
      <c r="H28" s="2" t="n">
        <v>46062</v>
      </c>
      <c r="I28"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Engineer** rolefor one of our premier clients.  
**Job Title: Data Engineer**
**Location: San Francisco Bay Area, CA (or) New York City, NY (Onsite)**  
**Position Type: Full\-Time**
**Experience: 4\-7 Years**  
**Note: Any VISA'S are accepted**  
**Primary focus :** Model reproduction, feature engineering logic, performance validation, and ensuring alignment with client's’s established modelling frameworks.  
* Rebuild and port existing client's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29">
      <c r="A29" t="inlineStr">
        <is>
          <t>in-a604285a97a33560</t>
        </is>
      </c>
      <c r="B29" t="inlineStr">
        <is>
          <t>Temporary | Student Data Engineer</t>
        </is>
      </c>
      <c r="C29" t="inlineStr">
        <is>
          <t>University of Notre Dame</t>
        </is>
      </c>
      <c r="D29" t="inlineStr">
        <is>
          <t>indeed</t>
        </is>
      </c>
      <c r="E29" t="inlineStr"/>
      <c r="F29" t="inlineStr"/>
      <c r="G29" t="inlineStr">
        <is>
          <t>Notre Dame, IN, US</t>
        </is>
      </c>
      <c r="H29" s="2" t="n">
        <v>46062</v>
      </c>
      <c r="I29" t="inlineStr">
        <is>
          <t>**Job Description**  
We are seeking a Student Data Engineer (SDE) to join a team of students creating a Roblox game as a data collection tool, gauging students’ interest in STEM and health care careers. The Lucy Family Institute for Data \&amp; Society (LFIDS) leverages data science, AI \&amp; ML toward social good. LFIDS engages with the Notre Dame community \&amp; beyond through funded research projects \&amp; collaborations, educational workshops, and special events. SDEs serve an important role as technical contributors to data\-centric projects engaging with Lucy faculty and staff, the broader Notre Dame research community, and regional partners within Indiana. In turn, in addition to the \#GOALS project with the Roblox game development, other projects may be assigned as needed.
**Key Responsibilities:**
Within assigned projects, this role requires completion of data processing and programming tasks related to:
* Data collection, management, harvesting, processing, transformation, and visualization;
* Prototype data processing solutions;
* Experience with a variety of technology environments, ranging from databases to stats to cloud computing platforms.
The successful candidate will be a team player who collaborates effectively with fellow developers, faculty, university researchers, students, and business partners. Other responsibilities may include data analysis and giving presentations to diverse audiences.
**Additional Requirements**
In addition to regular shift duties based on available capacity, Student Data Engineers may be assigned to complete tasks associated with LFIDS projects as requested. For example, our Scholarly Impact, Data Michiana, and SocioEconomic Indicators dashboard leads may assign students to upload data or develop application features, or SDEs may be asked to try a new software interface and document its basic functions or user experience.
**Additional Opportunities**
Student data engineers with the requisite skill sets (or who express an interest in gaining requisite skills, e.g., R, Python, Shiny, GIS, GitHub, podcasting, and video editing) will have opportunities to assist a variety of LFIDS faculty/staff with data analysis, software development \&amp; communications, as well as investigations of emerging technologies, resources, and creative projects. Student data engineers who contribute to work that is later published or presented will be acknowledged appropriately.
The Institute is committed to ensuring that our student data engineers find their time on our team to be advantageous to their professional development, and we are happy to consider SDEs' proposals for projects that overlap with LFIDS priorities and their research/professional development interests.
**Core Qualities \&amp; Expectations**
* **Service Orientation:** Values inclusivity, courtesy, patience, resourcefulness, and problem\-solving
* **Confidentiality:** Maintaining confidentiality is required.
* **Reliability \&amp; dependability** are key, especially as SSEs may be responsible for maintaining Institute spaces during times when full\-time team members are unavailable (e.g., due to meetings).
* **Adaptability:** We welcome a mindset that is open to learning new systems and adapting quickly. Perfection is not expected—it’s okay to take time to learn. What matters is trying your best in each unique circumstance. We’re committed to supporting your growth and confidence in the role.
* **Organizational proficiency:** Includes the ability to manage time effectively based on clearly communicated priorities. We aim to provide a structure that supports your success.
* **Attention to detail** or the ability to follow a set of instructions that we’ll co\-create and adjust based on your preferred learning and working style.
* **Independence \&amp; Teamwork:** Most tasks are completed independently, though there are occasional team\-based efforts where we divide and conquer.
**Qualifications**  
We are currently seeking **Saint Mary’s** students with a strong (preferably demonstrated) interest in the following:
* Data science methods and tools,
* Software design
* User experience principles
Experience in an LFIDS area of expertise, like:
* R and/or Python
* Events and communications support
* Familiarity with data science, software applications, and/or multimedia content creation and/or editing (e.g., video, PowerPoint slides, podcasts, websites).
**Additional Information** **Compensation:** $17\.00/hour
**Applications for this position will close on February 13, 2026\.**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30">
      <c r="A30" t="inlineStr">
        <is>
          <t>in-6a8b4eed756a6782</t>
        </is>
      </c>
      <c r="B30" t="inlineStr">
        <is>
          <t>Azure Data Engineer</t>
        </is>
      </c>
      <c r="C30" t="inlineStr">
        <is>
          <t>S R International Inc</t>
        </is>
      </c>
      <c r="D30" t="inlineStr">
        <is>
          <t>indeed</t>
        </is>
      </c>
      <c r="E30" t="inlineStr"/>
      <c r="F30" t="inlineStr"/>
      <c r="G30" t="inlineStr">
        <is>
          <t>US</t>
        </is>
      </c>
      <c r="H30" s="2" t="n">
        <v>46062</v>
      </c>
      <c r="I30" t="inlineStr">
        <is>
          <t>**State of Mississippi \- Engineer \- Azure Data Engineer \- MS \- MDEK12 \- 155185 (Remote)**  
Duration: Until 02/28/2031  
Posting Close Date: 2/12/2026 1:00:00 PM  
**Preferred Skills:**  
* Experience with student information management systems and K\-12 data and reporting
* Experience with Common Education Data Standards (CEDS)
* Azure Data Engineer Associate certification
**Required Skills:**  
A minimum of 5 years of experience in the following:  
* Advanced development and orchestration of data pipelines using Azure Data Factory/Synapse or similar cloud based platforms. (pipelines, triggers, integration runtimes, parameterization).
* Data warehousing and analytics engineering using Azure Synapse Analytics or similar cloud based platforms (dedicated and serverless SQL pools).
* Strong T\-SQL skills, including query optimization, indexing strategies, stored procedures, and performance tuning.
* Implementation of ETL/ELT frameworks, including incremental loads, CDC patterns, and error handling.
* Integration of structured and semi\-structured data (CSV, JSON, XML) from APIs, SFTP, and vendor systems.
* Source control and deployment practices using Azure DevOps, Git, and CI/CD pipelines.
This is a remote position.</t>
        </is>
      </c>
    </row>
    <row r="31">
      <c r="A31" t="inlineStr">
        <is>
          <t>in-e067d3af071933b0</t>
        </is>
      </c>
      <c r="B31" t="inlineStr">
        <is>
          <t>Cloud Data Engineer</t>
        </is>
      </c>
      <c r="C31" t="inlineStr">
        <is>
          <t>Skywalk Global</t>
        </is>
      </c>
      <c r="D31" t="inlineStr">
        <is>
          <t>indeed</t>
        </is>
      </c>
      <c r="E31" t="inlineStr"/>
      <c r="F31" t="inlineStr"/>
      <c r="G31" t="inlineStr">
        <is>
          <t>Richmond, VA, US</t>
        </is>
      </c>
      <c r="H31" s="2" t="n">
        <v>46061</v>
      </c>
      <c r="I31" t="inlineStr">
        <is>
          <t>Job Summary
We are seeking a skilled Cloud Data Engineer to join our development team and help build modern, cloud‑native applications across leading cloud platforms, with a particular emphasis on Microsoft Azure.
We are seeking a skilled Cloud Data Engineer to join our development team and help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Skills:
Azure, AWS, Google Cloud Required 4 Years
Azure App Service, AKS, Functions, Storage, Databases Required 4 Years
Docker, Kubernetes Required 3 Years
C\#, Java, Python, Go, Node.js Required 3 Years
Azure DevOps, Gitlab, GitLab Required 3 Years
IAM, Data Protection, Cloud Security Best Practices Required 3 Years
SQL Server, Oracle, NoSQL Databases Required 3 Years
Agile Methodologies, DevOps Practices Required 3 Years
Communication, Problem Solving, Collaboration Required 4 Years</t>
        </is>
      </c>
    </row>
    <row r="32">
      <c r="A32" t="inlineStr">
        <is>
          <t>in-17d34d802b5e00d4</t>
        </is>
      </c>
      <c r="B32" t="inlineStr">
        <is>
          <t>Data Engineer (Software-Oriented)</t>
        </is>
      </c>
      <c r="C32" t="inlineStr">
        <is>
          <t>UJET.cx</t>
        </is>
      </c>
      <c r="D32" t="inlineStr">
        <is>
          <t>indeed</t>
        </is>
      </c>
      <c r="E32" t="inlineStr"/>
      <c r="F32" t="inlineStr"/>
      <c r="G32" t="inlineStr">
        <is>
          <t>Austin, TX, US</t>
        </is>
      </c>
      <c r="H32" s="2" t="n">
        <v>46061</v>
      </c>
      <c r="I32" t="inlineStr">
        <is>
          <t>**About Us**
UJET leads the way in AI\-powered contact center innovation, delivering a future\-proof, cloud platform that redefines the customer experience with cutting\-edge AI, true multimodality, and a mobile\-first approach. We infuse AI across every aspect of your customer journey and contact center operations, to drive automation and efficiency. UJET's AI solutions empower agents, optimize customer journeys, and transform contact center operations for elevated experiences and actionable insights. Built on a cloud\-native architecture with a unique CRM\-first approach, UJET ensures unmatched security, scalability, and prioritized data insights (without storing PII). Designed for effortless use, UJET partners with businesses to deliver exceptional interactions, smarter decision\-making, and accelerated growth in the AI\-driven world.
Learn more at www.ujet.cx.
**Opportunity**
UJET is searching for a Data Engineer to join our growing Engineering team! The ideal candidate is a **Data Engineer with strong software engineering experience** to build and operate scalable, reliable data systems. You will work closely with backend, product, and analytics teams to enable data\-driven decision making and power production features.
Our data stack includes **BigQuery, dbt (dbt Labs), Python, and Looker**, running on **Google Cloud Platform (GCP)**. Experience with **Ruby (or Ruby on Rails)** and GCP services is a strong advantage.
**Responsibilities**:
* Design, build, and maintain **scalable data pipelines** using Python and dbt
* Develop and optimize **BigQuery data models** for analytics and product use cases
* Implement **ELT workflows** and enforce best practices in dbt (testing, documentation, versioning)
* Collaborate with analytics and finance teams to enable **trusted metrics and dashboards** in Looker
* Integrate data workflows with **backend services and APIs**
* Ensure **data quality, reliability, and observability**
* Optimize performance and cost across BigQuery and data pipelines
* Participate in system design, code reviews, and architectural decisions  
Support experimentation, reporting, and advanced analytics use cases
**Requirements**
* 3\+ years of experience as a **Data Engineer or Software Engineer working with data**
* Strong programming skills in **Python**
* Solid experience with **SQL** and analytical data modeling
* Hands\-on experience with **BigQuery**
* Production experience with **dbt (dbt Labs)**
* Experience building and maintaining **analytics\-ready datasets**
* Strong software engineering fundamentals (testing, version control, code reviews)
**Preferred Skills**
* Experience with **Google Cloud Platform (GCP)** services (e.g., Cloud Storage, Cloud Functions, Cloud Run, Pub/Sub, Composer)
* Experience with **Looker** (LookML, semantic modeling, dashboards)
* Background in **backend or platform engineering**  
Experience with **Ruby or Ruby on Rails**
* Familiarity with **CI/CD pipelines** and infrastructure as code
* Experience with **streaming or event\-based architectures**
Annual US Hiring Range: $140,000 \- $165,000 (negotiable based on exceptionally qualified candidates)
* *A candidate's actual placement within this range will depend on geographic location, work experience, education, and/or skill level.*
**UJET is an Equal Opportunity Employer**
UJET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**Compliance Responsibilities**
Security, data protection and compliance (SDPC) are paramount to the success of our partnerships. All roles at UJET require compliance with legal and regulatory requirements and acceptance and adherence to all policies and standards within UJET. Personnel acknowledges they are personally responsible for reporting any suspected violations or abuse and are required to complete SDPC training and fulfill role\-specific SDPC responsibilities.
**Why UJET?**
* **Impactful Work:** Be at the forefront of innovation, directly shaping the future of customer experience.
* **Dynamic Culture:** Join a collaborative, inclusive team that values big ideas, creative solutions, and powerful relationships.
* **Comprehensive Benefits:** Medical, dental, vision, 401(k) plan, commuter benefits, and more.</t>
        </is>
      </c>
    </row>
    <row r="33">
      <c r="A33" t="inlineStr">
        <is>
          <t>in-1bca96725bd445a3</t>
        </is>
      </c>
      <c r="B33" t="inlineStr">
        <is>
          <t>Analytics Engineer</t>
        </is>
      </c>
      <c r="C33" t="inlineStr">
        <is>
          <t>ORTHODONTIC PARTNERS</t>
        </is>
      </c>
      <c r="D33" t="inlineStr">
        <is>
          <t>indeed</t>
        </is>
      </c>
      <c r="E33" t="inlineStr"/>
      <c r="F33" t="inlineStr"/>
      <c r="G33" t="inlineStr">
        <is>
          <t>Grand Rapids, MI, US</t>
        </is>
      </c>
      <c r="H33" s="2" t="n">
        <v>46061</v>
      </c>
      <c r="I33" t="inlineStr">
        <is>
          <t>Founded by some of the nation's top orthodontists and headquartered in Grand Rapids, MI, Orthodontic Partners (OP) is a fast\-growing national orthodontic service organization that provides partner doctors with a full range of administrative, marketing, HR, and financial support services. Our mission is to build a better orthodontic partnership model by bringing together leading business and clinical minds and sharing insights that inspire our partners, teams and patients. It is through a relentless pursuit of this mission that we've successfully built a world class network of partners who value collaboration, excellence, growth, and trust. We've grown to support over 30 top orthodontic practices across nearly 70 locations and 15 states and are just getting started. We're looking for highly motivated individuals to join us as we revolutionize the orthodontics industry by making orthodontic care more convenient, affordable, faster and easier for patients.
**Summary of Position:**
The Analytics Engineer serves as a bridge between data engineering and analytics by building and improving data pipelines, analytical datasets, and reporting\-ready data models. This role is designed for an early\-career professional who wants to grow at the intersection of data engineering and analytics, with a strong emphasis on SQL\-driven data transformation, pipeline reliability, and analytics\-ready data modeling.
The position works closely with the Data Engineer, BI Developer, and BI Manager to ingest new data sources, transform and structure data for reporting and analytics, and improve the reliability, performance, and documentation of the analytics platform. Over time, this role is expected to grow into increased ownership of production datasets, data quality monitoring, and pipeline optimization, and semantic modeling.
**Essential Job Functions:**
* Write and maintain SQL transformations used to clean, standardize, and model data for reporting, analytics, and self\-service use cases.
* Assist in managing database objects such as tables, views, schemas, and transformations used by reporting and analytics tools.
* Help build and maintain structured data layers (e.g., raw, cleaned, and reporting layers).
* Work with the Data Engineer to onboard new data sources using a modern analytics stack.
* Create and maintain curated datasets and reporting tables consumed by Power BI and other internal tools.
* Perform data validation and reconciliation to ensure accuracy and reliability.
* Assist in developing data quality checks, monitoring, and alerting.
* Troubleshoot data issues and support root cause analysis.
* Document data pipelines, transformations, business logic, and data lineage.
* Contribute to experimentation and adoption of AI\-driven tools or models to enhance analytics, data preparation, and insight generation.
**Knowledge, Skills and Abilities:**
* Foundational SQL skills for querying, transforming, and validating data.
* Basic understanding of data modeling concepts for reporting and analytics.
* Enthusiasm and ability to learn cloud\-based data platforms and modern analytics tools.
* Strong attention to detail and commitment to data accuracy.
* Analytical mindset with the ability to ask good questions and investigate data issues.
* Clear communication skills and comfort working with both technical and non\-technical stakeholders.
**Qualifications**
* 1–3 years of relevant experience in data analytics, business intelligence, data engineering, or a related role.
* Bachelor's Degree or equivalent experience in computer science, information systems, engineering, mathematics, business, or a related field.
* Experience working with SQL and relational databases.
* Exposure to reporting or analytics tools such as Power BI, Tableau, or similar platforms.
**Preferred Qualifications**
* Exposure to ETL/ELT concepts or analytics transformation frameworks.
* Familiarity with cloud\-based data platforms (Azure preferred).
* Experience with data ingestion or orchestration tools.
* Interest in data quality, automation, and scalable analytics.
* Curiosity about AI or advanced analytics techniques.
**First 90 Days**
* Gain a working understanding of existing data pipelines, data sources, and reporting datasets.
* Document key data pipelines, transformations, and data lineage
* Support recurring data processes independently with guidance.
* Build or enhance at least one production analytics dataset.
* Implement basic data validation or quality checks.
**Growth Path (Internal Expectation)**
This role is expected to grow over time into greater ownership of data pipelines, data modeling, quality monitoring, and performance optimization, evolving toward a full Analytics Engineer role as skills and experience develop
**Key Benefits:**
In addition to your base compensation, we offer a competitive benefits package that includes monthly bonus opportunities, Medical/Rx, Dental, and Vision coverage, a retirement plan (401\-k) with a percentage match, flexible spending accounts, health savings accounts, an employee assistance program, and several other benefit options.
Enroll in benefits coverage that is effective on your first day of employment! Further details on the benefits program are available upon request.
Orthodontic Partners is an equal opportunity workplace. We are committed to equal employment opportunity regardless of race, color, ancestry, religion, sex, national origin, sexual orientation, age, citizenship, marital status, disability, gender identity or Veteran status.</t>
        </is>
      </c>
    </row>
    <row r="34">
      <c r="A34" t="inlineStr">
        <is>
          <t>in-c10bf0467aaa3e58</t>
        </is>
      </c>
      <c r="B34" t="inlineStr">
        <is>
          <t>AI and Data Engineer</t>
        </is>
      </c>
      <c r="C34" t="inlineStr">
        <is>
          <t>Proterial</t>
        </is>
      </c>
      <c r="D34" t="inlineStr">
        <is>
          <t>indeed</t>
        </is>
      </c>
      <c r="E34" t="inlineStr"/>
      <c r="F34" t="inlineStr"/>
      <c r="G34" t="inlineStr">
        <is>
          <t>Santa Clara, CA, US</t>
        </is>
      </c>
      <c r="H34" s="2" t="n">
        <v>46061</v>
      </c>
      <c r="I34" t="inlineStr">
        <is>
          <t>**Location:**
Santa Clara, California, United States
**Job ID:**
R0119603
**Date Posted:**
2026\-02\-09
**Company Name:**
HITACHI AMERICA, LTD.
**Profession (Job Category):**
IT, Telecom \&amp; Internet
**Job Schedule:**
Full time
**Remote:**
No
**Job Description:**
**AI and Data Engineer**
**Company:** Hitachi America, Ltd.
**Division:** Information Technology Group (ITG)
**Location:** Santa Clara, CA
**Status:** Temp to Perm
**Duration:** 6 months\+ (February 2026 – July 2026\)
**About Hitachi, Ltd.**
Through its Social Innovation Business (SIB) that brings together IT, OT (Operational Technology) and products, Hitachi contributes to a harmonized society where the environment, wellbeing, and economic growth are in balance. Hitachi operates globally in four sectors – Digital Systems \&amp; Services, Energy, Mobility, and Connective Industries – and the Strategic SIB Business Unit for new growth businesses. With Lumada at its core, Hitachi generates value from integrating data, technology and domain knowledge to solve customer and social challenges. Revenues for FY2024 (ended March 31, 2025\) totaled 9,783\.3 billion yen, with 618 consolidated subsidiaries and approximately 280,000 employees worldwide. Visit us at **www.hitachi.com.**
**Summary**
Hitachi America, Ltd. ( http://www.hitachi\-america.us/ ) has openings for an AI and Data Engineer in the IT Innovation and AI Solutions located in Silicon Valley. The mission of this team is to help create new and innovative solutions that utilize artificial intelligence and advanced analytics of the Industrial Internet of Things (IIoT). The IT innovation team focuses on research, technology innovation, proof\-of\-concept activities, technical marketing and business development for novel AI solutions, leveraging Hitachi’s technologies, reinforcing Hitachi’s messaging around big data, and establishing Hitachi as a leader in Industrial AI.
**Role Overview**
We are seeking a talented and experienced AI and Data Engineer to join our team and play a crucial role in the development and enhancement of our cutting\-edge Generative AI Platform. As an AI and Data Engineer, you will be responsible for designing, testing, and optimizing prompts that enable our AI models to generate high\-quality, contextual, and engaging content across a wide range of applications.
**Responsibilities**
* Collaborate with cross\-functional teams, including data scientists, machine learning engineers, and product managers, to understand the specific use cases and requirements for the Generative AI Platform.
* Research and analyze the capabilities, limitations, and best practices of leading Generative AI models, such as Perplexity, ChatGPT / Azure AI/ , and NVIDIA's language models.
* Develop and refine prompts that effectively leverage the strengths of these AI models to generate content that is accurate, coherent, and aligned with the desired tone, style, and purpose.
* Conduct extensive testing and evaluation of prompts, iterating on the design to optimize for performance, safety, and ethical considerations.
* Maintain a comprehensive prompt library and documentation, ensuring prompt reusability and consistency across the platform.
* Develop tools and frameworks to streamline the prompt engineering process, including prompt templates, prompt scoring metrics, and automated prompt generation capabilities.
* Stay up\-to\-date with the latest advancements in Generative AI, natural language processing, and prompt engineering best practices, and continuously incorporate new techniques and insights into the platform.
* Collaborate with the product and engineering teams to integrate prompt engineering capabilities into the Generative AI Platform, ensuring seamless user experience and scalability.
* Provide training and support to platform users, educating them on effective prompt design and usage.
**Qualifications**
* Master's degree in Computer Science, Linguistics, or a related field. (PhD preferred)
* Extensive experience in natural language processing, text generation, and prompt engineering, with a deep understanding of the underlying principles and techniques.
* Proficiency in programming languages such as Python, Jupyter Notebooks, and Markdown, with the ability to write clean, maintainable, and efficient code.
* Strong analytical and problem\-solving skills, with the ability to think critically and creatively to address complex challenges.
* Excellent communication and collaboration skills, with the ability to work effectively in a cross\-functional team.
* Familiarity with leading Generative AI models, such as Perplexity, Azure GPT, and NVIDIA's language models, and their respective capabilities and limitations.
* Understanding of ethical considerations in AI development, including bias, fairness, and safety.
* Experience in developing and deploying AI\-powered applications in a production environment is a plus.
**Benefits**
* Opportunity to work on cutting\-edge Generative AI technology and contribute to the development of innovative solutions.
* Exposure to a diverse range of Generative AI use cases and the chance to learn from industry experts.
* Competitive compensation and the potential for career growth within a dynamic and fast\-paced environment.
* Collaborative and supportive team culture that encourages continuous learning and professional development.
If you are passionate about Generative AI, have a strong background in prompt engineering, and are eager to join a team that is pushing the boundaries of what's possible with AI, we encourage you to apply for this exciting role.
**Our Values**
We are proud to say we are an equal opportunity employer and welcome all applicants for employment without attention to any factor that doesn’t impact your ability to do the job, including race, color, religion, sex, sexual orientation, gender identity, national origin, veteran or disability status. We are proud of Japanese heritage, with our values expressed through the Hitachi Spirit:
Wa – Harmony, Trust, Respect
Makoto – Sincerity, Fairness, Honesty, Integrity
Kaitakusha\-Seishin – Pioneering Spirit, Challenge
*For California only (as required by California’s Pay Transparency for Pay Equity Act (* *SB 1162* *): A good faith estimate of the* *expected salary for this position in our California office* *upon hire is* $29 per hour. *Pay is determined based on a variety of factors including, but not limited to, depth of experience in the practice area. Employees are eligible to participate in Hitachi America’s variable pay program, subject to the program’s conditions and restrictions.*
*Qualified Applicants with arrest or Conviction records will be considered for Employment in accordance with the Los Angeles County Fair Chance Ordinance for Employers and the California Fair Chance Act.*
***Equal Opportunity Employer*** ***(EOE)\-Females/Minorities/Protected*** ***Veterans/Individuals with Disabilities***
***If you need a reasonable accommodation to apply for a job at Hitachi, please send the nature of request and contact information to*** ***accommodation@hal.hitachi.com.*** ***Queries other than accommodation requests will not be responded to.***</t>
        </is>
      </c>
    </row>
    <row r="35">
      <c r="A35" t="inlineStr">
        <is>
          <t>in-a2fde95926781f3f</t>
        </is>
      </c>
      <c r="B35" t="inlineStr">
        <is>
          <t>Data engineer</t>
        </is>
      </c>
      <c r="C35" t="inlineStr">
        <is>
          <t>Stacklogy</t>
        </is>
      </c>
      <c r="D35" t="inlineStr">
        <is>
          <t>indeed</t>
        </is>
      </c>
      <c r="E35" t="inlineStr"/>
      <c r="F35" t="inlineStr"/>
      <c r="G35" t="inlineStr">
        <is>
          <t>US</t>
        </is>
      </c>
      <c r="H35" s="2" t="n">
        <v>46061</v>
      </c>
      <c r="I35"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6">
      <c r="A36" t="inlineStr">
        <is>
          <t>in-d35f40c9d387cd12</t>
        </is>
      </c>
      <c r="B36" t="inlineStr">
        <is>
          <t>Senior Data Engineer</t>
        </is>
      </c>
      <c r="C36" t="inlineStr">
        <is>
          <t>Guardian Life</t>
        </is>
      </c>
      <c r="D36" t="inlineStr">
        <is>
          <t>indeed</t>
        </is>
      </c>
      <c r="E36" t="inlineStr"/>
      <c r="F36" t="inlineStr"/>
      <c r="G36" t="inlineStr">
        <is>
          <t>Bethlehem, PA, US</t>
        </is>
      </c>
      <c r="H36" s="2" t="n">
        <v>46061</v>
      </c>
      <c r="I36"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 Provide technical leadership and mentorship to a team of Data Engineers. Oversee the design, development, and optimization of scalable and robust big data solutions and pipelines.
* Utilize extensive expertise in Databricks technologies with Python, PySpark, and SQL, and distributed data processing frameworks to design, develop, and implement highly performant and fault\-tolerant ETL/ELT pipelines for large\-scale data ingestion, processing, and transformation.
*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 Shape opportunities and create execution approaches throughout the lifecycle of client engagements
* Ensure all deliverables are of high quality by setting development standards, adhering to the standards, and participating in code reviews
* Assist in data modeling, schema design, and database optimization.
* Monitor and troubleshoot data pipelines to ensure data accuracy, reliability, and performance.  
Participate in code reviews, testing, and documentation efforts to maintain high\-quality code and data documentation.
* Stay updated on industry trends and best practices in data engineering.
* Establish and maintain the quality, supportability, and performance of all processes.
* Continue to look for innovative and next generation solutions for solving data challenges.
*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 Experience with Databricks and ETL tools
* Knowledge of Mainframe and VSAM data structures
* Knowledge and hands on with Jenkins pipelines and CI/CD
* Expert Relational database concepts and experience across multiple database technologies (e.g., SQL, NoSQL, Oracle, Hadoop, Postgres) environments.
* Hands on experience in data engineering desired with extensive knowledge of SQL and PySpark, on Databricks Platform.
* Hands on experience designing, building, and optimizing data pipelines, architecture for large scale data warehousing projects.
* Experience with cloud data services such as Redshift, Relational database services (RDS), Snowflake and Databricks.
* Knowledge of AWS Data services is a big plus
* Demonstrated expertise with data sourcing, profiling, data mapping and data analysis.
* Strong SQL, PL/SQL experience and skilled in creating and optimizing queries and data structures.
* Knowledge of ETL concepts, preferably Informatica or Syncsort
* Experience with one or more SQL\-on\-Hadoop technology (HIVE, Presto, Spark SQL) and Hadoop ecosystem.
* Ability to design cloud and on Prem data solutions and provide guidance across storage, big data platform services, Hadoop ecosystem, vendor SaaS integrations, RDBMS and NoSQL databases is a plus.
* Excellent written and verbal communication skills and creative problem\-solving skills.
* Ability to adapt to changing business priorities and experience with effectively communicating change across different levels in the organization.
* Communication Skills: Articulate the vision and goals, both to the team members and other stakeholders.
* Emotional Intelligence \&amp; Empathy: Motivate, inspire, and resolve conflicts with others while building a positive rapport with team members and partners.
* Collaboration: Collaborate effectively with the Product Manager and your leadership and keep appraised with key updates and planning. Encourage partnership between team members to create a more dynamic and effective work environment.
* Strong listeners and able to provide constructive feedback.
* Understanding of Insurance domain
* Significant experience interfacing with both customers and management across business and IT
Location* Three days a week at a Guardian office in Bethlehem, PA. New York NY, or Holmdel NJ
* Up to 10% travel within the NY/NJ/PA locations
Position Level: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37">
      <c r="A37" t="inlineStr">
        <is>
          <t>in-234d4e7407881a09</t>
        </is>
      </c>
      <c r="B37" t="inlineStr">
        <is>
          <t>Senior Associate - Data Engineer (US)</t>
        </is>
      </c>
      <c r="C37" t="inlineStr">
        <is>
          <t>Acuity knowledge Partners</t>
        </is>
      </c>
      <c r="D37" t="inlineStr">
        <is>
          <t>indeed</t>
        </is>
      </c>
      <c r="E37" t="inlineStr"/>
      <c r="F37" t="inlineStr"/>
      <c r="G37" t="inlineStr">
        <is>
          <t>New York, NY, US</t>
        </is>
      </c>
      <c r="H37" s="2" t="n">
        <v>46061</v>
      </c>
      <c r="I37" t="inlineStr">
        <is>
          <t>**Job Purpose**
Acuity is seeking Data Engineers (Contract) to join the Data Onboarding Engineering team. This role is focused on building and operating robust, scalable data pipelines that ingest and process 30\+ TB of data daily, primarily using Python on Google Cloud Platform (GCP).
The engineer will collaborate closely with business partners, researchers, and trading teams to onboard high\-value datasets that directly power systematic trading and research workflows.
The ideal candidate is highly hands\-on, production\-focused, and comfortable operating in a high\-performance, data\-intensive environment.**Desired Skills and experience****Essential Skills*** 3\+ years of professional experience as a Data Engineer or in a similar role
* 3\+ years of hands\-on experience building ETL pipelines in production environments
* Strong Python programming skills for data processing and pipeline development
* Practical experience with cloud\-based data platforms, preferably Google Cloud Platform (GCP)
* Solid understanding of data operations, including ingestion, processing, storage, quality, and lifecycle management
* Strong SQL skills and familiarity with data modeling concepts
**Nice\-to\-Have Skills*** Experience with Snowflake as a cloud data warehouse
* Exposure to Spark or other distributed data processing frameworks
* Familiarity with Lakehouse concepts (Delta Lake or similar formats)
* Experience with event\-driven or streaming data pipelines
* Background working with financial, market, or alternative datasets
* Knowledge of data observability, lineage, and governance tooling
**Key Responsibilities*** Work closely with business stakeholders to understand data requirements and usage patterns
* Collaborate with engineers, researchers, and portfolio managers to onboard new and complex datasets
* Design, build, and support production\-grade ETL and data ingestion pipelines using Python
* Operate and scale data pipelines running on Google Cloud infrastructure
* Ensure strong standards around data quality, reliability, monitoring, and operational support
* Handle large\-scale batch data ingestion volumes (30TB\+ per day)
* Extend and enhance the existing data onboarding framework to support new data sources and formats
* Troubleshoot and resolve pipeline failures and data quality issues in production
* Contribute to documentation, operational runbooks, and engineering best practices
**Behavioral Competencies*** Strong problem\-solving and analytical mindset
* Excellent collaboration and communication skills
* Ability to work effectively with cross\-functional technical and non\-technical teams
* High ownership and accountability in a production environment
* Comfortable working in a fast\-paced, data\-driven organization</t>
        </is>
      </c>
    </row>
    <row r="38">
      <c r="A38" t="inlineStr">
        <is>
          <t>in-b0916ef02b911676</t>
        </is>
      </c>
      <c r="B38" t="inlineStr">
        <is>
          <t>Senior Data Engineer</t>
        </is>
      </c>
      <c r="C38" t="inlineStr">
        <is>
          <t>TRILOGY FEDERAL</t>
        </is>
      </c>
      <c r="D38" t="inlineStr">
        <is>
          <t>indeed</t>
        </is>
      </c>
      <c r="E38" t="inlineStr"/>
      <c r="F38" t="inlineStr"/>
      <c r="G38" t="inlineStr">
        <is>
          <t>Washington, DC, US</t>
        </is>
      </c>
      <c r="H38" s="2" t="n">
        <v>46061</v>
      </c>
      <c r="I38" t="inlineStr">
        <is>
          <t>Trilogy Federal drives innovative solutions for complex business challenges across financial management, healthcare, and government industries. Our collaborative, client\-first service approach, combined with our commitment to the rapid implementation of pragmatic solutions, has earned Trilogy an unparalleled reputation for delivering transformative results.  
Trilogy Federal is looking for aremote **Senior Data Engineer** with working knowledge of SQL Server Integration Services (SSIS), SQL Server Analysis Services (SSAS), and Power BI to join our growing company and support our federal client. Our ideal candidate will contribute effectively towards our team goals and ensure exceptional customer experience for our client and their employees.
We are seeking an experienced candidate who has prior implementation skills to implement a functional SSAS environment. The selected candidate must have working knowledge of tabular and multidimensional data models, in addition to experience documenting logical and physical data models.
### **Primary Responsibilities:**
* + Implement a functional SSAS environment.
	+ Building and re\-designing a set of reports that need to transition to an analysis services environment.
	+ Work with our customer’s technical team to identify initial requirements.
	+ Apply tabular, relational, and multidimensional data modeling methodologies.
	+ Transform raw data into meaningful business decisions and pre\-aggregate data for optimal results.
	+ Document logical and physical data models.
	+ Document and update reporting environment data model
	+ Develop new reports based on customer requirements
### **Minimum Requirements:**
* + Minimum of 10 years of overall professional experience and a master's degree (OR 12 years of experience and a bachelor’s degree)
	+ Bachelor’s degree must be in Computer Science
	+ Expert\-level experience building databases and creating logic queries
	+ 7\+ years’ programming in SQL, PL/SQL
	+ 7\+ years’ working experience with SSAS, SSIS, SSRS
	+ 7\+ years’ deep database knowledge with either SQL server or Oracle
	+ Experience building both star and snowflake schemas
	+ Working knowledge of tabular, relational, and multidimensional data models
	+ Excellent written and verbal communication skills
	+ The ability to obtain a Public Trust clearance
### **Preferred Qualifications:**
* + Experience generating data models and analytics of a financial nature including budgeting, financial management, or personnel environment.
	+ Preferred VA experience
### **Benefits (including but not limited to):**
* + Health, dental, and vision plans
	+ Optional FSA
	+ Paid parental leave
	+ Safe Harbor 401(k) with employer contributions 100% vested from day 1
	+ Paid time off and 11 paid holidays
	+ No cost group term life/AD\&amp;D plan, and optional supplemental coverage
	+ Pet insurance
	+ Monthly phone and internet stipend
	+ Tuition and training reimbursement
$130,000 \- $150,000 a year
This range is not a guarantee of compensation or salary, as Trilogy Federal conducts an individual equity review for every candidate based on experience, location, education, industry experience, and comparisons to internal pay bands. In addition to salary, Trilogy offers robust benefits including medical/dental/vision insurance coverage, 401(k) match, paid holidays, paid time off, tuition reimbursement, and a very supportive work/life balance.
**Regarding remote positions, Trilogy Federal is able to offer virtual employment in the following states: Colorado, Connecticut, D.C., Florida, Georgia, Illinois, Maryland, New York, South Carolina, Texas, and Virginia.** *Trilogy Federal is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39">
      <c r="A39" t="inlineStr">
        <is>
          <t>in-30d2af5d04876d3f</t>
        </is>
      </c>
      <c r="B39" t="inlineStr">
        <is>
          <t>Data Engineering - (Data Products, Apple Ads)</t>
        </is>
      </c>
      <c r="C39" t="inlineStr">
        <is>
          <t>Apple</t>
        </is>
      </c>
      <c r="D39" t="inlineStr">
        <is>
          <t>indeed</t>
        </is>
      </c>
      <c r="E39" t="inlineStr"/>
      <c r="F39" t="inlineStr"/>
      <c r="G39" t="inlineStr">
        <is>
          <t>Austin, TX, US</t>
        </is>
      </c>
      <c r="H39" s="2" t="n">
        <v>46061</v>
      </c>
      <c r="I39"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**Preferred Qualifications**  
Ability to communicate effectively with cross\-functional technical and non\-technical teams  
Comfortable working in a rapidly changing environment with ambiguous requirements  
Comfortable with rotating on\-call for mission\-critical applications  
Prior experience in advertising industry is a huge plus!  
**Minimum Qualifications**  
8\+ years of industry experience building distributed, scalable data pipelines and data platforms  
Proven track record of successful and timely software product delivery with complex dependencies  
Demonstrated innovative, critical thinking and troubleshooting skills  
Excellent collaborative skills  
History of motivating teams to meet aggressive goals and innovate  
Proficiency with modern programming languages (e.g. Java/Scala/C\+\+) and ease with picking up new technologies independently  
Strong computer science and data engineering fundamentals  
Expertise in data modeling and Iceberg lake house implementation  
Proficiency in distributed systems and data processing technologies (e.g. Spark, Kafka, Flink)  
Experience building and scaling systems on premise and in the cloud  
Strong technical skills with proven experience developing, architecting, and supporting scalable data infrastructure  
Passion for data quality, code elegance, clear documentation, cost saving and operational excellence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0">
      <c r="A40" t="inlineStr">
        <is>
          <t>in-f2bb59f563bc5a7d</t>
        </is>
      </c>
      <c r="B40" t="inlineStr">
        <is>
          <t>Data Engineer, Operations Digital Decision Science</t>
        </is>
      </c>
      <c r="C40" t="inlineStr">
        <is>
          <t>Delta Air Lines</t>
        </is>
      </c>
      <c r="D40" t="inlineStr">
        <is>
          <t>indeed</t>
        </is>
      </c>
      <c r="E40">
        <f>HYPERLINK("https://www.indeed.com/viewjob?jk=f2bb59f563bc5a7d", "https://www.indeed.com/viewjob?jk=f2bb59f563bc5a7d")</f>
        <v/>
      </c>
      <c r="F40">
        <f>HYPERLINK("https://delta.avature.net/en_US/careers/JobDetail/Data-Engineer-Operations-Digital-Decision-Science/31328?jobId=31328", "https://delta.avature.net/en_US/careers/JobDetail/Data-Engineer-Operations-Digital-Decision-Science/31328?jobId=31328")</f>
        <v/>
      </c>
      <c r="G40" t="inlineStr">
        <is>
          <t>Atlanta, GA, US</t>
        </is>
      </c>
      <c r="H40" s="3" t="n">
        <v>46061</v>
      </c>
      <c r="I40" t="inlineStr">
        <is>
          <t>**UNITED STATES, GEORGIA, ATLANTA****OPERATIONS ANLYS \&amp; PERFORMANCE****09\-FEB\-2026****REF \#: 31328**### **HOW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Ops Digital \&amp; Decision Science (ODDS) at Delta drives the development and execution of a unified digital tools strategy that supports operational excellence. We collaborate across the enterprise to deliver innovative, data\-driven, and AI\-powered solutions that enhance decision\-making and uphold Delta’s reputation for industry\-leading reliability. Our work is grounded in partnership, transparency, and a shared commitment to operational innovation.
The ODDS’s Data Engineering Team is seeking a Data Engineer to lead the development of data products and infrastructure that support decision science solutions across Delta’s operations. In this role, you will work closely with data scientists and engineers to design and build batch and near real\-time data pipelines, analytical data assets, and scalable systems that drive performance improvements and enhance operational decision\-making across the airline.
This opportunity is ideal for a candidate with a strong engineering foundation and an analytical mindset. The ideal individual excels in stakeholder communication, demonstrates a passion for integrating data from diverse sources, and is skilled at transforming complex data into actionable insights while optimizing large\-scale systems in a dynamic, high\-impact environment.
Primary Functions:
* Design and implement data engineering solutions by leveraging emerging technologies to efficiently locate, extract, and transform data from diverse sources for reporting, analysis, and statistical modeling—driving continuous business improvement.
* Execute unit tests and validate outcomes to ensure the accuracy and integrity of data and applications through comprehensive data validation, in\-depth analysis, and precise coding practices.
* Apply Agile methodologies to effectively manage projects, utilizing Generative AI tools to craft high\-quality user stories and features that align with business objectives and enhance team productivity.
* Collaborate cross\-functionally with engineers, product managers, and data scientists to assess data requirements and communicate key insights through meaningful, visually compelling representations.
* Promote a safety\-conscious work environment that prioritizes employee well\-being and operational safety.
###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
### **WHAT YOU NEED TO SUCCEED (MINIMUM QUALIFICATIONS)**
* 2\+ years of experience with SQL, ETL processes, data modeling, and proficiency in at least one programming language such as Python, C\+\+, C\#, Scala, or a similar language.
* 2\+ years of professional experience in information technology, specializing in software development.
* 2\+ years of experience in roles primarily focused on working with data, including positions such as data analyst, data scientist, data engineer, or similar.
* Excellent written, verbal, and interpersonal communication skills.
* Strong project management, organizational, and prioritization capabilities.
* Ability to collaborate effectively across all levels within Operations Analysis \&amp; Performance, OCC, cross\-functional teams, and external stakeholders.
* Consistently prioritizes safety and security of self, others, and personal data.
* Embraces diverse people, thinking, and styles.
* Possesses a high school diploma, GED, or high school equivalency.
* Is at least 18 years of age and has authorization to work in the United States.
### **WHAT WILL GIVE YOU A COMPETITIVE EDGE (PREFERRED QUALIFICATIONS)**
* Bachelor’s degree in computer science or in a related STEM field (master's degree preferred).
* Hands\-on experience with AWS technologies, including RDS, DynamoDB, S3, AWS Glue, Lambda, Step Functions, SageMaker, Bedrock, CDK, and IAM roles and permissions.
* Proficient in consuming and integrating APIs to enable data exchange and enhance application functionality.
* Familiarity with real\-time data processing and streaming technologies (e.g., Apache Kafka, Kinesis).
* Familiarity with relational and cloud\-based database systems such as Amazon Redshift, Microsoft SQL Server, Oracle, DB2, Aurora PostgreSQL, and Teradata.
* Proficient in utilizing Generative AI tools and AI\-powered coding assistants to boost development productivity and improve code quality.
* Familiarity with modern development paradigms and platforms, including Azure, AWS, GCP, microservices architecture, RESTful web services, containers, and cloud\-native technologies.
* Practical experience with Continuous Integration/Continuous Delivery (CI/CD) methodologies in Agile development environments.</t>
        </is>
      </c>
    </row>
    <row r="41">
      <c r="A41" t="inlineStr">
        <is>
          <t>in-509fc4fc6cc75385</t>
        </is>
      </c>
      <c r="B41" t="inlineStr">
        <is>
          <t>Senior Data Engineer</t>
        </is>
      </c>
      <c r="C41" t="inlineStr">
        <is>
          <t>MYTra</t>
        </is>
      </c>
      <c r="D41" t="inlineStr">
        <is>
          <t>indeed</t>
        </is>
      </c>
      <c r="E41">
        <f>HYPERLINK("https://www.indeed.com/viewjob?jk=509fc4fc6cc75385", "https://www.indeed.com/viewjob?jk=509fc4fc6cc75385")</f>
        <v/>
      </c>
      <c r="F41">
        <f>HYPERLINK("https://ats.rippling.com/mytra/jobs/0166c4bc-1430-4ccd-921b-76d2f106573c?jobSite=Indeed", "https://ats.rippling.com/mytra/jobs/0166c4bc-1430-4ccd-921b-76d2f106573c?jobSite=Indeed")</f>
        <v/>
      </c>
      <c r="G41" t="inlineStr">
        <is>
          <t>Remote, US</t>
        </is>
      </c>
      <c r="H41" s="3" t="n">
        <v>46062</v>
      </c>
      <c r="I41" t="inlineStr">
        <is>
          <t>**About Mytra:**
We’re creating an entirely new way to solve the most ubiquitous problem in industry \- moving and storing material. We’re applying robotics and distributed software to create a new class of product for this $1T market. We’re focused on the supply chain industry first. The industry is in a massive bind with the continued growth of e\-commerce, sharp rise in costs, and supply chain disruptions. What has been a “sleepy” industry for decades is now at the epicenter of sustaining the global economy.
 **About the role:**
Mytra is looking for a Senior Data Engineer to continually improve the business through scientific and data\-driven insights.
As a Senior Data Engineer you’ll develop and evolve our data pipeline, collaborate with internal stakeholders to define and measure key metrics, and develop data models. You’ll get the opportunity to have significant ownership of the data infrastructure that empowers internal teams to make key decisions.
 **Example Projects**
* Work with stakeholders to define and align on key metrics
* Architect and implement the next generation data pipeline
* Collaborate with cross\-functional partners in software, product and hardware engineering to capture data in line with company goals
**The Ideal Candidate**
-----------------------
* You’re very comfortable with best\-in\-class data tooling like **Prometheus,** **Grafana** (not an exhaustive list) and have experience with **ETL Processes**.
* Uncertainty isn’t scary, and you’re willing to realize mistakes and pivot.
* You’re familiar with **Observability.**
* You can convey complex ideas and technical concepts to a diverse audience.
* Openness, inquisitiveness, and constant ambition are important values.
* You enjoy collaborative working and taking time to help others.
* You seek and value ownership, accountability and taking on responsibility
 **A Final Note:**
You’re encouraged to apply even if you can’t take on every example project in its totality. We work closely and collaboratively at Mytra \- No one takes on projects alone. We seek people who are eager to work together, learn new things, and bring unique perspectives.
 **Benefits Include:**
* Competitive compensation and equity grants at a high\-growth company backed by top\-tier VCs
* Fully subsidized health coverage, including medical (baseline plans), dental, and vision for employees and dependents
* 401(k) plans and employer\-subsidized life insurance
* Fully subsidized lunch and snacks at HQ—we eat and share stories together at the “long” table
* Generous PTO and company\-paid holidays, including one week over the winter break so everyone can recharge together
* Voluntary pet insurance, Voluntary Life Insurance, Accident, Critical Illness, and Hospital Indemnity
* Fully subsidized tax advisory services and education to help you understand your equity
* Commuter benefits, including a up to $150 monthly commuter benefit
* Lively, modern combined office and lab space where we rapidly iterate through design, build, and test phases
* Fully equipped onsite gym and showers at headquarters
**Pay Notice:**
* Compensation for this position will be set based on the candidate's experience level and location. The posted salary band is applicable only to the San Francisco Bay Area and is subject to change.
***This role requires on\-site presence at our Brisbane, CA headquarters, for close collaboration with the other teams.***
 **The pay range for this role is:**  
180,000 \- 190,000 USD per year(Mytra, Inc.)</t>
        </is>
      </c>
    </row>
    <row r="42">
      <c r="A42" t="inlineStr">
        <is>
          <t>in-1f8ff8eadec4c4cc</t>
        </is>
      </c>
      <c r="B42" t="inlineStr">
        <is>
          <t>Azure Data Engineer</t>
        </is>
      </c>
      <c r="C42" t="inlineStr">
        <is>
          <t>S R International Inc</t>
        </is>
      </c>
      <c r="D42" t="inlineStr">
        <is>
          <t>indeed</t>
        </is>
      </c>
      <c r="E42">
        <f>HYPERLINK("https://www.indeed.com/viewjob?jk=1f8ff8eadec4c4cc", "https://www.indeed.com/viewjob?jk=1f8ff8eadec4c4cc")</f>
        <v/>
      </c>
      <c r="F42">
        <f>HYPERLINK("https://s-r-international-inc.careerplug.com/j/02vrmf2", "https://s-r-international-inc.careerplug.com/j/02vrmf2")</f>
        <v/>
      </c>
      <c r="G42" t="inlineStr">
        <is>
          <t>US</t>
        </is>
      </c>
      <c r="H42" s="3" t="n">
        <v>46062</v>
      </c>
      <c r="I42" t="inlineStr">
        <is>
          <t>**Job Code:** MS 155185  
**Job Title:** Azure Data Engineer  
**Client:** State of Mississippi – MDEK12  
**Location:** Remote (Jackson, MS work location on record)  
**Duration:** Through **02/28/2031** (Long\-term contract)  
**Positions:** 5  
**Work Hours:** 8:00 AM – 5:00 PM (40 hrs/week), occasional overtime  
**Job Description**  
The State of Mississippi (MDEK12\) is seeking experienced **Azure Data Engineers** to design, build, and optimize scalable data pipelines and analytics solutions in Azure. This role supports large\-scale K\-12 education data systems and reporting platforms, handling both structured and semi\-structured data sources.  
**Required Skills \&amp; Experience**  
* **5\+ years** of hands\-on experience in:  
	+ Building and orchestrating data pipelines using **Azure Data Factory and/or Azure Synapse Analytics**
	+ Data warehousing and analytics engineering with **Azure Synapse** (dedicated \&amp; serverless SQL pools)
	+ Strong **T\-SQL** skills including query optimization, indexing, stored procedures, and performance tuning
	+ Implementing **ETL/ELT frameworks**, incremental loads, CDC patterns, and error handling
	+ Integrating data from **APIs, SFTP/FTP, and vendor systems** (CSV, JSON, XML)
	+ Source control and deployments using **Azure DevOps, Git, and CI/CD pipelines**
**Preferred Qualifications**  
* Experience with **Student Information Systems (SIS)** and K\-12 education data
* Familiarity with **Common Education Data Standards (CEDS)**
* **Azure Data Engineer Associate** certification
**Additional Notes**  
Serverless computing and performance optimization experience is a plus  
* 
* Incumbents exist for this role, but **new candidates will be considered equally**
This is a remote position.</t>
        </is>
      </c>
    </row>
    <row r="43">
      <c r="A43" t="inlineStr">
        <is>
          <t>in-f9399ad17965cce6</t>
        </is>
      </c>
      <c r="B43" t="inlineStr">
        <is>
          <t>Data Engineer</t>
        </is>
      </c>
      <c r="C43" t="inlineStr">
        <is>
          <t>Fidelity Investments</t>
        </is>
      </c>
      <c r="D43" t="inlineStr">
        <is>
          <t>indeed</t>
        </is>
      </c>
      <c r="E43">
        <f>HYPERLINK("https://www.indeed.com/viewjob?jk=f9399ad17965cce6", "https://www.indeed.com/viewjob?jk=f9399ad17965cce6")</f>
        <v/>
      </c>
      <c r="F43">
        <f>HYPERLINK("https://jobs.fidelity.com/en/jobs/2121387/data-engineer/", "https://jobs.fidelity.com/en/jobs/2121387/data-engineer/")</f>
        <v/>
      </c>
      <c r="G43" t="inlineStr">
        <is>
          <t>Merrimack, NH, US</t>
        </is>
      </c>
      <c r="H43" s="3" t="n">
        <v>46061</v>
      </c>
      <c r="I43" t="inlineStr">
        <is>
          <t>### **Job Description:**
**Job Title:** Data Engineer
Note: Fidelity will not provide sponsorship for this role.
**The Role**
Seeking an experienced Data Engineer to work on building our strategic platforms in FIG. You will be part of an agile scrum team with roles from multiple disciplines working on capabilities that support all business verticals in the group. You will be responsible for all phases of the software development lifecycle (SDLC) and will engage with architects, engineers, and leadership to deliver prioritized features. By bringing your skills to our team, you will help promote a culture of engineering excellence as we innovate for the future of FIG.
### **The Expertise and Skills You Bring**
* 3–5 years of experience in designing and building software applications
* Strong expertise in **SQL** and solid understanding of **relational databases** (PostgreSQL, MS SQL Server, Oracle)
* Experience with **ETL technologies** and data analysis tools (SQL Developer, Access, Excel, XML, JSON)
* Proficiency in **data visualization tools** (Tableau, Power BI, Excel)
* Experience in **data extraction and transformation**, including APIs and automation of data collection and processing tasks
* Ability to create and maintain **documentation** to support self\-serve analytics initiatives
* Engineering experience in **cloud environments** (AWS preferred)
* Experience building and utilizing **CI/CD pipelines** (Jenkins preferred)
* Proficiency in **Python** and working with large datasets
* Strong communication skills and ability to collaborate across technical and business teams
### **The Team**
The Fidelity Insurance Group (FIG) Technology team is a recently established group aimed at providing transparent solutions and support for all of FIG’s business functions. We partner with internal FIG stakeholders and multiple organizations across Fidelity, most notably the Fidelity Insurance Agency (FIA) to deliver modern solutions that scale. It is an exciting time in this space with much potential for growth and innovation!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44">
      <c r="A44" t="inlineStr">
        <is>
          <t>in-079c4f76db10086b</t>
        </is>
      </c>
      <c r="B44" t="inlineStr">
        <is>
          <t>Staff Data Engineer</t>
        </is>
      </c>
      <c r="C44" t="inlineStr">
        <is>
          <t>mPulse Mobile</t>
        </is>
      </c>
      <c r="D44" t="inlineStr">
        <is>
          <t>indeed</t>
        </is>
      </c>
      <c r="E44">
        <f>HYPERLINK("https://www.indeed.com/viewjob?jk=079c4f76db10086b", "https://www.indeed.com/viewjob?jk=079c4f76db10086b")</f>
        <v/>
      </c>
      <c r="F44">
        <f>HYPERLINK("https://mpulseportal.rec.pro.ukg.net/MPU1000PULSE/JobBoard/dc48557c-996a-4e30-a53d-fd3dfb186808/OpportunityDetail?opportunityId=1ff5f17f-52df-48e1-954b-8b8de3a6e55e", "https://mpulseportal.rec.pro.ukg.net/MPU1000PULSE/JobBoard/dc48557c-996a-4e30-a53d-fd3dfb186808/OpportunityDetail?opportunityId=1ff5f17f-52df-48e1-954b-8b8de3a6e55e")</f>
        <v/>
      </c>
      <c r="G44" t="inlineStr">
        <is>
          <t>Remote, US</t>
        </is>
      </c>
      <c r="H44" s="3" t="n">
        <v>46061</v>
      </c>
      <c r="I44" t="inlineStr">
        <is>
          <t>Staff Data Engineer
**Job Category****:** Data and Tech
**Requisition Number****:** STAFF001284  
Posting Details
Posted: February 9, 2026
Full\-Time
Remote
Locations
Remote  
Remote, USA  
Job Details
Description
**Job Summary:**
We are seeking a Staff Data Engineer to serve as a technical leader on our data engineering team. This individual will play a pivotal role in shaping our data architecture and evolving mPulse’s data culture toward a data mesh paradigm. You will lead the design and implementation of foundational building blocks that enable other engineering teams to onboard their data into Snowflake, powering analytics and data science across the organization.
This is a unique opportunity to influence the future of data at mPulse. While we’ve been using Snowflake for six months, the environment is still relatively greenfield, free from heavy tech debt, and ready for strong architectural leadership.
**Duties and Responsibilities:**
* Proven experience designing and implementing enterprise\-scale data platforms.
* Deep hands\-on experience with Snowflake, including performance optimization and security best practices.
* Deep experience with data modelling techniques and dbt.
* Ability to lead technical discussions, mentor team members, and influence data strategy.
* Proficiency in SQL and Python
* Experience building and maintaining internally\-facing web services and API
* Expertise in data governance, ensuring data integrity, security, and compliance across all engineering workflows
**Preferred Experience:**
* Bachelor Degree in Computer Science or similar degrees
* Familiarity with Healthcare data
* Experience working with healthcare data.
* Experience working in a HIPAA\-compliant environment.
* Familiarity with Airflow or similar orchestration tools
**Physical Requirements:**
* Ability to stand and sit for extended periods of time.
* Ability to lift 10 lbs.
Equal Opportunity Employer  
This employer is required to notify all applicants of their rights pursuant to federal employment laws. For further information, please review the Know Your Rights notice from the Department of Labor.</t>
        </is>
      </c>
    </row>
    <row r="45">
      <c r="A45" t="inlineStr">
        <is>
          <t>in-b7c372fd6e7e6f03</t>
        </is>
      </c>
      <c r="B45" t="inlineStr">
        <is>
          <t>VDH Cloud Data Engineer (793807)</t>
        </is>
      </c>
      <c r="C45" t="inlineStr">
        <is>
          <t>ADVANCED NETWORK CONSULTING</t>
        </is>
      </c>
      <c r="D45" t="inlineStr">
        <is>
          <t>indeed</t>
        </is>
      </c>
      <c r="E45">
        <f>HYPERLINK("https://www.indeed.com/viewjob?jk=b7c372fd6e7e6f03", "https://www.indeed.com/viewjob?jk=b7c372fd6e7e6f03")</f>
        <v/>
      </c>
      <c r="F45">
        <f>HYPERLINK("https://recruiting.paylocity.com/recruiting/jobs/Details/3904606/Advanced-Network-Consulting-Inc/VDH-Cloud-Data-Engineer-793807?source=Indeed_Feed", "https://recruiting.paylocity.com/recruiting/jobs/Details/3904606/Advanced-Network-Consulting-Inc/VDH-Cloud-Data-Engineer-793807?source=Indeed_Feed")</f>
        <v/>
      </c>
      <c r="G45" t="inlineStr">
        <is>
          <t>Richmond, VA, US</t>
        </is>
      </c>
      <c r="H45" s="3" t="n">
        <v>46061</v>
      </c>
      <c r="I45" t="inlineStr">
        <is>
          <t>Description:
We are seeking a skilled Cloud Data Engineer to join our development team and help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Requirements:
Azure, AWS, Google Cloud* \-Required 4 Years
Azure App Service, AKS, Functions, Storage, Databases* \-Required 4 Years
Docker, Kubernetes* \-Required 3 Years
C\#, Java, Python, Go, Node.js* \-Required 3 Years
Azure DevOps, Gitlab, GitLab* \-Required 3 Years
IAM, Data Protection, Cloud Security Best Practices* \-Required 3 Years
SQL Server, Oracle, NoSQL Databases* \-Required 3 Years
Agile Methodologies, DevOps Practices* \-Required 3 Years
Communication, Problem Solving, Collaboration* \-Required 4 Years</t>
        </is>
      </c>
    </row>
    <row r="46">
      <c r="A46" t="inlineStr">
        <is>
          <t>in-d671d411e5553cc6</t>
        </is>
      </c>
      <c r="B46" t="inlineStr">
        <is>
          <t>Data Engineer</t>
        </is>
      </c>
      <c r="C46" t="inlineStr">
        <is>
          <t>Computek Solutions Inc</t>
        </is>
      </c>
      <c r="D46" t="inlineStr">
        <is>
          <t>indeed</t>
        </is>
      </c>
      <c r="E46">
        <f>HYPERLINK("https://www.indeed.com/viewjob?jk=d671d411e5553cc6", "https://www.indeed.com/viewjob?jk=d671d411e5553cc6")</f>
        <v/>
      </c>
      <c r="F46">
        <f>HYPERLINK("https://www.computeksol.com/career.html", "https://www.computeksol.com/career.html")</f>
        <v/>
      </c>
      <c r="G46" t="inlineStr">
        <is>
          <t>Farmington Hills, MI, US</t>
        </is>
      </c>
      <c r="H46" s="3" t="n">
        <v>46061</v>
      </c>
      <c r="I46" t="inlineStr">
        <is>
          <t>**Requirements:** No prior work experience is required. Foreign Equivalent Degree acceptable.Master's Degree in Business Analytics, Data Science, Computer Science, Information Systems, Information Technology, any Engineering or related fields required.
**Job Description:** Develop and maintain event streams, configurations, and connectors to efficiently emit and collect data from client services and transactional databases. Architect, implement, and optimize data pipelines for batch and near\-real\-time transformation and integration of client data, ensuring high performance and reliability. Design and manage the client platform, serving as a centralized staging area for all data sources, and ensure data integrity, security, and accessibility. Implement and maintain the data warehouse on client platform, including the creation and management of fact and dimension tables for reporting purposes, and ensure data consistency and accuracy. Engage in data orchestration, designing and scheduling batch\-driven data workflows to facilitate seamless data processing and delivery across the organization. Collaborate with cross functional teams to understand reporting requirements and export data from the data warehouse to a read\-only database, ensuring timely and accurate data availability for reporting purposes. Integrate and optimize reporting solutions. Monitor and troubleshoot data pipelines, ensuring data quality, reliability, and performance, and proactively identify and resolve any issues or bottlenecks. Collaborate with data scientists and analysts to understand their data needs and provide support in accessing and processing data for analytical purposes. Contribute to the overall data architecture and strategy, providing insights and recommendations for improving data infrastructure, processes, and capabilities.
**Work location:** Farmington Hills, Michigan. Some business travel approximately two times per year for client visits in U.S. and / or relocation to unanticipated locations in U.S.A. required.
**Apply by mail and send resume to Computek Solutions Inc.,** ATTN: HR, 38345 W. 10 Mile Road, Suite 145, Farmington Hills, MI 48335\.</t>
        </is>
      </c>
    </row>
    <row r="47">
      <c r="A47" t="inlineStr">
        <is>
          <t>in-fb6004e86b4a15a1</t>
        </is>
      </c>
      <c r="B47" t="inlineStr">
        <is>
          <t>Mgr, Data Engineering</t>
        </is>
      </c>
      <c r="C47" t="inlineStr">
        <is>
          <t>Grainger</t>
        </is>
      </c>
      <c r="D47" t="inlineStr">
        <is>
          <t>indeed</t>
        </is>
      </c>
      <c r="E47">
        <f>HYPERLINK("https://www.indeed.com/viewjob?jk=fb6004e86b4a15a1", "https://www.indeed.com/viewjob?jk=fb6004e86b4a15a1")</f>
        <v/>
      </c>
      <c r="F47">
        <f>HYPERLINK("https://click.appcast.io/t/QBYIoIG_6exk7qBurodD2hn56U2xIJyqOjPvpyC2s40=", "https://click.appcast.io/t/QBYIoIG_6exk7qBurodD2hn56U2xIJyqOjPvpyC2s40=")</f>
        <v/>
      </c>
      <c r="G47" t="inlineStr">
        <is>
          <t>Lake Forest, IL, US</t>
        </is>
      </c>
      <c r="H47" s="3" t="n">
        <v>46061</v>
      </c>
      <c r="I47" t="inlineStr">
        <is>
          <t>**Work Location Type:** **Hybrid**
**Req Number** 327423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$134,100\.00 to $223,500\.00\.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**This position is not eligible for any form of sponsorship now or in the future. Individuals requiring sponsorship (e.g. OPT or H1B visa status) should not apply. Only individuals authorized to work in the United States now and for the foreseeable future will be considered for this position.**
 **Position Details**
The Manager, Data Engineering leads the team in defining and evolving a modern, cloud‑native data engineering vision while developing scalable platforms and reusable tooling. The leader mentors and grows data engineers, elevating technical quality, operational rigor, and measurable business impact. The role builds and maintains reliable data platforms and primitives that enable machine learning, analytics, and finance teams to operate independently through consistent patterns, tooling, and observability. The Manager also partners across machine learning, analytics, finance, and broader data engineering groups to align architectures, uphold governance, and deliver production‑ready data products that balance flexibility with reliability.
 **You Will**
* Defines and evolves the data engineering vision by setting modern, cloud‑native standards that ensure scalable platforms and reusable tooling, enabling teams to build solutions faster and with greater consistency.
* Leads, mentors, and grows the data engineering team by developing technical capability and operational rigor, raising engineering quality so the organization delivers more reliable and impactful data outcomes.
* Builds and maintains core data platforms and primitives in ways that remove friction for machine learning, analytics, and finance partners, ensuring they can access trustworthy, production‑ready data when they need it.
* Establishes reusable patterns, tooling, and observability frameworks that empower practitioners to independently build, operate, and extend robust data and ML pipelines, reducing dependency bottlenecks.
* Partners with machine learning, analytics, finance, and peer data engineering groups to align architectures and standards, ensuring cohesive roadmaps and clear ownership that accelerate enterprise‑wide data progress.
* Drives well‑governed, production‑ready data products by balancing flexibility with reliability, enabling measurable business and model impact through high‑quality, scalable data assets.
 **You Have**
* Bachelor's Degree or equivalent experience in Computer Science, Data Engineering, Data Science, Software Engineering, or a related technical field required
* Master's Degree preferred
* 5\+ years leading data engineering efforts in complex, cross\-functional environments supporting ML and analytics workloads required
* Direct people leadership experience required.
* Proven ability to lead and stay hands\-on building and operating cloud\-native data platforms: Airflow (or similar) orchestration, Kafka streaming, and RDBMS foundations (e.g., PostgreSQL).
* Experience with lakehouse/warehouse solutions (e.g., Databricks/Delta, Snowflake) and production\-grade platform practices (CI/CD, monitoring, security).
* Demonstrated ability to set technical direction and influence architecture beyond your immediate team.
* Proven commitment to mentoring, upskilling, and building high\-leverage engineering teams.
* Pragmatic mindset: able to balance opinionated defaults with flexibility and build tools that teams want to adopt rather than are forced to use.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  
*\#LI\-hybrid*</t>
        </is>
      </c>
    </row>
    <row r="48">
      <c r="A48" t="inlineStr">
        <is>
          <t>in-a0be68f4b0ff28be</t>
        </is>
      </c>
      <c r="B48" t="inlineStr">
        <is>
          <t>Analytics Engineer / Data Analyst</t>
        </is>
      </c>
      <c r="C48" t="inlineStr">
        <is>
          <t>S.S. White Technologies</t>
        </is>
      </c>
      <c r="D48" t="inlineStr">
        <is>
          <t>indeed</t>
        </is>
      </c>
      <c r="E48">
        <f>HYPERLINK("https://www.indeed.com/viewjob?jk=a0be68f4b0ff28be", "https://www.indeed.com/viewjob?jk=a0be68f4b0ff28be")</f>
        <v/>
      </c>
      <c r="F48">
        <f>HYPERLINK("https://sswhite.zohorecruit.com/recruit/PortalDetail.na?iframe=true&amp;digest=ACu7IOG96Qd7lCxo.3r8hXGAUnkE7bVo.a85bxdBEmQ-&amp;jobid=373056000024151001&amp;widgetid=373056000000072311&amp;embedsource=CareerSite", "https://sswhite.zohorecruit.com/recruit/PortalDetail.na?iframe=true&amp;digest=ACu7IOG96Qd7lCxo.3r8hXGAUnkE7bVo.a85bxdBEmQ-&amp;jobid=373056000024151001&amp;widgetid=373056000000072311&amp;embedsource=CareerSite")</f>
        <v/>
      </c>
      <c r="G48" t="inlineStr">
        <is>
          <t>Saint Petersburg, FL, US</t>
        </is>
      </c>
      <c r="H48" s="3" t="n">
        <v>46061</v>
      </c>
      <c r="I48" t="inlineStr">
        <is>
          <t>FULL TIME \| SS WHITE TECHNOLOGIES, INC. \| UNITED STATES
Posted On 02/09/2026
**Job Information**
-------------------
Work Experience
0\-1 year
Industry
Manufacturing/Engineering
Educational Degree
Bachelor's Degree
City
Saint Petersburg
State/Province
Florida
Zip/Postal Code
33709
**Job Description**
-------------------
S.S. White Technologies Inc. / SHUKLA Medical is an internationally renowned manufacturer of aerospace products, automotive components, and orthopedic surgical tools, with headquarters in St. Petersburg, FL. As part of our ongoing digital transformation, we are modernizing our reporting and analytics platforms and expanding our cloud\-based data capabilities.
We are currently seeking a hands\-on **Analytics Engineer / Data Analyst** to support ERP\-based analytics, reporting modernization, and the foundation of ETL and data warehousing using Microsoft technologies.
**JOB SUMMARY**
---------------
The Analytics Engineer / Senior Data Analyst will play a critical role in modernizing our data infrastructure and reporting capabilities. This role focuses on **SQL Server–based analytics, Power BI dashboard development, ERP data analysis, and supporting the design of ETL and data warehousing solutions**.
The position works closely with IT, operations, finance, sales, and marketing teams to ensure accurate, scalable, and timely insights while reducing load on transactional systems. This is a business\-facing analytics role with strong technical responsibility.
**KEY RESPONSIBILITIES**
------------------------
**Reporting \&amp; Visualization**  
* Convert existing SQL Server–based reports (SSRS, Crystal Reports) into **interactive Power BI dashboards**
* Design and maintain KPIs and dashboards for operations, finance, sales, and leadership
* Ensure data accuracy, consistency, and usability across all reports
**SQL \&amp; ERP Analytics**  
* Write, optimize, and maintain **complex T\-SQL queries** for analytics and reporting
* Work directly with ERP data (Epicor / Kinetic preferred) and other business systems
* Validate and reconcile data across multiple sources to ensure reporting integrity
* Reduce dependency on ad\-hoc SQL queries by improving analytical data structures
**ETL \&amp; Data Warehousing**  
* Assist in designing and implementing **ETL processes** to extract, transform, and load ERP and operational data
* Support the development of a **centralized analytics data warehouse**
* Collaborate with developers and IT teams to define business logic, transformations, and analytical models
**Platform \&amp; Delivery**  
* Design and manage a **centralized SharePoint portal** for dashboards, reports, and documentation
* Automate report distribution and user access where appropriate
* Provide support and training to business users on Power BI and analytics tools
**Continuous Improvement \&amp; Future Analytics**  
* Improve reporting performance, scalability, and governance
* Support early\-stage **machine learning and advanced analytics initiatives**
* Participate in manufacturing data initiatives, including shop\-floor and operational data
* Stay current with trends in analytics, visualization, and Microsoft data platforms
### **Requirements**
* Bachelor’s degree in Computer Science, Information Systems, or a related field
* 3\+ years of experience working with **SQL Server–based analytics**
* Strong **T\-SQL** skills for querying, reporting, and data validation
* Hands\-on experience with **Power BI** (data modeling, DAX basics, dashboard development)
* Experience working with **ERP systems** (Kinetic ERP preferred)
* Experience with **SSRS and/or Crystal Reports**
* Strong analytical, troubleshooting, and problem\-solving skills
* Excellent communication skills and ability to work cross\-functionally</t>
        </is>
      </c>
    </row>
    <row r="49">
      <c r="A49" t="inlineStr">
        <is>
          <t>in-0790d6393f8b2281</t>
        </is>
      </c>
      <c r="B49" t="inlineStr">
        <is>
          <t>Chassis Systems Data &amp; Analytics Engineer</t>
        </is>
      </c>
      <c r="C49" t="inlineStr">
        <is>
          <t>General Motors (GM)</t>
        </is>
      </c>
      <c r="D49" t="inlineStr">
        <is>
          <t>indeed</t>
        </is>
      </c>
      <c r="E49">
        <f>HYPERLINK("https://www.indeed.com/viewjob?jk=0790d6393f8b2281", "https://www.indeed.com/viewjob?jk=0790d6393f8b2281")</f>
        <v/>
      </c>
      <c r="F49">
        <f>HYPERLINK("https://generalmotors.wd5.myworkdayjobs.com/en-US/Careers_GM/job/Milford-Michigan-United-States-of-America/Chassis-Systems-Data---Analytics-Engineer_JR-202524168", "https://generalmotors.wd5.myworkdayjobs.com/en-US/Careers_GM/job/Milford-Michigan-United-States-of-America/Chassis-Systems-Data---Analytics-Engineer_JR-202524168")</f>
        <v/>
      </c>
      <c r="G49" t="inlineStr">
        <is>
          <t>Milford, MI, US</t>
        </is>
      </c>
      <c r="H49" s="3" t="n">
        <v>46061</v>
      </c>
      <c r="I49" t="inlineStr">
        <is>
          <t>**Job Description**
**Remote or Hybrid:**
Are you passionate about leveraging data to drive innovation in vehicle performance? As a \*\*Chassis Systems Data \&amp; Analytics Engineer\*\*, you will play a key role in transforming how big data is utilized to enhance chassis system performance and reliability. In this role, you will design and develop advanced data pipelines for chassis systems including brakes, steering, and suspension. This will include analyzing data from the vehicle, manufacturing plants, warranty, and finance systems to look for valuable insights. You will implement cloud\-based analytics solutions and enable predictive insights for these critical chassis systems and their components. This position is integral to supporting the rapid evolution of connected, hybrid, and electric vehicles, aligning with GM’s commitment to cutting\-edge technology and safety. In this role you must have a passion for data\-driven results and a desire to become an integral part of our exciting new corporate vision: Zero Crashes, Zero Emissions, and Zero Congestion. The employee is expected to be in person at GM Milford, 3 days per week if within 50 Miles. Remote candidates also considered.
**Responsibilities:**
* Design, build and maintain critical visuals (PowerBI or Tableau dashboards, reports, etc.) for chassis sub\-systems (brakes, steering, and suspension).
* Establish data\-architecture (for gold and platinum layers) in this chassis space. Work with IT to source appropriate data\-sets.
* Design, build and maintain scalable data pipelines to process data.
* Build data quality monitoring processes to detect and resolve data anomalies.
* Collaborate with chassis hardware and software designers, developers, and quality engineers to establish the best metrics to track and predict performance.
* Collaborate with data scientists to build engineered features and data pipelines for prognostic and diagnostic algorithms.
* Implement and oversee data governance policies to ensure data integrity, security, and compliance.
* Ensure issues observed in your analysis are chased to closure by organizing meetings, creating issue reports, and reporting out to management.
* Change\-manage your digital products and their associated requirements.
* Actively participate in analytics forums and cross\-functional groups, sharing knowledge and insights within and beyond the chassis engineering domain.
**Requirements:**
* Bachelor of Science degree in Engineering, Computer Science, Applied Mathematics, Statistics, or Data Analytics.
* 5\+ years of experience utilizing data analysis methods and success solving complex problems.
* 2\+ years of experience of working with vehicle telematics data.
* Proficiency using relevant programming languages: Python, SQL, Scala, \&amp; R.
* Proficiency using relevant programming tools: Databricks, Spark, Hive, and Power BI.
* Familiarity with continuous integration and continuous deployment methodologies and their application in data engineering and analytics workflows.
* Real\-world experience using Databricks platform.
* Capable of converting ambiguous problem statements into concrete project requirements.
* Passion for data driven results and customer initiatives.
**Desired Skills:**
* Master’s in Computer Science, Electrical Engineering, Data Analytics, or Statistics.
* 8\+ years of experience utilizing data analysis methods and success solving complex problems.
* Chassis sub\-system understanding (i.e. braking, steering, or suspension systems).
* Familiarity with GM’s data and analytics architecture and principles.
* Proficiency/Certifications using relevant advanced/new programming languages:, Julia.
* Proficiency/Certifications using relevant tools: Databricks (Certification), MLFlow, MATLAB, Tableau \&amp; Github.
* Proficiency/Certifications using relevant ML and AI tools: TensorFlow, Keras, PyTorch, Keras, Scikit\-learn, Retrieval\-Augmented Generation (RAG).
* Familiarity with data sharing agreements and privacy impact assessments.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0">
      <c r="A50" t="inlineStr">
        <is>
          <t>in-39d1ce8de4ac65c0</t>
        </is>
      </c>
      <c r="B50" t="inlineStr">
        <is>
          <t>Senior Analytics Engineer (Breakthrough)</t>
        </is>
      </c>
      <c r="C50" t="inlineStr">
        <is>
          <t>U.S. Venture, Inc.</t>
        </is>
      </c>
      <c r="D50" t="inlineStr">
        <is>
          <t>indeed</t>
        </is>
      </c>
      <c r="E50">
        <f>HYPERLINK("https://www.indeed.com/viewjob?jk=39d1ce8de4ac65c0", "https://www.indeed.com/viewjob?jk=39d1ce8de4ac65c0")</f>
        <v/>
      </c>
      <c r="F50">
        <f>HYPERLINK("https://careers.usventure.com/us/en/job/USVEUSR6123/Senior-Analytics-Engineer-Breakthrough?utm_source=indeed&amp;utm_medium=phenom-feeds", "https://careers.usventure.com/us/en/job/USVEUSR6123/Senior-Analytics-Engineer-Breakthrough?utm_source=indeed&amp;utm_medium=phenom-feeds")</f>
        <v/>
      </c>
      <c r="G50" t="inlineStr">
        <is>
          <t>Green Bay, WI, US</t>
        </is>
      </c>
      <c r="H50" s="3" t="n">
        <v>46061</v>
      </c>
      <c r="I50" t="inlineStr">
        <is>
          <t>**POSITION SUMMARY**
--------------------
About Breakthrough  
At Breakthrough, we empower our clients with data, technology, and market knowledge to reduce costs, create efficient networks, and decarbonize transportation. As a strategic partner to our clients, we challenge legacy practices in the $700 billion transportation industry, delivering sustainable fuel and freight products that foster fair partnerships and environmental responsibility.  
As a digital product company, our culture thrives on curiosity, autonomy, and purpose\-driven innovation. Here, you're not just executing tasks; you're collaborating with a team dedicated to transforming transportation and making a tangible impact on the global economy and the planet.  
The Role  
As a Senior Analytics Engineer, you will play a crucial role in the design, development, and implementation of robust, scalable, and high\-performance analytics solutions. You will be responsible for analytic data modeling, building efficient ETL processes, and seamless integrations with SaaS products and visualization tools, leveraging your expertise to drive technical excellence across the team.  
We're seeking individuals who excel in collaborative environments, are driven by the "why" behind their work and the core problems they're trying to solve, and are eager to develop innovative solutions while influencing the evolution of our systems, teams, and culture.  
“At Breakthrough, we’re figuring out things for the first time; things that no one else has ever done before” \- Engineering leader, Breakthrough  
This role is open to work on\-site in Green Bay or remote/hybrid options based on relevancy of candidate experience.**JOB RESPONSIBILITIES**
------------------------
**What****You’ll****Do**
* Collaborate with cross\-functional teams—including product owners, designers, and fellow engineers—to build reliable, scalable systems.
* Working closely with our clients, market experts, and the broader Breakthrough team, you will build innovative solutions that solve industry problems.
* Lead the end\-to\-end design and implementation of new product features and services.
* Learn and apply the latest technologies to our cloud native solutions.
* Write clean, maintainable code accompanied by comprehensive automated tests.
* Review pull requests, mentor other engineers, and elevate the technical standards within the team.
* Contribute to technical strategy, system design, and process improvements.
* Participate in our on\-call rotation and support production systems, embracing a shared ownership model.
Learn more about the work you'll do at Breakthrough and our culture here.
**This Role Might Be a Great Fit If…**
* You're enthusiastic about tackling complex challenges and can distill them into actionable solutions.
* You prioritize writing clean, readable, and testable code, while understanding the importance of pragmatism.
* Understanding the underlying purpose of your work motivates you, beyond merely delivering features.
* You thrive in collaborative settings, engaging with engineers, product owners, and designers to achieve common goals.
* You're committed to advancing sustainability in transportation and reducing environmental impact through technological innovation.
 **This Role Might Not Be the Best Fit If…**
* You prefer working in isolation or solely on predefined tasks without broader context.
* Adaptability to shifting priorities in a dynamic environment is challenging for you.
* Collaborating with non\-engineering disciplines, such as product and design, doesn't align with your working style.
* You seek a rigid hierarchical structure to guide all decision\-making processes.
* Mentoring others and contributing to team growth aren't areas of interest for you.
 **How We Work**
* **Hybrid\-Friendly:** While many team members are based in Green Bay, we embrace remote work and prioritize impact over location.
* **Cross\-Functional Teams:** You'll be part of an agile team of fellow engineers, fostering a holistic approach to product development by working with Product Owners, Quality Assurance, and others throughout the organization.
* **Continuous Improvement:** We regularly conduct retrospectives, refine our processes, and invest in addressing technical debt to enhance our workflows.
* **Empowered Engineers:** Beyond task execution, you're encouraged to influence both what we build and how we build it, ensuring alignment with our strategic objectives.
**QUALIFICATIONS**
------------------
**What you bring**
* Bachelor’s degree in Computer Science or a related technical field involving coding (e.g, physics or mathematics), or equivalent technical experience.
* 10\+ years as a data or analytics engineer, with a focus on a combination of data modeling and engineering.
* Experience in designing and implementing scalable and high\-performance analytics features.
* Proficiency in multiple programming languages, frameworks, and technologies, specifically dbt, SQL, Jinja, BigQuery, cube, and Python.
* Knowledge of data architectures, security best practices, and data integration concepts.
* Experience with ETL technologies and data engineering with a focus on building and maintaining data platforms, data pipelines, and data ingestion tools.
* Exposure to modern infrastructure such as code technologies like Docker, Kubernetes, Terraform, and Airflow.
* In depth understanding of database concepts, data modeling, and data warehousing principles.
* Understanding of distributed data management systems and related applications.
* Familiarity with public cloud infrastructure design, tools, and strategies.
* Experience with software development methodologies including Agile, Kanban, and Scrum
* A growth mindset and excitement for using AI to drive innovation, improve workflows and solve complex problems.
* Collaborative by nature, you value pairing, whiteboarding sessions, and learning from diverse perspectives.
* Passionate about delivering high\-quality products that enhance client experiences and drive sustainability in transportation.
**Tech We Use**
* **Backend:** Python, Postgres
* **Frontend:** Node, React, TypeScript, graphQL
* **Cloud \&amp; Infrastructure:** Google Cloud Platform (GCP), Terraform, Docker
* **Data \&amp; Analytics:** BigQuery, dbt
* **Monitoring \&amp; Observability:** GCP Monitoring
**Why Breakthrough**
* **Mission\-Driven Work:** Engage in projects that have a tangible impact on the economy and the environment. Hear more about our innovation in this video.
* **Supportive Culture:** Experience a workplace that values autonomy, growth, and meaningful contributions.
* **Leadership Opportunities:** Take on roles that allow you to mentor, guide, and shape the future of our products and technological direction.
* **Established Backing:** As a U.S. Venture company, we benefit from a legacy of innovation and a commitment to sustainable practices.
**Apply Now**
If you're driven to develop smarter, cleaner transportation solutions and want to be part of a team that's making a difference, we'd love to hear from you!
\#Breakthrough
**DIVISION**: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51">
      <c r="A51" t="inlineStr">
        <is>
          <t>in-0d509111a59ea5cc</t>
        </is>
      </c>
      <c r="B51" t="inlineStr">
        <is>
          <t>Principal Data Engineer</t>
        </is>
      </c>
      <c r="C51" t="inlineStr">
        <is>
          <t>Cornerstone OnDemand</t>
        </is>
      </c>
      <c r="D51" t="inlineStr">
        <is>
          <t>indeed</t>
        </is>
      </c>
      <c r="E51">
        <f>HYPERLINK("https://www.indeed.com/viewjob?jk=0d509111a59ea5cc", "https://www.indeed.com/viewjob?jk=0d509111a59ea5cc")</f>
        <v/>
      </c>
      <c r="F51">
        <f>HYPERLINK("https://cornerstone.csod.com/ux/ats/careersite/2/home/requisition/10898?c=cornerstone", "https://cornerstone.csod.com/ux/ats/careersite/2/home/requisition/10898?c=cornerstone")</f>
        <v/>
      </c>
      <c r="G51" t="inlineStr">
        <is>
          <t>Dublin, CA, US</t>
        </is>
      </c>
      <c r="H51" s="3" t="n">
        <v>46061</v>
      </c>
      <c r="I51" t="inlineStr">
        <is>
          <t>**We're looking for a**
**Principal Data Engineer**
**This role is** **Office Based, Dublin Office**
We are seeking a **Principal Data \&amp; Advanced Analytics Engineer** to help us unlock the next frontier of insight\-driven decision making. The ideal candidate combines a passion for solving business problems with data, a deep understanding of **Sales, Marketing, Customer Success, and Product domains**, and hands\-on expertise in **modern BI and AI/ML technologies**.
This role goes beyond traditional BI—it includes **developing predictive models, uncovering insights with machine learning**, and driving adoption of **AI\-powered decision making**. You’ll use tools like **Python, Snowflake Cortex, and AWS SageMaker**, alongside **SQL, Snowflake, and Tableau**, to deliver scalable solutions that influence strategy and execution across the enterprise.
**In this role, you will...**
* **Lead with data evangelism** across business functions—Sales, Marketing, Revenue Operations, Customer Success \&amp; Support—bringing clarity, insights, and action through storytelling.
* Design and build **advanced dashboards and analytics pipelines**, leveraging AI/ML to solve high\-impact business problems.
* Use **Python, R, and AI/ML frameworks** to build models such as churn prediction, lead scoring, sentiment analysis, and cross\-sell/upsell recommendations.
* Leverage **Snowflake Cortex** for scalable in\-database machine learning and **AWS SageMaker** for building and deploying custom ML models.
* Drive **AI/ML experimentation**, including feature engineering, model evaluation, and production deployment, in collaboration with data science and engineering teams.
* Write efficient, scalable **SQL** to analyze and transform large datasets; build **data marts** in Snowflake to support analytics and machine learning use cases.
* Mentor junior team members and review work for quality, scalability, and performance.
* Translate business needs into clear requirements and data products that improve decision\-making.
* Own data quality and governance for your domain; troubleshoot and resolve issues with urgency.
* Educate business users on how to self\-serve using modern data platforms and tools.
**You have what it takes if you have...**
* Excellent communication skills and experience working cross\-functionally with business and IT teams.
* Proven leadership in **BI, Advanced Analytics, and ML model deployment** in an enterprise setting.
* 10\+ years of experience in data analysis and visualization using **SQL and Tableau** with a strong focus on UI/UX.
* 5\+ years of hands\-on **Advanced Analytics/Data Science** experience using **Python and/or R**.
* 2\+ years of experience working with **Snowflake**, including **Snowflake Cortex or similar ML services**.
* Familiarity with **AWS SageMaker**, **ML Ops pipelines**, and deploying ML models at scale.
* Deep understanding of **data warehousing concepts** and experience building trusted datasets and data products.
* Strong domain knowledge in **CRM and MarTech applications** (Salesforce, Marketo, Gainsight).
* Bachelor's degree in Computer Science, Data Science, or equivalent (MBA a plus).
**Extra dose of awesome if you have...**
* Experience with **dbt**, **Informatica**, or **Matillion** for data transformation and orchestration.
* Tableau Desktop Certified Professional.
* Experience with **predictive analytics in go\-to\-market functions** (e.g., campaign attribution, customer lifetime value modeling, lead prioritization).
* Familiarity with **LLMs, vector databases**, or emerging **GenAI** capabilities for enterprise use cases.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**Total Rewards:**
At Cornerstone, we are dedicated to inspiring excellence and pushing boundaries in everything we do. Our compensation strategy is based on three fundamental principles: equitable pay, market\-driven research, and skill\-based appraisals. As part of our mission to share success and empower individuals to thrive in an ever\-changing world, the listed salary range is just one element of Cornerstone’s comprehensive compensation package. This compensation package may also include annual bonuses, short\- and program\-specific awards depending on the role, and a comprehensive benefit offering. The disclosed salary range reflects the geographic differential based on the location of the position if applicable. The starting salary for the successful applicant will depend on several job\-related factors, including education, training, experience, certifications, location, business needs, and market demands. This range is based on a full\-time position and may be adjusted in the future. Join us in shaping the future of work — tomorrow, together. Experience flexibility and empowerment in your career at Cornerstone. The BASE salary range for this position is: 127900 \- 204600 USD.
Check us out on LinkedIn, Comparably, Glassdoor, and Facebook!
Equal Employment Opportunity has been, and will continue to be, a fundamental commitment at Cornerstone OnDemand. All qualified applicants are given consideration regardless of race, religion, color, gender, sex, age, sexual orientation, gender identity,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 or \+1 855 454 8433\.
Read the EEO is the Law poster here, and the supplementary poster here
Read the Read the Pay Transparency Nondiscrimination Provision poster here</t>
        </is>
      </c>
    </row>
    <row r="52">
      <c r="A52" t="inlineStr">
        <is>
          <t>in-3cccbe5899fdbf39</t>
        </is>
      </c>
      <c r="B52" t="inlineStr">
        <is>
          <t>Data Engineer</t>
        </is>
      </c>
      <c r="C52" t="inlineStr">
        <is>
          <t>UST</t>
        </is>
      </c>
      <c r="D52" t="inlineStr">
        <is>
          <t>indeed</t>
        </is>
      </c>
      <c r="E52">
        <f>HYPERLINK("https://www.indeed.com/viewjob?jk=3cccbe5899fdbf39", "https://www.indeed.com/viewjob?jk=3cccbe5899fdbf39")</f>
        <v/>
      </c>
      <c r="F52">
        <f>HYPERLINK("https://usource.ripplehire.com/candidate/?token=xHQWoFn4C242POo7xMpH&amp;source=CAREERSITE#detail/job/52670", "https://usource.ripplehire.com/candidate/?token=xHQWoFn4C242POo7xMpH&amp;source=CAREERSITE#detail/job/52670")</f>
        <v/>
      </c>
      <c r="G52" t="inlineStr">
        <is>
          <t>Plano, TX, US</t>
        </is>
      </c>
      <c r="H52" s="3" t="n">
        <v>46061</v>
      </c>
      <c r="I52" t="inlineStr">
        <is>
          <t>1 Opening
Plano  
### **Role description**
**Data Engineer**
**Associate III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looking for a Data Engineer to design, build, and optimize scalable data platforms on AWS. The ideal candidate has strong experience with Snowflake, Kafka, MuleSoft, and AWS\-native analytics services, and can support both real\-time and batch data processing while enabling reporting and advanced analytics.
**The opportunity:**
* Design, develop, and maintain scalable data pipelines using AWS services
* Build and manage cloud\-based data lakes on Amazon S3
* Implement and optimize Snowflake data models for reporting and analytics
* Develop real\-time streaming solutions using Apache Kafka
* Integrate enterprise systems using MuleSoft APIs and connectors
* Deploy and manage containerized data workloads on AWS EKS
* Write and optimize complex queries using Amazon Athena
This position description identifies the responsibilities and tasks typically associated with the performance of the position. Other relevant essential functions may be required.
**What you** **need:**
* 12\+ years of experience
* Mandatory skills:
* AWS Cloud Services (S3, Athena, EKS, IAM, monitoring)
* Snowflake (data modeling, performance tuning, reporting)
* Apache Kafka (streaming, producers/consumers, real\-time pipelines)
* MuleSoft (API\-based integrations, enterprise data flows)
* Amazon EKS (container orchestration, deployment)
* Querying Tools: Amazon Athena
* Data Lakes: S3\-based data lake architecture
* Reporting: Snowflake reporting layer
* Analytics \&amp; Visualization: Tableau
* Nice to Have:
* Python or SQL\-based ETL development
* CI/CD for data pipelines
* Infrastructure as Code (Terraform/CloudFormation)
* Experience with large\-scale, high\-volume data systems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Location:****Texas**
**Compensation Range**: $74,000\-$111,000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\#LI\-IS1
### **Skills**
data science,mulesoft,kafka connect,sql,data visualization
### **Benefits**
### **Compensation range: $ 74,000\.00 to 111,000\.00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53">
      <c r="A53" t="inlineStr">
        <is>
          <t>in-06b928a8099aec3f</t>
        </is>
      </c>
      <c r="B53" t="inlineStr">
        <is>
          <t>Associate Data Engineer</t>
        </is>
      </c>
      <c r="C53" t="inlineStr">
        <is>
          <t>Qode</t>
        </is>
      </c>
      <c r="D53" t="inlineStr">
        <is>
          <t>indeed</t>
        </is>
      </c>
      <c r="E53">
        <f>HYPERLINK("https://www.indeed.com/viewjob?jk=06b928a8099aec3f", "https://www.indeed.com/viewjob?jk=06b928a8099aec3f")</f>
        <v/>
      </c>
      <c r="F53">
        <f>HYPERLINK("https://apply.workable.com/j/C2E2B3313F", "https://apply.workable.com/j/C2E2B3313F")</f>
        <v/>
      </c>
      <c r="G53" t="inlineStr">
        <is>
          <t>Cleveland, OH, US</t>
        </is>
      </c>
      <c r="H53" s="3" t="n">
        <v>46061</v>
      </c>
      <c r="I53" t="inlineStr">
        <is>
          <t>**Location:** New York, NY, USAWorkplace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54">
      <c r="A54" t="inlineStr">
        <is>
          <t>in-34a384ab2df0f387</t>
        </is>
      </c>
      <c r="B54" t="inlineStr">
        <is>
          <t>Associate Data Engineer</t>
        </is>
      </c>
      <c r="C54" t="inlineStr">
        <is>
          <t>Qode</t>
        </is>
      </c>
      <c r="D54" t="inlineStr">
        <is>
          <t>indeed</t>
        </is>
      </c>
      <c r="E54">
        <f>HYPERLINK("https://www.indeed.com/viewjob?jk=34a384ab2df0f387", "https://www.indeed.com/viewjob?jk=34a384ab2df0f387")</f>
        <v/>
      </c>
      <c r="F54">
        <f>HYPERLINK("https://apply.workable.com/j/6A122910EA", "https://apply.workable.com/j/6A122910EA")</f>
        <v/>
      </c>
      <c r="G54" t="inlineStr">
        <is>
          <t>Pittsburgh, PA, US</t>
        </is>
      </c>
      <c r="H54" s="3" t="n">
        <v>46061</v>
      </c>
      <c r="I54" t="inlineStr">
        <is>
          <t>**Location:** New York, NY, USAWorkplace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55">
      <c r="A55" t="inlineStr">
        <is>
          <t>in-9cc041a1915c2838</t>
        </is>
      </c>
      <c r="B55" t="inlineStr">
        <is>
          <t>Microsoft Fabric Data Engineer</t>
        </is>
      </c>
      <c r="C55" t="inlineStr">
        <is>
          <t>Caterpillar</t>
        </is>
      </c>
      <c r="D55" t="inlineStr">
        <is>
          <t>indeed</t>
        </is>
      </c>
      <c r="E55">
        <f>HYPERLINK("https://www.indeed.com/viewjob?jk=9cc041a1915c2838", "https://www.indeed.com/viewjob?jk=9cc041a1915c2838")</f>
        <v/>
      </c>
      <c r="F55">
        <f>HYPERLINK("https://careers.caterpillar.com/en/jobs/r0000346254/microsoft-fabric-data-engineer/", "https://careers.caterpillar.com/en/jobs/r0000346254/microsoft-fabric-data-engineer/")</f>
        <v/>
      </c>
      <c r="G55" t="inlineStr">
        <is>
          <t>East Peoria, IL, US</t>
        </is>
      </c>
      <c r="H55" s="3" t="n">
        <v>46061</v>
      </c>
      <c r="I55"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Senior Data \&amp; Analytics Engineer within Caterpillar’s Intelligent Automation and Business Intelligence Center of Excellence (COE), you will play a critical role in enabling enterprise adoption of Microsoft Fabric and modern business intelligence practices. Instead of building isolated analytics solutions, you will support and guide business units across the organization as they modernize their data environments, migrate to Fabric, and mature their BI capabilities. You will provide hands‑on technical expertise, build reusable patterns and accelerators, and partner closely with platform, architecture, and data engineering teams to ensure a scalable, governed, and high\-performing analytics ecosystem. This role blends Fabric data engineering, BI semantic modeling, platform stewardship, and enterprise enablement.
**What You Will Do:**
* Enable enterprise adoption of Microsoft Fabric by providing technical guidance, coaching, and best practices across analytics teams.
* Develop and maintain reusable assets, including templates, reference architectures, semantic model patterns, data pipelines, and governance documentation that support enterprise\-wide modernization.
* Support teams in designing and optimizing Fabric Lakehouse environments, Data Factory pipelines, Dataflows Gen2, notebooks, and medallion‑style data architectures.
* Provide subject matter expertise for Microsoft Fabric, Power BI modeling, dataset optimization, DAX best practices, workspace design, and governance policies.
* Assist business units with complex or strategic analytics use cases, including performance tuning, troubleshooting, and proof‑of‑concept development.
* Partner with central infrastructure, platform engineering, and cybersecurity teams to ensure Fabric, Power BI, and related analytics services remain secure, scalable, reliable, and well\-governed.
* Create monitoring approaches, standards, and operational best practices that uplift data quality, platform health, and BI performance across the enterprise.
* Collaborate with BI, data engineering, and data architecture teams to align enterprise analytics strategy with Caterpillar’s overall digital and data transformation roadmap.
* Support incident/problem management processes and communicate findings to business and technical stakeholders.
**What You Have:**
* Bachelor’s degree in Data Science, Information Technology, Engineering, or a related field.
* 7\+ years of combined experience in Business Intelligence, data engineering, or analytics platform support.
* Hands\-on experience with Microsoft Fabric components, including Lakehouse, Data Factory (pipelines, dataflows Gen2\), Notebooks, Delta tables, and semantic model development.
* Strong proficiency with Power BI, including data modeling, DAX, dataset optimization, performance tuning, and workspace management.
* Solid understanding of data engineering concepts, including ingestion patterns, transformation logic, medallion architecture, and SQL.
* Experience developing or supporting reusable data/BI assets such as templates, pipelines, semantic models, or governance artifacts.
* Strong troubleshooting and analytical skills across distributed systems, BI tools, and data pipelines.
* Experience scripting or automating tasks using tools such as Python, PowerShell, or SQL.
* Excellent communication and collaboration skills, with proven success supporting both technical and non‑technical stakeholders.
**Top Candidates Will Also Have:**
* Experience enabling or governing analytics platforms in a Center of Excellence or enterprise technology function.
* Knowledge of enterprise\-scale BI platforms such as Tableau, Cognos, ThoughtSpot, or Business Objects.
* Familiarity with deployment best practices, Git integration, CI/CD pipelines, and DevOps approaches for Microsoft Fabric and Power BI.
* Experience with Azure data services (Azure Data Lake, Azure SQL, Functions, Synapse).
* Understanding of data warehousing concepts, dimensional modeling, and ETL/ELT practices.
* Experience with platform monitoring, capacity planning, gateway management, or BI environment tuning in a large enterprise.
* Ability to influence and coach cross\-functional teams and contribute to enterprise analytics strategy.
**Additional Info**:
* The ideal location for this role is East Peoria – IL, Nashville – TN,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$112,710\.00 \- $169,060\.00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56">
      <c r="A56" t="inlineStr">
        <is>
          <t>in-2c4244d24cccc16e</t>
        </is>
      </c>
      <c r="B56" t="inlineStr">
        <is>
          <t>AI &amp; Data Platform Engineer</t>
        </is>
      </c>
      <c r="C56" t="inlineStr">
        <is>
          <t>Amplifi</t>
        </is>
      </c>
      <c r="D56" t="inlineStr">
        <is>
          <t>indeed</t>
        </is>
      </c>
      <c r="E56">
        <f>HYPERLINK("https://www.indeed.com/viewjob?jk=2c4244d24cccc16e", "https://www.indeed.com/viewjob?jk=2c4244d24cccc16e")</f>
        <v/>
      </c>
      <c r="F56">
        <f>HYPERLINK("https://goamplifi.com/vacancies/ai-data-platform-engineer", "https://goamplifi.com/vacancies/ai-data-platform-engineer")</f>
        <v/>
      </c>
      <c r="G56" t="inlineStr">
        <is>
          <t>US</t>
        </is>
      </c>
      <c r="H56" s="3" t="n">
        <v>46061</v>
      </c>
      <c r="I56" t="inlineStr">
        <is>
          <t>**Posted:** 9th February 2026
**AI \&amp; Data Platform Engineer**
================================
**Location:** Anywhere (US)
**As an AI \&amp; Data Platform Engineer at Amplifi, you will design and build software systems that help organizations work effectively with their data and integrate AI into real business workflows. This role emphasizes strong software engineering fundamentals: writing production\-quality code, designing reliable systems, and operating what you build. You’ll focus on building end\-to\-end systems that integrate applications, data pipelines, cloud services, and AI capabilities. You’ll apply existing AI services and APIs as part of larger software systems, ensuring they are reliable, secure, observable, and suitable for production use.**
Amplifi, a data management and strategy consultancy, helps the world’s leading brands harness the power of their data. We provide strategic advisement for digital transformation initiatives, implementation services for master data management (MDM) / product information management (PIM) platforms and more. Our company and team members are proud to empower our clients’ businesses by providing exceptional solutions and value, as we truly believe their success is our success. We thrive on delivering excellent solutions and overcoming technical and business challenges. As such, we are looking for like\-minded individuals to learn, grow, and mentor others as a part of the Amplifi family.
**Position Summary**
As an AI \&amp; Data Platform Engineer at Amplifi, you will design and build software systems that help organizations work effectively with their data and integrate AI into real business workflows. This role emphasizes strong software engineering fundamentals: writing production\-quality code, designing reliable systems, and operating what you build.
You’ll focus on building end\-to\-end systems that integrate applications, data pipelines, cloud services, and AI capabilities. You’ll apply existing AI services and APIs as part of larger software systems, ensuring they are reliable, secure, observable, and suitable for production use.
**What You’ll Work On**
* Designing and implementing backend services, APIs, and supporting systems
* Building, maintaining, and operating data pipelines that support analytics, applications, and AI\-enabled workflows.
* Implementing batch and near\-real\-time data processing using managed cloud services Integrating AI services (such as LLM APIs, document processing, and automation tools) into broader software and data systems
* Applying patterns for AI\-enabled systems, including prompt orchestration, retrieval\-based integrations, evaluation, and guardrails
* Integrating cloud\-managed services, third\-party APIs, and internal platforms into cohesive solutions
* Ensuring systems meet expectations for reliability, performance, security, and observability.
* Collaborating with Amplifi consultants, AI specialists, and customer engineering teams to deliver practical, production\-ready solutions
* Using AI\-assisted development tools in daily engineering work and helping customers adopt them effectively.
**What We’re Looking For**
* Strong experience as a software engineer building and operating production systems.
* Solid fundamentals in system design, backend development, and API design.
* Hands\-on experience with cloud platforms such as AWS, Azure, and/or GCP.
* Experience building and operating data pipelines and working with data platforms
* Practical experience integrating AI or automation services into applications, or strong interest in doing so.
* Comfort working in customer\-facing environments and explaining technical decisions clearly.
* Cloud certifications such as AWS Certified Solutions Architect, Azure Developer Associate, or GCP Professional Cloud Engineer are strongly preferred.
**Nice to Have**
* Strong experience as a software engineer building and operating production systems.
* Solid fundamentals in system design, backend development, and API design.
* Hands\-on experience with cloud platforms such as AWS, Azure, and/or GCP.
* Experience with JavaScript / TypeScript in production environments.
* Familiarity with data warehouses, data lakes, streaming, or event\-driven architectures.
* Exposure to AI\-enabled patterns such as retrieval\-augmented generation, workflow automation, or agent\-style systems.
* Consulting or professional services experience.
**Travel**
Ability to travel as needed.
**Benefits \&amp; Compensation**
Amplifi offers excellent compensation and benefits including, but not limited to, health, dental, 401(k) program, employee assistance program, short and long\-term disability, life insurance, accidental death and dismemberment (AD\&amp;D), PTO program, flex work schedules, and paid holidays. Amplifi is an Equal Opportunity Employer.</t>
        </is>
      </c>
    </row>
    <row r="57">
      <c r="A57" t="inlineStr">
        <is>
          <t>in-36240d9ba4949710</t>
        </is>
      </c>
      <c r="B57" t="inlineStr">
        <is>
          <t>Quantexa Data Engineer</t>
        </is>
      </c>
      <c r="C57" t="inlineStr">
        <is>
          <t>Sumitomo Group</t>
        </is>
      </c>
      <c r="D57" t="inlineStr">
        <is>
          <t>indeed</t>
        </is>
      </c>
      <c r="E57">
        <f>HYPERLINK("https://www.indeed.com/viewjob?jk=36240d9ba4949710", "https://www.indeed.com/viewjob?jk=36240d9ba4949710")</f>
        <v/>
      </c>
      <c r="F57">
        <f>HYPERLINK("https://careers.smbcgroup.com/smbc/job/Charlotte-Quantexa-Data-Engineer-NC-28202/1349273100/?feedId=392100&amp;utm_source=Indeed&amp;utm_campaign=SMBC_Indeed", "https://careers.smbcgroup.com/smbc/job/Charlotte-Quantexa-Data-Engineer-NC-28202/1349273100/?feedId=392100&amp;utm_source=Indeed&amp;utm_campaign=SMBC_Indeed")</f>
        <v/>
      </c>
      <c r="G57" t="inlineStr">
        <is>
          <t>Charlotte, NC, US</t>
        </is>
      </c>
      <c r="H57" s="3" t="n">
        <v>46061</v>
      </c>
      <c r="I5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**JOB SUMMARY**
---------------
Quantexa Data Engineer supporting SMBC’s AML Market applications and data services. Purpose: design, build, and maintain scalable data pipelines and shared libraries that ensure data availability, quality, reliability, and regulatory compliance for Anti\-Money Laundering obligations. Scope and impact: enterprise\-scale AML data engineering on Azure (Data Factory Gen2, Databricks), Elasticsearch, and MS SQL Server, enabling faster time to market through reusable capabilities, improving platform health and performance, and reducing compliance risk by strengthening data integrity and security. Reporting structure: reports to AML Market Technology leadership and partners closely with Technology, Product, and Business stakeholders.**PRINCIPAL DUTIES AND RESPONSIBILITIES**
-----------------------------------------
* Design, develop, and optimize robust data pipelines and ETL processes for AML data domains.
* Build reusable libraries and shared capabilities to accelerate delivery across Data Engineering teams.
* Evolve platform capabilities and maintain overall platform health, performance, and reliability.
* Collaborate with cross\-functional stakeholders to translate data requirements into solutions.
* Ensure data quality, integrity, and security across all data systems and workflows.
* Monitor, troubleshoot, and continuously improve data workflows, SLAs, and performance.
* Automate validation, testing, and deployment processes to increase delivery speed and consistency.
* Develop and integrate services using Spark and Scala or Java or Python; implement RESTful APIs with JSON; support Tomcat\-hosted services and Elasticsearch indexing/queries.
* Apply Agile practices; manage work using Jira and documentation using Confluence.
* Operate within DevOps tooling and pipelines (git, Azure DevOps, Jenkins).
* Stay current with emerging data engineering technologies and trends; propose improvements.
* Communicate proactively with business users, support teams, vendors, and stakeholders to ensure high customer satisfaction.
**POSITION SPECIFICATIONS**
---------------------------
**Required Qualifications**
* Bachelor’s or Master’s degree in Computer Science, Engineering, or related field.
* 7\+ years in data engineering or closely related roles.
**Technical Skills**
* Highly proficient in Scala, Python, and SQL; hands\-on with Spark; experience with Apache Airflow.
* Azure cloud data platforms: Azure Data Factory Gen2, Azure Databricks, Azure\-hosted databases.
* Elasticsearch experience; RESTful APIs with JSON; Tomcat application services.
* Advanced SQL on relational databases, preferably MS SQL Server and Azure\-hosted databases.
* Strong ETL tooling knowledge and data modeling skills.
* DevOps lifecycle experience: git, Azure DevOps, Jenkins.
* Agile methodologies; Jira and Confluence proficiency.
* Linux/Unix environment familiarity.
**Professional Competencies**
* Strong analytical and diagnostic skills for troubleshooting complex systems.
* Ability to design scalable data architectures and shared frameworks that improve time to market.
* Clear, proactive communication with technical and non\-technical stakeholders.
* Focus on data quality, integrity, security, and SLA adherence.
Our positions are open to all, regardless of their human characteristics or conditions regarding ethnicity, gender, sexual orientation, accessibility, cultural, social, or any other factor. As well, will always be open to people with disabilities.</t>
        </is>
      </c>
    </row>
    <row r="58">
      <c r="A58" t="inlineStr">
        <is>
          <t>in-88242e9d5021816c</t>
        </is>
      </c>
      <c r="B58" t="inlineStr">
        <is>
          <t>Sr. Data Engineer</t>
        </is>
      </c>
      <c r="C58" t="inlineStr">
        <is>
          <t>PitchBook</t>
        </is>
      </c>
      <c r="D58" t="inlineStr">
        <is>
          <t>indeed</t>
        </is>
      </c>
      <c r="E58">
        <f>HYPERLINK("https://www.indeed.com/viewjob?jk=88242e9d5021816c", "https://www.indeed.com/viewjob?jk=88242e9d5021816c")</f>
        <v/>
      </c>
      <c r="F58">
        <f>HYPERLINK("https://grnh.se/gkf4ydi76us", "https://grnh.se/gkf4ydi76us")</f>
        <v/>
      </c>
      <c r="G58" t="inlineStr">
        <is>
          <t>Seattle, WA, US</t>
        </is>
      </c>
      <c r="H58" s="3" t="n">
        <v>46061</v>
      </c>
      <c r="I58"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**Primary Job Responsibilities:**
* Expert at building unified data technologies to support advanced and automated business analytics
* Design, develop, document, and maintain database and reporting structures used to compile insights
* Define, develop, and review extract, load, and transform (ELT) processes and data modeling solutions
* Consistently evolve data processes and techniques following industry best practices
* Establish and help define reports and dashboards used to translate business data into insights, identify and prioritize operational improvement opportunities, and measure business KPIs against objectives
* Contribute to the ongoing improvement of quality assurance standards and procedures
* Mentor and guide less experienced data engineers, contributing to their professional development
* Stay updated with the latest data engineering technologies and trends and share your insights with the team
* Support the vision and values of the company through role modeling and encouraging desired behaviors
* Participate in various company initiatives and projects as requested
**Skills and Qualifications:**
* Bachelor's degree in a related field (Computer Science, Engineering, etc.)
* 5\+ years of experience in data engineering roles, including creating and maintaining data pipelines, data modeling, and data architecture
* 5\+ years of experience in data cleansing, governance, and quality/integrity
* 5\+ years of experience in advanced SQL, including expert\-level skills in querying large datasets from multiple sources and developing automated reporting
* 5\+ years of experience in Python, with skills for diverse components of data pipelines, including scripting, data manipulation, custom extract, transform and loads, and statistical/regression analysis
* Expertise in extract, transform, and load (ETL) and extract, load, transform (ELT) processes and pipelines, platforms (e.g. Airflow), and distributed messaging (e.g. Kafka)
* Experience with tools that capture and control data modeling change management (e.g. SQLMesh)
* Experience building data alerting \&amp; notifications (e.g. on deviations, thresholds, etc.)
* Experience building and managing tools for data observability and documentation (e.g. DataLab)
* Proficient in data storage solutions, data warehousing, and cloud\-based data platforms (e.g. Snowflake)
* Proficient in deploying data pipelines to a cloud\-native, containerized deployment/delivery environment (e.g. Kubernetes)
* Knowledge and applicable working experience establishing and ensuring data governance, data quality, and compliance standards
* Exceptional problem\-solving skills and a track record of designing and optimizing data pipelines
* Excellent communication and collaboration skills with the ability to engage with non\-technical stakeholders
* Experience working with enterprise technologies (CRM, ERP, Marketing Automation Platforms, Financial Systems, etc.) is a plus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$140,000\-$170,000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\#LI\-KL1
\#LI\-Onsite</t>
        </is>
      </c>
    </row>
    <row r="59">
      <c r="A59" t="inlineStr">
        <is>
          <t>in-9bfb27248afe0a47</t>
        </is>
      </c>
      <c r="B59" t="inlineStr">
        <is>
          <t>Data Engineer</t>
        </is>
      </c>
      <c r="C59" t="inlineStr">
        <is>
          <t>PitchBook</t>
        </is>
      </c>
      <c r="D59" t="inlineStr">
        <is>
          <t>indeed</t>
        </is>
      </c>
      <c r="E59">
        <f>HYPERLINK("https://www.indeed.com/viewjob?jk=9bfb27248afe0a47", "https://www.indeed.com/viewjob?jk=9bfb27248afe0a47")</f>
        <v/>
      </c>
      <c r="F59">
        <f>HYPERLINK("https://grnh.se/dgdyumk16us", "https://grnh.se/dgdyumk16us")</f>
        <v/>
      </c>
      <c r="G59" t="inlineStr">
        <is>
          <t>Seattle, WA, US</t>
        </is>
      </c>
      <c r="H59" s="3" t="n">
        <v>46061</v>
      </c>
      <c r="I59"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Data Engineer on the Enterprise Data Platform team, you will be responsible for building data pipelines to ingest various source data from enterprise technologies and PitchBook Platform data, manipulating (cleanse, dedupe, normalize) data into well\-constructed data models for data analysis, implementing business logic and standard calculations, governing (supporting, observing, documenting) the data, and making the data available to end consumers in the form of PitchBook data products built on top of our data warehouse / data lake (e.g. Snowflake). You'll work with a range of data and reporting technologies (e.g. Python, Docker, Tableau, Power BI) to build upon a strong foundation of rigor, quantitative techniques, and efficient processing. You'll join other Engineers and Analytics professionals as part of the team that develops data pipelines and insights for our internal stakeholders across Sales, Customer Success, Marketing, Research, Data Operations, Product, Finance, and Administration.
Your team will rely on you to build your skills in data techniques and analytics to deliver accurate, timely, accessible, and secure data \&amp; insights to users. You'll collaborate closely and effectively with internal and external stakeholders of different roles and technical backgrounds, who have varying understanding of data engineering. You'll have the opportunity and ability to impact many different areas of analytics and operational thinking across enterprise technology and product engineering.
You will exhibit a growth mindset, be willing to solicit feedback, engage others with empathy, and help create a culture of belonging, teamwork, and purpose. If you love building data\-centric solutions, strive for excellence every day, are adaptable and focused, and believe work should be fun, come join us!
**Primary Job Responsibilities:**
* Apply unified data technologies to support advanced and automated business analytics
* Design, develop, document, and maintain database and reporting structures used to compile insights
* Define, develop, and review extract, load, and transform (ELT) processes and data modeling solutions
* Consistently evolve data processes and techniques following industry best practices
* Build data models to be used for reports and dashboards used to translate business data into insights, identify and prioritize operational improvement opportunities, and measure business KPIs
* Contribute to the ongoing improvement of quality assurance standards and procedures
* Support the vision and values of the company through role modeling and encouraging desired behaviors
* Participate in various company initiatives and projects as requested
**Skills and Qualifications:**
* Bachelor's degree in a related field (Computer Science, Engineering, etc.)
* 2\+ years of experience in data engineering roles, including creating and maintaining data pipelines, data modeling, and data architecture
* 3\+ years of experience in advanced SQL, including expert\-level skills in querying large datasets from multiple sources and developing automated reporting
* 2\+ years of experience in Python, with skills for diverse components of data pipelines, including scripting, data manipulation, custom extract, transform and loads, and statistical/regression analysis
* Expertise in extract, transform, and load (ETL) and extract, load, transform (ELT) processes and pipelines, platforms (e.g. Airflow), and distributed messaging (e.g. Kafka)
* Experience with tools that capture and control data modeling change management (e.g. SQLMesh)
* Proficiency in data storage solutions, data warehousing, and cloud\-based data platforms (e.g. Snowflake)
* Knowledge and applicable working experience establishing and ensuring data governance, data quality, and compliance standards
* Exceptional problem\-solving skills
* Excellent communication and collaboration skills with the ability to engage with non\-technical stakeholders
* Experience working with enterprise technologies (CRM, ERP, Marketing Automation Platforms, Financial Systems, etc.) is a plus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$129,000\-$155,000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\#LI\-KL1
\#LI\-Onsite</t>
        </is>
      </c>
    </row>
    <row r="60">
      <c r="A60" t="inlineStr">
        <is>
          <t>in-bdc6243094101f9c</t>
        </is>
      </c>
      <c r="B60" t="inlineStr">
        <is>
          <t>Foundry Data Engineer</t>
        </is>
      </c>
      <c r="C60" t="inlineStr">
        <is>
          <t>Saronic Technologies</t>
        </is>
      </c>
      <c r="D60" t="inlineStr">
        <is>
          <t>indeed</t>
        </is>
      </c>
      <c r="E60">
        <f>HYPERLINK("https://www.indeed.com/viewjob?jk=bdc6243094101f9c", "https://www.indeed.com/viewjob?jk=bdc6243094101f9c")</f>
        <v/>
      </c>
      <c r="F60">
        <f>HYPERLINK("https://jobs.ashbyhq.com/saronic/f3dfa6df-8fce-4d22-810d-6c5c8447584e?utm_source=W29Y6emweb", "https://jobs.ashbyhq.com/saronic/f3dfa6df-8fce-4d22-810d-6c5c8447584e?utm_source=W29Y6emweb")</f>
        <v/>
      </c>
      <c r="G60" t="inlineStr">
        <is>
          <t>Austin, TX, US</t>
        </is>
      </c>
      <c r="H60" s="3" t="n">
        <v>46061</v>
      </c>
      <c r="I60" t="inlineStr">
        <is>
          <t>Saronic Technologies is a leader in revolutionizing autonomy at sea, dedicated to developing state\-of\-the\-art solutions that enhance maritime operations through autonomous and intelligent platforms.
 **Overview:**
We’re looking for people who are energized by hard problems, motivated by mission impact, and thrive in fast\-moving, collaborative environments. Ideally, you are passionate about maritime autonomy, defense technology and love building comprehensible data models. You prioritize speed and efficiency and are interested in generating powerful analytical models and applications within our organization.
 **What You’ll Do:**
* Maintain and build the Foundry platform alongside Palantir specialists.
* Collaborate with internal stakeholders
* Collect requirements and write code that results in secure, timely, accurate, and reliable data models in Palantir Foundry
**Requirements:**
* Bachelor's degree
* 1\+ years of experience in Information Technology
* 1\-2 years of experience with hands\-on client\-facing development and data integration
* Experience with Python and SQL
* Experience with data modeling, ETL, and data visualization
* Experience with Git\-based code repositories and CI/CD workflows
* Ability to lead fast\-paced, Agile environments
**Benefits:**
* **Medical Insurance:** Comprehensive health insurance plans covering a range of services
* **Dental aMedical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61">
      <c r="A61" t="inlineStr">
        <is>
          <t>in-1f4ef649dc8e9422</t>
        </is>
      </c>
      <c r="B61" t="inlineStr">
        <is>
          <t>Lead Data Engineer</t>
        </is>
      </c>
      <c r="C61" t="inlineStr">
        <is>
          <t>The Friedkin Group</t>
        </is>
      </c>
      <c r="D61" t="inlineStr">
        <is>
          <t>indeed</t>
        </is>
      </c>
      <c r="E61">
        <f>HYPERLINK("https://www.indeed.com/viewjob?jk=1f4ef649dc8e9422", "https://www.indeed.com/viewjob?jk=1f4ef649dc8e9422")</f>
        <v/>
      </c>
      <c r="F61">
        <f>HYPERLINK("https://careers.friedkin.com/jobs/6480/job?utm_source=indeed_integration&amp;iis=Job%20Board&amp;iisn=Indeed&amp;indeed-apply-token=73a2d2b2a8d6d5c0a62696875eaebd669103652d3f0c2cd5445d3e66b1592b0f", "https://careers.friedkin.com/jobs/6480/job?utm_source=indeed_integration&amp;iis=Job%20Board&amp;iisn=Indeed&amp;indeed-apply-token=73a2d2b2a8d6d5c0a62696875eaebd669103652d3f0c2cd5445d3e66b1592b0f")</f>
        <v/>
      </c>
      <c r="G61" t="inlineStr">
        <is>
          <t>Houston, TX, US</t>
        </is>
      </c>
      <c r="H61" s="3" t="n">
        <v>46061</v>
      </c>
      <c r="I61" t="inlineStr">
        <is>
          <t>External Description:
**Living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As a Lead Data Engineer within the Trailblazer initiative, you will play a crucial role in architecting, implementing, and managing robust, scalable data infrastructure. This position demands a blend of systems engineering, data integration, and data analytics skills to enhance TFG's data capabilities, supporting advanced analytics, machine learning projects, and real\-time data processing needs. The ideal candidate brings deep expertise in Lakehouse design principles, including layered Medallion Architecture patterns (Bronze, Silver, Gold), to drive scalable and governed data solutions. This is also a highly visible leadership role that will represent the data engineering function and lead the Data Management Community of Practice across TFG.  
As a Lead Data Engineer you will:* Design and implement scalable and reliable data pipelines to ingest, process, and store diverse data at scale, using technologies such as Apache Spark, Hadoop, and Kafka.
* Work within cloud environments like AWS or Azure to leverage services including but not limited to EC2, RDS, S3, Lambda, and Azure Data Lake for efficient data handling and processing.
* Architect and operationalize data pipelines following Medallion Architecture best practices within a Lakehouse framework—ensuring data quality, lineage, and usability across Bronze, Silver, and Gold layers.
* Develop and optimize data models and storage solutions (Databricks, Data Lakehouses) to support operational and analytical applications, ensuring data quality and accessibility.
* Utilize ETL tools and frameworks (e.g., Apache Airflow, Fivetran) to automate data workflows, ensuring efficient data integration and timely availability of data for analytics.
* Lead the Data Management Community of Practice, serving as the primary facilitator, coordinator, and spokesperson. Drive knowledge sharing, establish best practices, and represent the data engineering discipline across TFG to both technical and business audiences.
* Collaborate closely with data scientists, providing the data infrastructure and tools needed for complex analytical models, leveraging Python or R for data processing scripts.
* Ensure compliance with data governance and security policies, implementing best practices in data encryption, masking, and access controls within a cloud environment.
* Monitor and troubleshoot data pipelines and databases for performance issues, applying tuning techniques to optimize data access and throughput.
* Stay abreast of emerging technologies and methodologies in data engineering, advocating for and implementing improvements to the data ecosystem.
 **What We Need From You**  
* Bachelor's Degree in Computer Science, MIS, or other business discipline and 10\+ years of experience in data engineering, with a proven track record in designing and operating large\-scale data pipelines and architectures Req or
* Master's Degree computer science, MIS, or other business discipline and 5\+ years of experience in data engineering, with a proven track record in designing and operating large\-scale data pipelines and architectures Req
* Demonstrated experience designing and implementing Medallion Architecture in a Databricks Lakehouse environment, including layer transitions, data quality enforcement, and optimization strategies. Required
* Expertise in developing ETL/ELT workflows Required
* Comprehensive knowledge of platforms and services like Databricks, Dataiku, and AWS native data offerings Required
* Solid experience with big data technologies (Apache Spark, Hadoop, Kafka) and cloud services (AWS, Azure) related to data processing and storage Required
* Strong experience in AWS cloud services, with hands\-on experience in integrating cloud storage and compute services with Databricks Required
* Proficient in SQL and programming languages relevant to data engineering (Python, Java, Scala) Required
* Hands on RDBMS experience (data modeling, analysis, programming, stored procedures) Required
* Familiarity with machine learning model deployment and management practices is a plus Required
* Strong executive presence and communication skills, with a proven ability to lead communities of practice, deliver presentations to senior leadership, and build alignment across technical and business stakeholders. Required
* AWS Certified Solution Architect Preferred
* Databricks Certified Associate Developer for Apache Spark Preferred
* DAMA CDMP or other relevant certifications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20%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\#LI\-TW1</t>
        </is>
      </c>
    </row>
    <row r="62">
      <c r="A62" t="inlineStr">
        <is>
          <t>in-736616d8274a8c32</t>
        </is>
      </c>
      <c r="B62" t="inlineStr">
        <is>
          <t>Data Engineer</t>
        </is>
      </c>
      <c r="C62" t="inlineStr">
        <is>
          <t>Viasat</t>
        </is>
      </c>
      <c r="D62" t="inlineStr">
        <is>
          <t>indeed</t>
        </is>
      </c>
      <c r="E62">
        <f>HYPERLINK("https://www.indeed.com/viewjob?jk=736616d8274a8c32", "https://www.indeed.com/viewjob?jk=736616d8274a8c32")</f>
        <v/>
      </c>
      <c r="F62">
        <f>HYPERLINK("https://careers.viasat.com/jobs/5568?lang=en-us", "https://careers.viasat.com/jobs/5568?lang=en-us")</f>
        <v/>
      </c>
      <c r="G62" t="inlineStr">
        <is>
          <t>Carlsbad, CA, US</t>
        </is>
      </c>
      <c r="H62" s="3" t="n">
        <v>46061</v>
      </c>
      <c r="I6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member of our Data Platform team, you’ll help build infrastructure and tools for collecting and processing data in streaming and batch pipelines. Your work will power access to data for a variety of use\-cases, be it real\-time stream processing, online data access, analytic data exploration or large\-scale data processing. Our mission is to enable our community of data scientists, analysts, and developers to derive faster insights and reduce TTM in order to fuel Viasat growth.
**The day\-to\-day**  
In this Software Engineer role, you will own core components of data ingestion and integration processing that intakes \~4 billon events per hour with data volume in excess of 30TB per day. You will design and implement new features and enhancements to our data platform to advance component architecture towards strategic data governance/management objectives while providing ongoing support, monitoring, and maintenance of deployed products. Additionally, you will monitor emerging technologies/technology practices for potential use within the Company.
**What you'll need**  
* 5\+ years software development experience using at least two of the following: Java, Scala, Python, C or C\+\+.
* Familiarity with RDBMS technologies (PostgreSQL, MySQL, Oracle, etc.)
* Experience in Linux based systems, docker, and code versioning tooling (Git/CI/CD).
* Familiarity with at least one cloud provider such as AWS, GCP, or Azure.
* Experience in design and implementation of robust and highly scalable Data services
* Experience in Linux based systems, docker, and code versioning tooling (Git/CI/CD).
* Reliable teammate with the ability to handle different projects simultaneously in a fast\-paced multifaceted agile work environment.
* BS or equivalent experience in Computer Science, Computer Engineering, Software Engineering, Electrical Engineering, Math, Physics or a related field
* Ability to travel up to 10%
* Strong analytical abilities
* US Citizenship required
**What will help you on the job**  
* Understanding of distributed and parallel computing architectures
* Experience with scaled data environments and Streaming technologies like Kafka and Spark
* Expertise in Scala and/or Java
* Working experience in design, development, and implementation of highly scalable, scaled software systems and components, client\-facing web applications and systems as a full stack developer using one of the following: Java, Python, or Scala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63">
      <c r="A63" t="inlineStr">
        <is>
          <t>in-e821bc710cd2a091</t>
        </is>
      </c>
      <c r="B63" t="inlineStr">
        <is>
          <t>Data Engineer</t>
        </is>
      </c>
      <c r="C63" t="inlineStr">
        <is>
          <t>Public Partnerships LLC</t>
        </is>
      </c>
      <c r="D63" t="inlineStr">
        <is>
          <t>indeed</t>
        </is>
      </c>
      <c r="E63">
        <f>HYPERLINK("https://www.indeed.com/viewjob?jk=e821bc710cd2a091", "https://www.indeed.com/viewjob?jk=e821bc710cd2a091")</f>
        <v/>
      </c>
      <c r="F63">
        <f>HYPERLINK("https://publicpartnerships.wd1.myworkdayjobs.com/PPL/job/New-York/Data-Engineer_JR25-000724", "https://publicpartnerships.wd1.myworkdayjobs.com/PPL/job/New-York/Data-Engineer_JR25-000724")</f>
        <v/>
      </c>
      <c r="G63" t="inlineStr">
        <is>
          <t>New York, NY, US</t>
        </is>
      </c>
      <c r="H63" s="3" t="n">
        <v>46061</v>
      </c>
      <c r="I63" t="inlineStr">
        <is>
          <t>It's fun to work in a company where people truly BELIEVE in what they're doing!
*We're committed to bringing passion and customer focus to the business.*
Public Partnerships LLC supports individuals with disabilities or chronic illnesses and aging adults, to remain in their homes and communities and “self” 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www.pplfirst.com).
**Position Title:**
Data Engineer
**Reports to:**
Manager, Data Analytics
 **Job Summary**
We are seeking an experienced Azure Data Engineer to design, build, and optimize scalable data pipelines and lake house architectures within the Azure ecosystem. This role is responsible for developing end\-to\-end data ingestion, transformation, and governance frameworks using Azure Data Factory, Databricks, and ADLS Gen2 to support enterprise analytics and reporting needs.
The ideal candidate will have hands\-on experience managing batch and near real\-time data ingestion from diverse structured and unstructured sources, implementing Spark\-based transformation processes across Bronze, Silver, and Gold data layers, and establishing robust data quality, security, and monitoring frameworks. This position also requires expertise in data governance, automation, and cost optimization to ensure high\-performing, secure, and reliable data platforms aligned with organizational SLAs..
**Key Responsibilities**
**Azure Data Engineering \&amp; Lakehouse Architecture**
* Design and manage scalable data ingestion pipelines using Azure Data Factory and Azure Service Bus for batch and near real\-time processing
* Implement Bronze, Silver, and Gold data layer transformations using Databricks (PySpark, SparkSQL) within a lakehouse architecture
* Integrate structured, semi\-structured, and unstructured data sources using formats such as Parquet, Avro, and JSON into ADLS Gen2
**Data Governance, Security \&amp; Quality Management**
* Establish data quality frameworks and validation processes using Databricks and Azure Data Factory
* Configure RBAC and ACL\-based access controls to secure sensitive datasets and ensure compliance
* Manage credential security with Azure Key Vault and enforce governance standards across data platforms.
**Automation, Monitoring \&amp; Cloud Optimization**
* Automate pipeline orchestration using Databricks Workflows and CI/CD tools such as Azure DevOps, GitHub Actions, and Terraform
* Monitor pipeline health and performance using Azure Monitor, logging, and alerting to meet SLA requirements
* Optimize ADLS storage performance and manage cloud costs using Azure Cost Management best practices
 *All other duties assigned*
**Required Skills:**
* Azure Data Factory for ETL/ELT operations.
* Build and support self\-service BI solutions using Azure Databricks and the Lakehouse architecture
* Develop data pipelines and transformations using PySpark and Spark SQL
* Enable analytics using Databricks AI/BI features and Genie for business users
* Apply ML techniques for data insights, predictions, and feature engineering
* Collaborate with analytics and business teams to deliver scalable, governed BI and ML solutions
* Databricks (PySpark, SparkSQL) for data transformations.
* Azure Data Lake Storage (ADLS Gen2\).
* SQL Server, PostgreSQL, Cosmos DB, CRM, and ERP systems.
* Data Governance, RBAC, and ACLs for managing permissions.
* CI/CD tools: Azure DevOps, GitHub Actions, Terraform.
* Azure Monitoring, Alerting, and Logging tools.
**Qualifications:**
Education:
Bachelor’s degree in Computer Science, Information Systems, Data Science, or a related field (Master’s preferred).
Minimum 4–5 years experience
*Substantial professional experience in a related field may be considered in lieu of formal degree.*
Preferred Attributes:
Must have AI/ML Skill
**Working Conditions:**
Remote work.
**Compensation Range: $90,000\-$120,000**
-----------------------------------------
**The above is intended to describe the general contents and requirements of work being performed by people assigned to this classification. It is not intended to be construed as an exhaustive statement of all duties, responsibilities, or skills of personnel so classified**
*PPL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
*If you like wild growth and working with happy, enthusiastic over\-achievers, you'll enjoy your career with us!*</t>
        </is>
      </c>
    </row>
    <row r="64">
      <c r="A64" t="inlineStr">
        <is>
          <t>in-77e5f3b441d94e62</t>
        </is>
      </c>
      <c r="B64" t="inlineStr">
        <is>
          <t>Data Engineer</t>
        </is>
      </c>
      <c r="C64" t="inlineStr">
        <is>
          <t>Evergy</t>
        </is>
      </c>
      <c r="D64" t="inlineStr">
        <is>
          <t>indeed</t>
        </is>
      </c>
      <c r="E64">
        <f>HYPERLINK("https://www.indeed.com/viewjob?jk=77e5f3b441d94e62", "https://www.indeed.com/viewjob?jk=77e5f3b441d94e62")</f>
        <v/>
      </c>
      <c r="F64">
        <f>HYPERLINK("https://evergy.taleo.net/careersection/evergy_external_career_section/jobdetail.ftl?job=148432", "https://evergy.taleo.net/careersection/evergy_external_career_section/jobdetail.ftl?job=148432")</f>
        <v/>
      </c>
      <c r="G64" t="inlineStr">
        <is>
          <t>Kansas City, MO, US</t>
        </is>
      </c>
      <c r="H64" s="3" t="n">
        <v>46061</v>
      </c>
      <c r="I64" t="inlineStr">
        <is>
          <t>**Data Engineer** **\-** **(****TRA00Z6****)** **JOB TITLE:** Data Engineer  
**REQUISITION:** TRA00Z6  
**DEPARTMENT:** Operations Analytics – F\&amp;M Service Center or Topeka General Office  
**LOCATION:** Kansas City, MO  
Topeka, KS  
**PAY RANGE:**  
Data Engineer I: $61,000 \- $76,300  
Data Engineer II:$74,700 \- $93,400  
Sr Data Engineer: $84,500 \- $112,600  
Lead Data Engineer: $99,500 \- $132,600
**Scheduled Work Hours:** Flexible hours Monday \- Friday, 7:00 a.m. \- 5:00 p.m. (Other hours as required)
**Summary of Primary Duties and Responsibilities:**  
This role, under the supervision of the Supervisor Operations Analytics, is an integral part of a team dedicated to the advancement of data analytics within Operations. In this role, the engineer will work with team members and stakeholders across Operations to help implement analytics use cases providing management the ability to make data\-driven decisions. Analytics use cases would provide benefits that would improve operational efficiencies, proactive asset management and operational awareness, among others.
The engineer in this position will:
* Connect with both teammates and customers
	+ Work with stakeholders to understand the information needs and translate these into technical solutions
	+ Work closely with a team of Data Science and Data Analysts staff to take existing or new models and convert them into scalable analytical solutions
* Implement, maintain, and train peers on Application Lifecycle Management best practices
	+ Includes implementation of Microsoft Power Platform Solutions and ALM environments, workflows, and pipelines
* Mine data from disparate systems
	+ Ability and desire to use statistical programming languages, preferably R or Python, and database querying languages like SQL
* Find, join, and utilize new datasets
	+ Demonstrate the capability to proactively identify opportunities for acquiring new data from other systems. This ensures additional datasets are available for further processing by data scientists, transforming raw data into valuable information
* Join geospatial datasets together from disparate systems
	+ Ability to query and join geospatial datasets to allow data scientists and data analysts to use these datasets in machine learning and visualization capacities
* Provide recommendations and implement solutions to improve data reliability, efficiency, and quality
	+ Design, build, and manage analytics infrastructure that can be utilized by data analysts, data scientists, and non\-technical data consumers, which enables functions of the data platform for Analytics
	+ Work with business users to design and develop Microsoft Power Platform deliverables including Power BI reports, Power Apps applications, and similar for better decision making
	+ Perform reliability analysis and reporting to appropriate regulatory agencies
* Ensure the architecture that is in place supports the requirements of the data scientists, the stakeholders, and the business
* Develop Applications
	+ Ability to build and modify basic software applications to allow field personnel to make improvements quickly
* Follow company safety and health guidelines and other company policies
* Perform other work as assigned
 **Education and Experience Requirements:**  
Data Engineer \- Requires a bachelor’s degree in Computer Science, or Information Systems or similar program.
All qualified candidates who meet the minimum qualifications for the role will be considered. Preference will be given to experienced candidates with the ideal candidate having at least four years of related experience mining data, joining SQL and NoSQL data, with geospatial query and joining capabilities, and business analysis skills to manage and manipulate complex data from a variety of sources.
**Skills, Knowledge, and Abilities Required:**  
The successful candidate will be able to demonstrate the following skills:
* Experience implementing Microsoft ALM / DevOps solutions and lifecycles required, certification in such preferred
* Knowledge of applicable governing codes and regulations
* Ability to participate constructively in work teams to facilitate and implement improvements to operations, maintenance and business practices
* Proficient use and understanding of computer applications and data systems including the direct acquisition and summarizing of data from various and diverse computer database systems throughout the company
* Working knowledge of SQL, including:
	+ Ability to write and optimize complex queries
	+ Joins, aggregation, indexes, and transactions
	+ CSV, JSON, XML data formats
* Electrical system knowledge
	+ A basic understanding of Electric Power System theory and experience in various operational aspects of an electric power Transmission and Distribution systems is preferred.
* General understanding of APIs, command line, client server architecture, networks, and (S)FTP
* Prefer experience with GIS, including shapefiles, and spatial indexes
* Excellent written and verbal communication skills
* Ability to handle multiple priorities, meet strict deadlines and work well under pressure on individual and team related basis.
**Licenses, Certifications, Bonding, and/or Testing Required:**  
Valid driver's license required.
**Working Conditions:**  
Conditions will vary between office and field environments. Time will be spent in an office as well as the field environment. Travel will be required to support field personnel. Additional overnight travel may be required. Must have a satisfactory work record including good attendance. Work may require additional hours including evenings, nights, weekends and holidays.
Evergy has a clear mission – To empower a better future. Evergy chooses to live this mission by valuing People First. We know that to lead the responsible energy transition and provide affordable, reliable, and sustainable service to our customers and communities, we need a team with a variety of backgrounds, perspectives and skills. We are committed to building a team where everyone – regardless of race, color, religion, gender, gender identity or expression, sexual orientation, national origin, genetics, disability, age, or veteran status – has a voice and can bring their best every day. Evergy is proud to be an equal opportunity workplace and is an affirmative action employer.
Disclaimer: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**Work Locations****:** F\&amp;M Service Center \- Floor 02 4400 E Front St Kansas City 64120\-1039**Job****:** Ops Financial \&amp; Perf Mgmt**Shift****:****Unposting Date****:** Feb 23, 2026</t>
        </is>
      </c>
    </row>
    <row r="65">
      <c r="A65" t="inlineStr">
        <is>
          <t>in-7d880f9e031de388</t>
        </is>
      </c>
      <c r="B65" t="inlineStr">
        <is>
          <t>Senior Data Engineer</t>
        </is>
      </c>
      <c r="C65" t="inlineStr">
        <is>
          <t>Boeing</t>
        </is>
      </c>
      <c r="D65" t="inlineStr">
        <is>
          <t>indeed</t>
        </is>
      </c>
      <c r="E65">
        <f>HYPERLINK("https://www.indeed.com/viewjob?jk=7d880f9e031de388", "https://www.indeed.com/viewjob?jk=7d880f9e031de388")</f>
        <v/>
      </c>
      <c r="F65">
        <f>HYPERLINK("https://jobs.boeing.com/job/-/-/185/91547928176", "https://jobs.boeing.com/job/-/-/185/91547928176")</f>
        <v/>
      </c>
      <c r="G65" t="inlineStr">
        <is>
          <t>Tukwila, WA, US</t>
        </is>
      </c>
      <c r="H65" s="3" t="n">
        <v>46061</v>
      </c>
      <c r="I65"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**Senior Data** **Engineer** (Data Solutions Architect) to join the Finance Systems and Analytics (FS\&amp;A) team in **Tukwila, WA**.
The selected candidate will design, develop, and maintain advanced analytics solutions that deliver step\-function business improvement. As the Data Engineering Subject Matter Expert (SME) on the Finance Analytics full‑stack Development team, you will partner with Base Data Architects to harmonize finance data sources and build the data foundation needed by Data Scientists and Business Intelligence (BI) Engineers to deliver analytics solutions across Finance.
**Position Responsibilities:**
* Build and operate production data pipelines, Extract Transform Load (ETL)/Extract Load Transform (ELT) processes, and data platforms that support analytics and Machine Learning (ML) workloads
* Design, implement, and optimize reliable, scalable data architectures (data lakes, warehouses, lakehouses) and data modeling patterns for business consumption
* Build robust ingestion, transformation, and orchestration solutions using tools such as Spark, SQL, Airflow, Bash, or equivalents
* Possess domain knowledge in Finance (e.g., Earned Value Management (EVM), accounting, treasury, reconciliation, payments, Financial Planning and Analysis (FP\&amp;A)) or equivalent business\-facing experience to partner effectively with Finance SMEs
* Ensure data quality, governance, lineage, and cataloging to support auditability and regulatory requirements (e.g., SOX)
* Implement security, privacy, and data protection best practices for sensitive financial data, including access controls and encryption
* Apply observability and monitoring best practices (logging, metrics, alerts) and use Continuous Integration and Continuous Delivery (CI/CD) for data infrastructure and pipeline deployments
* Work effectively in collaborative analytics environments using modern analytics practices (code reviews, feature branches, agile delivery) and provide technical leadership across cross\-functional teams
**Basic Qualifications (Required Skills/Experience):**
* Bachelor’s Degree or higher in Computer Science, Engineering, Information Systems, or a related quantitative/technical field, or equivalent practical experience
* 5\+ years of experience designing, building, and operating production data pipelines, ETL/ELT workflows, and data platforms supporting analytics and ML workloads
* Experience with SQL and querying relational and cloud data warehouses (e.g., SQL Server, Oracle, Teradata, BigQuery)
* Experience with at least one programming language used for data engineering (e.g., Python, Scala, Java) and experience with Spark or equivalent distributed processing frameworks
* Experience with orchestration and workflow tools (e.g., Airflow, SQL, Bash) and authoring repeatable, testable transformations
* Experience with data modeling, schema design, and data architecture patterns for lakes, warehouses, or lakehouses
* Experience working with cloud platforms and managed data services (Amazon Web Services (AWS)/Google Cloud Platform (GCP)/Azure) and basic familiarity with containerization (Docker, Podman)
* Experience with version control and collaborative coding practices (Git, code reviews, branching)
**Preferred Qualifications (Desired Skills/Experience):**
* 10\+ years of related work experience or an equivalent combination of education and experience
* Experience with streaming and event\-driven systems and real‑time ingestion patterns
* Experience with lakehouse technologies, object storage, and cloud native data services
* Familiarity with infrastructure such as code, automation tools and CI/CD for data infrastructure
* Experience with monitoring and observability for data systems (logging, metrics, alerting, lineage tools)
* Experience with security, privacy, and governance for sensitive financial data, including access controls, encryption, and SOX/compliance requirements
* Experience optimizing cost and performance for cloud data environments
* Experience in Finance domain (EVM, accounting, treasury, reconciliation, payments, FP\&amp;A) or working closely with Finance SMEs
* Ability to mentor and provide technical leadership across cross‑functional teams
* Master’s Degree or higher in a technical discipline or equivalent advanced experience
**Conflict of Interest:**
Successful candidates for this job must satisfy the Company’s Conflict of Interest (COI) assessment process.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(Senior, Level 4\): $153,000 – $207,000
Summary pay range (Senior, Level 5\): $184,450 – $249,550
Applications for this position will be accepted until **Feb. 14,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**Education**
Bachelor's Degree or Equivalent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66">
      <c r="A66" t="inlineStr">
        <is>
          <t>in-23015b846d4883bb</t>
        </is>
      </c>
      <c r="B66" t="inlineStr">
        <is>
          <t>Senior Analytics Engineer (Breakthrough)</t>
        </is>
      </c>
      <c r="C66" t="inlineStr">
        <is>
          <t>U.S. Venture, Inc.</t>
        </is>
      </c>
      <c r="D66" t="inlineStr">
        <is>
          <t>indeed</t>
        </is>
      </c>
      <c r="E66">
        <f>HYPERLINK("https://www.indeed.com/viewjob?jk=23015b846d4883bb", "https://www.indeed.com/viewjob?jk=23015b846d4883bb")</f>
        <v/>
      </c>
      <c r="F66">
        <f>HYPERLINK("https://careers.usventure.com/us/en/job/R6123", "https://careers.usventure.com/us/en/job/R6123")</f>
        <v/>
      </c>
      <c r="G66" t="inlineStr">
        <is>
          <t>Green Bay, WI, US</t>
        </is>
      </c>
      <c r="H66" s="3" t="n">
        <v>46061</v>
      </c>
      <c r="I66" t="inlineStr">
        <is>
          <t>Technology 1175 Lombardi Ave, Green Bay, WI 54304, United States of America Full time R6123
**POSITION SUMMARY**
About Breakthrough  
At Breakthrough, we empower our clients with data, technology, and market knowledge to reduce costs, create efficient networks, and decarbonize transportation. As a strategic partner to our clients, we challenge legacy practices in the $700 billion transportation industry, delivering sustainable fuel and freight products that foster fair partnerships and environmental responsibility.  
As a digital product company, our culture thrives on curiosity, autonomy, and purpose\-driven innovation. Here, you're not just executing tasks; you're collaborating with a team dedicated to transforming transportation and making a tangible impact on the global economy and the planet.  
The Role  
As a Senior Analytics Engineer, you will play a crucial role in the design, development, and implementation of robust, scalable, and high\-performance analytics solutions. You will be responsible for analytic data modeling, building efficient ETL processes, and seamless integrations with SaaS products and visualization tools, leveraging your expertise to drive technical excellence across the team.  
We're seeking individuals who excel in collaborative environments, are driven by the "why" behind their work and the core problems they're trying to solve, and are eager to develop innovative solutions while influencing the evolution of our systems, teams, and culture.  
“At Breakthrough, we’re figuring out things for the first time; things that no one else has ever done before” \- Engineering leader, Breakthrough  
This role is open to work on\-site in Green Bay or remote/hybrid options based on relevancy of candidate experience.**JOB RESPONSIBILITIES****What****You’ll****Do**
* Collaborate with cross\-functional teams—including product owners, designers, and fellow engineers—to build reliable, scalable systems.
* Working closely with our clients, market experts, and the broader Breakthrough team, you will build innovative solutions that solve industry problems.
* Lead the end\-to\-end design and implementation of new product features and services.
* Learn and apply the latest technologies to our cloud native solutions.
* Write clean, maintainable code accompanied by comprehensive automated tests.
* Review pull requests, mentor other engineers, and elevate the technical standards within the team.
* Contribute to technical strategy, system design, and process improvements.
* Participate in our on\-call rotation and support production systems, embracing a shared ownership model.
 **This Role Might Be a Great Fit If…**
* You're enthusiastic about tackling complex challenges and can distill them into actionable solutions.
* You prioritize writing clean, readable, and testable code, while understanding the importance of pragmatism.
* Understanding the underlying purpose of your work motivates you, beyond merely delivering features.
* You thrive in collaborative settings, engaging with engineers, product owners, and designers to achieve common goals.
* You're committed to advancing sustainability in transportation and reducing environmental impact through technological innovation.
 **This Role Might Not Be the Best Fit If…**
* You prefer working in isolation or solely on predefined tasks without broader context.
* Adaptability to shifting priorities in a dynamic environment is challenging for you.
* Collaborating with non\-engineering disciplines, such as product and design, doesn't align with your working style.
* You seek a rigid hierarchical structure to guide all decision\-making processes.
* Mentoring others and contributing to team growth aren't areas of interest for you.
 **How We Work**
* **Hybrid\-Friendly:** While many team members are based in Green Bay, we embrace remote work and prioritize impact over location.
* **Cross\-Functional Teams:** You'll be part of an agile team of fellow engineers, fostering a holistic approach to product development by working with Product Owners, Quality Assurance, and others throughout the organization.
* **Continuous Improvement:** We regularly conduct retrospectives, refine our processes, and invest in addressing technical debt to enhance our workflows.
* **Empowered Engineers:** Beyond task execution, you're encouraged to influence both what we build and how we build it, ensuring alignment with our strategic objectives.
**QUALIFICATIONS****What you bring**
* Bachelor’s degree in Computer Science or a related technical field involving coding (e.g, physics or mathematics), or equivalent technical experience.
* 10\+ years as a data or analytics engineer, with a focus on a combination of data modeling and engineering.
* Experience in designing and implementing scalable and high\-performance analytics features.
* Proficiency in multiple programming languages, frameworks, and technologies, specifically dbt, SQL, Jinja, BigQuery, cube, and Python.
* Knowledge of data architectures, security best practices, and data integration concepts.
* Experience with ETL technologies and data engineering with a focus on building and maintaining data platforms, data pipelines, and data ingestion tools.
* Exposure to modern infrastructure such as code technologies like Docker, Kubernetes, Terraform, and Airflow.
* In depth understanding of database concepts, data modeling, and data warehousing principles.
* Understanding of distributed data management systems and related applications.
* Familiarity with public cloud infrastructure design, tools, and strategies.
* Experience with software development methodologies including Agile, Kanban, and Scrum
* A growth mindset and excitement for using AI to drive innovation, improve workflows and solve complex problems.
* Collaborative by nature, you value pairing, whiteboarding sessions, and learning from diverse perspectives.
* Passionate about delivering high\-quality products that enhance client experiences and drive sustainability in transportation.
**Tech We Use**
* **Backend:** Python, Postgres
* **Frontend:** Node, React, TypeScript, graphQL
* **Cloud \&amp; Infrastructure:** Google Cloud Platform (GCP), Terraform, Docker
* **Data \&amp; Analytics:** BigQuery, dbt
* **Monitoring \&amp; Observability:** GCP Monitoring
**Why Breakthrough**
* **Mission\-Driven Work:** Engage in projects that have a tangible impact on the economy and the environment. Hear more about our innovation in this video.
* **Supportive Culture:** Experience a workplace that values autonomy, growth, and meaningful contributions.
* **Leadership Opportunities:** Take on roles that allow you to mentor, guide, and shape the future of our products and technological direction.
* **Established Backing:** As a U.S. Venture company, we benefit from a legacy of innovation and a commitment to sustainable practices.
 **Apply Now**
If you're driven to develop smarter, cleaner transportation solutions and want to be part of a team that's making a difference, we'd love to hear from you!
\#Breakthrough
**DIVISION**: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67">
      <c r="A67" t="inlineStr">
        <is>
          <t>in-352fd5a2e462d5a5</t>
        </is>
      </c>
      <c r="B67" t="inlineStr">
        <is>
          <t>Senior Data Engineer</t>
        </is>
      </c>
      <c r="C67" t="inlineStr">
        <is>
          <t>Cru</t>
        </is>
      </c>
      <c r="D67" t="inlineStr">
        <is>
          <t>indeed</t>
        </is>
      </c>
      <c r="E67">
        <f>HYPERLINK("https://www.indeed.com/viewjob?jk=352fd5a2e462d5a5", "https://www.indeed.com/viewjob?jk=352fd5a2e462d5a5")</f>
        <v/>
      </c>
      <c r="F67">
        <f>HYPERLINK("https://cru.submit4jobs.com/index.cfm?fuseaction=85506.viewjobdetail&amp;CID=85506&amp;JID=365816&amp;source=Indeed&amp;utm_source=Indeed&amp;utm_medium=IndeedFreePost", "https://cru.submit4jobs.com/index.cfm?fuseaction=85506.viewjobdetail&amp;CID=85506&amp;JID=365816&amp;source=Indeed&amp;utm_source=Indeed&amp;utm_medium=IndeedFreePost")</f>
        <v/>
      </c>
      <c r="G67" t="inlineStr">
        <is>
          <t>Orlando, FL, US</t>
        </is>
      </c>
      <c r="H67" s="3" t="n">
        <v>46061</v>
      </c>
      <c r="I67" t="inlineStr">
        <is>
          <t>**Job Description:**  
Pay: $ 99,000 annual minimum
Full Time
Location \-Hybrid, Orlando, FL
Cru has a long\-standing history of being a pioneer in world Christian Missions. We are looking for the most talented individuals with a passion to see the Gospel of Jesus Christ proclaimed to the nations. Come use your God\-given talents to help do this!
Our teams at Cru Headquarters are committed to praying for and with each other. Your faith isn't just something apart from who you are it's an integral part of you. Here at Cru we want you to use your gifts to further the Kingdom each day.
The Kind of Work You'll be Doing:
Are you a data engineer with a passion for optimizing data systems and driving innovation? We're seeking a Senior Data Engineer to join our dynamic team and take the lead in designing, building, and maintaining powerful data pipelines that fuel the enterprise's data\-driven decision\-making. This is your opportunity to shape the future of our data architecture, collaborate with cross\-functional teams, and make a tangible impact on the organization's success!
* Craft High\-Performance Data Models: Design and create dimensional data models, denormalize data from multiple sources, and optimize these models to ensure BI performance is top\-tier, working closely with BI and data analysts.
* Map the Data Journey: Develop comprehensive cradle\-to\-grave process flowcharts, from data inputs and processes to outputs and architecture diagrams. You'll define the entire data journey to ensure clarity and efficiency.
* Lead ETL/ELT Development: Design and implement ETL/ELT processes and queries to seamlessly integrate data from a variety of sources, including Oracle, Postgres, and MySQL, into our enterprise data warehouse (EDW).
* Create and Optimize Data Pipelines: Build end\-to\-end data pipelines to automate data ingestion, transformation, and loading processes. You'll monitor performance, troubleshoot issues, and ensure scalability, reliability, and efficiency across all pipelines.
* Drive Data Orchestration: Design innovative solutions to orchestrate data flows, ensuring the smooth movement, combining, verification, and storage of data, making it ready for analysis and business insights.
* Manage High\-Impact Projects: Operate at a senior level by leading data projects, reviewing team outputs, and keeping executives informed of progress. You'll be the go\-to leader for complex data challenges.
* Lead CI/CD Initiatives: Develop and implement best practices for Continuous Integration and Continuous Deployment (CI/CD) for data integrations, ensuring smooth, automated workflows.
* Code Review Leadership: Conduct thorough code reviews to identify issues, determine root causes, and propose the best solutions to enhance code quality and performance.
* Ensure Data Quality: Build and maintain automated unit and integration testing pipelines to guarantee the integrity and quality of data across all systems.
* Customer\-Centric Problem Solving: Respond to service requests from customers, addressing inquiries or HelpDesk tickets with a solution\-oriented approach to ensure smooth data operations.
Why Join Us?
* Find your purpose: Join a Global Movement Impacting the World for Jesus.
* Comprehensive Compensation \&amp; Benefits Package for full\-time employees.
* Retirement Savings: 403B plan with matching contributions for qualifying salaried roles and lump sum contributions for hourly roles, helping you plan for your future.
* Paid Time Off \&amp; Holiday Pay to support your work\-life balance.
* Paid parental leave: 2 months for mothers and fathers
* Health Coverage: 98% paid Medical and Dental Insurance for employees, 50% paid for dependents.
* Life Insurance: Basic life insurance provided, plus the option to purchase Voluntary Term Life Insurance (VTL) for self and dependents.
* Spiritual Growth and Development Opportunities: Quarterly paid half\-day with the Lord, team spiritual development.
* Meaningful Work: Make a lasting impact on the lives of those you serve, while working with a supportive and collaborative team.
And additional perks!  
**Experience and Skills:**
* A seasoned Data Engineer with extensive experience designing and optimizing data models, working with a variety of databases (Oracle, Postgres, MySQL), and leading ETL/ELT development.
* Skilled in data pipeline orchestration and automation, with a proven ability to build scalable, reliable, and high\-performance data workflows.
* Expert in CI/CD practices and automated testing, ensuring seamless integration and continuous delivery of data solutions.
* Comfortable leading cross\-functional projects, collaborating with BI teams and data analysts, and presenting your work to senior executives.
* A problem\-solver who thrives in challenging environments and can quickly identify and resolve issues in complex data systems.
* A strong communicator who enjoys mentoring others and fostering a collaborative, results\-driven team culture.
* Bachelor's degree in Math, Statistics, Business, Computer Science, or Data Science.
* 5\-7 years of Data Engineering experience preferred.
* Hands\-on experience with Google BigQuery or cloud\-based data warehouses, as well as strong SQL skills.
* Proven experience using dbt for data transformation, documentation, and modular modeling.
From: Cru</t>
        </is>
      </c>
    </row>
    <row r="68">
      <c r="A68" t="inlineStr">
        <is>
          <t>in-9f9bfa435462d23f</t>
        </is>
      </c>
      <c r="B68" t="inlineStr">
        <is>
          <t>Data Engineer</t>
        </is>
      </c>
      <c r="C68" t="inlineStr">
        <is>
          <t>ECS</t>
        </is>
      </c>
      <c r="D68" t="inlineStr">
        <is>
          <t>indeed</t>
        </is>
      </c>
      <c r="E68">
        <f>HYPERLINK("https://www.indeed.com/viewjob?jk=9f9bfa435462d23f", "https://www.indeed.com/viewjob?jk=9f9bfa435462d23f")</f>
        <v/>
      </c>
      <c r="F68">
        <f>HYPERLINK("https://recruiting.adp.com/srccsh/public/RTI.home?r=5001177953106&amp;c=2201039&amp;d=ExternalCareerSite&amp;rb=INDEED&amp;idUnique=5001177953106", "https://recruiting.adp.com/srccsh/public/RTI.home?r=5001177953106&amp;c=2201039&amp;d=ExternalCareerSite&amp;rb=INDEED&amp;idUnique=5001177953106")</f>
        <v/>
      </c>
      <c r="G68" t="inlineStr">
        <is>
          <t>Springfield, VA, US</t>
        </is>
      </c>
      <c r="H68" s="3" t="n">
        <v>46061</v>
      </c>
      <c r="I68" t="inlineStr">
        <is>
          <t>ECS is seeking a ***Data Engineer*** to work in a hybrid remote/onsite capacity, with minimum of 3 business days onsite with the potential for up to 5 days onsite primarily at our ***Springfield, VA*** customer SCIF site, and/or at our ***Fairfax, VA*** company office.
ECS seeks a Data Engineer to support a project team responsible for managing an Artificial Intelligence initiative. The work is performed in a multidisciplinary and collaborative team environment. This role will report to a project lead and will focus on developing and maintaining data pipelines, as well as performing data analysis, to support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Help cultivate an environment that promotes customer service, excellence, innovation, collaboration, and teamwork.
* Develop and document data workflows, assisting stakeholders with data management tasks, procedures, and best practices across multiple environments and classification levels.
* Extract, transform, and load data to prepare for ingest into Machine Learning (ML) development environments.
* Coordinate with the Program Manager and Data Team to determine data requirements and to serve as the project data advocate.
* Independently identify, document, and address technical challenges.
* Identify, design, and implement internal process improvements including optimizing data delivery and automating manual processes.
* Complete complex data analysis, catering results to the customer in a holistic and easy\-to\-understand way.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Requirements:
* ***Must be a US Citizen***
* ***Ability to obtain a TS/SCI Clearance***
* ***A Bachelor's Degree in Data Engineering, Data Science, Information Management, Computer Science, Engineering, or an equivalent field***
* 2\-8\+ years of working experience in one of the related areas: Data Engineering, Computer Engineering, Computer Science, or Data Science
* Demonstrated advanced proficiency with Python, Pyspark, and/or SQL
* Demonstrated advanced proficiency with parsing data in different formats for ML applications
* Demonstrated advanced experience with text parsing
* Demonstrated advanced proficiency of database principles and technology
* Demonstrated advanced data processing and data transformation skills with the ability to build, optimize, and automate data pipelines
* Demonstrated ability to perform root cause analysis on external and internal processes to identify opportunities for improvement and answer questions
* Excellent communication skills, analytical skills, and problem\-solving abilities
Req Benefits:
https://ecstech.com/careers/benefits/"\&gt;https://ecstech.com/careers/benefits/</t>
        </is>
      </c>
    </row>
    <row r="69">
      <c r="A69" t="inlineStr">
        <is>
          <t>in-fe367640296e96f1</t>
        </is>
      </c>
      <c r="B69" t="inlineStr">
        <is>
          <t>Junior Data Engineer</t>
        </is>
      </c>
      <c r="C69" t="inlineStr">
        <is>
          <t>ECS</t>
        </is>
      </c>
      <c r="D69" t="inlineStr">
        <is>
          <t>indeed</t>
        </is>
      </c>
      <c r="E69">
        <f>HYPERLINK("https://www.indeed.com/viewjob?jk=fe367640296e96f1", "https://www.indeed.com/viewjob?jk=fe367640296e96f1")</f>
        <v/>
      </c>
      <c r="F69">
        <f>HYPERLINK("https://recruiting.adp.com/srccsh/public/RTI.home?r=5001177953406&amp;c=2201039&amp;d=ExternalCareerSite&amp;rb=INDEED&amp;idUnique=5001177953406", "https://recruiting.adp.com/srccsh/public/RTI.home?r=5001177953406&amp;c=2201039&amp;d=ExternalCareerSite&amp;rb=INDEED&amp;idUnique=5001177953406")</f>
        <v/>
      </c>
      <c r="G69" t="inlineStr">
        <is>
          <t>Fairfax, VA, US</t>
        </is>
      </c>
      <c r="H69" s="3" t="n">
        <v>46061</v>
      </c>
      <c r="I69" t="inlineStr">
        <is>
          <t>ECS is seeking a **Junior Data Engineer** to work in a hybrid remote/onsite capacity, with minimum of 3 business days onsite at our ***Fairfax, VA*** ECS office and/or our ***Springfield, VA*** customer site.
ECS seeks a Junior Data Engineer to support a project team responsible for managing an Artificial Intelligence initiative. The work is performed in a multidisciplinary and collaborative team environment. This role will report to a project lead and will focus on developing and maintaining data pipelines, as well as performing data analysis, to support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Coordinate with the Project Manager and Data Team to determine data requirements.
* Help cultivate an environment that promotes customer service, excellence, innovation, collaboration, and teamwork.
* Extract, transform, and load data to prepare for ingestion into Machine Learning (ML) development environments.
* Assist with the design and development of data services and pipelines, working to optimize data delivery and automate manual processes.
* Independently identify, document, and address technical challenges.
* Perform multiple tasks simultaneously and successfully under changing priorities and deadlines.
* Complete data analysis, catering results to the customer in a holistic and easy\-to\-understand way.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Requirements:
* ***Must be a US Citizen***
* ***Ability to obtain a TS/SCI Clearance***
* ***A Bachelor's Degree in Data Engineering, Data Science, Information Management, Computer Science, Engineering, or an equivalent field***
* 0\-3\+ years of working experience in one of the related areas: Data Engineering, Computer Engineering, Computer Science, or Data Science
* Demonstrated proficiency with Python, Pyspark, and/or SQL
* Experience with text parsing
* Experience transforming and manipulating data sets
* Excellent communication skills, critical thinking skills, and problem\-solving abilities
Req Benefits:
https://ecstech.com/careers/benefits/"\&gt;https://ecstech.com/careers/benefits/</t>
        </is>
      </c>
    </row>
    <row r="70">
      <c r="A70" t="inlineStr">
        <is>
          <t>in-3b8eb0d231fe69be</t>
        </is>
      </c>
      <c r="B70" t="inlineStr">
        <is>
          <t>Data Engineer II - ABS Data Analytics &amp; Finance Reporting</t>
        </is>
      </c>
      <c r="C70" t="inlineStr">
        <is>
          <t>GM Financial</t>
        </is>
      </c>
      <c r="D70" t="inlineStr">
        <is>
          <t>indeed</t>
        </is>
      </c>
      <c r="E70">
        <f>HYPERLINK("https://www.indeed.com/viewjob?jk=3b8eb0d231fe69be", "https://www.indeed.com/viewjob?jk=3b8eb0d231fe69be")</f>
        <v/>
      </c>
      <c r="F70">
        <f>HYPERLINK("https://fa-exvu-saasfaprod1.fa.ocs.oraclecloud.com/hcmUI/CandidateExperience/en/sites/CX_1/requisitions/preview/1500", "https://fa-exvu-saasfaprod1.fa.ocs.oraclecloud.com/hcmUI/CandidateExperience/en/sites/CX_1/requisitions/preview/1500")</f>
        <v/>
      </c>
      <c r="G70" t="inlineStr">
        <is>
          <t>Fort Worth, TX, US</t>
        </is>
      </c>
      <c r="H70" s="3" t="n">
        <v>46061</v>
      </c>
      <c r="I70" t="inlineStr">
        <is>
          <t>***NOTE: We are unable to offer visa sponsorship now or in the future for this position***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**About the role:**  
The ABS Data Engineer II is a critical technical role within the GMF North America Securitization and Conduit Reporting team. This position will be helping ABS reporting team in building and maintaining reliable and scalable data pipelines. This position will leverage your expertise in Python, SQL, and Azure cloud technologies to extract, transform, and load data efficiently, enabling seamless data access and analysis for accounting business users. This position involves a high level of coordination with other departments and third\-party software vendors.  
**In this role you will:**
* Work internal business partners to identify, capture, collect, and format data from the external sources, internal systems and the data warehouse to extract features of interest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Coordinate with Privacy Compliance to ensure proper data collection and handling
* Create and implement business rules and functional enhancements for data schemas and processes
* Coordinate with Privacy Compliance to ensure proper data collection and handling
* Perform data load monitoring and resolution
* Work with internal business clients to problem solve data availability and activation issues
**What makes you an ideal candidate?**
* Experience with processing large data sets using Hadoop, HDFS, Spark, Kafka, Flume or similar distributed systems
* Experience with ingesting various source data formats such as JSON, Parquet, SequenceFile, Cloud Databases, MQ, Relational Databases such as Oracle
* Experience with Cloud technologies (such as Azure, AWS, GCP) and native toolsets such as Azure ARM Templates, Hashicorp Terraform, AWS Cloud Formation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Experience with containerization to include but not limited to Dockers, Kubernetes, Spark on Kubernetes, Spark Operator
* Working knowledge of Agile development / SAFe Scrum and Application Lifecycle Management
* Strong background with source control management systems (GIT or Subversion); Build Systems (Maven, Gradle, Webpack); Code Quality (Sonar); Artifact Repository Managers (Artifactory), Continuous Integration/ Continuous Deployment (Azure DevOps)
* Experience with NoSQL data stores such as CosmosDB, MongoDB, Cassandra, Redis, Riak or other technologies that embed NoSQL with search such as MarkLogic or Lily Enterprise
* Creating and maintaining ETL processes
* Experience with Adobe solutions (ideally Adobe Experience Platform, DTM/Launch) and REST APIs
* Digital technology solutions (DMPs, CDPs, Tag Management Platforms, Cross\-Device Tracking, SDKs, etc.)
* Knowledge of Real Time\-CDP and Journey Analytics solutions
* Understanding of big data platforms and architectures, data stream processing pipeline/platform, data lake and data lake houses
* SQL experience: querying data and sharing what insights can be derived
* Understanding of cloud solutions such as Google Cloud Platform, Microsoft Azure \&amp; Amazon AWS cloud architecture \&amp; services
* Understanding of GDPR, privacy \&amp; security topics
**Experience**
* 2\-4 years of hands on experience with data engineering required
Bachelor’s Degree in related field or equivalent experience required  
*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
LI\-\#hybrid
LI\-\#MH1
\#gmfJobs</t>
        </is>
      </c>
    </row>
    <row r="71">
      <c r="A71" t="inlineStr">
        <is>
          <t>in-a5d37837b577d9e4</t>
        </is>
      </c>
      <c r="B71" t="inlineStr">
        <is>
          <t>Data Engineer</t>
        </is>
      </c>
      <c r="C71" t="inlineStr">
        <is>
          <t>Computek Solutions Inc</t>
        </is>
      </c>
      <c r="D71" t="inlineStr">
        <is>
          <t>indeed</t>
        </is>
      </c>
      <c r="E71">
        <f>HYPERLINK("https://www.indeed.com/viewjob?jk=a5d37837b577d9e4", "https://www.indeed.com/viewjob?jk=a5d37837b577d9e4")</f>
        <v/>
      </c>
      <c r="F71">
        <f>HYPERLINK("https://computeksol.com/career.html#Data%20Engineer%20(multiple%20openings)", "https://computeksol.com/career.html#Data%20Engineer%20(multiple%20openings)")</f>
        <v/>
      </c>
      <c r="G71" t="inlineStr">
        <is>
          <t>Farmington Hills, MI, US</t>
        </is>
      </c>
      <c r="H71" s="3" t="n">
        <v>46061</v>
      </c>
      <c r="I71" t="inlineStr">
        <is>
          <t>**Requirements:** No prior work experience is required. Foreign Equivalent Degree acceptable.Master's Degree in Business Analytics, Data Science, Computer Science, Information Systems, Information Technology, any Engineering or related fields required.
**Job Description:** Develop and maintain event streams, configurations, and connectors to efficiently emit and collect data from client services and transactional databases. Architect, implement, and optimize data pipelines for batch and near\-real\-time transformation and integration of client data, ensuring high performance and reliability. Design and manage the client platform, serving as a centralized staging area for all data sources, and ensure data integrity, security, and accessibility. Implement and maintain the data warehouse on client platform, including the creation and management of fact and dimension tables for reporting purposes, and ensure data consistency and accuracy. Engage in data orchestration, designing and scheduling batch\-driven data workflows to facilitate seamless data processing and delivery across the organization. Collaborate with cross functional teams to understand reporting requirements and export data from the data warehouse to a read\-only database, ensuring timely and accurate data availability for reporting purposes. Integrate and optimize reporting solutions. Monitor and troubleshoot data pipelines, ensuring data quality, reliability, and performance, and proactively identify and resolve any issues or bottlenecks. Collaborate with data scientists and analysts to understand their data needs and provide support in accessing and processing data for analytical purposes. Contribute to the overall data architecture and strategy, providing insights and recommendations for improving data infrastructure, processes, and capabilities.
**Work location:** Farmington Hills, Michigan. Some business travel approximately two times per year for client visits in U.S. and / or relocation to unanticipated locations in U.S.A. required.
**Apply by mail and send resume to Computek Solutions Inc.,** ATTN: HR, 38345 W. 10 Mile Road, Suite 145, Farmington Hills, MI 48335\.</t>
        </is>
      </c>
    </row>
    <row r="72">
      <c r="A72" t="inlineStr">
        <is>
          <t>in-64e88c1419db8358</t>
        </is>
      </c>
      <c r="B72" t="inlineStr">
        <is>
          <t>Data Engineering Manager</t>
        </is>
      </c>
      <c r="C72" t="inlineStr">
        <is>
          <t>Trillion</t>
        </is>
      </c>
      <c r="D72" t="inlineStr">
        <is>
          <t>indeed</t>
        </is>
      </c>
      <c r="E72">
        <f>HYPERLINK("https://www.indeed.com/viewjob?jk=64e88c1419db8358", "https://www.indeed.com/viewjob?jk=64e88c1419db8358")</f>
        <v/>
      </c>
      <c r="F72">
        <f>HYPERLINK("https://www.trillion.com/careers-au-remote-data-engineering-manager.html", "https://www.trillion.com/careers-au-remote-data-engineering-manager.html")</f>
        <v/>
      </c>
      <c r="G72" t="inlineStr">
        <is>
          <t>Remote, US</t>
        </is>
      </c>
      <c r="H72" s="3" t="n">
        <v>46061</v>
      </c>
      <c r="I72" t="inlineStr">
        <is>
          <t>Remote (Australasia Time Zone)
Role Summary
We’re hiring a hands\-on Data Engineering Manager to build, lead, and actively contribute to Trillion’s AdTech analytics and reporting platform. This role owns the end\-to\-end data pipeline—from event and log publishing, through streaming transport (Kafka), into analytical storage, rollups, and data warehousing (ClickHouse and related systems).
This is a deeply technical, player\-coach role. You will write production code, design schemas, review queries, and build pipelines alongside the team. While the role may become less day\-to\-day hands\-on as the data organization scales, it is never hands\-off—technical ownership and architectural involvement are core expectations.
You will be accountable for data correctness, latency, and monetization attribution across an ad\-driven platform, supporting metrics such as impressions, clicks, revenue, RPM/CPM, and downstream reporting used by both internal teams and customer\-facing products.
Key responsibilities
Technical leadership \&amp; hands\-on development
Own the architecture and implementation of the AdTech data platform, remaining directly involved in coding and technical decision\-making.
Design, implement, and operate ETL/ELT pipelines ingesting high\-volume ad and traffic events from real\-time streams and legacy sources.
Build and maintain a high\-granularity canonical event model (single source of truth) and a set of optimized roll\-up tables for analytics, BI, and application use.
Architect and implement minute / near\-real\-time aggregation pipelines, including deterministic reprocessing and backfills for late, duplicated, or corrected data.
Actively write and review production code for pipelines, rollups, schema migrations, and operational tooling.
Define standards for schema design, partitioning, clustering, and performance tuning in ClickHouse and related analytical systems.
Review application logging and instrumentation; design and implement new or parallel event publishing where existing logs do not meet reporting or attribution needs.
Team leadership \&amp; execution
Lead and mentor the current data engineers while scaling the team over time.
**Serve as the primary technical multiplier:** unblock work, set patterns, and raise the technical bar through hands\-on examples.
Translate business and reporting requirements into clear technical designs, specs, and execution plans.
Own delivery timelines, operational stability, and quality of data outputs.
Establish best practices for testing, monitoring, documentation, SLAs, and data quality validation.
Lead investigation and resolution of data discrepancies impacting revenue, optimization, or trust in reporting.
Collaboration \&amp; stakeholder management
Partner closely with Product, Engineering, Analytics, and Leadership to define monetization and reporting requirements.
Perform gap analysis for current and future reporting needs; propose phased, pragmatic solutions.
Collaborate on BI and semantic models (Metabase, Looker, Tableau, Power BI) to ensure metrics are consistent, explainable, and performant.
Clearly communicate technical trade\-offs, risks, and progress to technical and non\-technical stakeholders.
Must\-have skills \&amp; experience
6\+ years building and operating production data systems handling high\-volume event and AdTech data.
Experience leading or mentoring engineers while remaining hands\-on in production systems.
Strong SQL skills and deep understanding of analytical and time\-series query patterns.
Hands\-on experience with columnar/OLAP databases (ClickHouse strongly preferred).
Practical experience with streaming platforms (Kafka or equivalent) and near\-real\-time processing.
Strong familiarity with AdTech monetization metrics, including impressions, clicks, revenue attribution, CPM, RPM, CTR, and common failure modes.
Solid understanding of data modeling, partitioning, sharding, and performance trade\-offs in distributed systems.
Experience shipping pipelines with CI/CD, orchestration, and safe backfill/reprocessing workflows.
Possesses the ability to analyze and comprehend application code for the purpose of improving data schemas and instrumentation.
Strong debugging instincts and excellent written and verbal communication.
Nice\-to\-have
Deep ClickHouse cluster operations and performance tuning experience.
Experience modernizing or replacing legacy analytics and reporting pipelines.
Experience with real\-time stream processors (Flink, Spark Structured Streaming).
Data science or machine learning experience, particularly as it relates to optimization algorithms, experimentation, forecasting, or monetization performance.
Familiarity with data observability, SLAs, and data quality frameworks.
Experience working in high\-scale monetization or traffic\-driven platforms.
What success looks like in the first 3–6 months
Completed a comprehensive audit of existing data pipelines, event logs, and legacy reporting systems, identifying gaps, correctness risks, and scalability issues.
Performed a gap analysis against current and future ad\-tech reporting requirements, including attribution accuracy and latency expectations.
Produced a clear, phased technical roadmap for achieving accurate, scalable, and trusted reporting.
Designed and implemented new parallel event logging and publishing pipelines containing the required fields and dimensions for efficient, correct roll\-ups.
Delivered at least one end\-to\-end reporting pipeline from raw events to BI\-ready tables, with documentation, monitoring, and reprocessing support.
Established technical standards and execution rhythm that the data team consistently follows.
Benefits and Culture
Flexible remote work with optional in office days.
Fast\-moving, collaborative team; strong focus on growth and retention.
Health coverage and 401k match.</t>
        </is>
      </c>
    </row>
    <row r="73">
      <c r="A73" t="inlineStr">
        <is>
          <t>in-f3223616fd444d0a</t>
        </is>
      </c>
      <c r="B73" t="inlineStr">
        <is>
          <t>Senior Manager- Data Engineering</t>
        </is>
      </c>
      <c r="C73" t="inlineStr">
        <is>
          <t>Covista</t>
        </is>
      </c>
      <c r="D73" t="inlineStr">
        <is>
          <t>indeed</t>
        </is>
      </c>
      <c r="E73">
        <f>HYPERLINK("https://www.indeed.com/viewjob?jk=f3223616fd444d0a", "https://www.indeed.com/viewjob?jk=f3223616fd444d0a")</f>
        <v/>
      </c>
      <c r="F73">
        <f>HYPERLINK("https://click.appcast.io/t/R2cNBzmaJCfrMVJ3y0hdtgqHDJKpDW-_csKEWuRcXaY=", "https://click.appcast.io/t/R2cNBzmaJCfrMVJ3y0hdtgqHDJKpDW-_csKEWuRcXaY=")</f>
        <v/>
      </c>
      <c r="G73" t="inlineStr">
        <is>
          <t>Lisle, IL, US</t>
        </is>
      </c>
      <c r="H73" s="3" t="n">
        <v>46061</v>
      </c>
      <c r="I73"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data\-driven organization dedicated to driving best\-in\-class student outcomes. The Data Engineering team builds the foundation that powers analytics, AI, and strategic business decisions through robust data platforms, pipelines, and governance policies.
We are seeking a **Senior Manager, Data Engineering** to lead the design, development, and continual improvement of our data solutions. This role combines hands\-on technical expertise with leadership, guiding a high\-performing team to deliver reliable, timely, and trusted data that drives business impact.
* Lead the design, implementation, and optimization of data pipelines, datasets, and metrics critical to business decisions.
* Build, mentor, and inspire a high\-performing data engineering team.
* Define strategies for data acquisition, collection, and utilization across the organization.
* Establish and manage SLAs for all production datasets and processes.
* Collaborate closely with Product Managers, Analysts, and Data Scientists to develop and maintain data\-driven systems.
* Develop self\-service reporting and democratization layers to empower teams with data.
* Troubleshoot, code, test, and document solutions to ensure quality and reliability.
* Evaluate current processes to optimize interdepartmental communication, collaboration, and end\-to\-end process performance.
* Define technology roadmaps and manage incremental execution to achieve short\- and long\-term business goals.
* Serve as a key leader within the Data and Analytics organization, fostering a data\-driven culture.
* Comply with company policies and standards while performing additional duties as needed.
* Travel up to 5% as required.
Qualifications
* Bachelor’s or Master’s degree in Computer Science, Computer Engineering, Software Engineering, or related technical field.
* Eight (8\) plus years in data engineering (data platforms, ingestion, management, or analytics).
* Three (3\) plus years in leadership roles building and managing high\-performing teams.2\+ years experience with Google Cloud Platform services such as BigQuery, Composer, GCS, DataStream, and Dataflows.Proven track record of progressive responsibility starting as a Data Engineer, advancing to higher levels of complexity and ownership.
* Strong analytical skills with the ability to develop and reverse complex engineering solutions.
* Excellent oral, written, and presentation skills, translating complex technical material for management and stakeholders.
* Experience defining roadmaps, managing incremental execution, and delivering successful launches.
* Ability to manage multiple, competing priorities in an Agile, fast\-paced environment.
* Experience mentoring and growing data engineers.
Critical thinking, advanced problem\-solving, and a proactive approach to improving processes.  
* 
Additional Information
*In support of the pay transparency laws enacted across the country, the expected salary range for this position is between $96,404\.1 and $169,021\.85\.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Benefits \| Covista*.*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74">
      <c r="A74" t="inlineStr">
        <is>
          <t>in-2c366ebc5fd15b32</t>
        </is>
      </c>
      <c r="B74" t="inlineStr">
        <is>
          <t>Senior Data Engineer</t>
        </is>
      </c>
      <c r="C74" t="inlineStr">
        <is>
          <t>Covista</t>
        </is>
      </c>
      <c r="D74" t="inlineStr">
        <is>
          <t>indeed</t>
        </is>
      </c>
      <c r="E74">
        <f>HYPERLINK("https://www.indeed.com/viewjob?jk=2c366ebc5fd15b32", "https://www.indeed.com/viewjob?jk=2c366ebc5fd15b32")</f>
        <v/>
      </c>
      <c r="F74">
        <f>HYPERLINK("https://click.appcast.io/t/fJYsop108W01F7Z3VHYyD2KaTZ4FV-V41Y8oWchrETE=", "https://click.appcast.io/t/fJYsop108W01F7Z3VHYyD2KaTZ4FV-V41Y8oWchrETE=")</f>
        <v/>
      </c>
      <c r="G74" t="inlineStr">
        <is>
          <t>Lisle, IL, US</t>
        </is>
      </c>
      <c r="H74" s="3" t="n">
        <v>46061</v>
      </c>
      <c r="I74"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Covista. Covista is looking for a Senior Data Engineer who is a technical powerhouse who can scale our data platform to meet ever growing business needs.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Two (2\) plus years experience in Google cloud with services like BigQuery, Composer, GCS, DataStream, Dataflows Required.
* Six (6\) plus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Experience working in agile environment.  
*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https://careers.covista.com/benefits*.*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75">
      <c r="A75" t="inlineStr">
        <is>
          <t>in-cd1ea8898371bd21</t>
        </is>
      </c>
      <c r="B75" t="inlineStr">
        <is>
          <t>Data Engineer</t>
        </is>
      </c>
      <c r="C75" t="inlineStr">
        <is>
          <t>Covista</t>
        </is>
      </c>
      <c r="D75" t="inlineStr">
        <is>
          <t>indeed</t>
        </is>
      </c>
      <c r="E75">
        <f>HYPERLINK("https://www.indeed.com/viewjob?jk=cd1ea8898371bd21", "https://www.indeed.com/viewjob?jk=cd1ea8898371bd21")</f>
        <v/>
      </c>
      <c r="F75">
        <f>HYPERLINK("https://click.appcast.io/t/K8tHmR26XI3gnEzsCFJdO_Kg_nijdDo1C72ClPLCZj8=", "https://click.appcast.io/t/K8tHmR26XI3gnEzsCFJdO_Kg_nijdDo1C72ClPLCZj8=")</f>
        <v/>
      </c>
      <c r="G75" t="inlineStr">
        <is>
          <t>Lisle, IL, US</t>
        </is>
      </c>
      <c r="H75" s="3" t="n">
        <v>46061</v>
      </c>
      <c r="I75"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 driven organization. The Data Engineering team builds data solutions that powers strategic and tactical business decisions and supports the Analytics and Artificial Intelligence operations. By implementing data platform, data pipelines and data governance policies this team provide the basis for decision\-making in Covista.
* Work closely with various business, IT, Analyst and Data Science groups to collect business requirements. Design, develop, deploy and support high performance data pipelines both inbound and outbound.
* Develop the data platform by applying the business logic and building objects in the semantic layer of data warehouse.
* Optimize data pipelines for performance, scalability, and reliability.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Troubleshoot and resolve data engineering issues as they arise.
* Performs other duties as assigned.
* Complies with all policies and standards.
Qualifications
* Bachelor's Degree Computer Science, Computer Engineering, Software Engineering, or other related technical field Required
* Master's Degree Computer Science, Computer Engineering, Software Engineering, or other related technical field Preferred
* Three (3\) plus years experience in data engineering solutions such as data platforms, ingestion, data management, or publication/analytics Required and
* One (1\) plus year experience in Google cloud with services like BigQuery, Composer, GCS, DataStream, Dataflows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$74,064\.94 and $133,901\.96\.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*https://careers.covista.com/benefits*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76">
      <c r="A76" t="inlineStr">
        <is>
          <t>in-eb378a872c23dc24</t>
        </is>
      </c>
      <c r="B76" t="inlineStr">
        <is>
          <t>Associate Data Engineer</t>
        </is>
      </c>
      <c r="C76" t="inlineStr">
        <is>
          <t>Covista</t>
        </is>
      </c>
      <c r="D76" t="inlineStr">
        <is>
          <t>indeed</t>
        </is>
      </c>
      <c r="E76">
        <f>HYPERLINK("https://www.indeed.com/viewjob?jk=eb378a872c23dc24", "https://www.indeed.com/viewjob?jk=eb378a872c23dc24")</f>
        <v/>
      </c>
      <c r="F76">
        <f>HYPERLINK("https://click.appcast.io/t/Ioa_WpltxlFZg_H1HIC4Toy7smhS_kRCdgkJOsENO2s=", "https://click.appcast.io/t/Ioa_WpltxlFZg_H1HIC4Toy7smhS_kRCdgkJOsENO2s=")</f>
        <v/>
      </c>
      <c r="G76" t="inlineStr">
        <is>
          <t>Lisle, IL, US</t>
        </is>
      </c>
      <c r="H76" s="3" t="n">
        <v>46061</v>
      </c>
      <c r="I76"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Covista.
* Work closely with various business, IT, Analyst and Data Science groups to collect business requirements.
* Work closely with Senior Data Engineers in the design \&amp; development phase and follow the CI/CD deployment pipeline.
* Collaborate with senior data engineers and develop optimal data solutions by applying the business logic and building objects in the semantic layer of the data warehouse.
* Follow the documentation standards and document the design and support strategy of all the data pipelines.
* Collaborate with senior data engineers to capture, store, and socialize data lineage and operational metadata.
* Play a crucial role in solving data pipeline issues and communicate the impact \&amp; status to stakeholders.
* Understand the pipeline flow, dependencies, origins and service levels of data systems to continuously improve the accuracy, timeliness, and availability of data.
* Performs other duties as assigned.
* Complies with all policies and standards.
Qualifications
* Bachelor's Degree Bachelor's Degree in Computer Science, Computer Engineering, Software Engineering, or other related technical field Required
* One (1\) plus year Experience in data engineering solutions such as data platforms, ingestion, data management, or analytics.
* One (1\) plus year Experience in any cloud platform (GCP, AWS, Azure).
* Excellent knowledge on SQL and Python programming.
* Experience working with Airflow as workflow management tools and build operators to connect, extract and ingest data as needed.
* Experience in tuning queries for performance and scalability.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$64,225\.00 and $116,083\.75\.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*https://careers.covista.com/benefits*
Equal Opportunity – Minority / Female / Disability / V / Gender Identity / Sexual Orientation</t>
        </is>
      </c>
    </row>
    <row r="77">
      <c r="A77" t="inlineStr">
        <is>
          <t>in-0e9d610ca9522997</t>
        </is>
      </c>
      <c r="B77" t="inlineStr">
        <is>
          <t>Big Data Engineer</t>
        </is>
      </c>
      <c r="C77" t="inlineStr">
        <is>
          <t>Hexaware Technologies</t>
        </is>
      </c>
      <c r="D77" t="inlineStr">
        <is>
          <t>indeed</t>
        </is>
      </c>
      <c r="E77">
        <f>HYPERLINK("https://www.indeed.com/viewjob?jk=0e9d610ca9522997", "https://www.indeed.com/viewjob?jk=0e9d610ca9522997")</f>
        <v/>
      </c>
      <c r="F77">
        <f>HYPERLINK("https://fa-etqo-saasfaprod1.fa.ocs.oraclecloud.com/hcmUI/CandidateExperience/en/sites/CX_1/requisitions/preview/605643", "https://fa-etqo-saasfaprod1.fa.ocs.oraclecloud.com/hcmUI/CandidateExperience/en/sites/CX_1/requisitions/preview/605643")</f>
        <v/>
      </c>
      <c r="G77" t="inlineStr">
        <is>
          <t>US</t>
        </is>
      </c>
      <c r="H77" s="3" t="n">
        <v>46061</v>
      </c>
      <c r="I77" t="inlineStr">
        <is>
          <t>Big Data Engineer Required Experience: 12\+ years of Industry Experience with key engagements including Integration Architecture, Solution, Design \&amp; end\-to\-end implementation Responsibilities: • Define the Integration architecture landscape, including technology, information, data, security, and integration • Implement large\-scale, innovative IT solutions to drive business transformation. • Define and deliver the Integration Technology aspects of the projects, including the timely production of architectural designs and documentation • Being a key contributor to architect \&amp; design Microservice, API Management, process automations \&amp; frameworks in project • Working with customers’ business and the Architecture team on large integration transformation programs that include multiple technology streams and complex architecture • Propose, Architecture, design and guide building reusable components, • Communicating the implementation approach and design methodology to the offshore development team • Participating in a Technical Design Authority to assess and quantify the risks associated with design decisions and communicate these to the relevant parties</t>
        </is>
      </c>
    </row>
    <row r="78">
      <c r="A78" t="inlineStr">
        <is>
          <t>in-b7adbd64fab1769b</t>
        </is>
      </c>
      <c r="B78" t="inlineStr">
        <is>
          <t>Senior Data Engineer</t>
        </is>
      </c>
      <c r="C78" t="inlineStr">
        <is>
          <t>Advanced Composites</t>
        </is>
      </c>
      <c r="D78" t="inlineStr">
        <is>
          <t>indeed</t>
        </is>
      </c>
      <c r="E78">
        <f>HYPERLINK("https://www.indeed.com/viewjob?jk=b7adbd64fab1769b", "https://www.indeed.com/viewjob?jk=b7adbd64fab1769b")</f>
        <v/>
      </c>
      <c r="F78">
        <f>HYPERLINK("https://secure7.saashr.com/ta/6206512.careers?ShowJob=570922827", "https://secure7.saashr.com/ta/6206512.careers?ShowJob=570922827")</f>
        <v/>
      </c>
      <c r="G78" t="inlineStr">
        <is>
          <t>Nashville, TN, US</t>
        </is>
      </c>
      <c r="H78" s="3" t="n">
        <v>46061</v>
      </c>
      <c r="I78" t="inlineStr">
        <is>
          <t>**Advanced Composites: Driving Innovation in the Automotive Industry**
At Advanced Composites, we’re proud to be the leading supplier of TPOs (Thermoplastic Olefins) and Polypropylene Compounds to the North American automotive sector. Our proprietary formulations are designed to meet the unique needs of OEM applications, serving both domestic and transplant OEMs, along with their Tier 1 and Tier 2 suppliers. We lead market change by improving not just products, but also technologies and systems—driving quality, cost efficiency, and outstanding results.
**Join Our Team as a Data Engineer**
At Advanced Composites, we treat each other like family. We foster a supportive and inclusive culture where everyone feels valued and respected. As a Data Engineer, you’ll play a critical role in shaping our data architecture and enabling data\-driven decision\-making across the organization. You’ll work closely with cross\-functional teams to ensure our data is structured, integrated, and accessible for analytics, reporting, and machine learning.
**What You’ll Do**
* Design and implement enterprise data architecture strategies and frameworks.
* Develop and maintain conceptual, logical, and physical data models.
* Define and support data governance policies, standards, and best practices.
* Build and maintain robust ETL/ELT pipelines for batch and real\-time processing.
* Optimize data models and databases for performance and scalability.
* Collaborate with business leaders to translate requirements into technical solutions.
* Provide SAP report expertise and guide users on data access.
* Write complex SQL queries for data extraction and analysis.
* Stay current with trends in data management, Power BI, and cloud technologies.
* Support safety, environmental, and quality assurance initiatives.
**What We’re Looking For**
* **A Strategic Thinker** with deep expertise in data architecture and modeling.
* **A Collaborator** who thrives in cross\-functional environments.
* **A Problem Solver** with strong analytical and troubleshooting skills.
* **A Self\-Starter** who can work independently with minimal oversight.
**Requirements**
* **8\+ years of experience** in data management, data engineering, database development, database administration, architecting, and other DB models; data analytics, presentation, and report development in an SAP environment.
* Proven experience in most areas of responsibility.
* Experience with tools and technologies noted above.
* Bachelor’s degree in IT, Computer Science, Business Administration, or related field.
* Expertise in SQL, Python, Snowflake, ETL/ELT tools, and Azure cloud services.
* Knowledge of data governance, metadata management, and data security.
* Experience with Power BI, Azure Purview, and SAP S/4 (preferred).
* Occasional travel between Sidney, OH and Nashville, TN.
**Work Environment**
This role operates on a hybrid work model, offering flexibility with remote and in\-office work. Our in\-office environment is professional and collaborative, while remote employees are expected to maintain a dedicated and productive home office setup.</t>
        </is>
      </c>
    </row>
    <row r="79">
      <c r="A79" t="inlineStr">
        <is>
          <t>in-f3c8a43eb0915bfd</t>
        </is>
      </c>
      <c r="B79" t="inlineStr">
        <is>
          <t>Senior Data Engineer | The Points Guy</t>
        </is>
      </c>
      <c r="C79" t="inlineStr">
        <is>
          <t>Red Ventures</t>
        </is>
      </c>
      <c r="D79" t="inlineStr">
        <is>
          <t>indeed</t>
        </is>
      </c>
      <c r="E79">
        <f>HYPERLINK("https://www.indeed.com/viewjob?jk=f3c8a43eb0915bfd", "https://www.indeed.com/viewjob?jk=f3c8a43eb0915bfd")</f>
        <v/>
      </c>
      <c r="F79">
        <f>HYPERLINK("https://grnh.se/wk0uph3i1us", "https://grnh.se/wk0uph3i1us")</f>
        <v/>
      </c>
      <c r="G79" t="inlineStr">
        <is>
          <t>Remote, US</t>
        </is>
      </c>
      <c r="H79" s="3" t="n">
        <v>46061</v>
      </c>
      <c r="I79" t="inlineStr">
        <is>
          <t>Our *The Points Guy* team is looking for a **Senior Data Engineer**. In this role, you'll build data products and create the foundation that powers our machine learning and business analytics efforts. You'll work hand\-in\-hand with a variety of stakeholders from functional groups across the organization to create end\-to\-end solutions. Red Ventures is a high\-autonomy, high\-ownership environment; you'll own your work from idea to production solution. Our data engineering tech stack is primarily AWS and Spark/SparkSQL/Python via Databricks, though we welcome strong applicants from a wide variety of technical backgrounds. We believe that diverse, inclusive teams are better teams. Think of the bullets below as guidelines: if you only partially meet the qualifications on this posting, we encourage you to apply anyway!
**What you'll Do:**
* Design, build, and optimize data pipelines and infrastructure in Databricks and AWS (S3, EC2, Lambda, etc.).
* Build high impact data products \- Develop scalable, well tested data models that drive lifetime value, churn, and propensity insights powering RV sites and CRM activations.
* Engineer reliable data pipelines \- Implement Python/Spark jobs, dbt transformations, and Orchestration with CI/CD (GitHub Actions, Terraform).
* Partner with analytics and product teams to translate business needs into scalable data models and solutions.
* Implement and promote best practices in data architecture, security, observability, and governance.
* Collaborate with data stakeholders on privacy\-safe data sharing solutions, including clean\-room environments and other secure data exchange methods.
**What we're looking for:**
* Cloud \&amp; big data platforms \- 5\+ years designing and developing on AWS and Databricks data lake and lakehouse architectures
* Programming \- Expert in SQL, Python/Scala
* Streaming \- Hands on with Kafka and Spark Structured Streaming in production
* Data modeling \&amp; warehousing \- Dimensional, data vault, and real time schemas; SQL performance tuning on data warehouses, including Snowflake and Databricks SQL
* Orchestration \&amp; DevOps \- dbt, GitHub Actions, Terraform; strong CI/CD experience
* Proven experience building scalable data pipelines and integrations leveraging APIs.
* Data architecture \- System design experience for batch and real time
* Domain experience \- Prior work in consumer finance, banking or fintech
* Soft skills \- Proven ability to translate technical concepts to non technical audiences; excellent written \&amp; verbal communication
**Preferred \&amp; bonus points:**
* Experience modernizing or migrating large\-scale data environments to Databricks or AWS.
* Familiarity with data governance, cataloging, and access\-control frameworks.
* Proven success influencing technical direction and driving adoption of best practices across teams.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$100,000 \- $182,500 per year
* *New York City Total Cash Compensation Range: $125,000 \- $228,125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businesses,a joint venture in the health services industry,and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\#TPG  
\#LI\-DH1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80">
      <c r="A80" t="inlineStr">
        <is>
          <t>in-8b7b8d3bdcbf1da2</t>
        </is>
      </c>
      <c r="B80" t="inlineStr">
        <is>
          <t>Senior Cloud Data Engineer</t>
        </is>
      </c>
      <c r="C80" t="inlineStr">
        <is>
          <t>Moser Consulting</t>
        </is>
      </c>
      <c r="D80" t="inlineStr">
        <is>
          <t>indeed</t>
        </is>
      </c>
      <c r="E80">
        <f>HYPERLINK("https://www.indeed.com/viewjob?jk=8b7b8d3bdcbf1da2", "https://www.indeed.com/viewjob?jk=8b7b8d3bdcbf1da2")</f>
        <v/>
      </c>
      <c r="F80">
        <f>HYPERLINK("https://moser-consulting.breezy.hr/p/b66766330ac8-senior-cloud-data-engineer?source=indeed", "https://moser-consulting.breezy.hr/p/b66766330ac8-senior-cloud-data-engineer?source=indeed")</f>
        <v/>
      </c>
      <c r="G80" t="inlineStr">
        <is>
          <t>Indianapolis, IN, US</t>
        </is>
      </c>
      <c r="H80" s="3" t="n">
        <v>46053</v>
      </c>
      <c r="I80" t="inlineStr">
        <is>
          <t>**About Moser**
===============
For more than 25 years we have formed partnerships and grown through open and honest collaboration with our clients, partners, and employees. We are best known for taking great care of our clients, our dedication to creating a work environment where employees do their best work, and our deep commitment to continuous improvement. Our consultants work in a collaborative and fast\-paced environment, are self\-motivated, and are passionate about evolving technology. It is no accident that we are recognized as one of the Best Places to Work in Indiana for 10 consecutive years.
Internally, we believe in building strong teams from the top down with a focus on values in our Model\-Coach\-Care philosophy. Our leadership are encouraged and trained to model good practices, mentor other employees and each other, and show empathy and caring in all interactions. This is the base of our core values: Accountability, Balance, Collaboration, Focus, Integrity, Social Responsibility, Support and Transparency.
Moser Consulting believes in equal opportunity for all people and is committed to enabling a diverse, equitable, and inclusive culture. We foster a spirit of unity that respects the remarkable individuality of everyone's culture, history, and service.
**Responsibilities**
====================
* Architect and implement end\-to\-end cloud solutions including data lakes, data warehouses, and real\-time analytics platforms.
* Design, build, and troubleshoot data acquisition pipelines from diverse sources including databases, flat\-files, and REST APIs.
* Apply medallion architecture (bronze/silver/gold) to deliver scalable and secure solutions.
* Leverage development design patterns and best practices across workloads.
* Design star schema dimensional models and implement semantic models optimized for Power BI analytics.
* Configure incremental refresh and partitioning strategies to optimize compute unit (CU) consumption and query performance.
* Apply and promote best practices for data engineering including governance, scalability, and deployment standards.
* Implement and manage RBAC (Role\-Based Access Control) with a zero\-trust security approach, ensuring appropriate access to data and services across cross\-workspace environments.
* Troubleshoot and proactively identify issues including researching performance issues, pipeline failures, notebook timeouts, data model inconsistencies, semantic model refresh errors, and capacity throttling using monitoring tools and query optimization techniques.
* Create and maintain technical documentation, operational documentation, data flow diagrams, and data mapping documents.
* Provides technical leadership and mentorship to team members.
* Excellent communication skills for technical and non\-technical audiences.
* Ability to work independently as well as in a team\-environment.
* Excel in a fast\-paced environment and can manage multiple client engagements simultaneously.
**Requirements**
================
* 5\+ years of experience working with databases, data engineering, and/or software development roles.
* 3\+ years of experience using python and/or SQL for data engineering.
* Ability to design, develop, and maintain scalable, reusable code, using an agile framework and source control management.
* Strong problem\-solving skills including researching errors, performance issues, query optimization, and general troubleshooting.
* A proven track record of working collaboratively on complex ELT/ETL projects that span multiple months.
* Ability to create functioning prototypes to address quickly changing business needs.
* Clearly articulate pros and cons of proposed technologies/solutions.
**Where You'll Work**
=====================
Moser has two offices in Indianapolis, IN, and one in Baltimore, MD. This position will allow hybrid/onsite work schedule or the ability to work out of one of our two Indianapolis offices.
**Salary**
==========
At Moser Consulting, we believe in pay transparency and fairness. The $115k\-$149k salary range for this role is not just a number—it's a reflection of the value we place on the skills and experience our employees bring to our team. We are committed to offering a competitive salary that aligns with the industry standards and the unique competencies you bring to our community.
**Benefits**
============
For over a quarter of a century, Moser Consulting has been a beacon for top\-tier IT talent who excel in self\-management. Our people are our greatest asset. We don't just hire the best—we welcome them into our family, connect them with opportunities, and empower them to create innovative solutions to technology challenges.
Our unique culture is our competitive edge. It fosters happiness, health, and low stress, even in an industry known for its demands. This is why we're consistently recognized as one of the Best Places to Work in Indiana. We provide our employees with an inspiring workspace, a fun and collaborative atmosphere, and a generous compensation package. But that's not all.
We also offer a suite of benefits designed to support and enrich our employees' lives. These include:
* Training Opportunities: We believe in lifelong learning and provide numerous avenues for skill enhancement.
* Fully Invested 401K Plan: We help secure your future with a fully invested 401K plan.
* PPO and HDHP Medical Plans: Choose the health insurance program that best fits your needs.
* Employer\-Paid Dental and Vision Plans: We cover dental and vision plans, ensuring our employees have access to comprehensive health care.
* Onsite Fitness Center: Stay fit and healthy with our state\-of\-the\-art fitness center.
* Wellness Program: We promote a healthy lifestyle with our wellness program.
* Catered Lunches: Enjoy delicious catered lunches regularly.
At Moser Consulting, we don't just offer jobs—we offer careers, growth, and a chance to join a thriving community. Come, be a part of our family.
Moser Consulting is an Equal Opportunity Employer. All qualified applicants will receive consideration for employment without regard to race, color, religion, sex, sexual orientation, gender identity, national origin, disability, or status as a protected veteran.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li-4356636621</t>
        </is>
      </c>
      <c r="B2" t="inlineStr">
        <is>
          <t>Data Engineer</t>
        </is>
      </c>
      <c r="C2" t="inlineStr">
        <is>
          <t>Outdoorsy</t>
        </is>
      </c>
      <c r="D2" t="inlineStr">
        <is>
          <t>linkedin</t>
        </is>
      </c>
      <c r="E2" t="inlineStr"/>
      <c r="F2" t="inlineStr"/>
      <c r="G2" t="inlineStr">
        <is>
          <t>Austin, TX</t>
        </is>
      </c>
      <c r="H2" t="inlineStr"/>
      <c r="I2"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the largest outdoor travel and hospitality marketplace; the
 **Destination Network** 
 , a growing collection of campgrounds and glamping retreats set in some of the country's most iconic landscapes; and
 **Roamly,**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**About the Role:**
 The Outdoorsy Group is seeking an experienced Data Engineer to drive two business critical functions: the synthesis of data sources to develop a Customer 360 view across our suite of products, and achieving AI readiness by creating real\-time data flows that connect to AI agents. To date, our data has been siloed across different products and tools, each with their own identifiers and structures. The ideal candidate will be able to show a track record of success building scalable data pipelines that solve Identity Resolution challenges, as well as experience building infrastructure for LLM\-based applications. If you're self\-driven and looking to make an impact in a fast\-paced environment, then we'd love to have you!
**Requirements**
**Key Responsibilities \&amp; Deliverables**
* Enhance Identity Resolution such that there is a source\-of\-truth Customer 360 view that links users across our RV marketplace, internal insurance products, and 3rd\-party insurance partners.
* Develop fuzzy matching algorithms to triangulate single users across data that lacks common IDs
* Build and maintain scalable ELT/ETL pipelines (using tools like dbt, Airflow, FiveTran) that sync siloed SQL databases, external CRM data, and 3rd\-party insurance and claims data into a unified warehouse (Redshift/BigQuery)
* Architect real\-time data flows to feed an AI agent, achieving AI Readiness. Through Knowledge Graphs, Vector Databases, and Retrieval\-Automated Generation, ensure agents can access e.g. latest policy status, upsell propensity scores, and customer history in near real\-time
* Own all aspects of data governance between our operational systems and the AI agent to ensure privacy, security and high\-fidelity responses
**Who You Are (Candidate Profile)**
* Industry Expert: 3\+ years data engineering experience building production\-grade data warehouses and pipelines. Travel, marketplace, or insurance experience is a bonus, but not essential
* Technically Proficient: Advanced expertise in SQL and Python, with the ability to write complex transformations and fuzzy matching algorithms, and handle messy 3rd\-party data formats
* Identity Resolution Experience: Direct experience with ‘Customer 360' or ‘Golden Rule' projects that establish source\-of\-truth customer profiles across disparate products and data sources
* Real\-Time LLM Context: Experience with streaming technologies (Kafka, Pub/Sub) or building infrastructure for LLM\-based applications (Knowledge Graphs, Vector Databases, RAG)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Academic Background: Degree in a technical quantitative field like computer science, data science, and engineering, or equivalent practical experience
* Candidates in Austin, Texas will be prioritized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3">
      <c r="A3" t="inlineStr">
        <is>
          <t>li-4370424753</t>
        </is>
      </c>
      <c r="B3" t="inlineStr">
        <is>
          <t>Data Analytics Engineer I or II (Time Limited)</t>
        </is>
      </c>
      <c r="C3" t="inlineStr">
        <is>
          <t>Snohomish County PUD</t>
        </is>
      </c>
      <c r="D3" t="inlineStr">
        <is>
          <t>linkedin</t>
        </is>
      </c>
      <c r="E3" t="inlineStr"/>
      <c r="F3" t="inlineStr"/>
      <c r="G3" t="inlineStr">
        <is>
          <t>Everett, WA</t>
        </is>
      </c>
      <c r="H3" t="inlineStr"/>
      <c r="I3" t="inlineStr">
        <is>
          <t>\*\*Data Analytics Engineer I or II (Time Limited)\*\*
 $93,677 to 146,885
 Job \#16638
 \*\*This vacancy is Time\-Limited and anticipated to last up to 2 years\*\*
 \*\*We ask that you provide a clear and concise cover letter explaining as to why this position would be a great opportunity for you.\*\*
 \*\*Basic Responsibilities\*\*
 Leverage intellectual curiosity, business acumen and technical aptitude to solve complex business problems. Translate data into actionable insights through data science, data engineering and analytic techniques. Provide technical support to analytic application technology stack as well as analytic consulting to business functions, management and executive leadership.
 We are seeking a team member to join us in moving our organization into the future as we secure our data and analytic foundations in Microsoft Fabric and move SAP Billing and ERP applications to the cloud. This 2\-year project role is a member of the Data and Analytics team and has an opportunity in supporting the creation, validation and testing of new Microsoft Fabric materialized views, semantic layers, and Power BI analytics.
 The ideal candidate is someone who takes pride in organization, accuracy, and pay attention to the details. You are an analytical thinker with strong problem\-solving skills. Demonstrate a proactive mindset with a strong desire to take initiative, follow through, and deliver results. You are an effective communicator and collaborator who build's strong relationships. Your superpower is strong business acumen with clear technical aptitude.
 \*\*Minimum Qualifications\*\*
* Data \&amp; Analytics Engineer I \* $93,677 to $117,097 Annually
* Bachelor's Degree in Computer Science, Business, Mathematics or related field;
 \*OR\*
* Four (4\) years of progressively more responsible experience in data management, analytics, or information technology.
* Data \&amp; Analytics Engineer II \* $117,508 to $146,885 Annually
* Bachelor's Degree in Computer Science, Business, Mathematics or related field \*\*\*and\*\*\* Two (2\) years of progressively more responsible experience in data management, analytics, or information technology;
 \*OR\*
* Six (6\) years of progressively more responsible experience in data management, analytics, or information technology.
 You can find the full job description for this position, including accountabilities, required skills and abilities, and physical and mental demands and working conditions, on the following pages: \[Data \&amp; Analytics Engineer I ](https://www.snopud.com/wp\-content/uploads/2024/02/Data\-Analytics\-Engineer\-I\-20001086\.pdf){rel\="nofollow"}or \[Data \&amp; Analytics Engineer II](https://www.snopud.com/wp\-content/uploads/2024/02/Data\-Analytics\-Engineer\-II\-20001034\.pdf){rel\="nofollow"}
 \*\*Preferred Experience\*\*
* Subject matter expertise in SAP and its respective Public Utility business processes.
 \*\*Benefits\*\*
 In addition to a competitive compensation program, Snohomish County PUD \#1 offers a comprehensive benefits package. Employees and eligible dependents may enroll in medical, dental, vison hardware, basic life insurance, long\-term disability, accidental death and dismemberment, voluntary term life, and retirement benefits (including PERS pension, 401(k), and a 457 plan). The Snohomish County PUD also provides an employee assistance program, tuition reimbursement, short\-term disability, paid time off benefits starting at 20 days a year, plus 5 days of extended sick leave and 11 paid holidays. For more information on our benefits package please visit</t>
        </is>
      </c>
    </row>
    <row r="4">
      <c r="A4" t="inlineStr">
        <is>
          <t>li-4368286695</t>
        </is>
      </c>
      <c r="B4" t="inlineStr">
        <is>
          <t>Senior Data Engineer</t>
        </is>
      </c>
      <c r="C4" t="inlineStr">
        <is>
          <t>StockX</t>
        </is>
      </c>
      <c r="D4" t="inlineStr">
        <is>
          <t>linkedin</t>
        </is>
      </c>
      <c r="E4" t="inlineStr"/>
      <c r="F4" t="inlineStr"/>
      <c r="G4" t="inlineStr">
        <is>
          <t>Detroit, MI</t>
        </is>
      </c>
      <c r="H4" t="inlineStr"/>
      <c r="I4" t="inlineStr">
        <is>
          <t>**Help empower our global customers to connect to culture through their passions.** 
**Why you'll love this role** 
 As a Senior Data Engineer, you will be empowered to leverage data to drive amazing customer experiences and business results. You will own the end to end development of data engineering solutions to support analytical needs of the business. The ideal candidate will be passionate about working with disparate datasets and be someone who loves to bring data together to answer business questions at speed. You should have deep expertise in the creation and management of datasets and the proven ability to translate the data into meaningful insights through collaboration with analysts, data scientists and business stakeholders.You will partner with accounting and finance business teams in expanding Financial Data Repository to support new business initiatives. Sr Data Engineer of Finance Data Repository is most challenging and exciting role to work for, with new business initiative launches in payments, finance , tax and ordering platform. Its highly critical to manage the changes on daily basis for proper accounting to keep our books clean and accurate. 
**What you'll do** 
* Design and build mission critical data pipelines with a highly scalable distributed architecture \- including data ingestion (streaming, events and batch), data integration, data curation
* Help continually improve ongoing reporting and analysis processes, simplifying self\-service support for business stakeholders
* Build and support reusable framework to ingest, integration and provision data
* Automation of end to end data pipeline with metadata, data quality checks and audit
* Build and support a big data platform on the cloud
* Define and implement automation of jobs and testing
* Optimize the data pipeline to support ML workloads and use cases
* Support mission critical applications and near real time data needs from the data platform
* Capture and publish metadata and new data to subscribed users
* Work collaboratively with business analysts, product managers, data scientists as well as business partners and actively participate in design thinking session
* Participate in design and code reviews
* Motivate, coach, and serve as a role model and mentor for other development team associates/members that leverage the platform
**About you** 
* 3 to 5 years' experience in data warehouse / data lake house technical architecture
* 3\+ years of experience in using programming languages (Python / Scala / Java / C\#) Minimum
* 3 years of Big Data and Big Data tools in one or more of the following: Batch Processing (e.g. Hadoop distributions, Spark), Real time processing (e.g. Kafka, Flink/Spark Streaming)
* Minimum of 2 years' experience with AWS or engineering in other cloud environments
* Strong Knowledge of Databricks SQL/Scala \- Data Engineering Pipelines
* Experience with Database Architecture/Schema design
* Strong familiarity with batch processing and workflow tools such as dbt, AirFlow, NiFi
* Ability to work independently with business partners and management to understand their needs and exceed expectations in delivering tools/solutions
* Strong interpersonal, verbal and written communication skills and ability to present complex technical/analytical concepts to executive audience
* Strong business mindset with customer obsession; ability to collaborate with business partners to identify needs and opportunities for improved data management and delivery
* Experience providing technical leadership and mentoring other engineers for best practices on data engineering
* Bachelor's degree in Computer Science, or a related technical field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*Pursuant to the Colorado Fair Pay Act, the base salary range in Colorado for this position is $140,000 to $160,000, plus opportunities for benefits (e.g., medical, dental), equity and discretionary bonuses. Compensation in other geographies may vary.* 
 **About StockX**
 StockX is proud to be a Detroit\-based technology leader focused on the large and growing online market for sneakers, apparel, accessories, electronics, collectibles, trading cards, and more. StockX's powerful platform connects buyers and sellers of high\-demand consumer goods from around the world using dynamic pricing mechanics. This approach affords access and market visibility powered by real\-time data that empowers buyers and sellers to determine and transact based on market value. The StockX platform features hundreds of brands across verticals including Jordan Brand, adidas, Nike, Supreme, BAPE, Off\-White, Louis Vuitton, Gucci; collectibles from brands including LEGO, KAWS, Bearbrick, and Pop Mart; and electronics from industry\-leading manufacturers Sony, Microsoft, Meta, and Apple. Launched in 2016, StockX employs 1,000 people across offices and verification centers around the world. Learn more at www.stockx.com.  
 *We are an equal opportunity employer and value diversity at our company. We do not discriminate on the basis of race, religion, color, national origin, gender, sexual orientation, age, marital status, veteran status, or disability status.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StockX reserves the right to amend this job description at any time.
 *StockX may utilize AI to rank job applicant submissions against the position requirements to assist in determining candidate alignment.**</t>
        </is>
      </c>
    </row>
    <row r="5">
      <c r="A5" t="inlineStr">
        <is>
          <t>li-4370591673</t>
        </is>
      </c>
      <c r="B5" t="inlineStr">
        <is>
          <t>Senior Data Engineer</t>
        </is>
      </c>
      <c r="C5" t="inlineStr">
        <is>
          <t>Fixify</t>
        </is>
      </c>
      <c r="D5" t="inlineStr">
        <is>
          <t>linkedin</t>
        </is>
      </c>
      <c r="E5" t="inlineStr"/>
      <c r="F5" t="inlineStr"/>
      <c r="G5" t="inlineStr">
        <is>
          <t>New York, NY</t>
        </is>
      </c>
      <c r="H5" t="inlineStr"/>
      <c r="I5" t="inlineStr">
        <is>
          <t>**Job Ad**
****Senior Data Engineer****
 You remember the first time someone answered a time\-sensitive business question using your data without asking for help. No walkthrough. No “which tables do I join?” Slack thread. They trusted the numbers, blended the sources, and made a decision. Not because they were clever, but because your data model was.
 You care about data systems that get used and improved. You’ve fixed brittle pipelines instead of papering over them. You've navigated trade\-offs between speed and correctness, built the metrics to prove which one you picked, and felt a quiet thrill when your quality monitors catch something before anyone else notices.. If you’re looking to take what you know and apply it somewhere early enough that the foundations still matter, but real enough that the impact shows up fast then this role’s for you..
 At Fixify, we’re building an AI\-native IT automation platform, and data isn’t an afterthought. It’s the backbone of how we build models, ship features, measure outcomes, and decide what to build next. As a Senior Data Engineer, you’ll design and own the systems that move data from raw events to trusted, well\-modeled datasets that teams across the company rely on every day.
 This is a senior role. You’ll have end\-to\-end ownership of critical pipelines and datasets, real influence over architecture and tooling, and the space to raise the bar on how we build and operate our data platform. You’ll see it used, questioned, and improved in real time.
 If you care about building data systems people are eager to use, and you want both responsibility and room to shape how things are done, you’ll feel at home here.
****What we can do for you****
* Give you ownership of systems that matter along with responsibility to improve them.
* Put you at the center of Product, Data Science, and Engineering where your work enables everything downstream.
* Let you shape our data platform, tooling choices, and engineering standards as we scale.
* Surround you with teammates who care deeply about quality, reliability, and building things right the first time.
****What you can do for us****
* Design, build, and operate resilient batch and streaming data pipelines that scale with Fixify’s growth.
* Own critical datasets end\-to\-end, from requirements and modeling through documentation, monitoring, and data quality.
* Model data for analytics and product use cases, evolving schemas thoughtfully as business needs change.
* Partner with data science teams to optimize systems so research translates seamlessly to production.
* Define and enforce data quality standards with automated validation and actionable alerts.
* Evaluate tools and frameworks, and help us make smart platform decisions.
****What you should bring with you****
* 5\+ years in data or software engineering, with significant data engineering work.
* Expert\-level SQL and strong data modeling instincts; you know how to design schemas that stand the test of time. Experience with ClickHouse and Airflow is a plus.
* Deep experience working with cloud data platforms and orchestration frameworks.
* Working knowledge of Python, orchestration, and data engineering tasks.
* Experience building and operating streaming or near\-real\-time data pipelines.
* A track record of delivering production\-grade pipelines and semantic layers.
* Experience integrating data from various API sources to bring new data into warehouses.
* Clear communication skills; you can explain technical trade\-offs to anyone.
* Comfort operating with ambiguity and shifting priorities in a fast\-moving startup environment.
* SaaS or high\-growth tech experience preferred.</t>
        </is>
      </c>
    </row>
    <row r="6">
      <c r="A6" t="inlineStr">
        <is>
          <t>li-4370548689</t>
        </is>
      </c>
      <c r="B6" t="inlineStr">
        <is>
          <t>Lead Data Engineer</t>
        </is>
      </c>
      <c r="C6" t="inlineStr">
        <is>
          <t>Largeton Group</t>
        </is>
      </c>
      <c r="D6" t="inlineStr">
        <is>
          <t>linkedin</t>
        </is>
      </c>
      <c r="E6" t="inlineStr"/>
      <c r="F6" t="inlineStr"/>
      <c r="G6" t="inlineStr"/>
      <c r="H6" t="inlineStr"/>
      <c r="I6" t="inlineStr">
        <is>
          <t>**Job Summary (Lead Data Engineer – CVS)**
* Lead Data Engineer role for CVS client (Remote position)
* 3\-month contract with possible extension
* Competitive rate (not too high)
* Only accept candidates who are not on H1B/OPT visas
* Requires prior healthcare industry experience
* Must have experience with Google Cloud Platform (GCP)
* Proficient in GCP BigQuery, Cloud SQL, and Spanner
* Strong programming skills in Python
* Excellent SQL expertise
* Interview process: 2 rounds
* Candidates must provide personal email and phone number</t>
        </is>
      </c>
    </row>
    <row r="7">
      <c r="A7" t="inlineStr">
        <is>
          <t>li-4370534208</t>
        </is>
      </c>
      <c r="B7" t="inlineStr">
        <is>
          <t>Senior Data Engineer</t>
        </is>
      </c>
      <c r="C7" t="inlineStr">
        <is>
          <t>BlackStone eIT</t>
        </is>
      </c>
      <c r="D7" t="inlineStr">
        <is>
          <t>linkedin</t>
        </is>
      </c>
      <c r="E7" t="inlineStr"/>
      <c r="F7" t="inlineStr"/>
      <c r="G7" t="inlineStr">
        <is>
          <t>Egypt, AR</t>
        </is>
      </c>
      <c r="H7" t="inlineStr"/>
      <c r="I7" t="inlineStr">
        <is>
          <t>Key Responsibilities:
* Design and implement scalable data architecture and end\-to\-end ETL/ELT pipelines
* Analyze diverse data sources and create high\-quality, structured data layers
* Lead large\-scale data migrations to cloud\-based platforms (Azure, AWS, GCP)
* Optimize complex SQL queries and database performance
* Collaborate with analysts, data scientists, and business stakeholders
* Ensure data governance, quality, and regulatory compliance
* Mentor junior engineers and promote engineering best practices
 Qualifications:
* 8\+ years in data engineering and architecture
* Strong experience with cloud platforms (Azure, AWS, GCP) and big data tools (Spark, Hadoop)
* Hands\-on with modern data warehouses (Snowflake, Azure Synapse)
* Expertise in SQL, data pipelines (Airflow, Data Factory), and database tuning
* Knowledge of data governance frameworks (GDPR, HIPAA)</t>
        </is>
      </c>
    </row>
    <row r="8">
      <c r="A8" t="inlineStr">
        <is>
          <t>li-4120827322</t>
        </is>
      </c>
      <c r="B8" t="inlineStr">
        <is>
          <t>Data Engineer, Product Analytics</t>
        </is>
      </c>
      <c r="C8" t="inlineStr">
        <is>
          <t>Meta</t>
        </is>
      </c>
      <c r="D8" t="inlineStr">
        <is>
          <t>linkedin</t>
        </is>
      </c>
      <c r="E8" t="inlineStr"/>
      <c r="F8" t="inlineStr"/>
      <c r="G8" t="inlineStr">
        <is>
          <t>Los Angeles, CA</t>
        </is>
      </c>
      <c r="H8" t="inlineStr"/>
      <c r="I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li-4370545998</t>
        </is>
      </c>
      <c r="B9" t="inlineStr">
        <is>
          <t>Data Engineer</t>
        </is>
      </c>
      <c r="C9" t="inlineStr">
        <is>
          <t>Whatnot</t>
        </is>
      </c>
      <c r="D9" t="inlineStr">
        <is>
          <t>linkedin</t>
        </is>
      </c>
      <c r="E9" t="inlineStr"/>
      <c r="F9" t="inlineStr"/>
      <c r="G9" t="inlineStr"/>
      <c r="H9" t="inlineStr"/>
      <c r="I9" t="inlineStr">
        <is>
          <t>**About The Company** 
 Join the Future of Commerce with Whatnot! Whatnot is the largest live shopping platform in North America and Europe dedicated to revolutionizing the way people buy, sell, and discover their favorite items. By seamlessly blending community, entertainment, and e\-commerce, Whatnot creates a dynamic marketplace where users can engage with live auctions across a diverse range of categories, including fashion, beauty, electronics, collectibles such as trading cards and comic books, and even live plants. With a focus on innovation and community\-driven experiences, Whatnot is committed to redefining online marketplaces. The company operates with a remote co\-located team and maintains hubs in the US, UK, Germany, Ireland, and Poland, fostering a global environment that encourages collaboration and growth. As one of the fastest\-growing marketplaces, Whatnot is passionate about enabling individuals to turn their passions into businesses and bringing people together through commerce.
**About The Role** 
 As a Data Engineer at Whatnot, you will play a pivotal role in powering the company's data\-driven decision\-making processes. Your primary responsibility will be to build and scale robust data systems that support internal operations and external growth initiatives. You will work directly with cross\-functional teams—including product, sales, marketing, finance, and trust—to design reliable data architectures, develop resilient data pipelines, and create foundational data products. Your work will ensure that data is accessible, accurate, and actionable, enabling the company to optimize performance, innovate, and deliver exceptional user experiences. The role offers an exciting opportunity to influence the company's technical landscape by making strategic architectural decisions, implementing scalable data workflows, and establishing standards for data quality and modeling. You will also support analytics, machine learning, and real\-time applications by providing high\-quality, low\-latency data access through semantic layers, APIs, and query systems.
**Qualifications** 
* 3\+ years of experience as a data or software engineer, specializing in building data warehouses, distributed data systems, or event\-driven architectures
* Proficiency in designing and implementing data models using techniques such as dimensional modeling, Data Vault, or ledger\-style approaches
* Hands\-on experience with modern data tooling, including Kafka, Debezium, dbt, Spark, Flink, Dagster, Airflow, Monte Carlo, and Great Expectations
* Experience operating cloud data warehouses such as Snowflake, BigQuery, or Redshift, including schema design, workload tuning, and cost optimization
* Strong coding skills in Python and SQL, with familiarity in integrating CI/CD pipelines and infrastructure\-as\-code workflows
* Ability to translate complex business requirements into efficient, scalable data systems
* Self\-starter mentality with the ability to thrive in a fast\-paced, dynamic environment
* Excellent collaboration skills across engineering, product, and analytics teams
**Responsibilities** 
* Own end\-to\-end data architecture, including data capture, modeling, and serving strategies that balance cost, scalability, and consistency
* Develop, operate, and optimize mission\-critical streaming and batch data pipelines processing high\-volume events across various domains
* Create and enforce domain\-oriented data models that serve as authoritative sources for analytics, machine learning, and real\-time applications
* Implement data quality systems, including lineage, monitoring, testing, and reconciliation to ensure dataset observability and accuracy
* Automate operational workflows by partnering with business systems and platform teams to streamline data handoffs and reconcile data across multiple systems
* Support analytics and experimentation efforts by exposing high\-quality, low\-latency data via APIs, semantic layers, and real\-time query systems
* Collaborate closely with cross\-disciplinary teams to translate business needs into scalable, reliable data solutions
* Maintain a focus on operational excellence, ensuring data systems meet SLAs and performance standards
**Benefits** 
* Generous holiday and time\-off policies to promote work\-life balance
* Comprehensive health insurance options including Medical, Dental, and Vision coverage
* Support for remote work with home office setup allowances and monthly stipends for internet and phone expenses
* Care benefits such as wellness allowances, childcare support, and family planning assistance
* Retirement plans including 401(k) with employer matching for US employees and international pension options
* Monthly allowances for product testing and app usage, encouraging team engagement and product understanding
* Paid parental leave of 16 weeks, with a gradual return\-to\-work program
* Opportunities for professional development and growth within a fast\-paced,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diverse skills, perspectives, and experiences enhances our work culture and drives our success.</t>
        </is>
      </c>
    </row>
    <row r="10">
      <c r="A10" t="inlineStr">
        <is>
          <t>li-4370423882</t>
        </is>
      </c>
      <c r="B10" t="inlineStr">
        <is>
          <t>Data Engineer Entry Level</t>
        </is>
      </c>
      <c r="C10" t="inlineStr">
        <is>
          <t>Talent Glider</t>
        </is>
      </c>
      <c r="D10" t="inlineStr">
        <is>
          <t>linkedin</t>
        </is>
      </c>
      <c r="E10" t="inlineStr"/>
      <c r="F10" t="inlineStr"/>
      <c r="G10" t="inlineStr"/>
      <c r="H10" t="inlineStr"/>
      <c r="I10" t="inlineStr">
        <is>
          <t>**Key Responsibilities**
* Collect, clean, and validate data from multiple sources
* Analyze data to identify trends, patterns, and business insights
* Create dashboards and reports using tools like Excel, Power BI, Tableau, or Looker Studio
* Work closely with business, product, and technical teams to understand data requirements
* Monitor KPIs and prepare regular performance reports
* Perform ad\-hoc analysis to support decision\-making
* Ensure data accuracy, consistency, and documentation
* Present insights in a clear and actionable manner to stakeholders
**Required Skills \&amp; Qualifications**
* Bachelor’s degree in Data Analytics, Statistics, Mathematics, Computer Science, or related field
* Strong knowledge of SQL for data extraction and analysis
* Proficiency in Excel (VLOOKUP/XLOOKUP, Pivot Tables, formulas)
* Experience with at least one BI tool (Power BI / Tableau / Looker Studio)
* Basic understanding of data modeling and databases
* Strong analytical and problem\-solving skills
* Good communication and presentation skills
**Preferred / Nice To Have**
* Experience with Python or R for data analysis
* Knowledge of Google Analytics (GA4\) or product analytics tools
* Familiarity with ETL processes and data pipelines
* Prior experience in IT services, product companies, or analytics consulting</t>
        </is>
      </c>
    </row>
    <row r="11">
      <c r="A11" t="inlineStr">
        <is>
          <t>li-4370554676</t>
        </is>
      </c>
      <c r="B11" t="inlineStr">
        <is>
          <t>Data Scientist / Analytics Engineer</t>
        </is>
      </c>
      <c r="C11" t="inlineStr">
        <is>
          <t>Clarity Cubed</t>
        </is>
      </c>
      <c r="D11" t="inlineStr">
        <is>
          <t>linkedin</t>
        </is>
      </c>
      <c r="E11" t="inlineStr"/>
      <c r="F11" t="inlineStr"/>
      <c r="G11" t="inlineStr">
        <is>
          <t>New York, NY</t>
        </is>
      </c>
      <c r="H11" t="inlineStr"/>
      <c r="I11" t="inlineStr">
        <is>
          <t>**About Clarity Cubed** 
 Clarity Cubed is an early\-stage data and analytics company helping middle\-market businesses build data ecosystems by connecting data across systems, cleaning data, and positioning data to support the business and drive value creation. We work hands\-on with real operating systems (ERP, CRM, finance, ops), turning messy, fragmented data into a reliable ecosystem that is core to how a business is run.
 We are not an academic lab or a dashboard factory. We build practical data systems that work in the real world. We marry business acumen and experience with technical expertise to design thoughtful solutions that unlock value.
 This data hire will help us deliver client work and shape how we build going forward.
**The Role** 
 This is a hands\-on hybrid role spanning data engineering, analytics, and system design. You will design and build SQL\- and Python\-based workflows that ingest, clean, transform, and connect data across systems. You will own pipelines end\-to\-end and help drive analytics on top of them. You will also help build the IP that monitors these ecosystems and drives AI based workflows on top of the structured data sets.
 You will also have client exposure and the opportunity to shape Clarity Cubed’s internal IP, standards, and approach from the ground up.
**What You’ll Do** 
* Design, build, and maintain SQL\- and Python\-based data workflows
* Develop robust ETL/ELT pipelines and orchestration processes
* Work extensively with messy, real\-world operational and financial data
* Model data in Snowflake and similar cloud data warehouses
* Build secure, reliable connectivity across systems, using APIs exports and manual loads
* Partner with clients to understand business context and translate it into data solutions
* Support analytics use cases on top of engineered data sets
* Contribute to and help shape Clarity Cubed’s internal tools, templates, and best practices
* Explore and experiment with emerging AI tools as part of the data workflow (interest required; deep ML not required)
**What We’re Looking For** 
* **4–10 years** 
 experience in data science, analytics engineering, or data engineering
* Strong, hands\-on experience with SQL (advanced queries, modeling, performance)
* Strong experience with Python for data processing and pipeline development
* Experience building and orchestrating production data pipelines
* Familiarity with Snowflake or similar cloud data platforms (preferred)
* Comfort working across APIs and systems securely
* Ability to operate independently and own problems end\-to\-end
* Comfort with ambiguity and early\-stage environments
* Clear, direct communicator who can work with both technical and non\-technical stakeholders
* Entrepreneurial mindset and interest in building something from the ground floor
**Nice to have** 
* Experience with Power BI or other BI tools
* Exposure to financial or operational data
* Consulting or client\-facing experience
* Interest in applied AI tools and workflows
**How We Work** 
* In\-person team based in Dumbo, Brooklyn
* Early\-stage, high\-ownership environment
* Reasonable hours with real responsibility and trust
* Minimal travel (unless of interest)
* Direct, plain\-spoken culture with deep practical experience
**Why This Role Is Different** 
* Work with founders who bring extensive hands\-on business and investing experience
* Help shape how data is used to drive business at medium sized enterprises
* Nimble environment
* You will help use data to bring clarity to business at Clarity Cubed.</t>
        </is>
      </c>
    </row>
    <row r="12">
      <c r="A12" t="inlineStr">
        <is>
          <t>li-4370417442</t>
        </is>
      </c>
      <c r="B12" t="inlineStr">
        <is>
          <t>Data Engineer</t>
        </is>
      </c>
      <c r="C12" t="inlineStr">
        <is>
          <t>AARATECH</t>
        </is>
      </c>
      <c r="D12" t="inlineStr">
        <is>
          <t>linkedin</t>
        </is>
      </c>
      <c r="E12" t="inlineStr"/>
      <c r="F12" t="inlineStr"/>
      <c r="G12" t="inlineStr"/>
      <c r="H12" t="inlineStr"/>
      <c r="I12"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3">
      <c r="A13" t="inlineStr">
        <is>
          <t>li-4361806157</t>
        </is>
      </c>
      <c r="B13" t="inlineStr">
        <is>
          <t>Data Engineer</t>
        </is>
      </c>
      <c r="C13" t="inlineStr">
        <is>
          <t>SoTalent</t>
        </is>
      </c>
      <c r="D13" t="inlineStr">
        <is>
          <t>linkedin</t>
        </is>
      </c>
      <c r="E13" t="inlineStr"/>
      <c r="F13" t="inlineStr"/>
      <c r="G13" t="inlineStr">
        <is>
          <t>San Ramon, CA</t>
        </is>
      </c>
      <c r="H13" t="inlineStr"/>
      <c r="I13" t="inlineStr">
        <is>
          <t>**Job Title: Data Engineer** 
**Location: San Ramon, California, United States** 
**Type: Full Time** 
 Our Client is looking for an experienced Data Engineer to lead and deliver impactful data and analytics solutions across the organization. This role is ideal for someone who thrives in complex technical environments, excels in building scalable data infrastructure, and enjoys mentoring others while driving innovation.
**Key Responsibilities** 
* Lead teams tackling moderately complex to highly complex data and analytics challenges with broad organizational impact.
* Contribute to solving uniquely complex data engineering problems requiring deep analysis and sound judgment.
* Design and implement process improvements, including scalable architecture upgrades, optimized data delivery, and automation of manual tasks.
* Investigate and resolve wide‑ranging programming and data analysis issues within procedural guidelines.
* Support colleagues by providing expertise on complex, cross‑technology data challenges.
* Build and maintain infrastructure that supports large‑scale data processing with strong data quality, metadata capture, and cataloging.
* Partner with peers to establish departmental standards, norms, and long‑term objectives.
* Plan, prioritize, and execute work using creative or non‑traditional approaches when needed.
* Assess data pipeline performance and recommend or deploy enhancements.
* Communicate technical recommendations clearly, both verbally and in writing.
* Mentor and guide junior engineers and analysts, supporting their growth and development.
**Minimum Qualifications** 
* Bachelor’s degree in Computer Science, MIS, or a related field (or equivalent experience)
* 7\+ years of experience working with data engineering/ETL tools such as Palantir Foundry, Spark, Informatica, SAP BODS, or OBIEE
* Experience with multiple ETL or data engineering platforms
* Background in deploying machine learning models into production environments
**Preferred Qualifications** 
* Master’s degree in Computer Science, MIS, or related field, or equivalent experience
* Experience leading development teams or technical project groups
* Advanced SQL, data modeling, and performance tuning expertise
* Strong software engineering fundamentals including Git, CI/CD, and automated testing, with hands‑on production pipeline experience
* Proficiency in Python and SQL within Palantir Foundry, including PySpark‑based transformations and workflow design</t>
        </is>
      </c>
    </row>
    <row r="14">
      <c r="A14" t="inlineStr">
        <is>
          <t>li-4120824557</t>
        </is>
      </c>
      <c r="B14" t="inlineStr">
        <is>
          <t>Data Engineer, Product Analytics</t>
        </is>
      </c>
      <c r="C14" t="inlineStr">
        <is>
          <t>Meta</t>
        </is>
      </c>
      <c r="D14" t="inlineStr">
        <is>
          <t>linkedin</t>
        </is>
      </c>
      <c r="E14" t="inlineStr"/>
      <c r="F14" t="inlineStr"/>
      <c r="G14" t="inlineStr">
        <is>
          <t>Sunnyvale, CA</t>
        </is>
      </c>
      <c r="H14" t="inlineStr"/>
      <c r="I1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li-4370438218</t>
        </is>
      </c>
      <c r="B15" t="inlineStr">
        <is>
          <t>Analytics Engineer</t>
        </is>
      </c>
      <c r="C15" t="inlineStr">
        <is>
          <t>Kustom US</t>
        </is>
      </c>
      <c r="D15" t="inlineStr">
        <is>
          <t>linkedin</t>
        </is>
      </c>
      <c r="E15" t="inlineStr"/>
      <c r="F15" t="inlineStr"/>
      <c r="G15" t="inlineStr">
        <is>
          <t>Longwood, FL</t>
        </is>
      </c>
      <c r="H15" t="inlineStr"/>
      <c r="I15" t="inlineStr">
        <is>
          <t>At Kustom US, we bring order to chaos after disaster strikes – restoring property, stability, and peace of mind for businesses and families across the country.
 The Data Engineer is responsible for designing, building, and maintaining scalable data pipelines and data architecture that support reporting, analytics, and business intelligence initiatives across the organization. This IT role is critical cross\-functional business partner to the Sales, Operations, and Leadership teams that will enable enterprise reporting in Power BI by structuring, integrating, migrating, and validating data that is accessible, secure, and optimized for dashboards and reporting solutions. 
**Key Responsibilities**
**Data Architecture \&amp; Engineering** 
* Design, build, and maintain scalable data pipelines and Snowflake data structures to ingest, transform, and store data from multiple internal and external sources
* Develop and manage data models optimized for analytics and reporting use cases
* Ensure data quality, accuracy, consistency, and integrity across all data platforms
* Optimize database and query performance for large datasets
**Power BI \&amp; Analytics Enablement** 
* Develop and maintain Power BI data models, datasets, and semantic layers
* Enable reliable Power BI connectivity to data warehouses, SQL databases, APIs, and cloud\-based sources
* Partner with analysts and business users to support Power BI dashboards, reports, and self\-service analytics
* Own the Power BI semantic layer strategy (dataset design, measures, governance, and performance)
* Implement data refresh strategies, row\-level security (RLS), and performance tuning for Power BI solutions
**Systems Integration** 
* Integrate data from enterprise systems (e.g., ERP, HRIS, Payroll, CRM, finance, operations)
* Work with APIs, flat files, and third\-party data sources to automate data ingestion
* Support real\-time and batch data processing as needed
**Data Governance \&amp; Security** 
* Implement data governance standards, documentation, and best practices
* Ensure compliance with data security, privacy, and access control requirements
* Monitor and troubleshoot data pipeline failures and data quality issues
**Collaboration \&amp; Support** 
* Collaborate with IT, and business stakeholders to translate reporting and analytics requirements into technical solutions
* Provide ongoing support and enhancements to existing data infrastructure
* Document data pipelines, data models, and technical processes
**Competencies \&amp; Skills** 
* Hands\-on experience building data pipelines using ETL/ELT tools or custom frameworks
* Proven experience supporting Power BI connectivity, datasets, semantic models, and data models
* Translate business reporting needs into scalable, dashboard\-ready data models and curated datasets, ensuring accuracy through validation, reconciliation, and documented definitions
* Experience working with structured and semi\-structured data
**Qualifications**
* Bachelor’s degree in Computer Science, Information Systems, Data Engineering, or a related field (or equivalent experience)
* 3–7 years of experience in data engineering, database development, or analytics engineering
* Strong experience with SQL and relational databases (e.g., SQL Server, PostgreSQL, Oracle, MySQL)
* Prior experience supporting HR, payroll, finance, or operational data environments
* Experience with cloud data platforms (Azure, AWS, or GCP)
* Preferred familiarity with Azure Data Factory, Synapse, Databricks, or similar tools
* Knowledge of Python, Spark, or similar data processing languages preferred
**Why Join Kustom**
* **A Culture That Wins Together** 
 – Teamwork, integrity, and a growth mindset define us
* **Total Rewards Package** 
 – Competitive weekly pay with a comprehensive benefits package including health, dental, vision, 401(k), PTO, and more
* **Real Career Growth** 
 – Training, mentorship, and advancement opportunities to move into roles across the company
 Founded in 1968, Kustom has spent decades earning a stellar reputation as a nationally acclaimed, industry\-leading property restoration firm. We offer unparalleled full\-service restoration and emergency services to commercial, industrial, and residential clients. Our legacy is built on innovative thinking, meticulous attention to detail, and a commitment to exceptional service, ensuring that life and business continue smoothly for our clients nationwide.
 At Kustom, we unite experts who are driving the industry forward, delivering positive, life\-changing outcomes for both commercial and residential customers. We do more than rebuild \- we build trust.
 If you are ready to help people navigate chaos with confidence, we want to meet you.
 Kustom provides equal employment opportunities to all employees and applicants for employment without regard to race, color, creed, ancestry, national origin, citizenship, sex or gender (including pregnancy, childbirth, and pregnancy\-related conditions), gender identity or expression (including transgender status), sexual orientation, marital status, religion, age, disability, genetic information, service in the military, or any other characteristic protected by applicable federal, state, or local laws and ordinances.
 Subject to Federal, State, and Local laws, regulations, and or ordinances, applicants must be able to pass pre\-employment drug screening and background check.
 Compensation is based on geographic location, demonstrated job related skills, knowledge, experience, education, certifications, etc. This job description is not intended to contain a comprehensive listing of activities, duties, or responsibilities that are required of the employee for this job. Activities, duties, and or responsibilities may change at any time with or without notice.</t>
        </is>
      </c>
    </row>
    <row r="16">
      <c r="A16" t="inlineStr">
        <is>
          <t>li-4362221554</t>
        </is>
      </c>
      <c r="B16" t="inlineStr">
        <is>
          <t>Data Engineer - VC Backed Healthcare Firm - NYC, Chicago, Austin or San Francisco</t>
        </is>
      </c>
      <c r="C16" t="inlineStr">
        <is>
          <t>Saragossa</t>
        </is>
      </c>
      <c r="D16" t="inlineStr">
        <is>
          <t>linkedin</t>
        </is>
      </c>
      <c r="E16" t="inlineStr"/>
      <c r="F16" t="inlineStr"/>
      <c r="G16" t="inlineStr">
        <is>
          <t>New York, NY</t>
        </is>
      </c>
      <c r="H16" t="inlineStr"/>
      <c r="I16" t="inlineStr">
        <is>
          <t>**Are you a data engineer who loves building systems that power real impact in the world?** 
 A fast growing healthcare technology organization is expanding its innovation team and is looking for a Data Engineer II to help build the next generation of its data platform. This team sits at the center of a major transformation effort, partnering closely with engineering, analytics, and product to design the foundation that supports advanced automation, AI, intelligent workflows, and high scale data operations that drive measurable outcomes for hospitals, health systems, and medical groups.
 In this role, you will design, develop, and maintain software applications that process large volumes of data every day. You will collaborate with cross functional teams to understand data requirements, build and optimize data models, and create systems that ensure accuracy, reliability, and performance. You will write code that extracts, transforms, and loads data from a variety of sources into modern data warehouses and data lakes, while implementing best in class data quality and governance practices. You will work hands on with big data technologies such as Hadoop, Spark, and Kafka, and you will play a critical role in troubleshooting, performance tuning, and ensuring the scalability of complex data applications.
 To thrive here, you should bring strong problem solving ability, analytical thinking, and excellent communication skills. This is an opportunity to join an expanding innovation group within a leading healthcare platform that is investing heavily in data, AI, and the future of intelligent revenue operations. If you want to build systems that make a real difference and work with teams that care deeply about improving patient experiences and provider performance, this is a chance to do highly meaningful engineering at scale.</t>
        </is>
      </c>
    </row>
    <row r="17">
      <c r="A17" t="inlineStr">
        <is>
          <t>li-4370536437</t>
        </is>
      </c>
      <c r="B17" t="inlineStr">
        <is>
          <t>Senior Data Engineer</t>
        </is>
      </c>
      <c r="C17" t="inlineStr">
        <is>
          <t>Byrider</t>
        </is>
      </c>
      <c r="D17" t="inlineStr">
        <is>
          <t>linkedin</t>
        </is>
      </c>
      <c r="E17" t="inlineStr"/>
      <c r="F17" t="inlineStr"/>
      <c r="G17" t="inlineStr">
        <is>
          <t>Carmel, IN</t>
        </is>
      </c>
      <c r="H17" t="inlineStr"/>
      <c r="I17" t="inlineStr">
        <is>
          <t>Senior Data Engineer \- Byrider Corporate \- 12802 Hamilton Crossing Blvd. \- Carmel, IN 46032
**Rewards for Senior Data Engineer:**
* Competitive starting salary
* Annual bonus
* Great benefits \&amp; paid time off
* Growing national company in business for 37 years
* Nice office with plenty of parking
* Hybrid work schedule
**Job Summary:**
 We seek a highly skilled and experienced Senior Data Engineer to join our dynamic team. As a Senior Data Engineer, you will play a critical role in designing, developing, and maintaining our data infrastructure, ensuring the availability, reliability, and performance of our data systems. You will drive the data engineering initiatives and collaborate closely with cross\-functional teams to support data\-driven decision\-making within the organization. You must also be skilled at finding solutions to problems while keeping the environment well\-structured, stable, and secure. This position reports to the Director of Solutions Engineering.
**Specific Responsibilities:**
* Data Architecture: Lead the design and development of complex data pipelines, data models, and data integration solutions that meet business requirements and performance standards
* Data Ingestion: Architect and oversee the development of efficient and scalable data ingestion processes from various sources, including databases, APIs, and external data providers (AWS Redshift, AWS DynamoDB, AWS S3, MS SQL, etc.)
* Data Transformation: Develop advanced data transformation pipelines and ETL processes to convert raw data into structured and meaningful formats
* Data Quality: Establish and enforce best practices for data quality, validation, cleaning, and error handling
* Data Storage: Manage and optimize data storage solutions, including databases, data lakes, and cloud storage services
* Data Security: Implement advanced data security measures and access controls to protect sensitive data
* Performance Optimization: Continuously monitor and optimize the performance of data pipelines and databases, implementing best practices to ensure efficient data processing
* Collaboration: Collaborate closely with leadership, analysts, and business stakeholders to understand their data requirements and deliver advanced data solutions that meet their evolving needs
* Innovation: Stay at the forefront of emerging data engineering technologies, industry trends, and best practices, and drive innovation within the data engineering domain
* Documentation: Maintain comprehensive documentation of data pipelines, data models, and processes, and ensure knowledge sharing within the team
**Products and Stacks:**
**Languages**
* C\#
* TypeScript
* Python
* TSQL
* Java
* Scala
**Frameworks**
* .Net Core
* .Net Framework
* ASP .NET
**Database**
* MS SQL
* DynamoDB
* Redshift
* Postgresql
**Amazon Web Services**
* ECS
* Cloudwatch
* Lambda
* S3
* Secrets
* DynamoDB
* API Gateway
* SNS
* SQS
* SES
* CloudFormation
* Glue
**Azure Cloud Services**
* Service Fabric Clusters
* Service Bus
* App Services
* Application Insights
* Key Vaults
* Databricks
* Function Apps
**Tools and Platforms**
* Docker
* Bitbucket
* Azure Devops
* Jira
* Confluence
* Lucidspark
* Looker
**Skills:**
* Proven experience as a Senior Data Engineer, with a strong understanding of information data security and data access controls
* Proficiency in programming languages such as Python, Java, or Scala
* Strong SQL skills and deep experience with database technologies (e.g., SQL, NoSQL)
* Expertise in data warehousing and ETL tools (e.g., Kodda, AWS Glue)
* Extensive knowledge of data modeling techniques and data warehouse design
* Excellent problem\-solving and communication skills
* Ability to work collaboratively in a team, adapt to a fast\-paced, evolving environment, and work individually to accomplish goals
* Experience with cloud platforms (e.g., AWS, Azure) and containerization (e.g., Docker, Kubernetes)
* Strong commitment to data accuracy, data quality, and data security
* Ability to work with minimal supervision.
**Qualities:**
* Strong teamwork is a must
* Resilience and resourcefulness
* Strong customer service focus
* High energy with self\-motivation
* Ability and eagerness to solve problems
**Educational Requirements:**
* Bachelor's degree in Computer Science, Information Technology, or equivalent experience
* Technology\-related certifications are a plus
**Experience Required:**
* 3\+ years of Python experience
* 3\+ years of SQL experience
* 3\+ years of experience with data modeling and data warehousing
* Experience with frameworks and products described in the "Products and Stacks" section
* Experience with standard tools such as Atlassian product suite, AWS and Databricks</t>
        </is>
      </c>
    </row>
    <row r="18">
      <c r="A18" t="inlineStr">
        <is>
          <t>li-4370544323</t>
        </is>
      </c>
      <c r="B18" t="inlineStr">
        <is>
          <t>Biotech Data Engineer</t>
        </is>
      </c>
      <c r="C18" t="inlineStr">
        <is>
          <t>Arcutis Biotherapeutics, Inc.  (Nasdaq: ARQT)</t>
        </is>
      </c>
      <c r="D18" t="inlineStr">
        <is>
          <t>linkedin</t>
        </is>
      </c>
      <c r="E18" t="inlineStr"/>
      <c r="F18" t="inlineStr"/>
      <c r="G18" t="inlineStr"/>
      <c r="H18" t="inlineStr"/>
      <c r="I18" t="inlineStr">
        <is>
          <t>**Biotech Data Engineer** 
 United States Remote
 The
 **Biotech Data Engineer** 
 focuses on designing, building, and maintaining scalable Azure Databricks\-based data pipelines and architectures that enable analytics, AI/ML, and reporting across commercial functions. It involves leading data engineering initiatives, ensuring governance and compliance, optimizing performance and costs, and collaborating across teams to advance the company’s data and AI strategy. The role reports to the Director of Business Intelligence.
**Roles \&amp; Responsibilities**
1. Design, build, and maintain scalable, reliable, and cost\-efficient data pipelines using Azure Databricks in support of analytics, machine learning, data science, and operational use cases
2. Lead data engineering initiatives that enable AI/ML model development, LLM integrations, and AI\-driven applications while ensuring scalability and alignment with enterprise and business priorities
3. Architect and implement data integration frameworks across diverse Adtech and Martech ecosystems, incorporating Google Analytics, media campaign data, and third\-party marketing APIs like Salesforce
4. Manage and optimize data ingestion, transformation, and storage processes using SQL, Python, and PySpark to integrate structured and unstructured data sources
5. Design and maintain API integrations with internal and external systems, including Python\- and PySpark\-based services and AI/LLM\-powered APIs for advanced analytics and automation
6. Administer and maintain Azure\-based data tools and platforms (e.g., Databricks, ADF) to ensure operational excellence, reliability, and security
7. Collaborate with internal stakeholders and external partners to evolve data platform design and architecture that supports advanced analytics, personalization, marketing intelligence, and marketing automation
8. Execute against the company’s data and AI strategy by translating strategic goals into technical architecture, design and requirement documents, and implementation roadmaps
9. Ensure data quality, integrity, and consistency through robust validation, monitoring, and alerting mechanisms within Azure Databricks
10. Implement and enforce data governance, security, and compliance standards in collaboration with IT, InfoSec, and data governance teams
11. Partner with analytics, marketing, commercial operations, and core technology/cybersecurity teams to deliver fit\-for\-purpose commercial data products
12. Monitor and optimize data infrastructure costs, performance, and scalability across Azure cloud environments
13. Develop and maintain architecture documentation, pipeline specifications, and design diagrams for transparency and knowledge sharing with technical and business stakeholders
14. Participate in architecture discussions, design reviews, and CI/CD workflows to ensure high\-quality engineering and deployment practices as part of an Agile engineering team
15. Continuously evaluate and recommend new Azure services, designs, improvements, frameworks, and AI integration tools to enhance our data platform
16. Drive automation, observability, and standardization across data workflows to improve efficiency and reduce manual intervention
17. Complete all job duties in compliance with company policy, SOPs, safety rules, and applicable federal, state, and local regulations
**Education \&amp; Licenses and Experience**
 Bachelor of science degree required. A minimum of 5 years transferable working experience in the area of operational support of a Data Engineering, Data Architecture, or Cloud Platforms function preferred. The ideal candidate will have recent and relevant experience in the pharma or biotech industry.
**Required Competencies \&amp; Skills**
* **Experience with Azure Cloud (Databricks, DevOps, DataFactory)**
* Pharma / biotech domain experience, specifically within the commercial data space (sales, market access / payer, marketing)
* Strong hands\-on python, pyspark, and SQL skills
* Direct experience with building and leveraging API integrations in ETL pipeline development
* Experience integrating with current best\-in\-class AI models and APIs like OpenAI API, Databricks AI models, etc.
* Self\-driven with ability to independently design end\-to\-end data pipelines while ensuring architectural best practices
* Ability to collaborate with a broad set of stakeholders to evaluate the business need and construct a technical design that can enable stakeholder priorities
* Travel up to 20%
**Preferred Competencies \&amp; Skills**
* Strong knowledge of and experience with maximizing business value using Databricks Unity Catalog or Databricks One capabilities
* Familiarity with tools and practices in the Martech and Adtech landscape
* Knowledge of Consumer, Patient, or HCP data ecosystems
* Experience with identity providers like LiveRamp, Acxiom, Experian, etc.
* Experience with custom\-built or third\-party Customer Data Platforms (CDP)
* Experience with marketing automation tools
**Salary Range:** 
 $135,000\.00 To $150,000\.00 Annually
**Why Join Us?** 
 Arcutis is a pioneering medical dermatology company dedicated to revolutionizing the treatment of serious skin diseases and our pipeline is one of the more robust and exciting in the industry. Our vision is to revitalize the standard of care for dermatological diseases and conditions through novel therapies that simplify disease management for physicians and patients. We are focused on filling the innovation gap in medical dermatology drug development by applying our deep clinical, product development and commercial expertise in dermatology to develop best\-in\-class therapies against biologically validated targets. Arcutis is uniquely positioned to become the preeminent innovation\-driven medical dermatology company, and we are looking for top talent to join our team. We are nimble, collaborative, and passionate about achieving our mission!
 All qualified applicants will receive consideration for employment without regard to race, color, sex, sexual orientation, gender identity, religion, national origin, disability, veteran status, or other legally protected status.</t>
        </is>
      </c>
    </row>
    <row r="19">
      <c r="A19" t="inlineStr">
        <is>
          <t>li-4370418434</t>
        </is>
      </c>
      <c r="B19" t="inlineStr">
        <is>
          <t>Data Engineer</t>
        </is>
      </c>
      <c r="C19" t="inlineStr">
        <is>
          <t>AARATECH</t>
        </is>
      </c>
      <c r="D19" t="inlineStr">
        <is>
          <t>linkedin</t>
        </is>
      </c>
      <c r="E19" t="inlineStr"/>
      <c r="F19" t="inlineStr"/>
      <c r="G19" t="inlineStr"/>
      <c r="H19" t="inlineStr"/>
      <c r="I1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0">
      <c r="A20" t="inlineStr">
        <is>
          <t>li-4370416437</t>
        </is>
      </c>
      <c r="B20" t="inlineStr">
        <is>
          <t>Data Engineer</t>
        </is>
      </c>
      <c r="C20" t="inlineStr">
        <is>
          <t>AARATECH</t>
        </is>
      </c>
      <c r="D20" t="inlineStr">
        <is>
          <t>linkedin</t>
        </is>
      </c>
      <c r="E20" t="inlineStr"/>
      <c r="F20" t="inlineStr"/>
      <c r="G20" t="inlineStr"/>
      <c r="H20" t="inlineStr"/>
      <c r="I2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1">
      <c r="A21" t="inlineStr">
        <is>
          <t>li-4370419350</t>
        </is>
      </c>
      <c r="B21" t="inlineStr">
        <is>
          <t>Data Engineer</t>
        </is>
      </c>
      <c r="C21" t="inlineStr">
        <is>
          <t>AARATECH</t>
        </is>
      </c>
      <c r="D21" t="inlineStr">
        <is>
          <t>linkedin</t>
        </is>
      </c>
      <c r="E21" t="inlineStr"/>
      <c r="F21" t="inlineStr"/>
      <c r="G21" t="inlineStr"/>
      <c r="H21" t="inlineStr"/>
      <c r="I21"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22">
      <c r="A22" t="inlineStr">
        <is>
          <t>li-4353121039</t>
        </is>
      </c>
      <c r="B22" t="inlineStr">
        <is>
          <t>Data Engineer</t>
        </is>
      </c>
      <c r="C22" t="inlineStr">
        <is>
          <t>Tigunia</t>
        </is>
      </c>
      <c r="D22" t="inlineStr">
        <is>
          <t>linkedin</t>
        </is>
      </c>
      <c r="E22" t="inlineStr"/>
      <c r="F22" t="inlineStr"/>
      <c r="G22" t="inlineStr">
        <is>
          <t>Phoenix, AZ</t>
        </is>
      </c>
      <c r="H22" t="inlineStr"/>
      <c r="I22" t="inlineStr">
        <is>
          <t>**Department/Division: Business Intelligence** 
**Position Title: Business Intelligence Analyst** 
**Area of Focus (Sub Team):** 
**Data Engineering Specialist** 
**Position Location: Phoenix, Arizona (Remote)** 
**Tigunia Core Values:** 
 To produce results, solve your problems with a sense of urgency, treat clients and co\-workers with respect, and foster long\-term relationships.
**Position Description (Abstract):** 
 Tigunia is seeking a technically focused Business Intelligence Analyst with a specialization in data engineering and warehouse modeling. This role is ideal for someone who enjoys building scalable data infrastructure, working with modern data tools, and developing clean, reliable models that power reporting and analytics. While the role is primarily technical, it also includes client\-facing responsibilities, including leading smaller engagements and collaborating with stakeholders to ensure solutions meet business needs.
 You will work closely with internal teams and clients as a consultant to design and implement integrated data warehouse models, develop transformation logic in Python and SQL, and support reporting platforms like Power BI, Tableau, and Jet Reports. This is a hands\-on role requiring strong communication skills, technical depth, and a passion for clean, maintainable solutions.
**Key Responsibilities:** 
* Design and implement scalable, integrated data warehouse models incorporating data from Business Central and other sources
* Develop and maintain data pipelines using Python, SQL, and modern ETL tools
* Lead smaller client engagements, including requirements gathering and solution delivery
* Collaborate with reporting specialists to ensure data models support business KPIs and visualization needs
* Define and document transformation logic, data mappings, and warehouse specifications, adhere to modeling standards and governance practices
* Support report development in Power BI
 and Jet Reports as needed
* Troubleshoot data quality issues and optimize performance of data models
* Use GitHub for version control, collaboration, and documentation of data engineering workflows
**Ideal Candidate Profile:** 
* Strong technical problem\-solver with a passion for data architecture and engineering
* Comfortable working independently and managing priorities across multiple projects
* Experienced in client engagement and capable of leading smaller projects
* Detail\-oriented and committed to producing clean, well\-documented solutions
**Required Skills \&amp; Experience:** 
* 4\+ years of experience in data engineering, BI development or related roles
* Experience with ERP data structures and warehouse modeling
* Proficiency in Python and SQL for data transformation and analysis
* Strong experience with
 Mage.AI, dbt, Microsoft SQL Server
 **,** 
 Snowflake, or Microsoft Fabric
* Experience using GitHub for version control, collaboration, and workflow management
* Strong understanding of dimensional modeling and the Kimball methodology
* Experience with documentation, versioning, and data governance practices
**Bonus Qualifications:** 
* Previous experience as a Business Intelligence (BI) Consultant, with strong understanding of analytics and reporting
* Hands\-on experience with data governance and metadata management tools, such as: Microsoft Purview, DataHub, OpenMetadata, or Apache Atlas
* Familiarity with Microsoft Business Central and its data structure
* Exposure to various reporting platforms such as: Tableau, Domo, Sigma, Superset, etc.
**Current Example of Benefits:** 
* Competitive salary
* Health insurance for yourself and your family – 100% employer paid for employee and 50% employer paid for dependents
* Dental and Vision insurance for yourself and your family – 100% employer paid for employee and dependents
* Life/AD\&amp;D Insurance for yourself – 100% employer paid and covers 100% of your salary
* Short Term Disability for yourself – 100% employer paid and covers 60% of your weekly salary up to $1,750\.00
* Long Term Disability for yourself – 100% employer paid and covers 60% of your monthly salary up to $6,000
* 401k with 4% match
* Flex\-time and paid time off to promote a healthy work\-life balance
*Tigunia provides equal employment opportunities to all employees and applicants for employment without regard to race, color, religion, sex (including pregnancy, gender identity, and sexual orientation), parental status, national origin, age, disability, genetic information (including family medical history), political affiliation, military service, or other non\-merit\-based factors.*</t>
        </is>
      </c>
    </row>
    <row r="23">
      <c r="A23" t="inlineStr">
        <is>
          <t>li-4370512053</t>
        </is>
      </c>
      <c r="B23" t="inlineStr">
        <is>
          <t>Analytics Engineer</t>
        </is>
      </c>
      <c r="C23" t="inlineStr">
        <is>
          <t>Crunchr</t>
        </is>
      </c>
      <c r="D23" t="inlineStr">
        <is>
          <t>linkedin</t>
        </is>
      </c>
      <c r="E23" t="inlineStr"/>
      <c r="F23" t="inlineStr"/>
      <c r="G23" t="inlineStr">
        <is>
          <t>Boston, MA</t>
        </is>
      </c>
      <c r="H23" t="inlineStr"/>
      <c r="I23" t="inlineStr">
        <is>
          <t>**ABOUT US:** 
 Crunchr is the People analytics platform for forward\-thinking HR teams. Our team has been built with the same attention and care as our product, and we value motivated and impact\-driven team players. For more information about us, you can visit the Crunchr career page.
**SOME CONTEXT ABOUT THE ROLE:** 
 In this role, you will be part of Crunchr’s Customer Success team, and help HR teams lead business conversations with confidence through our product and solutions. The Analytics Engineer is responsible for integrating, consolidating, cleansing and structuring HR data for analytical or operational uses, as well as building data pipelines to bring together information from different source systems. As an Analytics Engineer at Crunchr you will work with customers both during and after implementation to make data easily accessible and to optimize their organization's big data ecosystem.
 The total CS team consists of 10 team members working as Customer Success Managers, Analytics Engineers and Customer Success Specialists across the Netherlands (Amsterdam) and US (Boston). You will be based in Boston, and will report directly to the Head of CS (also based in Boston). You will work closely with our CSMs on customer account.
 Some of your responsibilities will be:
* Set up integrations with different HRIS, including creating scripts to feed the data from clients into our solution.
* Work with customers to find the best approach for their data uploads and solve technical issues as they arise.
* Detect and improve the data quality of our customers, enabling further analytics opportunities.
* Work closely with the Customer Success Manager to solve people analytics problems.
* Join customer meetings to discuss data related requests and provide advice/support on data/technical related topics of Crunchr.
* Be the line of contact for technical issues for clients.
**WHAT WE EXPECT FROM YOU:** 
*MUSTS* 
* A Bachelor degree in Computer Science, Data Engineering or related field.
* 1\-3 years of relevant working experience.
* Experience in programming.
* Bias for action: proactive self\-starter with the ability to work in a dynamic and fast\-paced environment.
* Proactive mindset with a keen eye for identifying and pursuing growth opportunities and improvements.
* You are accurate and detailed focused, like to work in a team and are eager to learn.
* You enjoy working with customers and collaboratively solving complex problems.
* You are a great fit with our core values.
* You want to work out of our Boston office at least 2 days per week.
*NICE TO HAVES* 
* Experience with Python, pandas or similar.
* Exceptional communication and relationship building skills at all levels.
* Experience in working with deep\-analytical tools.
**WHAT YOU CAN EXPECT FROM US:** 
* A role in which you can have great impact, you'll be part of a scale\-up that is building something big!
* Competitive compensation package and secondary conditions like a stock option plan.
* Autonomy, trust, and the opportunity to make a measurable impact on Crunchr’s growth story.</t>
        </is>
      </c>
    </row>
    <row r="24">
      <c r="A24" t="inlineStr">
        <is>
          <t>li-4299618017</t>
        </is>
      </c>
      <c r="B24" t="inlineStr">
        <is>
          <t>Data Engineer</t>
        </is>
      </c>
      <c r="C24" t="inlineStr">
        <is>
          <t>Voloridge Investment Management, LLC</t>
        </is>
      </c>
      <c r="D24" t="inlineStr">
        <is>
          <t>linkedin</t>
        </is>
      </c>
      <c r="E24" t="inlineStr"/>
      <c r="F24" t="inlineStr"/>
      <c r="G24" t="inlineStr">
        <is>
          <t>Jupiter, FL</t>
        </is>
      </c>
      <c r="H24" t="inlineStr"/>
      <c r="I24" t="inlineStr">
        <is>
          <t>Voloridge Investment Management was founded by David Vogel in 2009 and is based in Jupiter, FL. We incorporate advanced data science and mathematics into our systematic, market neutral investment strategies to exploit alpha opportunities we consider unique in financial markets. Our firm is comprised of award\-winning predictive modelers, experienced data analysts, advanced technologists, and a group of dynamic business professionals.
 We are looking for a
 **Data Engineer** 
 who must understand the many different and evolving use cases for data at Voloridge and design systems that supply a variety of data sets for advanced analytics.
**Summary Of Job Functions**
* Collaborate effectively with Stakeholders, Project Managers, Software Engineers, Data Architects, Data Analysts, QA Analysts, DBAs and other Data Engineers
* Build and maintain data pipelines based on functional and architectural specifications
* Ensure that data pipelines incorporate best practices related to high performance, fault tolerance, instrumentation, logging and data driven functionality
* Ensure that data pipelines are scalable, maintainable, extensible, and not overly engineered
* Produce and maintain engineering and operational documentation
* Analyze complex data problems and engineer elegant solutions
* Develop and maintain knowledge expertise in current technology stack
* Stay abreast of emerging technologies, make relevant recommendations, and participate in technology modernization projects
* Work in an Agile SDLC environment
* Participate in engineering standards and best\-practices evolution
* Participate in an 24x7 on\-call rotation
* Assist Data Analysts in troubleshoot data issues
* Be able to work daily onsite in our Jupiter, FL office
**Minimum Requirements**
* 5\+ years of experience building ETL/ELT data pipelines using on\-premises SQL Server 2017 Enterprise Edition, or newer
* Proficient understanding of relational data modeling
* Good TSQL performance tuning skills
* Experience writing both historical and incremental ETL/ELT data pipelines
* Solid understanding of traditional Agile SDLC best practices, ceremonies, and tools
* Solid understanding of source control concepts (such as branching, feature branches, pull requests) and tools (such as GitHub, BitBucket, Azure DevOps)
* Experience writing Python
* Experience writing PowerShell
* Experience building data pipelines using third\-party external data sources
* Experience working on a team of 3 or more data engineers
* Experience being responsible for the mission critical data solutions
* Strong initiative, collaboration, accountability, impartiality and communication
* Bachelor’s degree in Computer Science, Information Systems, related discipline, or equivalent experience
**Preferred Skills And Experience**
* Experience writing ETL/ELT which leverages data change detection technologies, such as SQL Server Change Tracking and/or Change Data Capture
* Experience using Python libraries such as Polars, Pandas, Numpy, CSV, TraceBack, JSON, PyODBC, TurbODBC, Math
* Experience with cloud\-based data management solutions such as Snowflake, Redshift
* Experience working with DevOps functionality such as CI / CD
* Experience working with trading / financial / investment / accounting data
* Experience using productivity tools such as Red Gate and SentryOne
* Experience with open\-source database engines such as Clickhouse, ArcticDB, PostGreSQL
* Experience writing design documentation such as ERDs, Data Flow Diagrams, Process Flow Diagrams
* Experience writing operational documentation such as Run Books
* Experience collaborating with project managers, QA testers, and end\-users
* Master’s Degree in Computer Science, Information Systems, or related discipline
**Compensation And Benefits**
* Highly competitive base salary
* Profit sharing bonus
* Health, dental, vision, life, and disability insurance
* 401K
 Voloridge Investment Management is an SEC registered investment advisor and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25">
      <c r="A25" t="inlineStr">
        <is>
          <t>li-4370547743</t>
        </is>
      </c>
      <c r="B25" t="inlineStr">
        <is>
          <t>Senior Data Engineer</t>
        </is>
      </c>
      <c r="C25" t="inlineStr">
        <is>
          <t>Basil Systems</t>
        </is>
      </c>
      <c r="D25" t="inlineStr">
        <is>
          <t>linkedin</t>
        </is>
      </c>
      <c r="E25" t="inlineStr"/>
      <c r="F25" t="inlineStr"/>
      <c r="G25" t="inlineStr"/>
      <c r="H25" t="inlineStr"/>
      <c r="I25" t="inlineStr">
        <is>
          <t>Hi, this is Eric 👋 We’re hiring a stellar Data Engineer to join our engineering org at Basil Systems.
**About Basil Systems** 
 At Basil Systems, we're revolutionizing healthcare data access and insights for the life sciences industry. We've built powerful platforms that help pharmaceutical and medical device companies navigate complex regulatory landscapes, accelerate product development, and ultimately bring life\-saving innovations to market faster. Our SaaS platforms transform disconnected data sources into actionable intelligence, empowering organizations to make data\-driven decisions that improve patient outcomes and save lives.
**The Role** 
 We are seeking a
 **Senior Data Engineer** 
 to own and advance the data infrastructure that powers our healthcare insights platform. As our engineering team scales and we expand our data capabilities, we need someone who can build reliable, scalable pipelines while ensuring data quality across increasingly complex regulatory sources.
**Key Responsibilities** 
* Design, build, and maintain robust ETL processes for healthcare regulatory data
* Integrate new data sources as we onboard customers and expand platform capabilities
* Optimize pipeline performance and reliability
* Ensure data accuracy and consistency across complex transformation workflows
**Qualifications** 
* 5\+ years of professional experience as a data engineer or in a similar role
* Experience with Apache Spark and distributed computing
* Familiarity with common ML algorithms and their applications
* Knowledge of or willingness to learn and work with Generative AI technologies
* Experience with developing for distributed cloud platforms
* Experience with MongoDB / ElasticSearch and technologies like BigQuery
* Strong commitment to engineering best practices
**Nice\-to\-Haves** 
* Solid understanding of modern security practices, especially in healthcare data contexts
* Subject matter expertise in LifeSciences / Pharma / MedTech
**This role might not be for you if...** 
* You're a heavy process advocate and want enterprise\-grade Scrum or rigid methodologies
* You have a need for perfect clarity before taking action
* You have a big company mindset
**What We Offer** 
* Competitive salary
* Health and vision benefits
* Attractive equity package
* Flexible work environment (remote\-friendly)
* Opportunity to work on impactful projects that are helping bring life\-saving medical products to market
* Be part of a mission\-driven team solving real healthcare challenges at a critical scaling point
**Our Culture** 
 At Basil Systems, we value flexibility and support a distributed team. We actively employ and support remote team members across different geographies, allowing you to work when, where, and how you work best. We are committed to building a diverse, inclusive, and safe work environment for everyone. Our team is passionate about using technology to make a meaningful difference in healthcare.
**How to Apply** 
 If you're excited about this opportunity and believe you'd be a great fit for our team, please send your resume and a brief introduction to
 **engineering\-jobs@basilsys.com.** 
 Basil Systems is an equal opportunity employer. We welcome applicants of all backgrounds and experiences.</t>
        </is>
      </c>
    </row>
    <row r="26">
      <c r="A26" t="inlineStr">
        <is>
          <t>li-4318644058</t>
        </is>
      </c>
      <c r="B26" t="inlineStr">
        <is>
          <t>Data Engineer</t>
        </is>
      </c>
      <c r="C26" t="inlineStr">
        <is>
          <t>Equifax</t>
        </is>
      </c>
      <c r="D26" t="inlineStr">
        <is>
          <t>linkedin</t>
        </is>
      </c>
      <c r="E26" t="inlineStr"/>
      <c r="F26" t="inlineStr"/>
      <c r="G26" t="inlineStr">
        <is>
          <t>St Louis, MO</t>
        </is>
      </c>
      <c r="H26" t="inlineStr"/>
      <c r="I26" t="inlineStr">
        <is>
          <t>Equifax is where you can power your possible. If you want to achieve your true potential, chart new paths, develop new skills, collaborate with bright minds, and make a meaningful impact, we want to hear from you.
 Workforce Solutions Data \&amp; Analytics (EWS D\&amp;A) is a high\-energy, fast\-growing organization within Equifax charged with building and supporting best\-in\-industry data assets and analytical solutions. We deliver solutions and insights to enable success for our customers, drive growth for our business, and create value for our shareholders.
 As a Data Engineer, you will play a crucial role in the evolution of our data platform, support the activation of AI capabilities across the team, and build data products and self\-service solutions for the users of our data platform.
**This role requires being in the office 3 days/week on Tues \- Thurs.**
**This position does not offer immigration sponsorship (current or future) including F\-1 STEM OPT extension support.**
**What You’ll Do**
* Build complex batch and streaming pipelines to ingest data from upstream Equifax cloud systems.
* Design and implement data engineering frameworks to scale the development and deployment of data pipelines across the D\&amp;A organization.
* Leverage AI\-powered coding assistants to accelerate development, optimize code, and generate documentation for data pipelines and infrastructure.
* Develop and refine prompts for Large Language Models (LLMs) to assist in data\-related tasks such as data cleansing, transformation logic generation, and automated data documentation.
* Design, build, and maintain scalable data pipelines that support AI/ML applications.
* Explore and implement AI agents to automate repetitive data management tasks, monitor data quality, and orchestrate complex data workflows.
* Play an active role in setting engineering standards and best practices in EWS D\&amp;A.
**What Experience Do You Need**
* At least 5 years of experience in data engineering, data architecture, or a related field.
* A strong understanding of data engineering principles and best practices, including data modeling, data warehousing, and data integration.
* At least 1 year of experience working in a GCP big data environment.
* Experience building complex data pipelines and solutions using two or more of the following: BigQuery, DataFlow, DataProc, Pub/Sub, Cloud Functions.
* Experience with Airflow or Cloud Composer.
* Experience with Vertex AI.
* Proficiency in Python development.
* Professional experience with SQL.
* Proven ability to effectively communicate complex technical concepts to both technical and non\-technical stakeholders.
* A Bachelor's degree or higher in Computer Science, Information Systems, or a related field.
**What Could Set You Apart**
* Demonstrated experience with prompt engineering to interact with and guide AI models for optimal outputs.
* Hands\-on experience with AI\-assisted coding tools
* Familiarity with frameworks for building AI applications or agents (e.g., LangChain, LlamaIndex).
* Experience integrating AI services and models into data pipelines via APIs
* DevOps/CICD experience (Jenkins and GitHub) and IaC experience using Terraform for managing GCP infrastructure.
* GCP Associate Cloud Engineer or Professional Data Engineer certification.
 We offer comprehensive compensation and healthcare packages, 401k matching, paid time off, and organizational growth potential through our online learning platform with guided career tracks.
 Are you ready to power your possible? Apply today, and get started on a path toward an exciting new career at Equifax, where you can make a difference!
 Equifax is an Equal Opportunity Employer. All qualified applicants will receive consideration for employment without regard to race, color, religion, sex, sexual orientation, gender identity, national origin, disability, or status as a protected veteran.</t>
        </is>
      </c>
    </row>
    <row r="27">
      <c r="A27" t="inlineStr">
        <is>
          <t>li-4370423459</t>
        </is>
      </c>
      <c r="B27" t="inlineStr">
        <is>
          <t>GCP Data Engineer</t>
        </is>
      </c>
      <c r="C27" t="inlineStr">
        <is>
          <t>Data Capital Incorporation</t>
        </is>
      </c>
      <c r="D27" t="inlineStr">
        <is>
          <t>linkedin</t>
        </is>
      </c>
      <c r="E27" t="inlineStr"/>
      <c r="F27" t="inlineStr"/>
      <c r="G27" t="inlineStr">
        <is>
          <t>Bentonville, AR</t>
        </is>
      </c>
      <c r="H27" t="inlineStr"/>
      <c r="I27" t="inlineStr">
        <is>
          <t>**About the Role:** 
 We are looking for a highly experienced Senior Data Engineer with strong expertise in real\-time data processing and scalable data architectures. You will play a key role in designing, building, and optimizing data platforms that support analytics, reporting, and machine learning use\-cases. You will work closely with cross\-functional teams (Data Science, Analytics, Product) to deliver high\-performance data infrastructure and tools.
**Professional Experience:** 
* Minimum 8 years of industry experience building enterprise data solutions.
* 4\+ years of recent, hands\-on experience with Google Cloud Platform data services.
* Proven track record of delivering productionized data platforms supporting analytics and ML.
 Key Responsibilities:
* **Design \&amp; Build Data Pipelines:** 
 Architect, develop, and maintain robust ETL/ELT workflows for batch and real\-time data ingestion and processing using Apache Spark (PySpark/Scala) and streaming technologies.
* **Real\-Time Streaming:** 
 Implement and manage scalable streaming platforms using Apache Kafka (or similar messaging systems like Pub/Sub/Flink), ensuring reliable data flow with low latency.
* **Optimize Data Workloads:** 
 Tune Spark jobs, streaming processes, repository schemas, and SQL queries to maximize performance, minimize cost, and ensure efficient resource utilization.
* **Architect Scalable Data Systems:** 
 Build and maintain modern data architectures including data lakes, data warehouses (BigQuery), and metadata frameworks that support analytical and ML workloads.
* **Data Quality \&amp; Monitoring:** 
 Implement automated data quality checks, monitoring dashboards, alerts, and self\-healing workflows to maintain high\-fidelity data.
* **Cloud \&amp; DevOps Integration:** 
 Collaborate with Cloud and DevOps teams to deploy solutions leveraging Google Cloud Platform services, containerization (Docker), and orchestration tools (Kubernetes).
* **Documentation \&amp; Best Practices:** 
 Maintain technical documentation, enforce data governance standards, and advocate for best practices in data engineering.
**Qualifications:** 
* **Programming:** 
 Strong proficiency in Python, SQL, with working knowledge of Scala or Java.
* **Big Data Frameworks:** 
 Expertise in Apache Spark (Spark SQL, DataFrames, Structured Streaming).
* **Streaming Technologies:** 
 Hands\-on experience with Apache Kafka, Google Pub/Sub, or similar systems.
* **Cloud Platforms:** 
 Solid experience with Google Cloud Platform (Google Cloud Platform) data services (BigQuery, Dataflow, Pub/Sub, Dataproc, etc.).
* **Data Stores:** 
 Experience with data warehousing solutions such as BigQuery, Snowflake, Redshift, and familiarity with NoSQL databases.</t>
        </is>
      </c>
    </row>
    <row r="28">
      <c r="A28" t="inlineStr">
        <is>
          <t>li-4370515846</t>
        </is>
      </c>
      <c r="B28" t="inlineStr">
        <is>
          <t>Azure Data Engineer</t>
        </is>
      </c>
      <c r="C28" t="inlineStr">
        <is>
          <t>Best Job Tool</t>
        </is>
      </c>
      <c r="D28" t="inlineStr">
        <is>
          <t>linkedin</t>
        </is>
      </c>
      <c r="E28" t="inlineStr"/>
      <c r="F28" t="inlineStr"/>
      <c r="G28" t="inlineStr"/>
      <c r="H28" t="inlineStr"/>
      <c r="I28" t="inlineStr">
        <is>
          <t>**About The Company**
 Analytica is a leading provider of innovative data analytics solutions, dedicated to transforming complex data into actionable insights for organizations across various industries. With a strong commitment to excellence and a customer\-centric approach, Analytica leverages cutting\-edge technologies and industry best practices to help clients make informed decisions, optimize operations, and achieve sustainable growth. Our team of skilled professionals is passionate about delivering high\-quality services and fostering a collaborative work environment that encourages continuous learning and development.
**About The Role**
 We are seeking a highly motivated and detail\-oriented Data Analyst to join our dynamic team at Analytica. In this role, you will be responsible for analyzing large datasets, developing insightful reports, and providing strategic recommendations to clients and internal stakeholders. The ideal candidate will possess a strong analytical mindset, excellent problem\-solving skills, and the ability to communicate complex data findings in a clear and concise manner. This position offers an exciting opportunity to work on diverse projects, utilize advanced analytics tools, and contribute to the company's mission of empowering businesses through data\-driven decision\-making.
**Qualifications**
* Bachelor’s degree in Data Science, Statistics, Computer Science, or a related field. A master’s degree is preferred.
* Proven experience as a Data Analyst or similar role, ideally within a consulting or technology environment.
* Proficiency in data analysis tools and programming languages such as SQL, Python, R, or SAS.
* Strong knowledge of data visualization tools like Tableau, Power BI, or similar platforms.
* Excellent analytical, problem\-solving, and critical\-thinking skills.
* Ability to work independently and collaboratively in a fast\-paced environment.
* Exceptional communication skills to effectively convey complex data insights to non\-technical stakeholders.
**Responsibilities**
* Collect, clean, and analyze large datasets to identify trends, patterns, and insights that support business objectives.
* Develop and maintain dashboards, reports, and visualizations to communicate findings clearly and effectively.
* Collaborate with cross\-functional teams to understand their data needs and deliver tailored analytical solutions.
* Design and implement data models and algorithms to enhance data accuracy and reliability.
* Present analytical findings and strategic recommendations to clients and internal teams.
* Monitor and improve data quality and integrity across various systems and sources.
* Stay updated on industry trends and emerging technologies to continuously improve analytical methodologies.
**Benefits**
 At Analytica, we believe in fostering a supportive and rewarding work environment. Our employees enjoy a comprehensive benefits package that includes competitive salary packages, health insurance, and retirement plans. We also offer opportunities for professional development through training programs, workshops, and certifications. Employees benefit from a flexible work schedule, a collaborative culture, and a vibrant office environment that encourages innovation and teamwork. Additionally, we recognize and reward outstanding performance through various incentive programs, ensuring our team members feel valued and motivated.
 Equal Opportunity
 Analytica is an equal opportunity employer. We are committed to creating an inclusive environment where all employees and applicants are treated with respect and fairness, regardless of race, gender, age, religion, national origin, disability, or any other protected characteristic. We believe diversity enhances our capabilities and drives innovation, and we welcome candidates from all backgrounds to join our team.</t>
        </is>
      </c>
    </row>
    <row r="29">
      <c r="A29" t="inlineStr">
        <is>
          <t>li-4370563746</t>
        </is>
      </c>
      <c r="B29" t="inlineStr">
        <is>
          <t>Staff Data Engineer (Hybrid)</t>
        </is>
      </c>
      <c r="C29" t="inlineStr">
        <is>
          <t>Homeward</t>
        </is>
      </c>
      <c r="D29" t="inlineStr">
        <is>
          <t>linkedin</t>
        </is>
      </c>
      <c r="E29" t="inlineStr"/>
      <c r="F29" t="inlineStr"/>
      <c r="G29" t="inlineStr"/>
      <c r="H29" t="inlineStr"/>
      <c r="I29" t="inlineStr">
        <is>
          <t>Homeward is rearchitecting the delivery of health and care in partnership with communities everywhere, starting in rural America. Today, 60 million Americans living in rural communities are facing a crisis of access to care. In the U.S. healthcare system, rural Americans experience significantly poorer clinical outcomes. This trend is rapidly accelerating as rural hospitals close and physician shortages increase, exacerbating health disparities. In fact, Americans living in rural communities suffer a mortality rate 23 percent higher than those in urban communities, in part because of the lack of access to quality care.
 Our vision is care that enables everyone to achieve their best health. So, we’re creating a new healthcare delivery model that is purpose\-built for rural America and directly addresses the issues that have historically limited access and quality. Homeward supports Medicare\-eligible beneficiaries by partnering with health plans, providers, and communities to align incentives – taking full financial accountability for clinical outcomes and the total cost of care across rural counties.
 As a public benefit corporation and Certified B Corp™, Homeward’s mission and business model are aligned to address the healthcare, economic, and demographic challenges that make it challenging for rural Americans to stay healthy. Our Homeward Navigation™ platform uses advanced analytics to connect members to the right care and local resources that address social determinants of health and improve holistic health outcomes. Since many rural communities lack adequate clinical capacity, Homeward also employs care teams that supplement local practices and reach people who cannot otherwise access care.
 Homeward is co\-founded by a leadership team that defined and delivered Livongo’s products, and backed most recently by a $50 million series B co\-led by Arch Ventures and Human Capital, with participation from General Catalyst for a total of $70 million in funding. With this leadership team and funding, Homeward is committed to bringing high\-quality healthcare to rural communities in need.
**The Opportunity:** 
 Join us in revolutionizing healthcare for rural America! We’re looking for a Data Engineer to help shape and build the infrastructure that powers analytics, data science, clinical tools, and care delivery. You’ll work cross\-functionally to ensure data is trustworthy, well\-organized, and ready to support both daily operations and long\-term insights.
**What You’ll Do:** 
* Work with data science, product, engineering, operations, and clinical teams to define requirements for Homeward’s data infrastructure
* Collaborate with engineering teams to ensure a uniform and consistent taxonomy and data collection practices that yield high quality analytics and insights for now and the future
* Design and build infrastructure to ingest, store, and report on members’ health data, such as claims data, lab results, medications, clinical data and more
* Design and implement workflows for ingestion and transformation for various data sources
* Work with a modern data engineering stack \- some pieces of ours include Airbyte, Snowflake, and Metabase.
**What You Bring:** 
* 7\+ years of hands\-on development experience
* Strong experience with ETL/ELT tools, data modeling, and modern cloud\-based data warehouses (Snowflake, dbt).
* Proficiency with SQL and Python for building and maintaining robust data workflows.
* Experience working with structured and semi\-structured data from various sources, including APIs and file\-based systems.
* Implemented infrastructure in AWS
**Bonus Points If You Have:** 
* Experience in regulated domains (HIPPA, PHI), or in healthcare systems.
* Background in building scalable data infrastructure in early\-stage or startup environments
* Experience with GenAI tooling
**What Shapes Our Company:** 
* Deep commitment to one another, the people and communities we serve, and to care that enables everyone to achieve their best health
* Compassion and empathy
* Curiosity and an eagerness to listen
* Drive to deliver high\-quality experiences, clinical care, and cost\-effectiveness
* Strong focus on the sustainability of our business and scalability of our services to maximize our reach and impact
* Nurturing a diverse workforce with a wide range of backgrounds, experiences, and points of view
* Taking our mission and business seriously but not taking ourselves too seriously– having fun as we build!
**Benefits:** 
* Competitive salary, equity grant, generous paid time off
* Comprehensive benefits package including medical, dental \&amp; vision insurance with 100% of monthly premium covered for employees
* Company\-sponsored 401k plan
* Flexible working arrangement
 The base salary range for this position is $165,000\-$185,000\. Compensation may vary outside of this range depending on a number of factors, including a candidate’s qualifications, skills, location, competencies and experience. Base pay is one part of the Total Package that is provided to compensate and recognize employees for their work at Homeward Health. This role is eligible for an annual bonus, stock options, as well as a comprehensive benefits package.
**Inclusion \&amp; Belonging:**
 At Homeward, a diverse set of backgrounds and experiences enrich our teams and allow us to achieve above and beyond our goals. If you have yet to gain experience in the areas detailed above, we hope you will share your unique background with us in your application and how it can be additive to our teams.
 Homeward is an Equal Opportunity Employer. All qualified applicants will receive consideration for employment without regard to race, color, religion, sex, disability, age, sexual orientation, gender identity, national origin, veteran status, or genetic information. Homeward is committed to providing access, equal opportunity, and reasonable accommodation for individuals with disabilities in employment, its services, programs, and activities.</t>
        </is>
      </c>
    </row>
    <row r="30">
      <c r="A30" t="inlineStr">
        <is>
          <t>li-4370576314</t>
        </is>
      </c>
      <c r="B30" t="inlineStr">
        <is>
          <t>Staff Data Engineer (Hybrid)</t>
        </is>
      </c>
      <c r="C30" t="inlineStr">
        <is>
          <t>Homeward</t>
        </is>
      </c>
      <c r="D30" t="inlineStr">
        <is>
          <t>linkedin</t>
        </is>
      </c>
      <c r="E30" t="inlineStr"/>
      <c r="F30" t="inlineStr"/>
      <c r="G30" t="inlineStr">
        <is>
          <t>Austin, TX</t>
        </is>
      </c>
      <c r="H30" t="inlineStr"/>
      <c r="I30" t="inlineStr">
        <is>
          <t>Homeward is rearchitecting the delivery of health and care in partnership with communities everywhere, starting in rural America. Today, 60 million Americans living in rural communities are facing a crisis of access to care. In the U.S. healthcare system, rural Americans experience significantly poorer clinical outcomes. This trend is rapidly accelerating as rural hospitals close and physician shortages increase, exacerbating health disparities. In fact, Americans living in rural communities suffer a mortality rate 23 percent higher than those in urban communities, in part because of the lack of access to quality care.
 Our vision is care that enables everyone to achieve their best health. So, we’re creating a new healthcare delivery model that is purpose\-built for rural America and directly addresses the issues that have historically limited access and quality. Homeward supports Medicare\-eligible beneficiaries by partnering with health plans, providers, and communities to align incentives – taking full financial accountability for clinical outcomes and the total cost of care across rural counties.
 As a public benefit corporation and Certified B Corp™, Homeward’s mission and business model are aligned to address the healthcare, economic, and demographic challenges that make it challenging for rural Americans to stay healthy. Our Homeward Navigation™ platform uses advanced analytics to connect members to the right care and local resources that address social determinants of health and improve holistic health outcomes. Since many rural communities lack adequate clinical capacity, Homeward also employs care teams that supplement local practices and reach people who cannot otherwise access care.
 Homeward is co\-founded by a leadership team that defined and delivered Livongo’s products, and backed most recently by a $50 million series B co\-led by Arch Ventures and Human Capital, with participation from General Catalyst for a total of $70 million in funding. With this leadership team and funding, Homeward is committed to bringing high\-quality healthcare to rural communities in need.
**The Opportunity:** 
 Join us in revolutionizing healthcare for rural America! We’re looking for a Data Engineer to help shape and build the infrastructure that powers analytics, data science, clinical tools, and care delivery. You’ll work cross\-functionally to ensure data is trustworthy, well\-organized, and ready to support both daily operations and long\-term insights.
**What You’ll Do:** 
* Work with data science, product, engineering, operations, and clinical teams to define requirements for Homeward’s data infrastructure
* Collaborate with engineering teams to ensure a uniform and consistent taxonomy and data collection practices that yield high quality analytics and insights for now and the future
* Design and build infrastructure to ingest, store, and report on members’ health data, such as claims data, lab results, medications, clinical data and more
* Design and implement workflows for ingestion and transformation for various data sources
* Work with a modern data engineering stack \- some pieces of ours include Airbyte, Snowflake, and Metabase.
**What You Bring:** 
* 7\+ years of hands\-on development experience
* Strong experience with ETL/ELT tools, data modeling, and modern cloud\-based data warehouses (Snowflake, dbt).
* Proficiency with SQL and Python for building and maintaining robust data workflows.
* Experience working with structured and semi\-structured data from various sources, including APIs and file\-based systems.
* Implemented infrastructure in AWS
**Bonus Points If You Have:** 
* Experience in regulated domains (HIPPA, PHI), or in healthcare systems.
* Background in building scalable data infrastructure in early\-stage or startup environments
* Experience with GenAI tooling
**What Shapes Our Company:** 
* Deep commitment to one another, the people and communities we serve, and to care that enables everyone to achieve their best health
* Compassion and empathy
* Curiosity and an eagerness to listen
* Drive to deliver high\-quality experiences, clinical care, and cost\-effectiveness
* Strong focus on the sustainability of our business and scalability of our services to maximize our reach and impact
* Nurturing a diverse workforce with a wide range of backgrounds, experiences, and points of view
* Taking our mission and business seriously but not taking ourselves too seriously– having fun as we build!
**Benefits:** 
* Competitive salary, equity grant, generous paid time off
* Comprehensive benefits package including medical, dental \&amp; vision insurance with 100% of monthly premium covered for employees
* Company\-sponsored 401k plan
* Flexible working arrangement
 The base salary range for this position is $150,000\-$170,000\. Compensation may vary outside of this range depending on a number of factors, including a candidate’s qualifications, skills, location, competencies and experience. Base pay is one part of the Total Package that is provided to compensate and recognize employees for their work at Homeward Health. This role is eligible for an annual bonus, stock options, as well as a comprehensive benefits package.
**Inclusion \&amp; Belonging:**
 At Homeward, a diverse set of backgrounds and experiences enrich our teams and allow us to achieve above and beyond our goals. If you have yet to gain experience in the areas detailed above, we hope you will share your unique background with us in your application and how it can be additive to our teams.
 Homeward is an Equal Opportunity Employer. All qualified applicants will receive consideration for employment without regard to race, color, religion, sex, disability, age, sexual orientation, gender identity, national origin, veteran status, or genetic information. Homeward is committed to providing access, equal opportunity, and reasonable accommodation for individuals with disabilities in employment, its services, programs, and activities.</t>
        </is>
      </c>
    </row>
    <row r="31">
      <c r="A31" t="inlineStr">
        <is>
          <t>li-4365934491</t>
        </is>
      </c>
      <c r="B31" t="inlineStr">
        <is>
          <t>Staff Data Engineer, Product Analytics</t>
        </is>
      </c>
      <c r="C31" t="inlineStr">
        <is>
          <t>Inworld AI</t>
        </is>
      </c>
      <c r="D31" t="inlineStr">
        <is>
          <t>linkedin</t>
        </is>
      </c>
      <c r="E31" t="inlineStr"/>
      <c r="F31" t="inlineStr"/>
      <c r="G31" t="inlineStr">
        <is>
          <t>Mountain View, CA</t>
        </is>
      </c>
      <c r="H31" t="inlineStr"/>
      <c r="I31" t="inlineStr">
        <is>
          <t>Inworld is a product\-oriented research lab of top AI researchers and engineers, developing best\-in\-class realtime multimodal models and the only realtime orchestration platform optimized for thousands of queries per second.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We’re looking for a Staff Data Engineer to own and evolve our analytics and data infrastructure. This is a high\-impact, individual contributor role at the intersection of product and engineering where you’ll be responsible not just for building pipelines, but for driving business outcomes from the data.
 This is the first time we’re hiring at this level for data engineering, so we need someone who thrives in ambiguity, takes ownership, and can operate independently from day one. You’ll have the opportunity to shape our data architecture and set the technical direction for how we turn data into decisions by identifying what’s working, what’s not, and driving the actions that move the business forward.
**What You’ll Do** 
* Own our analytics platform end\-to\-end: assess what we have today, identify gaps, and build what’s missing
* Design and build data pipelines focused on customer intelligence to identify opportunities to grow, improve retention, and drive smarter business decisions
* Turn data into action: analyze results, surface insights, and push the organization to act on them
* Partner closely with product, engineering, and ML teams to define what we measure, why it matters, and how we operationalize insights
* Drive technical direction for our data stack and establish best practices as the function grows
**What You’ll Bring** 
* 7\-10\+ years of experience in Data Engineering
* Bachelor’s degree in Computer Science, Engineering, or a related field (or equivalent professional experience)
* Deep hands\-on experience with data platforms and tooling, including BigQuery, Google Cloud Dataflow, Dagster, Looker Studio, or equivalent tools
* Strong communicator who can translate data into business decisions and influence cross\-functional stakeholders
* Experience designing data architecture and providing technical guidance to others
 Candidates must be based in the SF Bay Area or willing to relocate (you will be working on\-site in our South Bay office a few days a week).
 The US base salary range for this full\-time position is $200,000 \- $290,000\. In addition to base pay, total compensation includes equity and benefits. Within the range, individual pay is determined by work location, level, and additional factors, including competencies, experience, and business needs. The base pay range is subject to change and may be modified in the future.</t>
        </is>
      </c>
    </row>
    <row r="32">
      <c r="A32" t="inlineStr">
        <is>
          <t>li-4344987057</t>
        </is>
      </c>
      <c r="B32" t="inlineStr">
        <is>
          <t>Staff Data Engineer, Vehicle Software</t>
        </is>
      </c>
      <c r="C32" t="inlineStr">
        <is>
          <t>Rivian and Volkswagen Group Technologies</t>
        </is>
      </c>
      <c r="D32" t="inlineStr">
        <is>
          <t>linkedin</t>
        </is>
      </c>
      <c r="E32" t="inlineStr"/>
      <c r="F32" t="inlineStr"/>
      <c r="G32" t="inlineStr">
        <is>
          <t>Palo Alto, CA</t>
        </is>
      </c>
      <c r="H32" t="inlineStr"/>
      <c r="I32"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At Rivian \&amp; Volkswagen Group, our mission is to develop vehicles powered by software and data. We leverage fleet\-scale telemetry to enable vehicle intelligence, improve performance, and accelerate sustainability.
 We are seeking a Staff Data Engineer to lead the design and evolution of our analytics and data infrastructure. In this role, you will architect scalable data systems, mentor junior engineers, and drive best practices for data quality and governance. Working closely with data scientists, ML engineers, and our central data platform team, you will ensure that Rivian’s next generation of machine learning and analytics products are built on a foundation of robust, reliable, and high\-quality data. This is an opportunity to influence technical direction, own critical data pipelines, and shape Rivian’s approach to applied AI/ML data infrastructure.
**Responsibilities**
* Architect and own large\-scale ETL pipelines and distributed data processing workflows for vehicle telemetry and charging datasets.
* Define and implement data modeling strategies that support complex analytical and ML workloads.
* Establish and enforce best practices for data quality, validation, and governance across teams.
* Lead the design of scalable and cost\-efficient data systems leveraging Spark, Databricks, Airflow, and cloud\-native tools.
* Collaborate with cross\-functional partners to ensure data is provisioned, discoverable, and reliable for ML model training and production deployments.
* Drive the migration of datasets into unified catalogs and semantic telemetry systems, influencing Rivian’s long\-term data architecture roadmap.
* Evaluate and introduce new data technologies to improve scalability, observability, and developer efficiency.
**Qualifications**
* B.S. in Computer Science, Data Engineering, or related field.
* Proficiency in SQL and Python for data wrangling and analysis.
* Familiarity with ETL workflows, data pipelines, or cloud platforms (AWS/GCP/Azure).
* Familiarity with testing, TDD and testing frameworks like pytest.
* Hands\-on experience with Spark, Databricks, or Airflow a plus.
* Strong attention to detail, with an interest in data quality and reliability.
* Eagerness to learn and grow within a fast\-paced applied ML environment.
**Pay Disclosure**
**Salary Range/Hourly Rate for Palo Alto, California Based Applicants:** 
 $167,400 \- 209,300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33">
      <c r="A33" t="inlineStr">
        <is>
          <t>li-4370562136</t>
        </is>
      </c>
      <c r="B33" t="inlineStr">
        <is>
          <t>Senior Data Engineer</t>
        </is>
      </c>
      <c r="C33" t="inlineStr">
        <is>
          <t>CLARA Analytics</t>
        </is>
      </c>
      <c r="D33" t="inlineStr">
        <is>
          <t>linkedin</t>
        </is>
      </c>
      <c r="E33" t="inlineStr"/>
      <c r="F33" t="inlineStr"/>
      <c r="G33" t="inlineStr"/>
      <c r="H33" t="inlineStr"/>
      <c r="I33" t="inlineStr">
        <is>
          <t>**Senior Data Engineer \- Job Overview** 
**About CLARA Analytics** 
 CLARA Analytics is the leading AI as a service (AIaaS) provider that improves casualty claims outcomes for commercial insurance carriers and self\-insured organizations. The company’s product suite for workers comp, commercial auto and general liability insurance claims applies image recognition, natural language processing, and other AI\-based techniques to unlock insights from medical notes, bills and other documents surrounding a claim. CLARA’s customers include companies from the top 25 global insurance carriers to large third\-party administrators and self\-insured organizations. Founded in 2017, CLARA Analytics is headquartered in California’s Silicon Valley. For more information, visit www.claraanalytics.com.
**About the Role** 
 Join CLARA Analytics as a Senior Data Engineer and help transform the insurance industry by solving complex data challenges at scale. You'll build next\-generation data infrastructure using cutting\-edge AWS technologies that power our revolutionary AI models \- from ingesting claim documents to architecting pipelines that process medical claims. If you're passionate about leveraging modern tools like Spark, PySpark Glue, and the full AWS ecosystem to tackle problems that directly impact claims adjusters, this is your opportunity to be part of something truly transformative in an industry ripe for disruption.
**What You'll Do...** 
* Architect and implement modern, scalable ETL/ELT pipelines using modern AWS\-native services to process insurance claims data.
* Build resilient, high\-throughput data pipelines with an emphasis on quality and reliability to drive consistent, accurate data across the enterprise.
* Ingest and transform diverse data sources, structured, semi\-structured and unstructured, into enterprise\-level ETL/ELT solutions.
* Design and implement custom algorithms to solve complex data challenges and unlock new insights.
* Collaborate cross\-functionally with Data Scientists, Analysts, and Product teams to deliver business\-aligned solutions.
* Ensure pipeline reliability, performance, and SLA adherence.
* Streamline operations through automation, CI/CD, infrastructure\-as\-code, and configuration management tools.
**What We're Looking For...** 
 Required:
* 6\+ years building production data pipelines with Spark, PySpark, and Spark SQL, plus orchestration experience with Airflow, AWS Step Functions, or Prefect
* 4\+ years deep AWS data engineering expertise including tools such as Glue, EMR, Spark, and Lake Formation
* 4\+ years mastering Python (or Scala or Go) for data engineering with experience in modern frameworks like pandas, numpy, and data validation libraries
* 5\+ years architecting data solutions using AWS services, from S3 data lakes to Redshift warehouses, with Glue ETL and Lambda for serverless processing
* 3\+ years with container orchestration (Docker, Kubernetes, EKS) for scalable data workloads and microservices
* 2\+ years implementing data quality frameworks using AWS Glue Data Quality or Databrew.
* Expert\-level SQL skills including advanced analytics, window functions, and query optimization for large\-scale data processing
* Strong engineering practices including GitOps workflows, infrastructure\-as\-code (Terraform/CDK), automated testing, and DataOps methodologies
* Production containerization experience with Docker, Kubernetes, Helm, and AWS container services (EKS, ECS, ECR)
* Thrives in fast\-paced environments with excellent collaboration skills and adaptability to evolving requirements
* Creative problem\-solver with strong debugging skills and ability to architect innovative solutions for complex data challenges .
 Preferred:
* Direct experience with insurance claims data systems, including claims management platforms (Guidewire, Duck Creek, or Majesco), or healthcare EDI standards
* Experience working with medical coding systems (ICD\-10, CPT, NDC) and extracting insights from healthcare claims data
* AWS professional certifications (Solutions Architect, Data Analytics Specialty, or DevOps Professional) demonstrating cloud architecture expertise
* Background in insurance or healthcare analytics where you've built data solutions that improved underwriting accuracy, claims processing efficiency, or fraud detection.
**What We Offer...** 
* The opportunity to make a real impact on a growing company.
* Collaborative and supportive working environment.
* Competitive compensation (160 \- 190k base \+ 10% bonus) and benefits package, including 401k with match!
* Fully remote/WFH.
* Be a part of a team that is passionate about what we do!</t>
        </is>
      </c>
    </row>
    <row r="34">
      <c r="A34" t="inlineStr">
        <is>
          <t>li-4361355908</t>
        </is>
      </c>
      <c r="B34" t="inlineStr">
        <is>
          <t>Senior Data Engineer</t>
        </is>
      </c>
      <c r="C34" t="inlineStr">
        <is>
          <t>Realtime Recruitment</t>
        </is>
      </c>
      <c r="D34" t="inlineStr">
        <is>
          <t>linkedin</t>
        </is>
      </c>
      <c r="E34" t="inlineStr"/>
      <c r="F34" t="inlineStr"/>
      <c r="G34" t="inlineStr"/>
      <c r="H34" t="inlineStr"/>
      <c r="I34" t="inlineStr">
        <is>
          <t>**Senior SQL Developer / Data Engineer** 
**Location \- Greater Philadelphia** 
**Hybrid schedule** 
**Please note US Citizens and Green Card Holders only** 
 We’re working with a well\-established organization seeking an experienced Senior SQL Developer / Data Engineer to join a high\-performing data team. This role offers the opportunity to work on large\-scale, mission\-critical systems while collaborating closely with cross\-functional teams in an Agile environment.
 What You’ll Be Doing
* Designing, developing, and optimizing SQL Server databases and data solutions
* Building and maintaining ETL pipelines using SSIS
* Developing reporting solutions using SSRS
* Writing high\-performance SQL and T\-SQL for large, multi\-terabyte databases
* Collaborating on performance tuning and database optimization initiatives
* Supporting database deployments and CI/CD processes
* Working closely with developers, analysts, and stakeholders to deliver scalable solutions
 What We’re Looking For
* 5\+ years of experience as a SQL Developer / Engineer
* Strong expertise in Microsoft SQL Server (2016 or newer)
* Advanced SQL \&amp; T\-SQL skills (DML, DDL, query optimization)
* Hands\-on experience with SSIS (parameters, variables, data flows, parallelism)
* Experience with SSRS (datasets, parameters, drill\-downs, expressions)
* Experience tuning SQL, SSIS, and SSRS performance
* Familiarity with Agile/Scrum development environments
* Experience with Git and tools such as Jira or Azure DevOps
* Bachelor’s degree in Computer Science, Engineering, or equivalent professional experience
 Nice to Have
* Experience with Azure SQL or Azure Data Factory
* Basic applied C\# experience
* Exposure to Database Projects, DACPACs, or ISPAC deployments
 What Makes You a Great Fit
* Strong problem\-solving and analytical mindset
* Comfortable working under pressure and meeting deadlines
* Clear communicator who can explain complex technical concepts
* Self\-motivated, proactive, and eager to learn
* Able to manage multiple priorities while maintaining high quality
**Please note US Citizens and Green Card Holders only**</t>
        </is>
      </c>
    </row>
    <row r="35">
      <c r="A35" t="inlineStr">
        <is>
          <t>li-4370556372</t>
        </is>
      </c>
      <c r="B35" t="inlineStr">
        <is>
          <t>Programmer Analyst 6 – Data Engineer</t>
        </is>
      </c>
      <c r="C35" t="inlineStr">
        <is>
          <t>JPS Tech Solutions</t>
        </is>
      </c>
      <c r="D35" t="inlineStr">
        <is>
          <t>linkedin</t>
        </is>
      </c>
      <c r="E35" t="inlineStr"/>
      <c r="F35" t="inlineStr"/>
      <c r="G35" t="inlineStr">
        <is>
          <t>Lansing, MI</t>
        </is>
      </c>
      <c r="H35" t="inlineStr"/>
      <c r="I35" t="inlineStr">
        <is>
          <t>**Job Category:** 
 Engineer
**Job Type:** 
 Onsite
**Job Location:** 
 Lansing Michigan
**Compensation:** 
 Depends on Experience
**W2:** 
 W2\-Contract Only; Kindly note that applications on a C2C basis will not be considered for this role.
**Eligible Visa:** 
 GC GC\-EAD H4 EAD L2S U.S. Citizen (USC)
**Job Description**
****Visa Requirement:****
 This position is open only to candidates authorized to work in the United States under the following visa categories:
 **H4\-EAD, Green Card Holder, GC\-EAD, U.S. Citizen, L2s, L2\-EAD.** 
 No other visa types are eligible for this role.
****Job Description:****
 Responsible for maintaining, enhancing, and supporting the
 **Michigan Disease Surveillance System (MDSS)** 
 , a critical public health application. This role serves as a
 **technical lead** 
 , ensuring system stability, data integrity, security, and successful modernization efforts.
****Key Skills:****
* AWS, Databricks, S3
* Python / Scala
* ElasticSearch, Kibana
* ETL \&amp; Data Pipelines
* Oracle Database
* HL7 / EHR Integration
* Data Warehousing \&amp; Visualization
* Git, Agile, SDLC
* CI/CD (Azure DevOps – nice to have)
****Experience Required:****
* 12\+ years in complex database and data engineering systems
* 8\+ years with Databricks, ElasticSearch/Kibana, Python/Scala
* 5\+ years with AWS, ETL, and data pipelines
 Apply Online
 Your Name \*
 Your Phone Number \*
 Your Email Address \*
 Job id
 What is your current U.S. visa or immigration status? \*
 SelectU.S. Citizen (USC)Lawful Permanent Resident (Green Card holder)H1BF1\-OPT/Stem\-OPT/CPT EADH4\-EADL\-2SGC\-EADOther Valid Visa
 Where are you currently located at? \*
 W2 or C2C \*
 SelectW2C2C
 How many years of total experience do you have? \*
 How many years of relevant experience do you have? \*
 Do you require H1B sponsorship? \*
 YesNo
 Do you require sponsorship? \*
 NoYes – H\-1B transferYes – Green Card sponsorshipYes – Both H\-1B transfer and Green Card sponsorship
 Upload Resume \*
 Δ
 Facebook X LinkedIn WhatsApp</t>
        </is>
      </c>
    </row>
    <row r="36">
      <c r="A36" t="inlineStr">
        <is>
          <t>li-4357492872</t>
        </is>
      </c>
      <c r="B36" t="inlineStr">
        <is>
          <t>Data Engineer / Data Scientist / Data Architect - Full time</t>
        </is>
      </c>
      <c r="C36" t="inlineStr">
        <is>
          <t>Ztek Consulting</t>
        </is>
      </c>
      <c r="D36" t="inlineStr">
        <is>
          <t>linkedin</t>
        </is>
      </c>
      <c r="E36" t="inlineStr"/>
      <c r="F36" t="inlineStr"/>
      <c r="G36" t="inlineStr">
        <is>
          <t>Vienna, VA</t>
        </is>
      </c>
      <c r="H36" t="inlineStr"/>
      <c r="I36"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7">
      <c r="A37" t="inlineStr">
        <is>
          <t>li-4370416645</t>
        </is>
      </c>
      <c r="B37" t="inlineStr">
        <is>
          <t>Senior Data Engineer</t>
        </is>
      </c>
      <c r="C37" t="inlineStr">
        <is>
          <t>PA Consulting</t>
        </is>
      </c>
      <c r="D37" t="inlineStr">
        <is>
          <t>linkedin</t>
        </is>
      </c>
      <c r="E37" t="inlineStr"/>
      <c r="F37" t="inlineStr"/>
      <c r="G37" t="inlineStr">
        <is>
          <t>Boston, KY</t>
        </is>
      </c>
      <c r="H37" t="inlineStr"/>
      <c r="I37" t="inlineStr">
        <is>
          <t>**Company Description**
 We believe in the power of ingenuity to build a positive human future.
 As strategies, technologies, and innovation collide, we create opportunity from complexity.
 Our diverse teams of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**Job Description**
**Your day to day**
 We’re an innovation and transformation consultancy that believes in the power of ingenuity to build a positive\-human future in a technology\-driven world. Our diverse teams of experts combine innovative thinking with breakthrough\-technologies to progress further, faster.
 Are you ready to harness the power of data to drive advancements in healthcare? Are you passionate about both developing new capabilities and ensuring the optimization and reliability of existing data systems? Are you passionate about designing, building, and operating data infrastructure that plays a pivotal role in improving patient outcomes and shaping the future of medicine?
 If you're seeking a rewarding career at the intersection of healthcare and technology, we invite you to be part of our dynamic team. This is a unique, multi\-year, project\-based opportunity to build and grow a clinical data registry platform over many years working with a dedicated team of collaborators and customers.
 As a Data Engineer for our cutting\-edge medical data registry, you'll be at the forefront of managing, optimizing, and expanding our data infrastructure, enabling critical insights that can positively impact patient outcomes. This role provides a dynamic mix of innovative new development—enhancements, optimizations, and Proofs of Concept—alongside meaningful hands‑on ownership of production pipelines, data flows, and platform operations.
 You will contribute to system improvements while also owning the monitoring, troubleshooting, tuning, and day\-to\-day reliability of the existing data ecosystem. If you're excited about leveraging your data engineering skills to make a difference in the world of healthcare, we want to hear from you.
**Qualifications**
* At least 6 years of industry working experience
* Advanced SQL and Python
* Expertise in the design and construction of Big Data Lakes and Data Warehouses capable of ingesting, standardizing, and serving billions of data rows spanning diverse datasets ranging from tens to hundreds
* Experience building dynamic, metadata driven pipelines and analyses
* Experience maintaining and supporting production data systems, including pipeline monitoring, troubleshooting, and delivering long‑term reliability and optimization enhancements
* Building and managing fully automated data pipelines (ETL, ELT, ELTL) including:
+ Designing and building data interfaces to source systems
+ Combining and transforming data into the appropriate format for storage
+ Developing data sets for analytics purposes
+ Developing pipelines that can handle common issues/errors in a robust and automated way
+ Implementing data quality checks, observability, and cost/performance optimization
* Cloud experience in Azure, AWS or GCP
* Ability to balance enhancement work with operational responsibilities in a production environment
**Preferred Qualifications**
* Spark / PySpark experience highly preferable
* Working in Agile and DevOps environments
* Basic Python, Bash, or PowerShell for automation
* Data modelling – Kimball, Data Vault, Star/Snowflake schema, Query\-first etc.
* Data visualisation in Power BI, Tableau, Qlik or similar
* Architecting Data Platforms \- designing BI/MI/Analytics solutions using Big Data, Relational or Streaming technologies
* Experience with monitoring/observability tools (logging, alerting, pipeline health dashboards)
* One or more of the following certifications:
+ Microsoft Certified: Azure Data Engineer Associate
+ AWS Certified Data Analytics \- Specialty
+ GCP Professional Data Engineers
**Additional Information**
 Hybrid working \- our approach is to be in the office or on client site a minimum of 2 days per week. However, the actual time you spend and where you spend it will vary by role or assignment, including up to 5 days per week on a client site
 Life At PA encompasses our peoples' experience at PA. It's about how we enrich peoples’ working lives by giving them access to unique people and growth opportunities and purpose led meaningful work.
 We are currently operating a discretionary hybrid working model which is designed to help you plan your work and your life. We want our people to come into the office at least two days a week.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We are dedicated to supporting the physical, emotional, social and financial well\-being of our people.
 The salary range for this role is between $90,000 \- $125,000\.
**Benefits**
* Group medical insurance
* Health Savings Account with company match
* Teladoc and informed Nurse line resources
* Long term care plan
* Group dental insurance
* Vision plan
* 401(k) Savings Plan with company profit sharing contribution
* Commuter and Parking tax\-savings benefit
* 15 days paid vacation days with the opportunity to buy five additional days
* 10 paid Holidays plus 10 paid sick days
* Company and Voluntary income protection benefits
* Gym and health incentive reimbursement
* Pet and legal insurance Plans
* Employee Assistance Plan
* Annual performance\-based bonus</t>
        </is>
      </c>
    </row>
    <row r="38">
      <c r="A38" t="inlineStr">
        <is>
          <t>li-4370541784</t>
        </is>
      </c>
      <c r="B38" t="inlineStr">
        <is>
          <t>Lead Data Engineer - Data Platform Engineering (Hybrid)</t>
        </is>
      </c>
      <c r="C38" t="inlineStr">
        <is>
          <t>Northwell Health</t>
        </is>
      </c>
      <c r="D38" t="inlineStr">
        <is>
          <t>linkedin</t>
        </is>
      </c>
      <c r="E38" t="inlineStr"/>
      <c r="F38" t="inlineStr"/>
      <c r="G38" t="inlineStr">
        <is>
          <t>Melville, NY</t>
        </is>
      </c>
      <c r="H38" t="inlineStr"/>
      <c r="I38" t="inlineStr">
        <is>
          <t>174891
**Job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(GCP)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39">
      <c r="A39" t="inlineStr">
        <is>
          <t>li-4370559928</t>
        </is>
      </c>
      <c r="B39" t="inlineStr">
        <is>
          <t>Lead Data Engineer</t>
        </is>
      </c>
      <c r="C39" t="inlineStr">
        <is>
          <t>The Friedkin Group</t>
        </is>
      </c>
      <c r="D39" t="inlineStr">
        <is>
          <t>linkedin</t>
        </is>
      </c>
      <c r="E39" t="inlineStr"/>
      <c r="F39" t="inlineStr"/>
      <c r="G39" t="inlineStr"/>
      <c r="H39" t="inlineStr"/>
      <c r="I39"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As a Lead Data Engineer within the Trailblazer initiative, you will play a crucial role in architecting, implementing, and managing robust, scalable data infrastructure. This position demands a blend of systems engineering, data integration, and data analytics skills to enhance TFG's data capabilities, supporting advanced analytics, machine learning projects, and real\-time data processing needs. The ideal candidate brings deep expertise in Lakehouse design principles, including layered Medallion Architecture patterns (Bronze, Silver, Gold), to drive scalable and governed data solutions. This is also a highly visible leadership role that will represent the data engineering function and lead the Data Management Community of Practice across TFG.
**As a Lead Data Engineer You Will**
* Design and implement scalable and reliable data pipelines to ingest, process, and store diverse data at scale, using technologies such as Apache Spark, Hadoop, and Kafka.
* Work within cloud environments like AWS or Azure to leverage services including but not limited to EC2, RDS, S3, Lambda, and Azure Data Lake for efficient data handling and processing.
* Architect and operationalize data pipelines following Medallion Architecture best practices within a Lakehouse framework—ensuring data quality, lineage, and usability across Bronze, Silver, and Gold layers.
* Develop and optimize data models and storage solutions (Databricks, Data Lakehouses) to support operational and analytical applications, ensuring data quality and accessibility.
* Utilize ETL tools and frameworks (e.g., Apache Airflow, Fivetran) to automate data workflows, ensuring efficient data integration and timely availability of data for analytics.
* Lead the Data Management Community of Practice, serving as the primary facilitator, coordinator, and spokesperson. Drive knowledge sharing, establish best practices, and represent the data engineering discipline across TFG to both technical and business audiences.
* Collaborate closely with data scientists, providing the data infrastructure and tools needed for complex analytical models, leveraging Python or R for data processing scripts.
* Ensure compliance with data governance and security policies, implementing best practices in data encryption, masking, and access controls within a cloud environment.
* Monitor and troubleshoot data pipelines and databases for performance issues, applying tuning techniques to optimize data access and throughput.
* Stay abreast of emerging technologies and methodologies in data engineering, advocating for and implementing improvements to the data ecosystem.
**What We Need From You**
* Bachelor's Degree in Computer Science, MIS, or other business discipline and 10\+ years of experience in data engineering, with a proven track record in designing and operating large\-scale data pipelines and architectures Req or
* Master's Degree computer science, MIS, or other business discipline and 5\+ years of experience in data engineering, with a proven track record in designing and operating large\-scale data pipelines and architectures Req
* Demonstrated experience designing and implementing Medallion Architecture in a Databricks Lakehouse environment, including layer transitions, data quality enforcement, and optimization strategies. Required
* Expertise in developing ETL/ELT workflows Required
* Comprehensive knowledge of platforms and services like Databricks, Dataiku, and AWS native data offerings Required
* Solid experience with big data technologies (Apache Spark, Hadoop, Kafka) and cloud services (AWS, Azure) related to data processing and storage Required
* Strong experience in AWS cloud services, with hands\-on experience in integrating cloud storage and compute services with Databricks Required
* Proficient in SQL and programming languages relevant to data engineering (Python, Java, Scala) Required
* Hands on RDBMS experience (data modeling, analysis, programming, stored procedures) Required
* Familiarity with machine learning model deployment and management practices is a plus Required
* Strong executive presence and communication skills, with a proven ability to lead communities of practice, deliver presentations to senior leadership, and build alignment across technical and business stakeholders. Required
* AWS Certified Solution Architect Preferred
* Databricks Certified Associate Developer for Apache Spark Preferred
* DAMA CDMP or other relevant certifications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20%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40">
      <c r="A40" t="inlineStr">
        <is>
          <t>li-4370409234</t>
        </is>
      </c>
      <c r="B40" t="inlineStr">
        <is>
          <t>Senior Data Platform Engineer</t>
        </is>
      </c>
      <c r="C40" t="inlineStr">
        <is>
          <t>RemoteHunter</t>
        </is>
      </c>
      <c r="D40" t="inlineStr">
        <is>
          <t>linkedin</t>
        </is>
      </c>
      <c r="E40" t="inlineStr"/>
      <c r="F40" t="inlineStr"/>
      <c r="G40" t="inlineStr"/>
      <c r="H40" t="inlineStr"/>
      <c r="I40" t="inlineStr">
        <is>
          <t>About the Opportunity:
 Senior Data Platform Engineer to lead the evolution of a cloud\-based data ecosystem across multiple business units. This role combines hands\-on engineering with architectural guidance, governance leadership, and cross\-functional collaboration. The ideal candidate has deep experience with modern data engineering practices, including medallion architecture, and plays a key role in shaping the long\-term direction of the data platform.
 Responsibilities:
 • Lead design, development, and enhancement of a secure, high\-quality, analytics\-ready cloud data platform.
 • Champion medallion architecture (Bronze/Silver/Gold) for ingestion, refinement, and consumption layers.
 • Provide architectural guidance on data modeling, transformation patterns, and platform standards.
 • Define best practices for Bronze\-layer ingestion ensuring lineage, traceability, and auditability.
 • Establish Silver\-layer refinement standards for cleansing, harmonization, and schema consistency.
 • Oversee creation of Gold\-layer curated datasets optimized for reporting, analytics, and self\-service.
 • Develop and enforce data quality frameworks, validation rules, and monitoring processes across all layers.
 • Lead integration across diverse data sources including APIs, cloud applications, and on\-premise systems.
 • Mentor team members on data engineering patterns, performance optimization, and scalable design.
 • Troubleshoot complex issues across pipelines, cloud resources, and orchestration tools to minimize disruption.
 • Partner with Cyber Security, Compliance, and Legal teams to ensure adherence to data residency, privacy, and security requirements.
 • Define and maintain access control strategies including row\-level security and identity\-based permissions.
 • Promote governance practices supporting data stewardship, cataloging, and lifecycle management.
 • Manage platform updates, license renewals, and long\-term capacity planning.
 • Lead design and maintenance of CI/CD pipelines for consistent automated deployments.
 • Establish branching strategies, code review standards, and workflows promoting quality and collaboration.
 • Guide adoption of DevOps best practices to improve delivery speed, reliability, and observability.
 • Represent the data platform in change management forums and align platform strategy with organizational goals.
 • Partner with business analysts, product owners, and leadership to translate business needs into scalable data solutions.
 • Influence long\-term data strategy, platform roadmap, and technology adoption decisions.
 Requirements:
 • 10\+ years of hands\-on experience as a Data Engineer in Azure.
 • Expert knowledge of Microsoft 365 services and Azure.
 • Expert level proficiency in Dataverse.
 • Expert knowledge of data modeling and database concepts.
 • Expert proficiency in programming languages such as T\-SQL, Python, or R.
 • Expert understanding of cloud computing concepts.
 • Expert understanding of Application Lifecycle Management principles.
 • Expert experience designing and developing data warehouse solutions.
 • Experience with Microsoft Fabric Lakehouse and Data Warehouses.
 Benefits \&amp; Perks:
 • Employee Stock Ownership Plan (ESOP)
 • 401K plan
 • Medical, Dental, Vision, and Life Insurance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li-4370558887</t>
        </is>
      </c>
      <c r="B41" t="inlineStr">
        <is>
          <t>Lead Data Engineer, Supply Chain Data Services</t>
        </is>
      </c>
      <c r="C41" t="inlineStr">
        <is>
          <t>Chick-fil-A Corporate Support Center</t>
        </is>
      </c>
      <c r="D41" t="inlineStr">
        <is>
          <t>linkedin</t>
        </is>
      </c>
      <c r="E41" t="inlineStr"/>
      <c r="F41" t="inlineStr"/>
      <c r="G41" t="inlineStr">
        <is>
          <t>Atlanta, GA</t>
        </is>
      </c>
      <c r="H41" t="inlineStr"/>
      <c r="I41" t="inlineStr">
        <is>
          <t>We are seeking a highly skilled and experienced Development Engineer to join our Master Data Management (MDM) team. This Level 9 role is critical in designing, developing, and implementing robust MDM solutions, primarily within our Stibo (STEP) platform, to empower our business with high\-quality, reliable data. The ideal candidate will possess a strong blend of technical expertise in JavaScript development, deep knowledge of data architecture and modeling, and a keen eye for user experience in data entry and maintenance. This role emphasizes delivering features with business velocity while strictly adhering to foundational data modeling principles and ensuring best\-in class data quality. In this role, you will be responsible for analyzing, documenting, and optimizing the flow of data within our organization, ensuring it accurately reflects and supports our physical processes and systems. You will play a key role in designing and implementing improvements to our data lifecycle management, including Item Lifecycle Management.
**Responsibilities**
* Process Engineering:
+ Encourage requirements gathering, strong process understanding, documentation, and policy design and enforcement, to align the digital data environment and process to the physical network it informs and supports.
* Process Observation and Documentation:
+ Observe and analyze how our digital data ecosystem mirrors physical processes and systems.
+ Document data flows, information flows, and integration flows using engineering best practice documentation techniques (e.g., process flow diagrams, data flow diagrams).
+ Perform Current State Assessments, Target State Design, and Gap Analysis to comprehensively understand limitations of the system and how to implement continuous improvement to close gaps in desired capabilities and outcomes.
* Software Development:
+ Lead the design, development, and implementation of new features and enhancements for our Master Data Management software, with a strong emphasis on physical JavaScript coding within the Stibo (STEP) environment.
* Data Architecture \&amp; Integration:
+ Architect and optimize data structures within the Stibo (STEP) MDM system, ensuring seamless integration with various enterprise systems and data sources.
* Data Modeling \&amp; Lifecycle Management:
+ Apply advanced data modeling techniques to ensure data integrity, scalability, and performance within Stibo (STEP). Implement and manage data lifecycle principles from data creation to archival.
+ Focus on how data is created, ingested, systematized, consumed, and deprecated within the MDM system and downstream consuming systems and analytics.
+ Develop and implement strategies to improve data quality, governance, and compliance throughout the data lifecycle.
* Feature Delivery \&amp; Velocity:
+ Drive the rapid delivery of high\-quality features to production, maintaining a strong focus on business pace and velocity while upholding rigorous development standards.
* Foundational Data Principles:
+ Ensure all development and design decisions adhere to foundational data modeling principles, promoting data consistency and accuracy across the organization.
* User Interface Design:
+ Design intuitive and efficient user interfaces for data entry, maintenance, and consumption within Stibo (STEP), optimizing the user experience for various data stewards and business users.
* Data Quality \&amp; Engineering Practices:
+ Leverage strong critical thinking to anticipate and implement robust data quality guardrails, appropriate data types, effective dating logic, and other advanced data engineering practices to ensure the highest standards of data retention and integrity within the MDM system.
* Collaboration:
+ Partner closely with business stakeholders, data stewards, and other engineering teams to translate business requirements into technical solutions.
**Minimum Qualifications**
* Experience:
+ Bachelors Degree: Major/Concentration Engineering (industrial or systems preferred), Computer Science, Information Systems, or a related field
+ 4\+ years of progressive experience in software development, with a significant focus on data\-intensive applications and Master Data Management.
+ Experience mapping current state processes, identifying inefficiencies, and designing improved future state processes.
+ Experience in process improvement methodologies (e.g., Lean, Six Sigma).
+ Experience with data analysis to drive process improvement recommendations.
+ Experience in designing, implementing, and maintaining data and analytics systems.
+ Experience with data modeling and database design.
+ Experience with DevOps practices and automation.
* Technical Proficiency:
+ Expert\-level proficiency in JavaScript development (including the development of STEP business rules), strong understanding and experience with STEP APIs (including STEP GraphQL), and the development of STEP extensions in Java, with a proven track record of building complex, scalable applications.
+ Proficiency in business process modeling and notation.
+ Ability to translate business requirements into technical specifications.
+ Knowledge of data integration techniques and tools.
* MDM Platform Experience:
+ Demonstrated experience working with Master Data Management platforms, specifically with Stibo (STEP), including system setup (e.g., data and component models, security, matching and linking, API Endpoints, etc), STEP Workflow design and configuration, WebUI, Integrations, system performance, taxonomy and attribute management, and data quality metrics setup and profiling.
* Data Expertise:
+ Strong foundation and hands\-on experience in data architecture, systems integrations, data modeling, and data lifecycle management principles.
+ Understanding of data governance and data quality principles.
+ Understanding of system security and data privacy principles.
+ Problem\-Solving \&amp; Analytical Skills:
+ Exceptional critical thinking and analytical skills, with the ability to anticipate potential data quality issues and design proactive solutions.
+ Strong analytical and problem\-solving skills to identify root causes of process issues.
+ Ability to troubleshoot system issues and identify solutions.
* UI/UX Acumen:
+ Demonstrated ability to design user\-centric interfaces, particularly for data entry and management systems, considering aspects like data types, validation, and effective dating.
* Collaboration \&amp; Communication:
+ Excellent communication and interpersonal skills, capable of articulating complex technical concepts to both technical and non\-technical audiences.
+ Ability to facilitate workshops and gather requirements from stakeholders.
* Agile Mindset:
+ Experience working in an agile development environment, with a commitment to delivering value incrementally and adapting to evolving business needs.
**Preferred Qualifications**
* Information Systems, or a related field
* Deep functional and technical knowledge of Stibo (STEP) modules and capabilities.
* Familiarity with cloud\-based data platforms (e.g., AWS, Azure, GCP).
* Knowledge of data governance frameworks and best practices.
**Minimum Years Of Experience**
 4
**Relocation Assistance Provided**
 No</t>
        </is>
      </c>
    </row>
    <row r="42">
      <c r="A42" t="inlineStr">
        <is>
          <t>li-4356530328</t>
        </is>
      </c>
      <c r="B42" t="inlineStr">
        <is>
          <t>Senior Data Engineer with MDM experience - Synechron Inc.</t>
        </is>
      </c>
      <c r="C42" t="inlineStr">
        <is>
          <t>Jobs via eFinancialCareers</t>
        </is>
      </c>
      <c r="D42" t="inlineStr">
        <is>
          <t>linkedin</t>
        </is>
      </c>
      <c r="E42" t="inlineStr"/>
      <c r="F42" t="inlineStr"/>
      <c r="G42" t="inlineStr">
        <is>
          <t>Iselin, NJ</t>
        </is>
      </c>
      <c r="H42" t="inlineStr"/>
      <c r="I42"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specializing in Master Data Management (MDM) to join our data team. The ideal candidate will have a strong background in designing, implementing, and managing end\-to\-end MDM solutions, preferably within the financial sector. Candidate will be responsible for architecting robust data platforms, evaluating MDM tools, and aligning data strategies to meet business needs.
 Additional Information\*
 The base salary for this position will vary based on geography and other factors. In accordance with law, the base salary for this role if filled within Iselin, NJ is $140k \- $155k/year \&amp; benefits (see below).
**The Role**
**Responsibilities:**
* Lead the design, development, and deployment of comprehensive MDM solutions across the organization, with an emphasis on financial data domains.
* Demonstrate extensive experience with multiple MDM implementations, including platform selection, comparison, and optimization.
* Architect and present end\-to\-end MDM architectures, ensuring scalability, data quality, and governance standards are met.
* Evaluate various MDM platforms (e.g., Informatica, Reltio, Talend, IBM MDM, etc.) and provide objective recommendations aligned with business requirements.
* Collaborate with business stakeholders to understand reference data sources and develop strategies for managing reference and master data effectively.
* Implement data integration pipelines leveraging modern data engineering tools and practices.
* Develop, automate, and maintain data workflows using Python, Airflow, or Astronomer.
* Build and optimize data processing solutions using Kafka, Databricks, Snowflake, Azure Data Factory (ADF), and related technologies.
* Design microservices, especially utilizing GraphQL, to enable flexible and scalable data services.
* Ensure compliance with data governance, data privacy, and security standards.
* Support CI/CD pipelines for continuous integration and deployment of data solutions.
**Requirements:**
* 12\+ years of experience in data engineering, with a proven track record of MDM implementations, preferably in the financial services industry.
* Extensive hands\-on experience designing and deploying MDM solutions and comparing MDM platform options.
* Strong functional knowledge of reference data sources and domain\-specific data standards.
* Expertise in Python, Pyspark, Kafka, microservices architecture (particularly GraphQL), Databricks, Snowflake, Azure Data Factory, SQL, and orchestration tools such as Airflow or Astronomer.
* Familiarity with CI/CD practices, tools, and automation pipelines.
* Ability to work collaboratively across teams to deliver complex data solutions.
* Experience with financial systems (capital markets, credit risk, and regulatory compliance applications).
**Preferred, but not required:**
* Familiarity with financial data models and regulatory requirements.
* Experience with Azure cloud platforms
* Knowledge of data governance, data quality frameworks, and metadata management.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43">
      <c r="A43" t="inlineStr">
        <is>
          <t>li-4370805458</t>
        </is>
      </c>
      <c r="B43" t="inlineStr">
        <is>
          <t>Spatial Data Engineer II (Geocoding)</t>
        </is>
      </c>
      <c r="C43" t="inlineStr">
        <is>
          <t>Esri</t>
        </is>
      </c>
      <c r="D43" t="inlineStr">
        <is>
          <t>linkedin</t>
        </is>
      </c>
      <c r="E43" t="inlineStr"/>
      <c r="F43" t="inlineStr"/>
      <c r="G43" t="inlineStr">
        <is>
          <t>Redlands, CA</t>
        </is>
      </c>
      <c r="H43" t="inlineStr"/>
      <c r="I43" t="inlineStr">
        <is>
          <t>**Overview**
 Esri’s ArcGIS World Geocoding solutions deliver global search and geocoding capabilities to organizations across the world. Search and geocoding are used in a wide range of applications across the ArcGIS platform such as where to open your retail store, how to best allocate resources for delivering packages, or where is, and how do I get to, my favorite coffee shop?
 As a Spatial Data Engineer on the geocoding team, you will work with massive spatial data from both commercial and open sources. You’ll be asked to master data specifications, automate processes for acquiring and loading spatial datasets, transform those datasets into normalized data models, and work with product teams to ensure continuous quality improvements driven by the best available content.
 If you are passionate about data and geospatial technology, join the geocoding team because you can’t have “The Science of Where” if you don’t know where to start!
 Esri has a Relocation Assistance Program and can provide support with relocating to the Redlands, CA area for this position.
**Responsibilities**
* Analyze, enhance, prepare and load spatial data into normalized databases on regular intervals
* Write and maintain Python and SQL scripts for data processing and loading
* Evaluate new data sources for quality and attribution to support product requirements
* Review data specifications and changes, adjust scripts and processes where necessary
**Requirements**
* 2\+ years of experience developing Python scripts or tools
* Experience writing scripts to perform spatial operations, advanced queries, and joins in SQL
* Intermediate to advanced experience working with large, normalized databases
* Experience transforming data from flat to normalized databases
* Prior experience with ETL workflows
* Ability to read data product specifications and translate into database models and tables
* Ability to manage priorities and tasks as needed in a fast\-paced work environment
* A keen attention to detail and drive to resolve any issues encountered
* Bachelor's degree in computer science, information systems, GIS, or related field
**Recommended Qualifications**
* Experience working with commercial data from data vendors such as Here, TomTom or Infutor
* Experience working with open\-source spatial data such as OpenStreetMap, or Tiger/Line
* Experience creating stored procedures for optimizing common tasks and operations
* Experience working with ArcMap, ArcGIS Pro, and ArcGIS geoprocessing
* Prior experience with geocoding, geocoding data, or address data
* Knowledge of Agile software development using Scrum
* Prior experience with software development and release of commercial software product
* Prior experience with ETL workflows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$76,960 USD \- $128,544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44">
      <c r="A44" t="inlineStr">
        <is>
          <t>li-4367641536</t>
        </is>
      </c>
      <c r="B44" t="inlineStr">
        <is>
          <t>Data Engineer</t>
        </is>
      </c>
      <c r="C44" t="inlineStr">
        <is>
          <t>MasterClass</t>
        </is>
      </c>
      <c r="D44" t="inlineStr">
        <is>
          <t>linkedin</t>
        </is>
      </c>
      <c r="E44" t="inlineStr"/>
      <c r="F44" t="inlineStr"/>
      <c r="G44" t="inlineStr"/>
      <c r="H44" t="inlineStr"/>
      <c r="I44" t="inlineStr">
        <is>
          <t>**Who we are:** 
 MasterClass is
 *the* 
 streaming platform where the world’s best come together so anyone, anywhere, can access and be inspired by their knowledge and stories. We put you in the room with the creators, thinkers, makers and leaders who have changed the world, so that you can change yours.
 Members get unprecedented access to 150\+ instructors and classes across a wide variety of fields, including Arts \&amp; Entertainment, Business, Design \&amp; Style, Sports \&amp; Gaming, Writing and more. Step into Nas’ recording studio and Gordon Ramsay’s kitchen, and go behind the big screen with James Cameron. Design your career with Elaine Welteroth, get ready to win with Lewis Hamilton, perfect your pitch with Shonda Rhimes and discover your inner negotiator with Chris Voss.
 It's a pivotal time for MasterClass – and we want you to be a part of the journey. With offices in San Francisco (HQ) and Waterloo, Ontario plus a studio in Los Angeles, we are looking to expand our team to support the business.
 If you want to help make an impact on our members' lives – we want to hear from you!
**Summary of The Role:** 
 Data, and how they are used, play a central role at MasterClass and are at the heart of how we make business, product, content, and operational decisions. At MasterClass, data is pivotal to our decision\-making processes, influencing business strategies, product development, content creation, and operational efficiency. Our growing Data teams sit at the core of the company and collaborate with various departments to drive decisions and provide direction for future growth at MasterClass. Our expanding Data teams are central to the company, collaborating across multiple departments to drive decisions and steer future growth at MasterClass. Our Data engineering team tackles challenging problems across many technical disciplines, including data warehouse, cloud infrastructure, data orchestration systems, critical integrations (and more.) We seek an exceptional Data Engineer to help design, build, and operate our data platform to scale the business and enable the Data organization and teams to solve challenges.
**What You Will Do:** 
* Design, build, and manage our data warehouse, data storage, and data ingestion solutions.
* Implement robust and fault\-tolerant systems for data ingestion and processing.
* Develop canonical datasets to track key product metrics, including user growth, engagement, and revenue.
* Understand and translate business needs into data models to support long\-term, scalable, and reliable data pipelines
* Enhance and maintain the Data Infrastructure using best practices and latest features to ensure high data quality.
* Define and manage SLA’s for data sets and processes running in production
* Continuously improve our data infrastructure and empower teams with the best data tooling and systems.
* Build strong cross\-functional partnerships with Data Analysts, Product Managers, and Software Engineers to understand data needs and deliver on those needs.
* Participate in data architecture and engineering decisions, leveraging your strong experience and knowledge.
* Build lineage and auditability into data pipelines
* Be part of a data engineering team that is also responsible for the reliability of the data systems that are built and be available to respond to critical incidents as needed
* Ensure the security, integrity, and compliance of data in accordance with industry and company standards.
**About You (Requirements):** 
* 4\+ years of experience in Data Engineering and Data Warehousing
* Experience scaling data environments with distributed processing technologies and frameworks.
* Advanced proficiency with SQL, Python, Postgres, and  integrations via APIs
* Experience working in an AWS cloud environment in designing and implementing cloud data warehouses, other types of storage, and developing ETL/ELT pipelines
* Experience integrating and building a data platform in support of BI, Analytics, and Data Science
* Expertise with ETL schedulers such as Airflow, Dagster, Prefect, or similar frameworks.
* AI tools knowledge that includes an understanding of prompt engineering and how data impacts LLM performance in RAG pipelines; familiarity with modern AI technology stacks; ensuring high\-quality data inputs for AI models; and integrating AI capabilities into business intelligence solutions.
* Strong communication skills, with the ability to initiate and drive projects proactively and accurately
* Eligible to work in the United States legally
**At MasterClass, we believe we put our best work forward when our employees bring together ideas that are diverse in thought.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In addition, MasterClass will provide reasonable accommodations for qualified individuals with disabilities.  If you have a disability or special need, we would like to know how we can better accommodate you.** 
 The salary range listed is for NYC/CA/WA. As a company, we have a location based strategy, which means the disclosed range estimate has not been adjusted for any applicable geographic differential associated with the location where the position may be filled.MasterClass’s salary ranges are based on paying competitively for our size and industry. In addition to salary, we also offer equity and comprehensive benefits (medical, dental, vision, flexible PTO, and more). The range listed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Salary Range: $142,000 USD \- $170,000 USD</t>
        </is>
      </c>
    </row>
    <row r="45">
      <c r="A45" t="inlineStr">
        <is>
          <t>li-4370464156</t>
        </is>
      </c>
      <c r="B45" t="inlineStr">
        <is>
          <t>Senior Data Engineer</t>
        </is>
      </c>
      <c r="C45" t="inlineStr">
        <is>
          <t>Versant Media</t>
        </is>
      </c>
      <c r="D45" t="inlineStr">
        <is>
          <t>linkedin</t>
        </is>
      </c>
      <c r="E45" t="inlineStr"/>
      <c r="F45" t="inlineStr"/>
      <c r="G45" t="inlineStr">
        <is>
          <t>New York, NY</t>
        </is>
      </c>
      <c r="H45" t="inlineStr"/>
      <c r="I45"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 Salary range: $140,000 \- $160,000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46">
      <c r="A46" t="inlineStr">
        <is>
          <t>li-4370461197</t>
        </is>
      </c>
      <c r="B46" t="inlineStr">
        <is>
          <t>Senior Data Engineer</t>
        </is>
      </c>
      <c r="C46" t="inlineStr">
        <is>
          <t>Versant Media</t>
        </is>
      </c>
      <c r="D46" t="inlineStr">
        <is>
          <t>linkedin</t>
        </is>
      </c>
      <c r="E46" t="inlineStr"/>
      <c r="F46" t="inlineStr"/>
      <c r="G46" t="inlineStr">
        <is>
          <t>Los Angeles, CA</t>
        </is>
      </c>
      <c r="H46" t="inlineStr"/>
      <c r="I46"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Data Engineering team is seeking a Senior Data Engineer to help design, build, and scale the modern data platform that powers analytics, data science, and data products across Versant brands. In this role, you’ll collaborate closely with Data Product, Data Science, Analytics, and Engineering teams to deliver reliable, high\-impact data solutions used by hundreds of internal users. We're looking for engineers who enjoy hands\-on development, take ownership of production systems, and influence implementation through collaboration and technical expertise.
****Key Responsibilities****
* Design and implement lakehouse architecture using Delta Lake, including medallion pipeline patterns (Bronze/Silver/Gold), schema enforcement, and time travel
* Build and operate batch and real\-time ingestion pipelines leveraging Databricks Auto Loader, Structured Streaming, and Change Data Capture patterns
* Implement data governance and security using Unity Catalog, RBAC, and compliance\-driven practices for sensitive environments
* Optimize performance and manage costs through FinOps strategies, including cluster sizing, workload tagging, Spark tuning, and Photon acceleration
* Design, implement, and maintain CI/CD pipelines and orchestration workflows using Databricks Workflows, Delta Live Tables, and tools such as Airflow
* Collaborate with Data Science teams on ML workflows, including MLflow, feature store integration, and model lifecycle management
* Ensure data quality, observability, and lineage across media\-specific datasets such as streaming logs, ad impressions, and audience metrics
* Provide technical mentorship through code reviews, pairing and knowledge sharing
****Qualifications****
 Qualifications
* Bachelor’s degree in Computer Science, Data Engineering, or equivalent practical experience
* 5\+ years of experience building production\-grade data pipelines in cloud environments using Spark\-based platforms (e.g., Databricks, EMR, Dataproc, open\-source Spark)
* Expertise in PySpark, SQL, and Spark\-based data processing, with experience operating pipelines at scale in production
* Hands\-on experience building batch or streaming production data pipelines using distributed processing frameworks (e.g., Spark, Flink) and query engines such as Presto
* Proficiency with orchestration tools such as Apache Airflow or Dagster, with hands\-on experience in CI/CD, monitoring, alerting, and data quality for production systems
* Experience working with modern data architectures, including event\-driven and distributed systems
* Proficiency with Git and collaborative development workflows
* Build and operate batch and real\-time ingestion pipelines using Spark based batch and streaming patterns (e.g., Structured Streaming, CDC), with experience on Databricks or comparable platforms
* Solid understanding of infrastructure, networking, and data security fundamentals
****Preferred Qualifications****
* Experience building Lakehouse platforms and medallion pipelines in Databricks
* Familiarity with Unity Catalog, data governance, and compliance frameworks (e.g., PCI)
* Hands\-on experience with CI/CD pipelines, orchestration tools, and infrastructure\-as\-code
* Experience with Lakeflow Spark Declarative Pipelines (SDP), MLflow, feature stores, and MLOps practices
* Background in media and entertainment data (e.g., video metadata, ad tech, audience analytics)
* Experience building data platforms within the media industry, with a strong understanding of audience analytics
* Experience working with large\-scale analytical datasets (e.g., event logs, clickstream data, audience metrics)
* Comfortable using AI\-assisted development tools (e.g., ChatGPT)
* Databricks or cloud certifications (e.g., Databricks Certified Data Engineer)
****What Sets You Apart****
* Passion for clean, reliable, and scalable data systems
* Strong communication and collaboration skills
* Ability to balance near\-term delivery with thoughtful technical design
* Curiosity and a growth mindset
* A team\-first attitude who supports and uplifts others
****Additional Information****
* As part of our selection process, candidates may be required to attend an in\-person interview with a VERSANT employee in New York.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 Salary range: $140,000 \- $160,000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47">
      <c r="A47" t="inlineStr">
        <is>
          <t>li-4370843631</t>
        </is>
      </c>
      <c r="B47" t="inlineStr">
        <is>
          <t>Data Engineer</t>
        </is>
      </c>
      <c r="C47" t="inlineStr">
        <is>
          <t>Incedo Inc.</t>
        </is>
      </c>
      <c r="D47" t="inlineStr">
        <is>
          <t>linkedin</t>
        </is>
      </c>
      <c r="E47" t="inlineStr"/>
      <c r="F47" t="inlineStr"/>
      <c r="G47" t="inlineStr">
        <is>
          <t>Dallas, TX</t>
        </is>
      </c>
      <c r="H47" t="inlineStr"/>
      <c r="I47" t="inlineStr">
        <is>
          <t>Job Title: Data Engineer
 Location: Pittsburgh, PA, Dallas TX, Cleveland, OH
 Duration: Full\-time
 Domain: Banking
**\_\_\_\_\_\_\_\_\_\_\_\_\_\_\_\_\_\_\_\_\_\_\_\_\_\_\_\_\_\_\_\_\_\_\_\_\_\_\_\_** 
**Job Summary:** 
 We are seeking a talented Data Engineer with Data Analyst experience to join our team, supporting projects in the banking domain for Incedo The ideal candidate will possess hands\-on experience with the Hadoop ecosystem, including technologies such as Spark, HBase, Hive, Pig, Sqoop, Scala, Flume, HDFS, and Map Reduce. The candidate will play a key role in designing and implementing robust data pipelines and analytics solutions, supporting critical banking operations.
**\_\_\_\_\_\_\_\_\_\_\_\_\_\_\_\_\_\_\_\_\_\_\_\_\_\_\_\_\_\_\_\_\_\_\_\_\_\_\_\_** 
**Key Responsibilities:** 
**•** 
 Design, develop, and maintain scalable data pipelines and ETL workflows within the Hadoop ecosystem.
 • Work with banking domain stakeholders to gather requirements and deliver data\-driven insights.
 • Develop and optimize big data solutions using technologies such as Hadoop, Spark, and Hive.
**•** 
 Perform data analysis and build dashboards to provide actionable insights for banking operations.
 • Integrate various data sources, ensuring data accuracy, quality, and consistency.
 • Collaborate with business analysts, data scientists, and development teams to deliver end\-to\-end solutions.
 • Implement data governance and security best practices in line with regulatory compliance for the banking domain.
 • Monitor and troubleshoot data workflows, ensuring system performance and reliability.
 • Use tools like Sqoop and Flume to transfer and process data between structured and unstructured sources.
 Leverage HBase for real\-time data storage and querying as required by banking systems.
**Qualifications:** 
 Experience: 10\+ years of experience in data engineering and analytics, preferably in the banking/financial domain.
**Technical Skills:** 
**•** 
 Proficiency with Hadoop technologies (HDFS, MapReduce, Hive, Pig, HBase, Sqoop, Flume).
 • Expertise in Spark for distributed data processing and Scala for programming.
 • Hands\-on experience with ETL/ELT workflows and data pipeline development.
 • Knowledge of data storage solutions like HBase and tools for real\-time data ingestion and processing.</t>
        </is>
      </c>
    </row>
    <row r="48">
      <c r="A48" t="inlineStr">
        <is>
          <t>li-4370835576</t>
        </is>
      </c>
      <c r="B48" t="inlineStr">
        <is>
          <t>Data Engineer II</t>
        </is>
      </c>
      <c r="C48" t="inlineStr">
        <is>
          <t>Lennar</t>
        </is>
      </c>
      <c r="D48" t="inlineStr">
        <is>
          <t>linkedin</t>
        </is>
      </c>
      <c r="E48" t="inlineStr"/>
      <c r="F48" t="inlineStr"/>
      <c r="G48" t="inlineStr">
        <is>
          <t>Irving, TX</t>
        </is>
      </c>
      <c r="H48" t="inlineStr"/>
      <c r="I48"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49">
      <c r="A49" t="inlineStr">
        <is>
          <t>li-4362290843</t>
        </is>
      </c>
      <c r="B49" t="inlineStr">
        <is>
          <t>Senior Data Engineer</t>
        </is>
      </c>
      <c r="C49" t="inlineStr">
        <is>
          <t>Coltech</t>
        </is>
      </c>
      <c r="D49" t="inlineStr">
        <is>
          <t>linkedin</t>
        </is>
      </c>
      <c r="E49" t="inlineStr"/>
      <c r="F49" t="inlineStr"/>
      <c r="G49" t="inlineStr">
        <is>
          <t>New York, United States</t>
        </is>
      </c>
      <c r="H49" t="inlineStr"/>
      <c r="I49" t="inlineStr">
        <is>
          <t>Senior Data Engineer – AWS
 New York (2–3 days onsite)
 $75/hour \| 12\-month Contract\-to\-Hire
 US Citizen or Green Card required
 We’re working with a product\-led organisation building
 **AWS\-native data platforms** 
 that power analytics and machine\-learning use cases in a regulated environment.
 They’re looking for a
 **senior Data Engineer** 
 with strong software engineering foundations who can
 **own data architecture end\-to\-end** 
 , design and deploy production\-grade pipelines, and communicate complex technical concepts clearly to non\-technical stakeholders.
 What you’ll be doing
* Designing, building, and maintaining scalable data infrastructure
* Deploying data pipelines across AWS (Glue, Lambda, EKS/ECS)
* Cleaning and transforming data for engineering, analytics, and AI teams
* Building reusable features for ML feature stores (Feast or equivalent)
* Making database and tooling decisions across cloud and on\-prem environments
* Monitoring data quality, performance, and integrity in production
 What we’re looking for
* 3\+ years as a Data Engineer and 8\+ years in software engineering
* Strong data modeling, architecture, and system design skills
* Deep AWS experience (Glue, Lambda, EKS/ECS)
* Proficiency in SQL and Python (Golang a plus)
* Experience with MySQL, Snowflake, Cassandra, and familiarity with graph databases (Neptune / Neo4j)
* Strong understanding of
 **PII, data governance, and secure data handling**
* Confident communicator with non\-technical stakeholders
 This is a
 **12\-month contract\-to\-hire** 
 role paying
 **$75/hour** 
 , based in
 **New York** 
 , with
 **2–3 days onsite** 
 .
 If you’re looking for a role where you can
 **own data systems rather than just maintain pipelines** 
 , we’d like to hear from you.
 Apply or message directly to start the conversation.</t>
        </is>
      </c>
    </row>
    <row r="50">
      <c r="A50" t="inlineStr">
        <is>
          <t>li-4370474008</t>
        </is>
      </c>
      <c r="B50" t="inlineStr">
        <is>
          <t>Data Engineer</t>
        </is>
      </c>
      <c r="C50" t="inlineStr">
        <is>
          <t>LTIMindtree</t>
        </is>
      </c>
      <c r="D50" t="inlineStr">
        <is>
          <t>linkedin</t>
        </is>
      </c>
      <c r="E50" t="inlineStr"/>
      <c r="F50" t="inlineStr"/>
      <c r="G50" t="inlineStr">
        <is>
          <t>New York, United States</t>
        </is>
      </c>
      <c r="H50" t="inlineStr"/>
      <c r="I50"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Specialist \- Data Engineering (DBT/Python/SQL)** 
**Work Location** 
 \-
 **NY, NY** 
**Job Description:** 
 Design build and maintain scalable data models and transformation pipelines using dbt SQL and Python.
 Build and optimize ELT Extract Load Transform workflows using Python scripts and orchestration tools like Airflow or Dagster.
 Implement data testing validation and documentation within dbt to ensure data integrity and reliability.
 Manage and enhance database and data warehouse solutions e.g. Snowflake Big Query Redshift.
 Work closely with data scientists’ analysts and business stakeholders to understand data requirements and translate them into robust data solutions.
 Continuously monitor and optimize data workflows and SQL queries for performance and cost efficiency.
 Version control CICD Leverage software engineering best practices including version control Git and CICD pipelines for automated testing and deployment.
 Troubleshooting Monitor and troubleshoot issues within data pipelines and systems to ensure data availability and accuracy.
 Proficiency in SQL Strong experience in writing complex optimized SQL queries for data manipulation and extraction.
 Extensive programming experience in Python for data processing automation and building data pipelines using libraries like pandas or PySpark.
 Hands\-on experience with dbt Data Build Tool for data transformation modeling testing and documentation.
 knowledge Familiarity with modern cloud data platforms such as Snowflake AWS Azure or GCP.
 Solid understanding of data modeling concepts eg star schema dimensional modeling and database design principles.
 Experience with data integration transformation and ETL techniques and tools
 Excellent analytical and problem\-solving skills to debug and resolve complex data issues.
 Strong communication skills to effectively collaborate with both technical and nontechnical teams.
 Version control Experience with version control systems especially Git.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51">
      <c r="A51" t="inlineStr">
        <is>
          <t>li-4335594710</t>
        </is>
      </c>
      <c r="B51" t="inlineStr">
        <is>
          <t>Data Engineer</t>
        </is>
      </c>
      <c r="C51" t="inlineStr">
        <is>
          <t>Agility Partners</t>
        </is>
      </c>
      <c r="D51" t="inlineStr">
        <is>
          <t>linkedin</t>
        </is>
      </c>
      <c r="E51" t="inlineStr"/>
      <c r="F51" t="inlineStr"/>
      <c r="G51" t="inlineStr">
        <is>
          <t>Columbus, Ohio Metropolitan Area</t>
        </is>
      </c>
      <c r="H51" t="inlineStr"/>
      <c r="I51" t="inlineStr">
        <is>
          <t>**Job Description** 
 We’re seeking a skilled
 **Data Engineer** 
 based in
 **Columbus, OH** 
 , to support a high\-impact data initiative. The ideal candidate will have hands\-on experience with
 **Python, Databricks, SQL** 
 , and
 **version control systems** 
 , and be comfortable building and maintaining robust, scalable data solutions.
**Key Responsibilities** 
* Design, implement, and optimize
 **data pipelines and workflows** 
 within Databricks.
* Develop and maintain
 **data models** 
 and
 **SQL queries** 
 for efficient ETL processes.
* Partner with cross\-functional teams to define data requirements and deliver business\-ready solutions.
* Use
 **version control systems** 
 to manage code and ensure collaborative development practices.
* Validate and maintain
 **data quality, accuracy, and integrity** 
 through testing and monitoring.
**Required Skills** 
* Proficiency in
 **Python** 
 for data engineering and automation.
* Strong, practical experience with
 **Databricks** 
 and distributed data processing.
* Advanced
 **SQL** 
 skills for data manipulation and analysis.
* Experience with
 **Git** 
 or similar version control tools.
* Strong analytical mindset and attention to detail.
**Preferred Qualifications** 
* Experience with
 **cloud platforms** 
 (AWS, Azure, or GCP).
* Familiarity with
 **enterprise data lake** 
 architectures and best practices.
* Excellent communication skills and the ability to work independently or in team environments.</t>
        </is>
      </c>
    </row>
    <row r="52">
      <c r="A52" t="inlineStr">
        <is>
          <t>li-4370832707</t>
        </is>
      </c>
      <c r="B52" t="inlineStr">
        <is>
          <t>Data Engineer II</t>
        </is>
      </c>
      <c r="C52" t="inlineStr">
        <is>
          <t>Lennar</t>
        </is>
      </c>
      <c r="D52" t="inlineStr">
        <is>
          <t>linkedin</t>
        </is>
      </c>
      <c r="E52" t="inlineStr"/>
      <c r="F52" t="inlineStr"/>
      <c r="G52" t="inlineStr">
        <is>
          <t>Miami, FL</t>
        </is>
      </c>
      <c r="H52" t="inlineStr"/>
      <c r="I52"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53">
      <c r="A53" t="inlineStr">
        <is>
          <t>li-4370829859</t>
        </is>
      </c>
      <c r="B53" t="inlineStr">
        <is>
          <t>Data Engineer II</t>
        </is>
      </c>
      <c r="C53" t="inlineStr">
        <is>
          <t>Lennar</t>
        </is>
      </c>
      <c r="D53" t="inlineStr">
        <is>
          <t>linkedin</t>
        </is>
      </c>
      <c r="E53" t="inlineStr"/>
      <c r="F53" t="inlineStr"/>
      <c r="G53" t="inlineStr">
        <is>
          <t>Bentonville, AR</t>
        </is>
      </c>
      <c r="H53" t="inlineStr"/>
      <c r="I53"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54">
      <c r="A54" t="inlineStr">
        <is>
          <t>li-4370440639</t>
        </is>
      </c>
      <c r="B54" t="inlineStr">
        <is>
          <t>Analytics Engineer</t>
        </is>
      </c>
      <c r="C54" t="inlineStr">
        <is>
          <t>Orthodontic Partners</t>
        </is>
      </c>
      <c r="D54" t="inlineStr">
        <is>
          <t>linkedin</t>
        </is>
      </c>
      <c r="E54" t="inlineStr"/>
      <c r="F54" t="inlineStr"/>
      <c r="G54" t="inlineStr">
        <is>
          <t>Grand Rapids, MI</t>
        </is>
      </c>
      <c r="H54" t="inlineStr"/>
      <c r="I54" t="inlineStr">
        <is>
          <t>Founded by some of the nation’s top orthodontists and headquartered in Grand Rapids, MI, Orthodontic Partners (OP) is a fast\-growing national orthodontic service organization that provides partner doctors with a full range of administrative, marketing, HR, and financial support services. Our mission is to build a better orthodontic partnership model by bringing together leading business and clinical minds and sharing insights that inspire our partners, teams and patients. It is through a relentless pursuit of this mission that we’ve successfully built a world class network of partners who value collaboration, excellence, growth, and trust. We’ve grown to support over 30 top orthodontic practices across nearly 70 locations and 15 states and are just getting started. We’re looking for highly motivated individuals to join us as we revolutionize the orthodontics industry by making orthodontic care more convenient, affordable, faster and easier for patients.
**Summary Of Position**
 The Analytics Engineer serves as a bridge between data engineering and analytics by building and improving data pipelines, analytical datasets, and reporting\-ready data models. This role is designed for an early\-career professional who wants to grow at the intersection of data engineering and analytics, with a strong emphasis on SQL\-driven data transformation, pipeline reliability, and analytics\-ready data modeling.
 The position works closely with the Data Engineer, BI Developer, and BI Manager to ingest new data sources, transform and structure data for reporting and analytics, and improve the reliability, performance, and documentation of the analytics platform. Over time, this role is expected to grow into increased ownership of production datasets, data quality monitoring, and pipeline optimization, and semantic modeling.
**Essential Job Functions**
* Write and maintain SQL transformations used to clean, standardize, and model data for reporting, analytics, and self\-service use cases.
* Assist in managing database objects such as tables, views, schemas, and transformations used by reporting and analytics tools.
* Help build and maintain structured data layers (e.g., raw, cleaned, and reporting layers).
* Work with the Data Engineer to onboard new data sources using a modern analytics stack.
* Create and maintain curated datasets and reporting tables consumed by Power BI and other internal tools.
* Perform data validation and reconciliation to ensure accuracy and reliability.
* Assist in developing data quality checks, monitoring, and alerting.
* Troubleshoot data issues and support root cause analysis.
* Document data pipelines, transformations, business logic, and data lineage.
* Contribute to experimentation and adoption of AI\-driven tools or models to enhance analytics, data preparation, and insight generation.
**Knowledge, Skills And Abilities**
* Foundational SQL skills for querying, transforming, and validating data.
* Basic understanding of data modeling concepts for reporting and analytics.
* Enthusiasm and ability to learn cloud\-based data platforms and modern analytics tools.
* Strong attention to detail and commitment to data accuracy.
* Analytical mindset with the ability to ask good questions and investigate data issues.
* Clear communication skills and comfort working with both technical and non\-technical stakeholders.
**Qualifications**
* 1–3 years of relevant experience in data analytics, business intelligence, data engineering, or a related role.
* Bachelor’s Degree or equivalent experience in computer science, information systems, engineering, mathematics, business, or a related field.
* Experience working with SQL and relational databases.
* Exposure to reporting or analytics tools such as Power BI, Tableau, or similar platforms.
**Preferred Qualifications**
* Exposure to ETL/ELT concepts or analytics transformation frameworks.
* Familiarity with cloud\-based data platforms (Azure preferred).
* Experience with data ingestion or orchestration tools.
* Interest in data quality, automation, and scalable analytics.
* Curiosity about AI or advanced analytics techniques.
**First 90 Days**
* Gain a working understanding of existing data pipelines, data sources, and reporting datasets.
* Document key data pipelines, transformations, and data lineage
* Support recurring data processes independently with guidance.
* Build or enhance at least one production analytics dataset.
* Implement basic data validation or quality checks.
**Growth Path (Internal Expectation)**
 This role is expected to grow over time into greater ownership of data pipelines, data modeling, quality monitoring, and performance optimization, evolving toward a full Analytics Engineer role as skills and experience develop
**Key Benefits**
 In addition to your base compensation, we offer a competitive benefits package that includes monthly bonus opportunities, Medical/Rx, Dental, and Vision coverage, a retirement plan (401\-k) with a percentage match, flexible spending accounts, health savings accounts, an employee assistance program, and several other benefit options.
 Enroll in benefits coverage that is effective on your first day of employment! Further details on the benefits program are available upon request.
 Orthodontic Partners is an equal opportunity workplace. We are committed to equal employment opportunity regardless of race, color, ancestry, religion, sex, national origin, sexual orientation, age, citizenship, marital status, disability, gender identity or Veteran status.</t>
        </is>
      </c>
    </row>
    <row r="55">
      <c r="A55" t="inlineStr">
        <is>
          <t>li-4370808235</t>
        </is>
      </c>
      <c r="B55" t="inlineStr">
        <is>
          <t>Data Engineer</t>
        </is>
      </c>
      <c r="C55" t="inlineStr">
        <is>
          <t>Tsunami Express Car Wash</t>
        </is>
      </c>
      <c r="D55" t="inlineStr">
        <is>
          <t>linkedin</t>
        </is>
      </c>
      <c r="E55" t="inlineStr"/>
      <c r="F55" t="inlineStr"/>
      <c r="G55" t="inlineStr">
        <is>
          <t>Dallas, TX</t>
        </is>
      </c>
      <c r="H55" t="inlineStr"/>
      <c r="I55" t="inlineStr">
        <is>
          <t>**Brief Description**
**Ride the Wave to a New Career with Tsunami Express Car Wash!**
 At Tsunami Express Car Wash, we’re more than just a place to get your car cleaned — we’re building a team\-driven culture where innovation, growth, and customer experience are at the heart of everything we do.
 Tsunami Express currently owns and operates 75\+ express car wash locations across Indiana, Minnesota, Illinois, Ohio, Missouri, and Wisconsin, with aggressive plans to expand to 100\+ locations over the next three years. We are creating a high\-performance network of car washes powered by people, automation, and smart technology.
 We’re hiring a data engineer to own our customer and member attributes and core KPIs, with a strong focus on data accuracy, reliability, and trust. The data you build and maintain will directly power executive and company\-wide KPI dashboards in Domo and customer engagement workflows in Braze, where incorrect data can have real business and customer impact. Correctness and stability matter just as much as delivery speed, and data testing and validation are first\-class concerns in this role, not an afterthought.
 This role sits between analytics engineering and data engineering. A significant portion of this role focuses on member data that feeds marketing and lifecycle workflows, not just analytics and reporting. While this role does not build dashboards or campaigns, it owns the data that powers segmentation, targeting, and customer messaging. The primary responsibility is owning customer metrics and attributes, but you’ll also contribute to broader data modeling, integrations, and ETL work across the platform. Because this data directly influences how and when customers are contacted, this role requires a strong understanding of how marketing and CRM systems consume data. This role is not a good fit for candidates who have not worked closely with CRM or marketing lifecycle data in production.
 Our core data stack includes Snowflake as our data warehouse, dbt for transformations and testing, and Airflow for orchestration. We value strong SQL and data modeling skills above deep specialization in any single tool. Experience with Python is helpful for building and maintaining integrations, API\-based ingestion, and pipeline logic. If you enjoy treating metrics as products, preventing data issues before they happen, and building systems that others trust, this role is for you.
**Key Responsibilities**
* Own the member data environment, including the health and reliability of key data integrations
* Own the definition, modeling, and ongoing maintenance of customer attributes and core KPIs
* Ensure the accuracy, reliability, and consistency of data used in decision\-making and customer engagement, including:
* Customer attributes and lifecycle states
* Company\-wide dashboards (Domo)
* Design, build, and maintain data integrations and ingestion processes that support marketing, lifecycle, and CRM use cases
* Design and maintain analytics\-ready data models that support long\-term metric stability
* Build, expand, and own automated tests, validations, and safeguards to ensure data quality issues are detected and flagged before reaching internal users or customers
* Define and enforce system\-level data validations to ensure only trusted data reaches downstream systems
* Act as the primary owner for member data incidents, from detection through resolution, including clearly communicating risk and impact to stakeholders
* Contribute to broader ETL pipelines, including dbt models, Airflow tasks, and Python\-based processes
* Support projects that require ingesting or enriching data via external APIs
* Collaborate closely with data analysts and business stakeholders on metric definitions, customer attributes, and data usage expectations
**Requirements**
**Qualifications:**
**Data Engineer Skills**
* Strong SQL skills for analytical and production use cases (joins, window functions, deduplication, temporal logic, aggregations)
* Experience with data modeling for analytics (facts, dimensions, event models, historical or snapshot modeling)
* Experience working with dbt or similar transformation tools
* Comfort working in a modern cloud data warehouse environment
*CRM \&amp; Marketing Data Usage Experience*
* Hands\-on experience supporting CRM data, customer attributes, or lifecycle metrics used for marketing or customer engagement
* Understanding of how customer attributes and lifecycle states are used in segmentation, targeting, and campaign execution
* Ability to reason about the downstream business and customer impact of incorrect or unstable CRM data
* Strong ownership mindset around data quality and correctness in operational systems, not just reporting
**Preferred Qualifications**
* Experience working directly with Braze or a comparable CRM / customer engagement platform
* Exposure to data testing, contracts, or observability tools
* Experience with Snowflake
* Working knowledge of Python for data engineering tasks
* Familiarity with Airflow or other orchestration tools
* Experience integrating data from external APIs
**Summary**
**What you’ll get from us:**
* Competitive base salary \+ performance bonus
* Health, dental, and vision insurance
* Paid time off
* 401(k) with company match
* Significant growth and advancement opportunities
* Collaborative, high\-performance culture with strong leadership access
* Free employee car washes
**When You’ll Work**
* Fully remote role
* Occasional evenings/weekends depending on business needs
* Periodic travel for leadership meetings or site visits
 Our mission is to delight our customers with a cool, convenient, and quality clean — every time. We build loyalty by making every visit fast, easy, and enjoyable, while also offering unbeatable membership rewards.
**Join the Tsunami Experience Today!**
 At Tsunami Express Car Wash, we’re proud to serve our community with happy smiles and good vibes only. Our mission is to be a true oasis for our customer’s vehicle—and a mini escape for our guests.
 Customers Enjoy a Quick Vacation From Their Day As They Surf Through Our Vibrant Tunnel, Filled With Waves Of Bright Colors And Refreshing Scents. After The Wash, They Can Relax And Take Advantage Of Our Top\-notch Amenities, Including
* Free vacuums
* Complimentary self\-service air for tires
* A full\-service detail center
 Come ride the wave with us—and help bring the Tsunami magic to life!</t>
        </is>
      </c>
    </row>
    <row r="56">
      <c r="A56" t="inlineStr">
        <is>
          <t>li-4370591786</t>
        </is>
      </c>
      <c r="B56" t="inlineStr">
        <is>
          <t>Senior Data Engineer</t>
        </is>
      </c>
      <c r="C56" t="inlineStr">
        <is>
          <t>General Dynamics Information Technology</t>
        </is>
      </c>
      <c r="D56" t="inlineStr">
        <is>
          <t>linkedin</t>
        </is>
      </c>
      <c r="E56" t="inlineStr"/>
      <c r="F56" t="inlineStr"/>
      <c r="G56" t="inlineStr"/>
      <c r="H56" t="inlineStr"/>
      <c r="I56" t="inlineStr">
        <is>
          <t>****Job Description:****
**Type of Requisition:**
 Regular
****Clearance Level Must Currently Possess:****
 None
****Clearance Level Must Be Able To Obtain:****
 None
****Public Trust/Other Required:****
 NACI (T1\)
****Job Family:****
 Cyber and IT Risk Management
****Skills:****
**Job Qualifications:**
 ETL, MongoDB, Pentaho, SQL Database Queries
****Certifications:****
 None
****Experience:****
 8 \+ years of related experience
****US Citizenship Required:****
 Yes
****Job Description:****
 We’re seeking a Data Engineer Senior to join our Scientific Modeling, Application, Visualization, Computational Science, Software, and Statistical Support (SMAVCS4\) team to support the Environmental Protection Agency. Office of Chemical Safety and Pollution Prevention (OCSPP), a scientific organization working to support Agency decisions by providing solutions\-driven research to rapidly evaluate the potential human health and environmental risks due to exposures to environmental chemicals and ensure the integrity of the freshwater environment and its capacity to support human well\-being.
 MEANINGFUL WORK AND PERSONAL IMPACT
 The Data Engineer requires in\-depth knowledge of developing and managing data analysis pipelines, including database development and statistical software programming for analyzing complex data. The successful candidate will administer and manage MySQL, PostgreSQL, and MongoDB databases to maintain optimal performance and data integrity. They will collaborate with backend teams and application development teams to design and implement ETL/ELT processes and optimize them to support EPA data needs. They will be responsible for designing and implementing highly optimized data models to ensure efficient data processing and retrieval.
**What You’ll Need To Succeed**
 Bring your expertise and drive for innovation to GDIT. The Data Engineer Senior must have:
* Education: Bachelor of Science
* Experience: 8\+ years of related experience
* Technical skills: ETL/ELT, Python
* Security clearance level: must be able to obtain EPA Public Trust Level 4
* US citizenship required
* Role requirements: Structured Query Language (SQL), Not only SQL (NoSQL), agile methodologies; ETL platform such as Pentaho and Informatica; Data Management \&amp; Data Modeling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$112,840 \- $145,130\.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57">
      <c r="A57" t="inlineStr">
        <is>
          <t>li-4370434526</t>
        </is>
      </c>
      <c r="B57" t="inlineStr">
        <is>
          <t>Palantir Data Engineer</t>
        </is>
      </c>
      <c r="C57" t="inlineStr">
        <is>
          <t>Voto Consulting LLC</t>
        </is>
      </c>
      <c r="D57" t="inlineStr">
        <is>
          <t>linkedin</t>
        </is>
      </c>
      <c r="E57" t="inlineStr"/>
      <c r="F57" t="inlineStr"/>
      <c r="G57" t="inlineStr">
        <is>
          <t>Jersey City, NJ</t>
        </is>
      </c>
      <c r="H57" t="inlineStr"/>
      <c r="I57" t="inlineStr">
        <is>
          <t>**Job Title:** 
 Palantir Data Engineer (Only W2 Contract)
**Location:** 
 Jersey City, NJ
**Work mode:** 
 Hybrid (04 Days per Week)
**Must Have:** 
**Palantir, Python, PySpark** 
**Job Description:** 
* We are seeking a seasoned
 **Data Engineer** 
 with
 **3\-10 years of experience** 
 in
 **data engineering** 
 ,
 **AWS** 
 ,
 **microservices architecture** 
 , and
 **AI/ML frameworks** 
 , along with hands\-on expertise or certification in
 **Palantir Foundry** 
 .
* The ideal candidate will work on designing scalable data solutions, building robust pipelines, and integrating machine learning models into data workflows.
**Key Requirements:** 
* **03\-10 years** 
 of hands\-on experience in
 **data engineering** 
 with a focus on
 **ETL workflows** 
 ,
 **data pipelines** 
 , and cloud computing.
* Strong experience with
 **AWS services** 
 for data processing and storage (e.g., S3, Glue, Athena, Lambda, Redshift).
* Proficiency in programming languages such as
 **Python** 
 ,
 **PySpark**
* Deep understanding of
 **microservices architecture** 
 and
 **distributed systems** 
 .
* Familiarity with
 **AI/ML tools and frameworks** 
 (e.g., TensorFlow, PyTorch) and their integration into data pipelines.
* Experience with big data technologies like
 **Apache Spark** 
 ,
 **Kafka** 
 , and
 **Snowflake** 
 .
* Strong problem\-solving and performance optimization skills.
* Exposure to
 **modern DevOps practices** 
 , including CI/CD pipelines and container orchestration tools like
 **Docker** 
 and
 **Kubernetes** 
 .
* Experience working in agile environments delivering complex data engineering solutions.
* Proven expertise or certification in
 **Palantir Foundry** 
 is highly preferred.</t>
        </is>
      </c>
    </row>
    <row r="58">
      <c r="A58" t="inlineStr">
        <is>
          <t>li-4370429968</t>
        </is>
      </c>
      <c r="B58" t="inlineStr">
        <is>
          <t>Data Engineer</t>
        </is>
      </c>
      <c r="C58" t="inlineStr">
        <is>
          <t>Haystack</t>
        </is>
      </c>
      <c r="D58" t="inlineStr">
        <is>
          <t>linkedin</t>
        </is>
      </c>
      <c r="E58" t="inlineStr"/>
      <c r="F58" t="inlineStr"/>
      <c r="G58" t="inlineStr"/>
      <c r="H58" t="inlineStr"/>
      <c r="I58" t="inlineStr">
        <is>
          <t>**AI Integration Data Scientist / Engineer \| Remote \| $76,000 \- $116,000** 
 We're working with BWX Technologies on this exciting opportunity.
 Join BWX Technologies, a Fortune 1000 innovator, and be instrumental in shaping the future of AI integration within critical national security, clean energy, and space exploration initiatives. This pivotal role offers the chance to lead secure and scalable AI adoption, transforming cutting\-edge technology into real\-world impact across diverse platforms like Azure AI and AWS SageMaker.
**The Role** 
 • Partner with business units to identify and prioritize high\-impact AI use cases with measurable ROI.
 • Design and implement AI\-powered solutions that integrate seamlessly into existing systems and workflows.
 • Build prototypes and proof\-of\-concepts to validate AI applications before scaling.
 • Ensure all AI integrations comply with data governance, privacy regulations, and internal security protocols, leveraging your deep knowledge of cybersecurity principles.
 • Stay current with emerging AI technologies, regulations, and ethical standards.
**What You'll Need** 
 • Minimum of 6 years of relevant professional experience in AI/ML implementation, automation, or systems integration.
 • Strong understanding of machine learning, natural language processing, and data engineering.
 • Proficiency in Python, JavaScript, or similar programming languages.
 • Experience with enterprise\-grade AI platforms such as Azure AI, OpenAI, AWS SageMaker, or Google Vertex AI.
 • Deep knowledge of cybersecurity principles, data protection, secure software development, and responsible AI practices.
**What's On Offer** 
 • 12 paid holidays and a 9/80 work schedule, promoting work\-life balance.
 • Comprehensive benefits package including medical, dental, vision, tuition assistance, and generous retirement contributions.
 • Access to exclusive perks and discounts through Perks@Work, and support for family care via Care.com.
 • Opportunities for continuous learning and growth within a mission\-driven organization making a positive impact.
**Apply via Haystack today!**</t>
        </is>
      </c>
    </row>
    <row r="59">
      <c r="A59" t="inlineStr">
        <is>
          <t>li-4370838863</t>
        </is>
      </c>
      <c r="B59" t="inlineStr">
        <is>
          <t>Senior Data Engineer</t>
        </is>
      </c>
      <c r="C59" t="inlineStr">
        <is>
          <t>Procore Technologies</t>
        </is>
      </c>
      <c r="D59" t="inlineStr">
        <is>
          <t>linkedin</t>
        </is>
      </c>
      <c r="E59" t="inlineStr"/>
      <c r="F59" t="inlineStr"/>
      <c r="G59" t="inlineStr">
        <is>
          <t>Austin, TX</t>
        </is>
      </c>
      <c r="H59" t="inlineStr"/>
      <c r="I59" t="inlineStr">
        <is>
          <t>We are looking for a Senior Data Engineer to join Procore Data team. In this role, you will be responsible for building the data architecture that connects Procore’s global ecosystem. You will work across diverse domains to create a unified, high\-fidelity view of our customers, projects, and users.
 This is a "Data Engineering first" role that leverages AI and Machine Learning to solve complex Entity Resolution challenges. You will use the modern data stack to transform fragmented data from across the enterprise into a cohesive, intelligent data foundation that powers our global strategy.
**What you’ll do:**
* Develop and maintain scalable ETL pipelines using Apache Spark. You will implement partitioning strategies and apply performance tuning techniques while utilizing modern open table formats like Delta Lake and Apache Iceberg to manage data consistency
* As a Senior Data Engineer, you will drive engineering excellence through code reviews, mentorship, and the implementation of CI/CD best practices for data.
* Develop and deploy AI/ML models and probabilistic matching logic to link and deduplicate entities across disparate business domains.
* Design canonical data models that provide a 360\-degree view of the enterprise, ensuring that a "Customer" in Sales matches the "Customer" in our Product and Marketing engines.
* Implement AI\-driven workflows to automatically clean, normalize, and enrich enterprise records, ensuring that our customers are working with the most accurate information possible.
* Architect complex, modular data transformations, ensuring that the "logic layer" of our data stack is robust, testable, and highly performant.
* Manage sophisticated, multi\-stage workflows in Airflow, integrating Python\-based scripts directly into the data lifecycle.
**What we’re looking for:**
* Bachelor's degree in Computer Science or a similar technical field of study
* 4\+ years of technical experience in a Data or Software Engineering role.
* Ability to write complex analytical queries and production\-grade Python code.
* Strong experience with Databricks, Airflow, Spark, AWS, Gitlab.
* Experience developing lightweight data services using Python frameworks (e.g., FastAPI, Flask) and integrating with external REST APIs. You understand how to handle authentication, rate limiting, and robust error handling.
* Practical experience using AI techniques (e.g., record linkage, fuzzy matching, or LLM\-based classification) to solve data quality and identity problems.
**Additional Information**
**Base Pay Range:**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60">
      <c r="A60" t="inlineStr">
        <is>
          <t>li-4370461300</t>
        </is>
      </c>
      <c r="B60" t="inlineStr">
        <is>
          <t>Senior Data Engineer</t>
        </is>
      </c>
      <c r="C60" t="inlineStr">
        <is>
          <t>Possible</t>
        </is>
      </c>
      <c r="D60" t="inlineStr">
        <is>
          <t>linkedin</t>
        </is>
      </c>
      <c r="E60" t="inlineStr"/>
      <c r="F60" t="inlineStr"/>
      <c r="G60" t="inlineStr">
        <is>
          <t>Seattle, WA</t>
        </is>
      </c>
      <c r="H60" t="inlineStr"/>
      <c r="I60" t="inlineStr">
        <is>
          <t>Since our founding, we have redefined how people approach small\-dollar loans—delivering over $1 billion in funding to more than 1 million customers, issuing over 4 million loans, and saving our customers more than $500 million.
 At Possible, we’re building a new type of consumer finance company; one that helps our customers stay out of debt rather than profit from their staying in it. We are a Public Benefit Corporation with the mission to help communities unlock economic mobility through affordable credit products crafted to improve financial health for generations.
 **Join the team that’s making our goal a reality.** 
**About Us** 
 We are seeking an experienced Senior Data Engineer to architect, build, and maintain sophisticated data models and pipelines while mentoring team members across the organization. You will own and drive high\-impact, large\-scale data engineering projects from conception to production using our stack: AWS, Databricks, dbt, Airflow, and Terraform.
 Possible is at an inflection point, transitioning into a multi\-product, high\-growth company. This senior role requires outstanding teamwork skills and engineering excellence as you collaborate across teams, guide architecture decisions, and set data engineering standards that support our growth.
**You Are** 
 You bring deep experience in fintech and/or a genuine passion for helping people achieve financial success and economic mobility. You're a natural collaborator with the maturity to own problems from inception through completion, and you're senior enough to drive an agenda and deliver results even when the path forward isn't clear.
 Most importantly, you've built systems at this scale multiple times before. You can thoughtfully discuss both your successes and failures, articulate the trade\-offs between different architectural approaches, and explain why certain decisions worked in one context but not another. You've learned from experience what it takes to build data systems that truly scale, and you bring that hard\-won wisdom to every project.
**Responsibilities** 
 You will architect and implement highly scalable data pipelines and ETL processes while building advanced data frameworks for analytics, reporting, and machine learning applications. Leading technical initiatives and mentoring junior engineers on best practices will be central to your role.
 Partnering with collaborators across finance, marketing, product, and engineering, you will define and support their data needs while establishing data quality standards, monitoring systems, and SLAs. You will drive our data strategy and roadmap, evaluate and implement new technologies, and establish comprehensive engineering guidelines and documentation standards.
**Requirements** 
 This position requires a minimum of 7 years of demonstrated experience in data engineering with continued progression in technical complexity. You must possess expert\-level proficiency in SQL, Python, and Spark with proven ability to optimize performance at scale, along with a deep understanding of data modeling, architecture principles, and design patterns.
 Strong proficiency in AWS and infrastructure\-as\-code tools like Terraform is essential, with hands\-on experience managing production environments. You must have extensive experience with modern data warehousing solutions and data lake architectures, advanced knowledge of orchestration tools (Airflow, Dagster, Prefect, or AWS Step Functions), and confirmed experience with dbt at enterprise scale.
 A strong background in data governance, security, and compliance practices is required, along with proven experience mentoring engineers and driving technical strategy and architecture decisions. Excellent communication skills with the ability to translate technical concepts to non\-technical collaborators are essential.
 Experience with monitoring and observability tools (DataDog, Grafana, Great Expectations, Elementary), MLOps, and distributed data architectures such as data mesh will distinguish exceptional candidates.
 This is a Hybrid position. We work in our centrally located office in downtown Seattle three days a week (M, T, and Th).
 The compensation range for this role is $165,000 to $185,000\. We also offer significant stock options, comprehensive benefits, a bonus plan, commuter benefits, and an excellent office space with complimentary drinks and food options.
 With the backing of our venture investors— Union Square Ventures, Canvas Ventures, Euclidean Capital, and Unlock Venture Partners — a dedicated following of hundreds of thousands of customers, and an extraordinary team, we are unwavering in our fight for financial fairness. As one of only a few FinTech Public Benefit Corporations, we’ve baked our dual dedication to building a profitable and socially impactful company into our charter;
 **we only succeed when our customers do too** 
 . Give us a shout if you’d like to help us ship financial products that protect consumers from predatory lending practices and promote economic health.
 Possible Finance is dedicated to financial fairness and community empowerment. We welcome diverse perspectives and experiences to help us achieve our mission of unlocking economic mobility for generations to come.
 Learn more about us as a
 Public Benefit Company
 .</t>
        </is>
      </c>
    </row>
    <row r="61">
      <c r="A61" t="inlineStr">
        <is>
          <t>li-4370446068</t>
        </is>
      </c>
      <c r="B61" t="inlineStr">
        <is>
          <t>Cloud Data Engineer</t>
        </is>
      </c>
      <c r="C61" t="inlineStr">
        <is>
          <t>Yakshna Solutions</t>
        </is>
      </c>
      <c r="D61" t="inlineStr">
        <is>
          <t>linkedin</t>
        </is>
      </c>
      <c r="E61" t="inlineStr"/>
      <c r="F61" t="inlineStr"/>
      <c r="G61" t="inlineStr">
        <is>
          <t>Herndon, VA</t>
        </is>
      </c>
      <c r="H61" t="inlineStr"/>
      <c r="I61" t="inlineStr">
        <is>
          <t>Cloud Data Engineer \- Richmond, VA 23219 (Onsite)
 YSI Jobs \- YSI Admin
**Yakshna Solutions, Inc** 
 .,
 **(YSI)** 
 is a CMMI Level 3 assessed, ISO 9001, 20000:1, 27001 certified, woman\-owned small business enterprises, headquartered in Herndon, Virginia, USA. YSI provides professional IT solutions and services to business corporations and government organizations. YSI is committed to serve its business communities as a leading IT vendor providing innovative, quality, and cost\-effective IT business solutions and services.
**YSI** 
 offers a competitive benefits package that includes the following: 401(k), health, dental, and vision insurance, Life insurance, short\-term and long\-term disability insurance, paid time off, training and professional development assistance.
**The Virginia Dept of Health (VDH)** 
 is seeking Cloud Data Engineer to join the development team and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**Required Skills And Experience**
* Four years of experience in AWS, Azure, Azure App Service, Google Cloud, AKS, Functions, Storage, and Databases.
* Three years of experience in Docker, Kubernetes, C\#, Java, Python, Go, Node.js, Azure DevOps, Gitlab, IAM, Data Protection, Cloud Security Best Practices, SQL Server, Oracle, NoSQL Databases, Agile Methodologies, and DevOps Practices.
**Location:** 
 109 Governor Street, Richmond, VA 23219 (Onsite)
**Salary: $95\-100k/A with benefits**
***US Citizenship \-***
**or Green card holder only/Local Candidates to Richmond**
***W\-2 Only***
*YSI is an Equal Opportunity Employer. All qualified applicants will receive consideration for employment without regard to race, color, religion, sex, pregnancy, sexual orientation, gender identity, national origin, age, protected veteran status, or disability status.*
**Job Description**
 ID Job Title Job Description 793807 Cloud Data Engineer
 Please e\-mail your profile / referrals to resumes@yakshna.com</t>
        </is>
      </c>
    </row>
    <row r="62">
      <c r="A62" t="inlineStr">
        <is>
          <t>li-4362232735</t>
        </is>
      </c>
      <c r="B62" t="inlineStr">
        <is>
          <t>Senior Associate - Data Engineer (US)</t>
        </is>
      </c>
      <c r="C62" t="inlineStr">
        <is>
          <t>Acuity Analytics</t>
        </is>
      </c>
      <c r="D62" t="inlineStr">
        <is>
          <t>linkedin</t>
        </is>
      </c>
      <c r="E62" t="inlineStr"/>
      <c r="F62" t="inlineStr"/>
      <c r="G62" t="inlineStr"/>
      <c r="H62" t="inlineStr"/>
      <c r="I62" t="inlineStr">
        <is>
          <t>**Job Purpose**
 Acuity is seeking Data Engineers (Contract) to join the Data Onboarding Engineering team. This role is focused on building and operating robust, scalable data pipelines that ingest and process 30\+ TB of data daily, primarily using Python on Google Cloud Platform (GCP).
 The engineer will collaborate closely with business partners, researchers, and trading teams to onboard high\-value datasets that directly power systematic trading and research workflows.
 The ideal candidate is highly hands\-on, production\-focused, and comfortable operating in a high\-performance, data\-intensive environment.
**Essential Skills**
**Desired Skills and experience**
* 3\+ years of professional experience as a Data Engineer or in a similar role
* 3\+ years of hands\-on experience building ETL pipelines in production environments
* Strong Python programming skills for data processing and pipeline development
* Practical experience with cloud\-based data platforms, preferably Google Cloud Platform (GCP)
* Solid understanding of data operations, including ingestion, processing, storage, quality, and lifecycle management
* Strong SQL skills and familiarity with data modeling concepts
**Nice\-to\-Have Skills**
* Experience with Snowflake as a cloud data warehouse
* Exposure to Spark or other distributed data processing frameworks
* Familiarity with Lakehouse concepts (Delta Lake or similar formats)
* Experience with event\-driven or streaming data pipelines
* Background working with financial, market, or alternative datasets
* Knowledge of data observability, lineage, and governance tooling
**Key Responsibilities**
* Work closely with business stakeholders to understand data requirements and usage patterns
* Collaborate with engineers, researchers, and portfolio managers to onboard new and complex datasets
* Design, build, and support production\-grade ETL and data ingestion pipelines using Python
* Operate and scale data pipelines running on Google Cloud infrastructure
* Ensure strong standards around data quality, reliability, monitoring, and operational support
* Handle large\-scale batch data ingestion volumes (30TB\+ per day)
* Extend and enhance the existing data onboarding framework to support new data sources and formats
* Troubleshoot and resolve pipeline failures and data quality issues in production
* Contribute to documentation, operational runbooks, and engineering best practices
**Behavioral Competencies**
* Strong problem\-solving and analytical mindset
* Excellent collaboration and communication skills
* Ability to work effectively with cross\-functional technical and non\-technical teams
* High ownership and accountability in a production environment
* Comfortable working in a fast\-paced, data\-driven organization</t>
        </is>
      </c>
    </row>
    <row r="63">
      <c r="A63" t="inlineStr">
        <is>
          <t>li-4370447819</t>
        </is>
      </c>
      <c r="B63" t="inlineStr">
        <is>
          <t>Developer / Data Engineer (1107812)</t>
        </is>
      </c>
      <c r="C63" t="inlineStr">
        <is>
          <t>The Judge Group</t>
        </is>
      </c>
      <c r="D63" t="inlineStr">
        <is>
          <t>linkedin</t>
        </is>
      </c>
      <c r="E63" t="inlineStr"/>
      <c r="F63" t="inlineStr"/>
      <c r="G63" t="inlineStr">
        <is>
          <t>Philadelphia, PA</t>
        </is>
      </c>
      <c r="H63" t="inlineStr"/>
      <c r="I63" t="inlineStr">
        <is>
          <t>**Location:** 
 Philadelphia, PA
**Salary:** 
 TBD
**Description:** 
 Our client is currently seeking a Developer / Data Engineer
**Job Title: Developer / Data Engineer**
**Experience: 2–5 years**
**Location: Hybrid (3 days onsite)**
**About The Role**
 We are seeking a highly skilled Developer / Data Engineer to join our team. This role is ideal for a candidate with strong technical expertise in data engineering and development, excellent communication skills, and a passion for problem\-solving. You will work closely with our technology team to build and maintain data pipelines, ETL processes, and potentially contribute to UI development.
**Key Responsibilities**
 Design, develop, and maintain ETL workflows using tools like Matillion.
 Build and optimize data pipelines leveraging Python, SQL, and AWS services.
 Collaborate with stakeholders to ensure data solutions meet business requirements.
 Support and enhance existing systems, ensuring scalability and reliability.
 (Optional but valuable) Contribute to UI development using Node.js, React, or similar frameworks.
**Required Qualifications**
 Bachelor’s degree in IT, Finance, or related field (preferred schools: Drexel, Temple, UPenn).
 2–5 years of experience in data engineering or development.
**Proficiency In**
 Python
 SQL
 ETL tools (Matillion preferred)
 AWS cloud services
 Strong analytical and problem\-solving skills.
 Excellent verbal and written communication skills.
**Preferred Qualifications**
 Experience in Wealth / Asset Management (not mandatory but highly valued).
 Exposure to UI development (Node.js, React, etc.).
 Familiarity with full\-stack development concepts.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anarayan@judge.com
*This job and many more are available through The Judge Group. Find us on the web at www.judge.com*</t>
        </is>
      </c>
    </row>
    <row r="64">
      <c r="A64" t="inlineStr">
        <is>
          <t>li-4370455237</t>
        </is>
      </c>
      <c r="B64" t="inlineStr">
        <is>
          <t>Senior Data Engineer</t>
        </is>
      </c>
      <c r="C64" t="inlineStr">
        <is>
          <t>Stealth Post-LLM Startup</t>
        </is>
      </c>
      <c r="D64" t="inlineStr">
        <is>
          <t>linkedin</t>
        </is>
      </c>
      <c r="E64" t="inlineStr"/>
      <c r="F64" t="inlineStr"/>
      <c r="G64" t="inlineStr"/>
      <c r="H64" t="inlineStr"/>
      <c r="I64" t="inlineStr">
        <is>
          <t>**Senior Data Engineer**
**Location:** 
 Los Altos, CA / Hybrid
**Team:** 
 Engineering
**Type:** 
 Full\-Time
**About Us**
 We are an early stage startup (still in stealth mode) building AI systems designed for the post\-LLM era — systems that can reason under uncertainty, evolve their internal models of the world, and adapt over time rather than rely on static knowledge.
 We are a small, elite founding team from DeepMind, Google, Salesforce, Apple, and venture\-backed startups, combining frontier research with production\-grade engineering. Our work sits at the intersection of reasoning systems, dynamic memory, and large\-scale data infrastructure.
 We’re looking for a Senior Data Engineer who is excited to work where research meets production and enjoys building robust systems while helping invent new ones.
 This role is not about maintaining pipelines. It’s about building the data and knowledge infrastructure that enables new forms of AI behavior.
**What You’ll Do**
* Design and build scalable data infrastructure supporting evolving, graph\-structured knowledge and reasoning systems.
* Develop production\-grade data systems that support both research experimentation and real\-world deployment.
* Work closely with researchers to translate experimental ideas into reliable, maintainable systems.
* Build and operate data ingestion, transformation, and storage systems across structured, semi\-structured, and unstructured data.
* Design systems for incremental updates, versioning, and evolution of data representations over time.
* Help define how experimental models transition from prototype to production.
* Contribute to architectural decisions around data modeling, storage, and retrieval strategies.
* Improve reliability, observability, and performance across data and model infrastructure.
**What We’re Looking For**
* Strong experience building and operating production data systems at scale.
* Excellent software engineering fundamentals and ability to write clean, maintainable production code.
* Experience with graph\-based data models, knowledge graphs, or graph databases (Neo4j or similar).
* Strong Python skills and experience with distributed data systems.
* Experience designing data models for evolving or non\-static schemas.
* Comfort working in ambiguous environments where requirements evolve rapidly.
* Ability to collaborate closely with research teams and iterate quickly on experimental ideas.
* Strong ownership mindset and ability to move from idea to deployed system.
**Nice to Have**
* Experience working in research\-heavy environments or AI/ML infrastructure teams.
* Familiarity with probabilistic systems or uncertainty\-aware modeling.
* Experience with semantic graphs, or ontology\-driven systems.
* Experience supporting experimentation platforms or research workflows.
* Background in distributed systems or high\-performance data infrastructure.
**Why Join Now**
* Founding\-level impact on the architecture of a new AI paradigm.
* Work directly with researchers and engineers shaping next\-generation reasoning systems.
* Operate at the intersection of research freedom and production rigor.
* Build infrastructure that does not yet have industry precedents.
 ﻿
 To apply: Send your CV and links to relevant projects or code to jobs@dyssonance.ai.</t>
        </is>
      </c>
    </row>
    <row r="65">
      <c r="A65" t="inlineStr">
        <is>
          <t>li-4359253228</t>
        </is>
      </c>
      <c r="B65" t="inlineStr">
        <is>
          <t>Data Engineer</t>
        </is>
      </c>
      <c r="C65" t="inlineStr">
        <is>
          <t>Tata Consultancy Services</t>
        </is>
      </c>
      <c r="D65" t="inlineStr">
        <is>
          <t>linkedin</t>
        </is>
      </c>
      <c r="E65" t="inlineStr"/>
      <c r="F65" t="inlineStr"/>
      <c r="G65" t="inlineStr">
        <is>
          <t>Cincinnati, OH</t>
        </is>
      </c>
      <c r="H65" t="inlineStr"/>
      <c r="I65" t="inlineStr">
        <is>
          <t>**Job Description**
* 2\+ years of proven professional data development experience
* 2\+ years developing with SQL
* 4\+ years Python Development
* 3\+ years Java, Spring Framework development
* Object Oriented Programming
* 3\+ years Distributed Data Processing (PySpark, Snowpark)
* Proficient CI/CD practices
* Automated data pipeline orchestration
* Data observability – Logging, Monitoring, and Alerting
* Databricks and/or Snowflake
* API development
* Data quality checks
* Cloud Technologies (Azure preferred)
**Roles \&amp; Responsibilities**
* Develop distributed data processing data pipeline solutions
* Orchestrate multi\-step data transformation pipelines
* Perform unit, integration, and regression testing on packaged code
* Build transformation logic and code in an Object Oriented Programming style
* Enhance CI/CD pipelines in the path to production
* Create data quality checks for ingested and post processed data
* Ensure data observability via alerting and monitoring of automated pipeline solutions
* Maintain and enhance existing applications
* Build cloud resources via infrastructure as code
* Provide mentoring to junior team members
* Participate in retrospective reviews
* Participate in the estimation process for new work and releases
* Bring new perspectives to problems
* Be driven to improve yourself and the way things are done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Range\-$100,000\-$120,000 a year</t>
        </is>
      </c>
    </row>
    <row r="66">
      <c r="A66" t="inlineStr">
        <is>
          <t>li-4360063233</t>
        </is>
      </c>
      <c r="B66" t="inlineStr">
        <is>
          <t>Big Data Engineer</t>
        </is>
      </c>
      <c r="C66" t="inlineStr">
        <is>
          <t>Tata Consultancy Services</t>
        </is>
      </c>
      <c r="D66" t="inlineStr">
        <is>
          <t>linkedin</t>
        </is>
      </c>
      <c r="E66" t="inlineStr"/>
      <c r="F66" t="inlineStr"/>
      <c r="G66" t="inlineStr">
        <is>
          <t>Irving, TX</t>
        </is>
      </c>
      <c r="H66" t="inlineStr"/>
      <c r="I66" t="inlineStr">
        <is>
          <t>****Job Description****
 Roles \&amp; Responsibilities
 Job Title: BigData Platform Admin
**Job Description:**
 We are looking for a highly skilled and passionate BigData Platform Admin, who has deep knowledge of
 Hadoop Architecture and should be able to monitor and track the Hadoop Ecosystems components, can interact
 and co\-ordinate with multiple stakeholders and vendors to maintain the performance and high availability of the
 system.
**Responsibilities:**
* Good understanding on bigdata architecture and various components – Hive, HDFS, YARN ,HMS.
* Concepts like BDR copy
* Basic understanding on Spark/python
* Good understanding on shell commands to monitor the system.
* Cluster monitoring and troubleshooting. (Preferably have exposure to cloudera manager but not must)
* Should be able to coordinate with multiple stakeholders Application teams, admin teams etc., (Communication skills)
 Salary Range: $120,000 to $145,000 per year
**Qualifications:** 
 BACHELOR OF COMPUTER SCIENCE</t>
        </is>
      </c>
    </row>
    <row r="67">
      <c r="A67" t="inlineStr">
        <is>
          <t>li-4359186005</t>
        </is>
      </c>
      <c r="B67" t="inlineStr">
        <is>
          <t>Data Engineer</t>
        </is>
      </c>
      <c r="C67" t="inlineStr">
        <is>
          <t>Tata Consultancy Services</t>
        </is>
      </c>
      <c r="D67" t="inlineStr">
        <is>
          <t>linkedin</t>
        </is>
      </c>
      <c r="E67" t="inlineStr"/>
      <c r="F67" t="inlineStr"/>
      <c r="G67" t="inlineStr">
        <is>
          <t>Blue Ash, OH</t>
        </is>
      </c>
      <c r="H67" t="inlineStr"/>
      <c r="I67" t="inlineStr">
        <is>
          <t>**Job Description**
* Proven experience as a Software Developer, with a strong focus on building scalable and efficient Python applications.
* Experience in developing Spark Structured Streaming applications is highly desirable.
* Minimum of 7\+ years of professional software development experience.
* Strong analytical and problem\-solving skills, with the ability to debug and optimize Spark jobs running on Databricks.
* Ability to work closely with cross\-functional teams to deliver high\-quality streaming solutions.
**Technical Skills**
* Strong expertise in Python, PySpark, and Spark Structured Streaming.
* Experience with Databricks and Azure.
* Familiarity with Delta Lake and Terraform scripting.
* Proficiency in working with varied data file formats (Avro, JSON, CSV) for ingestion and transformation.
**Software Development**
* Proficiency in Object\-Oriented Programming (OOP) concepts and software design principles.
* Ability to write clean, maintainable, and scalable Python code.GitHub Actions:
* Experience in setting up and managing CI/CD pipelines using GitHub Actions to ensure smooth and automated deployment processes.
**Agile Methodology**
* Experience working in an Agile/Scrum environment, with a focus on iterative development, continuous feedback, and delivery.
**Nice To Haves**
* Python Unit Testing.
* Unity Catalog.
* Databricks Asset Bundles.
* Unit Testing/Mocking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Range\-$100,000\-$120,000 a year</t>
        </is>
      </c>
    </row>
    <row r="68">
      <c r="A68" t="inlineStr">
        <is>
          <t>li-4368506437</t>
        </is>
      </c>
      <c r="B68" t="inlineStr">
        <is>
          <t>Data Engineer</t>
        </is>
      </c>
      <c r="C68" t="inlineStr">
        <is>
          <t>Tata Consultancy Services</t>
        </is>
      </c>
      <c r="D68" t="inlineStr">
        <is>
          <t>linkedin</t>
        </is>
      </c>
      <c r="E68" t="inlineStr"/>
      <c r="F68" t="inlineStr"/>
      <c r="G68" t="inlineStr">
        <is>
          <t>Norwell, MA</t>
        </is>
      </c>
      <c r="H68" t="inlineStr"/>
      <c r="I68" t="inlineStr">
        <is>
          <t>**Job Description**
 Must Have Technical/Functional Skills
 We are seeking a skilled Data Engineer to design, build, and maintain high\-quality, scalable data pipelines with a strong focus on Silver and Gold layer transformations, data quality automation, and CI/CD\-driven deployments. The ideal candidate will have hands\-on experience with Python, PySpark, Git\-based CI/CD pipelines, ARM templates, and data quality libraries such as Great Expectations.
 Roles \&amp; Responsibilities
* Design and implement Silver and Gold layer data models following medallion architecture best practices.
* Perform data cleansing, standardization, enrichment, and aggregation to support analytics and reporting.
* Build optimized PySpark\-based transformations for large\-scale data processing.
* Ensure data consistency, performance, and scalability across datasets.
* Build and maintain CI/CD pipelines using Git\-based workflows (Azure DevOps / GitHub).
* Use ARM templates (or IaC equivalents) for automated infrastructure provisioning.
* Enable automated deployment of data pipelines, notebooks, and configurations.
* Follow DevOps best practices for version control, branching, and release management.
* Develop reusable Python\-based automation scripts for pipeline orchestration, validation, and monitoring.
* Create modular, maintainable, and testable Python code.
* Support automation of metadata, logging, alerting, and operational tasks.
* Implement data quality libraries such as Great Expectations.
* Define and automate data quality rules (completeness, accuracy, freshness, consistency).
* Integrate data quality checks into data pipelines and CI/CD workflows.
* Monitor, log, and troubleshoot data quality issues proactively.
* Work closely with data architects, analysts, QA, and business stakeholders.
* Translate business and analytical requirements into robust data engineering solutions.
* Participate in Agile ceremonies and support sprint\-based delivery.
* Provide production support, performance tuning, and troubleshooting
 Salary Range $120,000\-$130,000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69">
      <c r="A69" t="inlineStr">
        <is>
          <t>li-4359213481</t>
        </is>
      </c>
      <c r="B69" t="inlineStr">
        <is>
          <t>Data Engineer on Clouds</t>
        </is>
      </c>
      <c r="C69" t="inlineStr">
        <is>
          <t>Tata Consultancy Services</t>
        </is>
      </c>
      <c r="D69" t="inlineStr">
        <is>
          <t>linkedin</t>
        </is>
      </c>
      <c r="E69" t="inlineStr"/>
      <c r="F69" t="inlineStr"/>
      <c r="G69" t="inlineStr">
        <is>
          <t>Minneapolis, MN</t>
        </is>
      </c>
      <c r="H69" t="inlineStr"/>
      <c r="I69" t="inlineStr">
        <is>
          <t>**Job Description**
 Data Engineer on Clouds
 10\+ years Exp
* Proven experience in Financial Service (Banking \+ Payments) and Marketing supporting business intelligence, data sciences, data engineering, data products, UX Research, CX Analysis, Market Research, Web Content Publishing, and Personalization Deployment specialists.
* Extracts insights and creates models based on domain\-specific data products, leveraging advanced analytics and machine learning techniques.
* Collaborates with Domain Data Stewards and Data Product Owners to understand business requirements and formulate data\-driven hypotheses.
* Communicates findings and recommendations to stakeholders through visualizations, reports, and presentations, driving data\-driven decision\-making across the organization
* client management and leadership skills to work effectively in cross\-functional environments
 Good in analyzing gaps between business needs and existing systems , propose optimal functional solutions
 Salary Range\- $110,000\-$140,000 a year
**Qualifications:** 
 BACHELOR OF COMPUTER SCIENCE</t>
        </is>
      </c>
    </row>
    <row r="70">
      <c r="A70" t="inlineStr">
        <is>
          <t>li-4367754386</t>
        </is>
      </c>
      <c r="B70" t="inlineStr">
        <is>
          <t>Azure Databricks Data Engineer</t>
        </is>
      </c>
      <c r="C70" t="inlineStr">
        <is>
          <t>Tata Consultancy Services</t>
        </is>
      </c>
      <c r="D70" t="inlineStr">
        <is>
          <t>linkedin</t>
        </is>
      </c>
      <c r="E70" t="inlineStr"/>
      <c r="F70" t="inlineStr"/>
      <c r="G70" t="inlineStr">
        <is>
          <t>Seattle, WA</t>
        </is>
      </c>
      <c r="H70" t="inlineStr"/>
      <c r="I70"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1">
      <c r="A71" t="inlineStr">
        <is>
          <t>li-4370805221</t>
        </is>
      </c>
      <c r="B71" t="inlineStr">
        <is>
          <t>IT Applications Data Engineer</t>
        </is>
      </c>
      <c r="C71" t="inlineStr">
        <is>
          <t>Pantex Plant</t>
        </is>
      </c>
      <c r="D71" t="inlineStr">
        <is>
          <t>linkedin</t>
        </is>
      </c>
      <c r="E71" t="inlineStr"/>
      <c r="F71" t="inlineStr"/>
      <c r="G71" t="inlineStr">
        <is>
          <t>Amarillo, TX</t>
        </is>
      </c>
      <c r="H71" t="inlineStr"/>
      <c r="I71" t="inlineStr">
        <is>
          <t>**Location:** 
 Amarillo, TX \- Pantex Plant
**Job Title:** 
 IT Applications Data Engineer
**Career Level From:** 
 Senior Associate
**Career Level To:** 
 Senior Specialist
**Organization:** 
 NSE Integration Services (51130643\)
**Job Specialty:** 
 Service Transition
****What You'll Do****
 A career at Pantex can offer you the opportunity to make a personal impact on our nation. We recognize that excellent employees are absolutely critical for mission success. We are seeking a Data Engineer to design, build, and optimize the high\-performance data pipelines and data infrastructure necessary to power enterprise\-level Artificial Intelligence (AI), machine learning, and advanced analytics capabilities.
 Primary duties include building and maintenance of data pipelines, hands\-on development of robust, scalable Extract, Load, and Transform (ELT)/Extract, Transfer and Load (ETL) processes, integrating diverse operational and analytical data sources, and ensuring the reliability and quality of all data assets used for modeling and reporting.
 Additional duties may include performance tuning of centralized data platforms, implementing DataOps methodologies, and collaborating closely with Data Architects and Data Scientists to translate data requirements into fully operationalized solutions.
**Core Responsibilities And Duties**
* Build, test, and maintain highly scalable data pipelines for both batch and real\-time data consumption using cloud\-native services and distributed processing frameworks.
* Construct and manage data systems within the modern data stack (e.g., Databricks, Snowflake, or equivalent cloud data warehouse/lakehouse solutions) to ensure optimal data accessibility and performance.
* Write production\-grade code (primarily Python or Scala) to cleanse, transform, and load complex, high\-volume data into structured data models defined by the Data Architect.
* Implement and manage data quality checks, data lineage tools, and pipeline monitoring to ensure data integrity and immediate detection of failures across the data platform.
* Optimize and fine\-tune database performance, query efficiency, and cost management across data storage and processing services in a secure cloud environment.
* Support Data Science teams by providing efficient access to data, developing feature engineering workflows, and integrating model\-ready data into the Machine Learning Operations (MLOps) platform.
**Other Responsibilities And Duties**
* Participate in defining and enforcing DataOps and DevSecOps practices for data pipeline automation, testing, and secure deployment.
* Maintain comprehensive documentation of data flows, data dictionaries, and operational runbooks for all production data infrastructure.
* Collaborate with application development teams and Application Programming Interface (API) developers to establish secure and efficient data ingestion points from source systems.
* Work with Data Architects on modeling new data sources to ensure new data assets adhere to established enterprise data standards and architectures.
**What You Can Expect**
*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Bachelor’s degree in engineering/science discipline: Minimum 2 years of relevant experience. Typical engineering/science experience ranging from 3 to 7 years.
* OR Applicants without a bachelor's degree may be considered based on a combination of at least 10 years of completed education and/or relevant experience.
****Department of Energy (DOE ) Order 426\.2A Requirements****
* Not applicable
**Preferred Job Requirements**
* Master's degree (MS) in a relevant technical field with minimum 3 years of relevant experience.
* Minimum of 4 years of relevant experience, with at least 3 years specifically focused on building and managing enterprise\-grade data pipelines and ELT/ETL processes.
* Expert proficiency in Structured Query Language (SQL) and Python or Scala for data manipulation, transformation, and automation.
* Demonstrated experience with distributed processing frameworks (e.g., Apache Spark, Databricks, Snowflake) and cloud\-based data services (e.g., Azure Data Factory, Amazon Web Services (AWS) Glue).
* Relevant certifications from modern data stack providers (e.g., Databricks Certified Data Engineer, Snowflake Certification) or cloud platforms (e.g., Azure Data Engineer Associate).
* Experience implementing data streaming technologies (e.g., Kafka, Azure Event Hubs) for near real\-time data ingestion.
* Prior experience with data modeling concepts (e.g., Dimensional Modeling, Data Vault) as implemented in data warehousing solutions.
****\#JointheMission: Your Impact Starts Here****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72">
      <c r="A72" t="inlineStr">
        <is>
          <t>li-4366203513</t>
        </is>
      </c>
      <c r="B72" t="inlineStr">
        <is>
          <t>Lead Data Engineer</t>
        </is>
      </c>
      <c r="C72" t="inlineStr">
        <is>
          <t>Harnham</t>
        </is>
      </c>
      <c r="D72" t="inlineStr">
        <is>
          <t>linkedin</t>
        </is>
      </c>
      <c r="E72" t="inlineStr"/>
      <c r="F72" t="inlineStr"/>
      <c r="G72" t="inlineStr"/>
      <c r="H72" t="inlineStr"/>
      <c r="I72" t="inlineStr">
        <is>
          <t>**Lead Data Engineer** 
**Hybrid \- 3 Days Onsite** 
**Houston OR Dallas TX** 
**$150,000 \- $180,000 \+ Bonus** 
 We’re looking for a
 **Lead Data Engineer** 
 to help design, build, and scale a modern enterprise data platform on AWS. This is a hands\-on role for someone who enjoys solving complex data problems, building high\-performance pipelines, and shaping how data is used across an organization.
 You’ll work on large\-scale data systems that integrate multiple enterprise sources to deliver trusted, production\-grade data products that power analytics, reporting, and decision\-making.
**What You’ll Do** 
* Build and optimize scalable data pipelines and platforms on AWS (S3, Glue, Redshift, EMR/Spark, Athena, Lambda).
* Lead technical design and delivery of major data initiatives from concept through production.
* Partner closely with architects, analytics teams, and business stakeholders to turn requirements into reliable data assets.
* Implement modern ELT/ETL frameworks with orchestration, CI/CD, testing, and monitoring.
* Drive data quality, performance, security, and cost optimization across the platform.
* Establish engineering best practices through design and code reviews and technical standards.
**What We’re Looking For** 
* 8\+ years of experience in data engineering, including experience leading enterprise\-scale solutions.
* Deep expertise in AWS data services and cloud\-native architectures.
* Strong skills in Python, PySpark/Scala, and advanced SQL.
* Proven experience building data lakes, lakehouse platforms, and cloud data warehouses.
* Hands\-on experience with orchestration tools (Airflow, Step Functions) and modern DevOps practices.
* Strong communicator who can bridge technical and business teams.
**Nice to Have** 
* Experience with Apache Iceberg and modern table formats.
* Background in data governance, enterprise integrations, or ML\-enabled data platforms.
* AWS certifications.</t>
        </is>
      </c>
    </row>
    <row r="73">
      <c r="A73" t="inlineStr">
        <is>
          <t>li-4359233345</t>
        </is>
      </c>
      <c r="B73" t="inlineStr">
        <is>
          <t>Analytics and Monitoring - Data Engineer</t>
        </is>
      </c>
      <c r="C73" t="inlineStr">
        <is>
          <t>Tata Consultancy Services</t>
        </is>
      </c>
      <c r="D73" t="inlineStr">
        <is>
          <t>linkedin</t>
        </is>
      </c>
      <c r="E73" t="inlineStr"/>
      <c r="F73" t="inlineStr"/>
      <c r="G73" t="inlineStr">
        <is>
          <t>Bellevue, WA</t>
        </is>
      </c>
      <c r="H73" t="inlineStr"/>
      <c r="I73" t="inlineStr">
        <is>
          <t>**Job Description**
**Must Have Technical/Functional Skills**
 Experience with
 **Azure Data Factory** 
 ,
 **Databricks** 
 , or other cloud\-based data engineering tools.
 Knowledge of
 **data governance** 
 and
 **security best practices** 
 .
 The candidate should have strong knowledge and be capable of delivering results from Day 1
**Roles \&amp; Responsibilities**
 We are seeking a highly skilled
 **Data Engineer** 
 . The ideal candidate will have strong experience in building data solutions, writing complex queries, and creating insightful reports. This role involves working with large\-scale data systems and delivering analytics that drive business decisions
 Design, develop, and maintain data pipelines and workflows using
 **Azure Data Lake Storage (ADLS)** 
 .
 Write optimized queries in
 **SQL** 
 and
 **Kusto (KQL)** 
 for data extraction, transformation, and analysis.
 Build and manage interactive dashboards and reports using
 **Power BI** 
 .
 Ensure data quality, consistency, and security across all data sources.
 Collaborate with cross\-functional teams to understand reporting requirements and deliver actionable insights.
 Troubleshoot data issues and optimize performance for large datasets.
 Strong proficiency in
 **ADLS** 
 ,
 **SQL** 
 , and
 **Kusto Query Language (KQL)** 
 .
 Hands\-on experience with
 **Power BI** 
 for data visualization and reporting.
 Solid understanding of data modeling, ETL processes, and performance tuning.
 Ability to work with large datasets and optimize queries for efficiency.
 Excellent problem\-solving and analytical skills.
 Strong communication skills to interact with stakeholders and translate business needs into technical solutions.
**TCS Employee Benefits S 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$64,000\-$92,000 a year</t>
        </is>
      </c>
    </row>
    <row r="74">
      <c r="A74" t="inlineStr">
        <is>
          <t>li-4360526333</t>
        </is>
      </c>
      <c r="B74" t="inlineStr">
        <is>
          <t>Lead AI Data Engineer - Hybrid</t>
        </is>
      </c>
      <c r="C74" t="inlineStr">
        <is>
          <t>The Hartford</t>
        </is>
      </c>
      <c r="D74" t="inlineStr">
        <is>
          <t>linkedin</t>
        </is>
      </c>
      <c r="E74" t="inlineStr"/>
      <c r="F74" t="inlineStr"/>
      <c r="G74" t="inlineStr">
        <is>
          <t>Frisco, TX</t>
        </is>
      </c>
      <c r="H74" t="inlineStr"/>
      <c r="I74"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Lead 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**Primary Job Responsibilities**
* AI Data Engineering lead responsible for Implementing AI data pipelines that bring together structured, semi\-structured and unstructured data to support AI and Agentic solutions. This Includes pre\-processing with extraction, chunking, embedding and grounding strategies to get the data ready.
* Develop AI\-driven systems to improve data capabilities, ensuring compliance with industry best practices.
* Implement efficient Retrieval\-Augmented Generation (RAG) architectures and integrate with enterprise data infrastructure.
* Collaborate with cross\-functional teams to integrate solutions into operational processes and systems supporting various functions.
* Stay up to date with industry advancements in GenAI and apply modern technologies and methodologies to our systems.
* Design, build and maintain scalable and robust real\-time data streaming pipelines using technologies such as Apache Kafka, AWS Kinesis, Spark streaming, or similar.
* Develop data domains and data products for various consumption archetypes including Reporting, Data Science, AI/ML, Analytics etc
* Ensure the reliability, availability, and scalability of data pipelines and systems through effective monitoring, alerting, and incident management.
* Implement best practices in reliability engineering, including redundancy, fault tolerance, and disaster recovery strategies.
* Collaborate closely with DevOps and infrastructure teams to ensure seamless deployment, operation, and maintenance of data systems.
* Mentor junior team members and engage in communities of practice to deliver high\-quality data and AI solutions while promoting best practices, standards, and adoption of reusable patterns.
* Develop graph database solution for complex data relationships supporting AI systems.
* Apply GenAI solutions to insurance\-specific data use cases and challenges.
* Partner with architects and stakeholders to influence and implement the vision of the AI and data pipelines while safeguarding the integrity and scalability of the environment.
**Skills**
* Strong Technical Knowledge (AI solution leveraging Cloud and modern solutions)
* Able to communicate effectively with both technical and non\-technical teams and influence
* Collaboration across teams, decision making, conflict resolution and relationship building skills.
* Experience in mentoring and developing Junior AI or Data Engineers.
* Knowledge of evolving industry design patterns for AI.
* Strong planning, organization, and execution skills.
* Ability to provide Thought Leadership to dynamic and collaborative teams, demonstrating excellent interpersonal skills and time management capabilities.
* Ability to understand and align deliverables to the departmental and organization strategies and objectives.
* Ability to lead successfully in a lean, agile, and fast\-paced organization, leveraging Scaled Agile principles and ways of working.
* Leader and team player with a transformation mindset.
* Ability to translate complex technical topics into business solutions and strategies, as well as turn business requirements into a technical solution.
**Qualifications**
* Candidates must be authorized to work in the US without company sponsorship. The company will not support the STEM OPT I\-983 Training Plan endorsement for this position.
* Bachelor's in Computer Science, Artificial Intelligence, or a related field.
* 8\+ years of data engineering experience including Data solutions, SQL and NoSQL, Snowflake, ETL/ELT tools, CICD, Bigdata, Cloud Technologies (AWS/Google/AZURE), Python/Spark, Datamesh, Datalake or Data Fabric.
* 1\+ years of data engineering experience focused on supporting Generative AI technologies
* Strong hands\-on experience implementing production ready enterprise grade GenAI data solutions.
* Experience with prompt engineering techniques for large language models.
* Experience in implementing Retrieval\-Augmented Generation (RAG) pipelines, integrating retrieval mechanisms with language models.
* Experience of vector databases and graph databases, including implementation and optimization.
* Experience in processing and leveraging unstructured data for GenAI applications.
* Proficiency in implementing scalable AI driven data systems supporting agentic solution (AWS Lambda, S3, EC2, Langchain, Langgraph).
* Strong programming skills in Python and familiarity with deep learning frameworks such as PyTorch or TensorFlow.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in vector databases, graph databases, NoSQL, Document DBs, including design, implementation, and optimization. (e.g., AWS open search, GCP Vertex AI, Neo4j, Spanner Graph, Neptune, Mongo, DynamoDB etc.).
* Experience in implementing data governance practices, including Data Quality, Lineage, Data Catalogue capture, holistically, strategically, and dynamically on a large\-scale data platform.
* Experience with cloud platforms (AWS, GCP, or Azure) and containerization technologies (Docker, Kubernetes).
* Strong written and verbal communication skills and ability to explain technical concepts to various stakeholders.
**Preferred Qualifications**
* Experience in multi cloud hybrid AI solutions.
* AI Certifications
* Experience in P\&amp;C or Employee Benefits industry
* Knowledge of natural language processing (NLP) and computer vision technologies.
* Contributions to open\-source AI projects or research publications in the field of Generative AI.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75">
      <c r="A75" t="inlineStr">
        <is>
          <t>li-4366503398</t>
        </is>
      </c>
      <c r="B75" t="inlineStr">
        <is>
          <t>Power BI Engineer</t>
        </is>
      </c>
      <c r="C75" t="inlineStr">
        <is>
          <t>Tata Consultancy Services</t>
        </is>
      </c>
      <c r="D75" t="inlineStr">
        <is>
          <t>linkedin</t>
        </is>
      </c>
      <c r="E75" t="inlineStr"/>
      <c r="F75" t="inlineStr"/>
      <c r="G75" t="inlineStr">
        <is>
          <t>Dallas, TX</t>
        </is>
      </c>
      <c r="H75" t="inlineStr"/>
      <c r="I75" t="inlineStr">
        <is>
          <t>**Job Description**
**Must Have Technical/Functional Skills**
* 5\+ years of experience in Power BI Reports development
* Proficiency in Power BI development, including report and dashboard creation
* Strong understanding of data modeling and data visualization concepts
* Experience with SQL for data manipulation and extraction
* Knowledge of Data Analysis Expressions (DAX) for creating calculations
* Familiarity with data warehouse concepts
* Excellent attention to detail and problem\-solving skills
* Excellent communication and collaboration skills
* Ability to work independently and as a part of a team
* Adaptability to changing business requirements
* A bachelor’s degree in computer science, data analytics, or relevant fields
* Power BI certifications are a plus
* Knowledge of Retail/Manufacturing Domain Power BI Reports development are a plus
**Roles \&amp; Responsibilities**
* Designing and developing Power BI reports and dashboards to meet the business stakeholders’ needs
* Gathering and understanding business requirements for data visualization and analysis
* Understand the existing developed Power BI Reports and Perform required optimization to improve the data structure and complexity.
* Collaborating with data engineers and analysts to acquire, clean, and transform data for reporting purposes
* Creating complex DAX calculations and measures to support data analysis
* Ensuring data security and compliance with best practices
* Troubleshooting and resolving issues in Power BI reports
* Providing training and support to end users on using Power BI
* Keeping up to date with the latest Power BI features and trends
 Salary Range\-$100,000\-$130,000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76">
      <c r="A76" t="inlineStr">
        <is>
          <t>li-4359243391</t>
        </is>
      </c>
      <c r="B76" t="inlineStr">
        <is>
          <t>Qlik Data Engineer</t>
        </is>
      </c>
      <c r="C76" t="inlineStr">
        <is>
          <t>Tata Consultancy Services</t>
        </is>
      </c>
      <c r="D76" t="inlineStr">
        <is>
          <t>linkedin</t>
        </is>
      </c>
      <c r="E76" t="inlineStr"/>
      <c r="F76" t="inlineStr"/>
      <c r="G76" t="inlineStr">
        <is>
          <t>Raleigh, NC</t>
        </is>
      </c>
      <c r="H76" t="inlineStr"/>
      <c r="I76" t="inlineStr">
        <is>
          <t>**Job Description**
 Qlik Data Engineer/Developer
 Qlik Replicate Automation for Data Ingestion role for a professional with 3\-7 years of experience generally focuses on the design, development, and maintenance of robust, automated data pipelines using Qlik's suite of tools (Qlik Replicate, Qlik Compose, Qlik Sense, and Qlik Automate). This role requires a strong mix of data engineering skills, Qlik platform expertise, and collaboration with business stakeholders.
 Roles and Responsibilities
* Design and Implementation:
* Design, develop, and maintain efficient and scalable data integration and ETL/ELT (Extract, Transform,
* Load/Extract, Load, Transform) pipelines for both batch and real\-time data processing.
* Utilize Qlik data integration tools (e.g., Qlik Replicate, Qlik Compose) to ingest data from various sources (SQL databases, APIs, cloud platforms, flat files) into target data warehouses or data lakes.
* Implement data models (in snowflake schema) using the Qlik associative data model to ensure efficient data storage and retrieval.
* Automation and Optimization:
* Automate data ingestion processes, application reloads, and administrative tasks using Qlik Automate or scripting
* (e.g., Python) to improve efficiency and reduce manual intervention.
* Monitor and optimize data integration processes and Qlik applications for performance, identifying and resolving bottlenecks in data loading and query execution.
* Implement data quality frameworks, including validation, monitoring, and alerting systems to ensure data accuracy and consistency.
* Collaboration and Support:
* Collaborate closely with data engineers, analysts, data scientists, and business stakeholders to gather and understand data requirements and deliver solutions that enable actionable insights.
* Troubleshoot and resolve data integration issues, providing ongoing support for Qlik solutions.
* Document data pipelines, schemas, and business logic for knowledge sharing and efficient onboarding.
* Governance and Compliance:
* Implement data security measures, including encryption, access controls, and audit logging, to ensure
* compliance with relevant data governance policies.
* Manage the data lifecycle, including archival, retention, and deletion policies.
**Required Qualifications And Skills**
* Experience: 3\-7 years of proven experience working directly with Qlik platforms (Qlik Sense, QlikView, Qlik Data Integration suite) as
 a developer or data integrator.
* Strong proficiency in SQL and experience with relational and non\-relational databases.
* Solid understanding of data warehousing concepts, ETL processes, and data modeling techniques.
* Familiarity with cloud platform (AWS) and Data Platform(Snowflake) and related data services.
* Experience with other programming/scripting languages (e.g., Python) for advanced automation is a plus.
 Salary Range\- $100,000\-$110,000 a year
**Qualifications:** 
 BACHELOR OF COMPUTER SCIENCE</t>
        </is>
      </c>
    </row>
    <row r="77">
      <c r="A77" t="inlineStr">
        <is>
          <t>li-4365886558</t>
        </is>
      </c>
      <c r="B77" t="inlineStr">
        <is>
          <t>Sr. Data Engineer - Qlik Data Engineer/Developer</t>
        </is>
      </c>
      <c r="C77" t="inlineStr">
        <is>
          <t>Tata Consultancy Services</t>
        </is>
      </c>
      <c r="D77" t="inlineStr">
        <is>
          <t>linkedin</t>
        </is>
      </c>
      <c r="E77" t="inlineStr"/>
      <c r="F77" t="inlineStr"/>
      <c r="G77" t="inlineStr">
        <is>
          <t>Raleigh, NC</t>
        </is>
      </c>
      <c r="H77" t="inlineStr"/>
      <c r="I77" t="inlineStr">
        <is>
          <t>**Job Description**
 Sr. Data Engineer \- Qlik Data Engineer/Developer
*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\&lt; span style\="white\-space:pre"\&gt;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Salary Range\- $100,000\-$110,000 a year
**Qualifications:** 
 BACHELOR OF COMPUTER SCIENCE</t>
        </is>
      </c>
    </row>
    <row r="78">
      <c r="A78" t="inlineStr">
        <is>
          <t>li-4370452475</t>
        </is>
      </c>
      <c r="B78" t="inlineStr">
        <is>
          <t>Sr. Data Engineer with strong SQL and Databricks experience</t>
        </is>
      </c>
      <c r="C78" t="inlineStr">
        <is>
          <t>Jobs via Dice</t>
        </is>
      </c>
      <c r="D78" t="inlineStr">
        <is>
          <t>linkedin</t>
        </is>
      </c>
      <c r="E78" t="inlineStr"/>
      <c r="F78" t="inlineStr"/>
      <c r="G78" t="inlineStr">
        <is>
          <t>Irving, TX</t>
        </is>
      </c>
      <c r="H78" t="inlineStr"/>
      <c r="I78" t="inlineStr">
        <is>
          <t>Dice is the leading career destination for tech experts at every stage of their careers. Our client, ADDSOURCE, is seeking the following. Apply via Dice today!
**Job Description**
**Title: Sr. Data Engineer with strong SQL and Databricks experience**
**Experience: \-** 
 10\+ Years
**Location: \-** 
 Irving, TX (Hybrid 3 days' Work from Office)
**What is in it for you?**
 Seeking a
 **Senior Data Engineer** 
 with deep expertise in SQL Server, Azure SQL, and Databricks to design, optimize, and deliver scalable cloud\-based data solutions supporting analytics and enterprise data platforms
**Roles And Responsibilities**
**Database Development \&amp; Optimization:** 
 Design, develop, and maintain complex
 **SQL Server and Azure SQL** 
 databases.
 Write and optimize advanced
 **T\-SQL** 
 queries, stored procedures, functions, and views.
 Perform
 **query tuning, indexing strategies, and performance optimization** 
 for large\-scale datasets.
 Implement best practices for
 **database security, data integrity, and reliability** 
 .
**Cloud \&amp; Data Platform** 
 : Develop and manage data solutions in
 **Azure SQL Database** 
 .
* Work with Databricks (Apache Spark) to support data transformations, analytics, and large\-scale data processing.
* Integrate Azure SQL with Databricks using Delta Lake, Spark SQL, and PySpark/SQL where applicable.
* Support cloud\-based data architectures and hybrid data environments.
**Data Modelling \&amp; Warehousing:** 
 Design and maintain
 **relational and dimensional data models** 
 .
 Implement
 **Slowly Changing Dimensions (SCD)** 
 and other data warehousing patterns.
 Support ETL/ELT processes and collaborate with data engineering teams.
**Collaboration \&amp; Leadership:** 
 Partner with application developers, data engineers, BI teams, and stakeholders to understand data requirements.
* Provide guidance and mentoring to junior developers.
* Participate in code reviews and enforce database development standards.
* Troubleshoot production issues and provide root cause analysis.
**Educational Qualifications: \-**
 Engineering Degree BE/ME/BTech/MTech/BSc/MSc.
 Technical certification in multiple technologies is desirable.
**Skills: \-**
**Mandatory Skills**
**10\+ years** 
 of experience as a Database Developer or similar role.
 Strong expertise in
 **SQL Server and Azure SQL** 
 .
 Advanced proficiency in
 **T\-SQL** 
 , including performance tuning and query optimization.
 Hands\-on experience with
 **Databricks** 
 and
 **Apache Spark** 
 .
 Solid understanding of
 **data warehousing concepts** 
 , dimensional modelling, and SCD.
 Experience working in
 **Azure cloud environments** 
 .
 Strong analytical, problem\-solving, and communication skills.</t>
        </is>
      </c>
    </row>
    <row r="79">
      <c r="A79" t="inlineStr">
        <is>
          <t>li-4299756320</t>
        </is>
      </c>
      <c r="B79" t="inlineStr">
        <is>
          <t>Staff Data Engineer - Data Quality</t>
        </is>
      </c>
      <c r="C79" t="inlineStr">
        <is>
          <t>HCA Healthcare</t>
        </is>
      </c>
      <c r="D79" t="inlineStr">
        <is>
          <t>linkedin</t>
        </is>
      </c>
      <c r="E79" t="inlineStr"/>
      <c r="F79" t="inlineStr"/>
      <c r="G79" t="inlineStr">
        <is>
          <t>Nashville, TN</t>
        </is>
      </c>
      <c r="H79" t="inlineStr"/>
      <c r="I79" t="inlineStr">
        <is>
          <t>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A successful candidate will have:
* Bachelor's degree in computer science, related technical field, or equivalent experience required
* Master's degree in computer science or related field preferred
* 5\+ years of experience in Data Engineer required
* 1\+ year(s) of experience in Healthcare preferred
* 7\+ years of experience in Information Technology required
* Strong understanding of best practices and standards for GCP Data process design and implementation.
* 2\+ years hands\-on experience with GCP platform and experience with many of the following components:
* Cloud Run, GKE, Cloud Functions
* Pub/Sub,
* Bigtable, Cloud SQL, Cloud Spanner
* BigQuery, Dataflow, Data Fusion
* Cloud Composer, DataProc, CI/CD, Cloud Logging
* Vertex AI, NLP, GitHub
* 4\+ Years of hands\-on experience with many of the following components:
* Spark Streaming, Kafka
* SQL, JSON, Avro, Parquet
* Java, Python, or Scala
* Certifications (a plus, but not required):
*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80">
      <c r="A80" t="inlineStr">
        <is>
          <t>li-4370438692</t>
        </is>
      </c>
      <c r="B80" t="inlineStr">
        <is>
          <t>Role: Sr. Cloud Data Engineer (On-Site) - Location: Richmond, VA (In-Person Interview) - 100% Only locals (VA) with valid DL copy.</t>
        </is>
      </c>
      <c r="C80" t="inlineStr">
        <is>
          <t>Jobs via Dice</t>
        </is>
      </c>
      <c r="D80" t="inlineStr">
        <is>
          <t>linkedin</t>
        </is>
      </c>
      <c r="E80" t="inlineStr"/>
      <c r="F80" t="inlineStr"/>
      <c r="G80" t="inlineStr">
        <is>
          <t>Richmond, VA</t>
        </is>
      </c>
      <c r="H80" t="inlineStr"/>
      <c r="I80" t="inlineStr">
        <is>
          <t>Dice is the leading career destination for tech experts at every stage of their careers. Our client, HSK Technologies, Inc., is seeking the following. Apply via Dice today!
**Role: Senior Cloud Data Engineer (On\-Site)**
**Location: Richmond, VA
 Work Arrangement: On\-site
 Employment Type: Long\-term contract**
**About The Role**
 We are seeking a skilled
 **Senior Cloud Data Engineer** 
 to join a development team focused on building modern, cloud\-native applications across leading cloud platforms, with a strong emphasis on
 **Microsoft Azure** 
 .
 The ideal candidate will have a solid background in
 **software engineering and cloud services** 
 , along with a passion for designing
 **scalable, secure, and reliable data solutions** 
 . This role involves collaborating with engineering and data teams, exploring emerging data technologies, staying current with industry trends, and documenting processes to support knowledge sharing. The engineer will also support data transmission and data management initiatives.
**Key Responsibilities**
* Design, develop, and maintain cloud\-native data solutions on Azure and other cloud platforms
* Build and manage scalable data pipelines and cloud services
* Support data transmission and integration efforts
* Implement cloud security best practices, including identity and access management and data protection
* Collaborate with cross\-functional teams using Agile and DevOps methodologies
* Explore and evaluate emerging data technologies
* Document technical designs, processes, and best practices
* Troubleshoot and resolve cloud and data\-related issues
**Required Skills \&amp; Experience**
**Skill**
**Description**
 Cloud Platforms
 Azure (primary), AWS, Google Cloud
 Azure Services
 App Service, AKS, Functions, Storage, Databases
 Containers \&amp; Orchestration
 Docker, Kubernetes
 Programming Languages
 C\#, Java, Python, Go, Node.js
 DevOps Tools
 Azure DevOps, GitLab
 Security
 IAM, data protection, cloud security best practices
 Databases
 SQL Server, Oracle, NoSQL databases
 Methodologies
 Agile methodologies, DevOps practices
 Soft Skills
 Strong communication, problem\-solving, and collaboration skills</t>
        </is>
      </c>
    </row>
    <row r="81">
      <c r="A81" t="inlineStr">
        <is>
          <t>li-4370439676</t>
        </is>
      </c>
      <c r="B81" t="inlineStr">
        <is>
          <t>Lead Data Engineer (Hybrid Onsite)</t>
        </is>
      </c>
      <c r="C81" t="inlineStr">
        <is>
          <t>Jobs via Dice</t>
        </is>
      </c>
      <c r="D81" t="inlineStr">
        <is>
          <t>linkedin</t>
        </is>
      </c>
      <c r="E81" t="inlineStr"/>
      <c r="F81" t="inlineStr"/>
      <c r="G81" t="inlineStr">
        <is>
          <t>Lansing, MI</t>
        </is>
      </c>
      <c r="H81" t="inlineStr"/>
      <c r="I81" t="inlineStr">
        <is>
          <t>Dice is the leading career destination for tech experts at every stage of their careers. Our client, GSK Solutions Inc., is seeking the following. Apply via Dice today!
**Job Title:**
 Lead Data Engineer (Hybrid Onsite)
**Location:**
 Lansing, MI
**Duration:**
 12 months
**Interview Process:**
 Candidates submitted must be willing to come ONSITE (Lansing, MI) for interviews. A screenshot photo of candidate will be required for any interviews as well as a vendor present at beginning of any MS Teams interview to validate candidate.
**Note:**
 On\-site: Hybrid position \- Onsite 2 days per week \- REQUIRED. CANDIDATES MUST BE LOCAL (60mi radius from Lansing). Hiring manager is not currently interested in candidates who will need to relocate to accept offer. NO REMOTE ONLY OPTION.
**Job Description**
**Position Summary**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 Execute full software development life cycle (SDLC) including experience in gathering requirements and writing functional/technical specifications for complex projects.
* Excellent knowledge in designing both logical and physical database model
* Develop database objects including stored procedures, functions,
* Extensive knowledge on source control tools such as GIT
* Develop software design documents and work with stakeholders for review and approval.
* Exposure to flowcharts, screen layouts and documentation to ensure logical flow of the system requirements
* Experience working on large agile projects.
* Experience or Knowledge on creating CI/CD pipelines using Azure Devops
**Skill Description**
**Top Skills \&amp; Years of Experience**
* 12\+ years developing complex database systems.
* 8\+ years Databricks.
* 8\+ years using Elastic search, Kibanna.
* 8\+ years using Python/Scala.
* 8\+ years Oracle.
* 5\+ years experience with Extract, Transform, and Load (ETL) processes and developing Data Pipelines.
* 5\+ years experience with AWS.
* Over 5\+ years experience with data warehousing, data visualization Tools, data integrity .
* Over 5\+ years using CMM/CMMI Level 3 methods and practices.
* Over 5\+ years implemented agile development processes including test driven development.
* Over 3\+ years Experience or Knowledge on creating CI/CD pipelines using Azure Devops\- Nice to have
**Recruiter Details:**
 Name : Lokesh at gsksolutions dot com
 Contact : Eight three two \- Nine nine zero \-Two four two six
**About US:**
 GSK Solutions Inc. is a premier information technology services company dedicated to delivering exceptional consulting solutions and staff augmentation to our valued clients. With an unwavering commitment to quality, timeliness, and budgetary considerations, we consistently strive to exceed client expectations, building a strong reputation through our reliable execution. Our expertise spans commercial and custom product development, covering information security, software development, consulting, and IT audits. We excel in managing critical, time\-sensitive projects for Fortune 500 clients nationwide, ensuring their success is always at the forefront of our mission.</t>
        </is>
      </c>
    </row>
    <row r="82">
      <c r="A82" t="inlineStr">
        <is>
          <t>li-4370439696</t>
        </is>
      </c>
      <c r="B82" t="inlineStr">
        <is>
          <t>Cloud Data Engineer- VA Locals Only</t>
        </is>
      </c>
      <c r="C82" t="inlineStr">
        <is>
          <t>Jobs via Dice</t>
        </is>
      </c>
      <c r="D82" t="inlineStr">
        <is>
          <t>linkedin</t>
        </is>
      </c>
      <c r="E82" t="inlineStr"/>
      <c r="F82" t="inlineStr"/>
      <c r="G82" t="inlineStr">
        <is>
          <t>Richmond, VA</t>
        </is>
      </c>
      <c r="H82" t="inlineStr"/>
      <c r="I82" t="inlineStr">
        <is>
          <t>Dice is the leading career destination for tech experts at every stage of their careers. Our client, Yakshna Solutions, Inc., is seeking the following. Apply via Dice today!
**Job Title:** 
 Cloud Data Engineer
**Location:** 
 109 Governor Street, Richmond, VA 23219 (Onsite)
**Yakshna Solutions, Inc., (YSI)** 
 is a CMMI Level 3 assessed, ISO 9001, 20000:1, 27001 certified, woman\-owned small business enterprises, headquartered in Herndon, Virginia, USA. YSI provides professional IT solutions and services to business corporations and government organizations. YSI is committed to serve its business communities as a leading IT vendor providing innovative, quality, and cost\-effective IT business solutions and services.
 We offer a competitive benefits package that includes the following: 401(k), health, dental, and vision insurance, Life insurance, short\-term and long\-term disability insurance, paid time off, training, and professional development assistance.
 Our Client is seeking Cloud Data Engineer to join the development team and build modern, cloud\-native applications across leading cloud platforms, with a particular emphasis on Microsoft Azure.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Additionally, they will explore emerging data technologies, stay updated with industry advancements, and document processes for knowledge sharing. The engineer will also support the Data Management team in all its data transmission tasks.
**Required Skills And Experience**
 Four years of experience in AWS, Azure, Azure App Service, Google Cloud, AKS, Functions, Storage, and Databases.
 Three years of experience in Docker, Kubernetes, C\#, Java, Python, Go, Node.js, Azure DevOps, Gitlab, IAM, Data Protection, Cloud Security Best Practices, SQL Server, Oracle, NoSQL Databases, Agile Methodologies, and DevOps Practices.</t>
        </is>
      </c>
    </row>
    <row r="83">
      <c r="A83" t="inlineStr">
        <is>
          <t>li-4370831508</t>
        </is>
      </c>
      <c r="B83" t="inlineStr">
        <is>
          <t>Movement Labs Tech Fellowship 2026 (Fully Remote) Software/Data Engineer</t>
        </is>
      </c>
      <c r="C83" t="inlineStr">
        <is>
          <t>Movement Labs</t>
        </is>
      </c>
      <c r="D83" t="inlineStr">
        <is>
          <t>linkedin</t>
        </is>
      </c>
      <c r="E83" t="inlineStr"/>
      <c r="F83" t="inlineStr"/>
      <c r="G83" t="inlineStr">
        <is>
          <t>Berkeley, CA</t>
        </is>
      </c>
      <c r="H83" t="inlineStr"/>
      <c r="I83" t="inlineStr">
        <is>
          <t>**At Movement Labs, our mission is to affordably and provably scale people power.**
 Join the Movement Labs Fellowship for an exciting opportunity to gain skills and knowledge across the progressive electoral and digital organizing space, while contributing directly to our mission of stopping the worst of the Trump agenda and helping Democrats get elected up and down the ballot. We serve as an incubator for missing pieces of political infrastructure, combining data, technology and experimental methods to build power. We use peer\-to\-peer texting to help grassroots organizing, recruit candidates to run for office, and help those candidates win. We look for opportunities to work in red and rural areas, and with communities that have too often been ignored.
 As a Movement Labs Fellow, you'll gain hands\-on experience in the cutting edge of electoral organizing. If you are eager, smart, and driven, want a career in the progressive movement space, and are ready to join our fast\-paced team, apply to join our 8 Months 2026 Fellowship cohort!
**What You'll Do: Software Engineer \| Data Engineer**
 The Tech Fellowship Program is an exciting and supportive cohort\-based professional development program, where you will be embedded into our Tech department, as well as provided with additional community, training, and mentorship. Whether you are at the beginning of your career or mid\-career looking to transition into the space, we seek talented individuals with a passion for our work, who are looking to learn from an entry\-level job as well as through weekly huddles and additional trainings.
 The
 **8 Months 2026 Fellowship runs from March 30 to Nov 20, 30\-40 hours a week** 
 . Fellows are expected to work full time and be available during core working hours 9amPT/12pmET\-2pmPT/5pmET. It is not compatible with a full daytime classload.
 Movement Labs is an equal opportunity employer with a commitment to economic and social justice. Women, people of color, LGBTQ people, people with disabilities, and members of other historically disenfranchised populations are strongly encouraged to apply. If you require accommodations as part of the hiring process, please contact careers@movementlabs.com.
 This is a fully remote position that requires regular and reliable access to a computer and wifi.
**Responsibilities**
* Build tools that directly support progressive campaigns and organizers in election season (Polling Place images, etc)
* Work with our Core Data Team on precinct election results and data analysis
* Contribute to internal tooling, automations, and infrastructure to improve team workflows
* Build, test, and maintain backend systems, including agentic AI pipelines or experimental prototypes
* Write clean, well\-documented code to support operations and innovation
* Take a systematic approach to tasks: define goals, structure work, document outcomes
* Stay organized in the face of ambiguity; prioritize well and manage time independently
* Sweat the small stuff: flag edge cases, catch bugs early, follow naming conventions, write good commit messages
**Requirements**
* Bachelor's degree OR four years of professional experience that demonstrates an ability to succeed in our hardworking and complex environment
* Demonstrated interest in progressive politics, campaigns, or organizing, through professional experience, volunteering, or coursework
* Commitment to fulltime work for duration of the Fellowship, including participation in all Fellowship meetings and trainings
* Successful fellows are flexible, able to nimbly shift as priorities change, learn quickly, and are willing to do what needs to be done in our fast\-paced, quickly evolving environment
**General skills:**
* Passionate about progressive politics and leveraging data, technology, organizing and research to build political power
* Demonstrated detail\-orientation with excellent follow through
* Ability to work independently and manage workload in remote environment
**Our preferred candidate will have many of these characteristics and experience:**
* Coding experience, especially in Python, JavaScript, SQL, or other programming languages (personal projects, coursework, or internships all count!)
* A strong interest in using tech and data for progressive political change
* A systematic and organized working style
* Curiosity and willingness to learn new tools and skills
* Clear communication and attention to detail
* Comfort working in a remote, fast\-paced, and experimental environment
* Familiarity with agentic AI systems or pipelines
* Experience using tools like GitHub and the Google Cloud suite
* Exposure to messaging systems (e.g. SMS/MMS)
* Experience with organizing, campaign work, or grassroots activism
**Benefits**
* $23/hour, 30\-40 hours a week (workload may vary some from week to week)
* This is a fulltime, temporary, hourly position, which includes sick time accrual, paid lunch break, and paid holidays
* This short\-term Fellowship is intended to train and develop leaders in the progressive political space through professional experience, skill building, and training. While we do not guarantee continuation at the organization, strong Fellows may be offered longer term roles
* Priority deadline for applications is February 20</t>
        </is>
      </c>
    </row>
    <row r="84">
      <c r="A84" t="inlineStr">
        <is>
          <t>li-4370913560</t>
        </is>
      </c>
      <c r="B84" t="inlineStr">
        <is>
          <t>Data Engineer</t>
        </is>
      </c>
      <c r="C84" t="inlineStr">
        <is>
          <t>Neighbor</t>
        </is>
      </c>
      <c r="D84" t="inlineStr">
        <is>
          <t>linkedin</t>
        </is>
      </c>
      <c r="E84">
        <f>HYPERLINK("https://www.linkedin.com/jobs/view/4370913560", "https://www.linkedin.com/jobs/view/4370913560")</f>
        <v/>
      </c>
      <c r="F84" t="inlineStr"/>
      <c r="G84" t="inlineStr">
        <is>
          <t>Lehi, UT</t>
        </is>
      </c>
      <c r="H84" t="inlineStr"/>
      <c r="I84" t="inlineStr">
        <is>
          <t>At Neighbor, we’re building the largest hyperlocal marketplace the world has ever seen. We’ve raised over $75 million from top\-tier investors such as Andreessen Horowitz and the CEOs of DoorDash, StockX, and Uber. Our marketplace is already flourishing in all 50 states and we’re just getting started!
 As a
 **Data Engineer** 
 , you will be the core engineering resource responsible for building, scaling, and optimizing the data infrastructure that transforms raw events into high\-fidelity, actionable intelligence. You will pioneer a foundation of engineering excellence, enabling the entire organization to make reliable, data\-driven decisions at scale across all 50 states.
 This engineering resource will be the cornerstone of our data infrastructure, responsible for extraction, transform, and load of the data that powers our nation\-wide, best\-in\-class marketplace. By implementing software engineering best practices and scalable solutions, this role is critical in empowering the CEO, executive team, managers, and individual contributors with the robust and trustworthy intelligence needed to scale and innovate across our marketplace.
**Primary Responsibilities**
* Design, implement, and maintain scalable data transformation layers and code\-first orchestration frameworks to ensure the delivery of high\-fidelity, reusable data models
* Design and build robust pipelines to ingest data from diverse sources (APIs, logs, relational DBs)
* Ensure the reliable and timely execution of all critical data pipelines (ETLs/ELTs) to maintain data integrity and freshness
* Standardize analytics workflows by integrating software engineering best practices, including version control, CI/CD pipelines, and automated data validation protocols
* Develop and refine a robust semantic layer to facilitate self\-service analytics, enabling stakeholders to derive insights without exposure to underlying architectural complexities
* Monitor and optimize cloud compute utilization and data model performance to ensure high availability and low\-latency reporting during periods of rapid data scaling
* Serve as a strategic technical partner to leadership across Product, Engineering, Marketing, and Finance to align data infrastructure with organizational objectives
* Become a subject matter expert on the product ecosystem, user behavior, and marketing life cycles to better translate raw data into business value
* Serve as a versatile technical resource capable of stepping into the Data Analyst capacity when necessary—performing deep\-dive quantitative analysis and building sophisticated visualizations to support executive decision\-making
* Mentor the data analytics team on advanced technical methodologies to foster a culture of engineering excellence and data autonomy
**Qualifications**
* 3\+ years of experience in data engineering or analytics engineering
* Bachelor's degree in quantitative and/or technical fields (Math, Physics, Statistics, Economics, Computer Science, Engineering, etc.) OR 5\+ years work experience as a Data Engineer
* Expert\-level mastery of SQL, with the ability to write, tune, and optimize complex queries for high\-volume environments
* Strong command of at least one major programming language used for data processing
* Hands\-on experience designing and maintaining data lakes or cloud\-based data warehouses
* Deep understanding of data integration patterns, including data ingestion, transformation, and automated cleansing (ETL/ELT)
* Experience applying scientific, mathematical, or statistical techniques to analyze data and build predictive models
* Advanced ability to translate complex datasets into actionable narratives using modern business intelligence and reporting tools
* A proven track record of using quantitative analysis to solve ambiguous problems and drive strategic decision\-making in a fast\-paced environment
* Exceptional ability to collaborate with non\-technical stakeholders, translating business requirements into technical specs and vice versa
**Benefits**
* Generous Stock options
* Medical, dental, and vision insurance
* Generous PTO
* 11 paid company holidays
* Hybrid work model \- WFH every Monday
* 401(k) plan
* Infant care leave
* On\-site gym/showers open 24/7
**About Neighbor:**
 Neighbor is the largest and most comprehensive marketplace for self storage and parking, with listings in almost every U.S. city. From storage facilities to neighborhood garages, driveways, and RV spots, Neighbor brings every option together in one simple search. Come help us disrupt the $500 billion storage and parking industry! This is a unique opportunity to join a fast\-growing, VC\-backed tech startup. You will be part of a an extremely talented, hardworking and passionate team committed to changing the world one neighbor at a time.
*Neighbor is an equal opportunity employer and is committed to providing a positive interview experience for every candidate. If accommodations due to a disability or medical condition are needed, connect with us via email at hr@neighbor.com. Check out our careers page to get to know us better as you think about your next step at Neighbor!*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5">
      <c r="A85" t="inlineStr">
        <is>
          <t>li-4370873562</t>
        </is>
      </c>
      <c r="B85" t="inlineStr">
        <is>
          <t>Associate Data Engineer</t>
        </is>
      </c>
      <c r="C85" t="inlineStr">
        <is>
          <t>The Value Maximizer</t>
        </is>
      </c>
      <c r="D85" t="inlineStr">
        <is>
          <t>linkedin</t>
        </is>
      </c>
      <c r="E85">
        <f>HYPERLINK("https://www.linkedin.com/jobs/view/4370873562", "https://www.linkedin.com/jobs/view/4370873562")</f>
        <v/>
      </c>
      <c r="F85" t="inlineStr"/>
      <c r="G85" t="inlineStr">
        <is>
          <t>New York, NY</t>
        </is>
      </c>
      <c r="H85" t="inlineStr"/>
      <c r="I85"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86">
      <c r="A86" t="inlineStr">
        <is>
          <t>li-4370894199</t>
        </is>
      </c>
      <c r="B86" t="inlineStr">
        <is>
          <t>Data Engineer</t>
        </is>
      </c>
      <c r="C86" t="inlineStr">
        <is>
          <t>Funga</t>
        </is>
      </c>
      <c r="D86" t="inlineStr">
        <is>
          <t>linkedin</t>
        </is>
      </c>
      <c r="E86">
        <f>HYPERLINK("https://www.linkedin.com/jobs/view/4370894199", "https://www.linkedin.com/jobs/view/4370894199")</f>
        <v/>
      </c>
      <c r="F86">
        <f>HYPERLINK("https://grnh.se/r0welutu8us&amp;urlHash=p01L", "https://grnh.se/r0welutu8us&amp;urlHash=p01L")</f>
        <v/>
      </c>
      <c r="G86" t="inlineStr"/>
      <c r="H86" t="inlineStr"/>
      <c r="I86" t="inlineStr">
        <is>
          <t>Department: Data Science
 Reports to: Head of Data Science
 Location: Remote within Continental US
*Applications will be open through February 2026, with an anticipated start date in March 2026\.*
**About Funga**
 Funga is a public benefit corporation harnessing forest fungal networks to address the climate crisis. We combine modern DNA sequencing and machine learning technology with breakthrough research on the forest microbiome to put the right native, biodiverse communities of mycorrhizal fungi in the right place. This leads to more quality wood created more quickly, more carbon sequestered, and more resilient forests. We serve land partners seeking to implement regenerative forestry practices that improve productivity and sustainability, and corporate carbon buyers building high\-quality carbon removal portfolios with strong social and biodiversity outcomes. We’re a team of passionate scientists and builders on a mission to draw down at least three gigatons of carbon dioxide from the atmosphere by 2050\.
 If you are excited by starting new things, learning as you go, and being hands\-on in applying your work to the private sector, you will dig working with us. We encourage you to apply even if only some of the below criteria are met—just make sure to tell us why you’re excited about Funga!
**About The Role**
 At Funga, we leverage cutting\-edge data pipelines to manage large\-scale genomic, ecological, and geospatial datasets. We are looking for a Data Engineer to join our team with a focus on Data \&amp; Delivery.
 At Funga, our data is only as valuable as it is accessible. Working alongside our Data Infrastructure Engineer, you will own the last mile of our data stack, engineering the pipelines, models, and interfaces that make our data actionable. You will have the autonomy to troubleshoot existing bottlenecks and build the new standards for how we ingest, validate, and deliver data across the entire organization, unlocking both business value and real climate and biodiversity impact.
 This is a great role for an engineer or solutions architect who is driven to bridge the gap between complex backend infrastructure, messy real\-world data, and intuitive internal tools to catalyze the work of your teammates and drive tangible climate progress.
 In This Role, You Will:
* Engineer Data Delivery \&amp; Modeling
+ Use SQL and Python to build the transformation layers (dbt) that turn raw datasets into clean, versioned, and performant models ready for analysis. Your work here will supercharge our modeling efforts.
+ Lead the implementation of internal data apps (Streamlit or similar). You'll build the windows into Funga's data, ensuring Growth and Land teams have high\-visibility into carbon and biodiversity metrics, accelerating our sales, operations, and growth.
+ Geospatial Workflows: Architect workflows to manage the flow of complex vector and raster data, from QA/QC of messy field\-collected boundary files to integrating high\-resolution drone imagery to supporting mapping solutions for field teams.
* Scale Quality \&amp; Operations
+ Automated QA/QC: Engineer the automated validation pipelines that catch inconsistencies in genomic, geospatial, and tabular data before they reach downstream systems, with an eye toward continuous, measurable improvement.
+ Build and maintain containerized connectors (scripts, APIs, and services) that pull data from third\-party applications like Survey123, ArcGIS, and Asana into our core infrastructure.
+ Act as a solutions architect for internal teams, ensuring that data is synced correctly across our ecosystem and that the data they see is accurate, timely and useful.
* Cloud Engineering \&amp; Fundamental Data Infrastructure
+ Build, deploy, and monitor your pipelines and apps using Docker and cloud\-native services (AWS/GCP)
+ Serve as a peer\-partner to the Data Infrastructure Engineer, collaborating on core database architecture and schema evolution to ensure seamless downstream integration.
 Our Ideal Candidate Will Have:
* 3\+ years of experience as a Data Engineer, Solutions Architect, or similar experience, with strong experience with backend systems.
* Advanced SQL proficiency. You know how to structure and utilize complex datasets for both performance and clarity.
* Demonstrated ability to independently navigate cloud environments (AWS/GCP) and to deploy services and manage resources (S3, Lambda, ECS) while maintaining alignment with core infrastructure standards.
* You write clean Python for data manipulation, automation, and internal tooling.
* You treat internal teams as your customers. You are driven to build data\-rich workflows and applications that solve real problems. You aren't a designer, but you take pride in building functional, reliable interfaces and data products that meet teams where they are and accelerate their work with clear insights.
* Familiarity with geospatial data storage, and management tools and concepts (e.g. PostGIS, GDAL) is a major plus.
* Familiarity with genomic sequence or ecological data management and modeling is a plus.
* Pragmatic: You prefer simple, mature, and composable tools over heavy, managed platforms. You have a bias for creating value now versus perfection later.
* NOTE \- please apply if you feel you are qualified, but don't necessarily meet all of the above criteria!
 Why Join Funga?
* Make a meaningful impact: Contribute to innovative solutions addressing one of the most pressing global challenges—climate change.
* Collaborative environment: Work closely with a diverse team of scientists, foresters, and business leaders who share a common passion for sustainability.
* Career growth: Be part of a pioneering company with opportunities for professional development and leadership.
* Comprehensive Benefits: Participate in healthcare benefits and employee equity programs.
 Salary and Benefits
 The expected salary range for this role is $90,000 \- $120,000, with actual salary based on qualifications and experience.
 Funga offers a competitive benefits package including equity in our fast\-growing startup; a flexible time off policy; medical, dental, and vision benefits; and a wellness reimbursement program. Our team is in a dynamic growth phase. By joining us at this stage, you can shape our benefits and culture, and participate in our business success!</t>
        </is>
      </c>
    </row>
    <row r="87">
      <c r="A87" t="inlineStr">
        <is>
          <t>li-4370870570</t>
        </is>
      </c>
      <c r="B87" t="inlineStr">
        <is>
          <t>Associate Data Engineer</t>
        </is>
      </c>
      <c r="C87" t="inlineStr">
        <is>
          <t>The Value Maximizer</t>
        </is>
      </c>
      <c r="D87" t="inlineStr">
        <is>
          <t>linkedin</t>
        </is>
      </c>
      <c r="E87">
        <f>HYPERLINK("https://www.linkedin.com/jobs/view/4370870570", "https://www.linkedin.com/jobs/view/4370870570")</f>
        <v/>
      </c>
      <c r="F87" t="inlineStr"/>
      <c r="G87" t="inlineStr">
        <is>
          <t>Pennsylvania, United States</t>
        </is>
      </c>
      <c r="H87" t="inlineStr"/>
      <c r="I87"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88">
      <c r="A88" t="inlineStr">
        <is>
          <t>li-4370881536</t>
        </is>
      </c>
      <c r="B88" t="inlineStr">
        <is>
          <t>Associate Data Engineer</t>
        </is>
      </c>
      <c r="C88" t="inlineStr">
        <is>
          <t>The Value Maximizer</t>
        </is>
      </c>
      <c r="D88" t="inlineStr">
        <is>
          <t>linkedin</t>
        </is>
      </c>
      <c r="E88">
        <f>HYPERLINK("https://www.linkedin.com/jobs/view/4370881536", "https://www.linkedin.com/jobs/view/4370881536")</f>
        <v/>
      </c>
      <c r="F88" t="inlineStr"/>
      <c r="G88" t="inlineStr">
        <is>
          <t>Ohio, OH</t>
        </is>
      </c>
      <c r="H88" t="inlineStr"/>
      <c r="I88"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89">
      <c r="A89" t="inlineStr">
        <is>
          <t>li-4370867644</t>
        </is>
      </c>
      <c r="B89" t="inlineStr">
        <is>
          <t>Data Engineer</t>
        </is>
      </c>
      <c r="C89" t="inlineStr">
        <is>
          <t>PETADATA</t>
        </is>
      </c>
      <c r="D89" t="inlineStr">
        <is>
          <t>linkedin</t>
        </is>
      </c>
      <c r="E89">
        <f>HYPERLINK("https://www.linkedin.com/jobs/view/4370867644", "https://www.linkedin.com/jobs/view/4370867644")</f>
        <v/>
      </c>
      <c r="F89" t="inlineStr"/>
      <c r="G89" t="inlineStr">
        <is>
          <t>Albany, NY</t>
        </is>
      </c>
      <c r="H89" t="inlineStr"/>
      <c r="I89" t="inlineStr">
        <is>
          <t>**Position: Data Engineer**
**Location: Albany, NY (Onsite/Remote)**
**Experience: 10\+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90">
      <c r="A90" t="inlineStr">
        <is>
          <t>li-4370498173</t>
        </is>
      </c>
      <c r="B90" t="inlineStr">
        <is>
          <t>Data Engineer, Senior</t>
        </is>
      </c>
      <c r="C90" t="inlineStr">
        <is>
          <t>Pacific Gas and Electric Company</t>
        </is>
      </c>
      <c r="D90" t="inlineStr">
        <is>
          <t>linkedin</t>
        </is>
      </c>
      <c r="E90">
        <f>HYPERLINK("https://www.linkedin.com/jobs/view/4370498173", "https://www.linkedin.com/jobs/view/4370498173")</f>
        <v/>
      </c>
      <c r="F90" t="inlineStr"/>
      <c r="G90" t="inlineStr">
        <is>
          <t>Oakland, CA</t>
        </is>
      </c>
      <c r="H90" t="inlineStr"/>
      <c r="I90" t="inlineStr">
        <is>
          <t>Requisition ID \# 169960
 Job Category: Information Technology
 Job Level: Individual Contributor
 Business Unit: Electric Operations
 Work Type: Hybrid
 Job Location: Oakland
**Position Summary**
 PG\&amp;E is seeking a Data Engineer to lead the development of a modern, cloud\-native data platform that supports vegetation management operations, regulatory compliance, and advanced analytics. This role is central to transforming fragmented legacy systems into a unified, audit\-ready Snowflake Data Lakehouse, enabling scalable, secure, and transparent data access across the organization.
 The engineer will design and implement robust ELT pipelines using Informatica as the primary tool, alongside a suite of AWS services including Step Functions, Fargate, Lambda, DynamoDB, and S3\. The role spans structured, semi\-structured, and unstructured data domains, integrating sources such as Salesforce, SAP, SharePoint, ArcGIS, and remote sensing imagery (LiDAR, Ortho imagery, surface reflectance, etc.).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particular skills, education, licenses or certifications, experience, market value, geographic location, collective bargaining agreements, and internal equity.
 **Although we estimate the successful candidate hired into this role will be placed towards the middle or entry point of the range, the decision will be made on a case\-by\-case basis related to these factors.** 
 This job can also participate in PG\&amp;E’s discretionary incentive compensation programs.
 A reasonable salary range is:
 Bay Area Minimum: $122,000
 Bay Area Mid\-point: $158,000
 Bay Area Maximum: $194,000
* This position follows a hybrid work model, requiring employees to report to their assigned office location at least one to two days per week. The remaining days may be worked remotely, depending on business needs. The headquarters is located in Oakland, CA.
* The first round interview for this role will be conducted in person at our Oakland headquarters.
**Job Responsibilities**
* Conceptualizes and generates infrastructure that allows big data to be accessed and analyzed.
* Collaborate with cross\-functional teams—including data scientists, analysts, and business stakeholders—to understand data requirements and deliver high\-quality, analytics\-ready datasets.
* Support the deployment of machine learning models by enabling feature pipelines, model input/output data flows, and integration with platforms like SageMaker or Foundry.
* Resolves application programming analysis problems of moderate to complex scope within procedural guidelines. May seek assistance from the supervisor or more skilled programmers/analysts on unusual or especially complex issues that cross multiple functional/technology areas.
* Works on complex data and analytics\-centric problems having a moderate impact that require in\-depth analysis and judgment to obtain results or solutions
* Plans work to meet assigned general objectives; progress is reviewed upon completion, and solutions may provide an opportunity for creative/non\-standard approaches.
* Communicates (oral and written) recommendations.
* Mentors/guides less experienced colleagues.
**Qualifications**
**Minimum:**
* BA/BS in Computer Science, Management Information Systems, related field of study, or equivalent experience.
* 5 years of experience with data engineering/ETL ecosystem, such as Palantir Foundry, Spark, Informatica, SAP BODS, OBIEE.
**Desired:**
* Experience with infrastructure\-as\-code tools (e.g., Terraform, CloudFormation).
* Familiarity with business intelligence tools such as Power BI, Tableau, or Foundry for data visualization and reporting.
* Knowledge of software engineering principles such as unit testing, CI/CD, and source control.
* Experience working with geospatial data and tools such as ArcGIS.
* Experience building data migration pipelines in Informatica
* Experience with machine learning algorithm deployment.</t>
        </is>
      </c>
    </row>
    <row r="91">
      <c r="A91" t="inlineStr">
        <is>
          <t>li-4370609244</t>
        </is>
      </c>
      <c r="B91" t="inlineStr">
        <is>
          <t>Data Engineer II (Python/SQL, Data Bricks, AWS)</t>
        </is>
      </c>
      <c r="C91" t="inlineStr">
        <is>
          <t>Travelers</t>
        </is>
      </c>
      <c r="D91" t="inlineStr">
        <is>
          <t>linkedin</t>
        </is>
      </c>
      <c r="E91">
        <f>HYPERLINK("https://www.linkedin.com/jobs/view/4370609244", "https://www.linkedin.com/jobs/view/4370609244")</f>
        <v/>
      </c>
      <c r="F91">
        <f>HYPERLINK("https://careers.travelers.com/job/22988975/data-engineer-ii-python-sql-data-bricks-aws-atlanta-ga/?source=S0903&amp;urlHash=osTV", "https://careers.travelers.com/job/22988975/data-engineer-ii-python-sql-data-bricks-aws-atlanta-ga/?source=S0903&amp;urlHash=osTV")</f>
        <v/>
      </c>
      <c r="G91" t="inlineStr">
        <is>
          <t>Atlanta, GA</t>
        </is>
      </c>
      <c r="H91" t="inlineStr"/>
      <c r="I91"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Proficiency in tools like AWS, Databricks, Snowflake, Gen AI, ETL Tools, Terraform etc.
* Passion for automation, optimization and delivering high\-quality data solutions.
* A problem\-solving mindset with a focus on continuous improvement.
* Incorporate core data management competencies including data governance, data security and data quality.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92">
      <c r="A92" t="inlineStr">
        <is>
          <t>li-4370894125</t>
        </is>
      </c>
      <c r="B92" t="inlineStr">
        <is>
          <t>Data Engineer</t>
        </is>
      </c>
      <c r="C92" t="inlineStr">
        <is>
          <t>LPL Financial</t>
        </is>
      </c>
      <c r="D92" t="inlineStr">
        <is>
          <t>linkedin</t>
        </is>
      </c>
      <c r="E92">
        <f>HYPERLINK("https://www.linkedin.com/jobs/view/4370894125", "https://www.linkedin.com/jobs/view/4370894125")</f>
        <v/>
      </c>
      <c r="F92" t="inlineStr"/>
      <c r="G92" t="inlineStr">
        <is>
          <t>California, United States</t>
        </is>
      </c>
      <c r="H92" t="inlineStr"/>
      <c r="I92"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What if you could build data products that directly fuel insight and decision‑making across a Fortune 500 wealth management firm? What if you could work with a modern data tech stack, collaborate with a high‑performing analytics team, and contribute to platforms that serve thousands of financial advisors? If you're ready to make an impact and help us accelerate analytics innovation, this is the job for you!
 The
 **Client Analytics Team** 
 is seeking a
 **Data Engineer** 
 with hands‑on experience in building and automating Python\-based ETL pipelines, particularly using Flask and Apache Airflow. This role will focus on designing, orchestrating, and maintaining data pipelines that integrate data from Snowflake, flat files, and public APIs. You’ll work closely with analysts, data scientists, and product stakeholders to ensure trustworthy, production‑grade data delivery. While you don’t need to be a generalist in all engineering domains, deep experience with our core stack will allow you to quickly make an impact. This role is fully remote, with quarterly travel required to San Diego, CA or Fort Mill, SC.
**Responsibilities**
* Design, build, and maintain Python Flask ETL microservices and automated data pipelines.
* Develop, schedule, and monitor workflows using Apache Airflow.
* Implement data ingestion from diverse sources, including Snowflake, flat files, cloud storage, and public APIs.
* Partner with analytics and business teams to understand data requirements and deliver reliable, well‑structured datasets.
* Optimize pipeline performance, ensure data quality, and support production stability.
* Contribute to DevOps best practices, including CI/CD workflows, testing, logging, and observability.
* Document processes, data flows, and system dependencies for operational clarity.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3\+ years of experience designing and building ETL processes in Python.
* Demonstrable hands\-on experience with:
+ Apache Airflow for workflow orchestration.
+ Integrating data from Snowflake, flat files, and REST/JSON public APIs.
+ SQL, data modeling, and production data engineering practices.
* Ability to work remotely while collaborating effectively across distributed teams; quarterly travel is required.
**Core Competencies**
* Strong problem‑solving ability with a focus on reliability and scalability.
* Ability to break down ambiguous requirements into clear, technical solutions.
* Strong communication skills with both technical and non‑technical partners.
**Preferences**
* Experience working in financial services or wealth management environments.
* Familiarity with containerization (e.g., Docker) and CI/CD pipelines.
* Experience with cloud platforms such as AWS, GCP, or Azure.
**Pay Range:**
 $96,600\-$161,000/year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93">
      <c r="A93" t="inlineStr">
        <is>
          <t>li-4361864631</t>
        </is>
      </c>
      <c r="B93" t="inlineStr">
        <is>
          <t>Analytics Engineer, Real Estate and Workplace</t>
        </is>
      </c>
      <c r="C93" t="inlineStr">
        <is>
          <t>OpenAI</t>
        </is>
      </c>
      <c r="D93" t="inlineStr">
        <is>
          <t>linkedin</t>
        </is>
      </c>
      <c r="E93">
        <f>HYPERLINK("https://www.linkedin.com/jobs/view/4361864631", "https://www.linkedin.com/jobs/view/4361864631")</f>
        <v/>
      </c>
      <c r="F93">
        <f>HYPERLINK("https://jobs.ashbyhq.com/openai/21326748-fd64-48c5-8624-a12ec6ee5334?utm_source=8lvZy0eqYJ&amp;urlHash=8gb1", "https://jobs.ashbyhq.com/openai/21326748-fd64-48c5-8624-a12ec6ee5334?utm_source=8lvZy0eqYJ&amp;urlHash=8gb1")</f>
        <v/>
      </c>
      <c r="G93" t="inlineStr">
        <is>
          <t>San Francisco, CA</t>
        </is>
      </c>
      <c r="H93" t="inlineStr"/>
      <c r="I93" t="inlineStr">
        <is>
          <t>**About The Team**
 The Real Estate \&amp; Workplace (REW) Data \&amp; Technology team builds the data foundation that powers how OpenAI plans, operates, and scales its global real estate and workplace footprint. We integrate data across people, seating, presence, meeting rooms, sensors, leases, and finance systems to create a trusted source of truth that enables efficient, high‑impact decisions about how we design and operate our offices.
 Our data platform also serves as the backbone for agent‑based automation and real‑time applications, giving you the opportunity to contribute to cutting‑edge AI innovation that is transforming how workplaces and real‑estate operations run across OpenAI.
**About The Role**
 As an
 **Analytics Engineer** 
 on the REW Data \&amp; Technology team, you will build high‑quality data models, pipelines, and Tableau assets that enable OpenAI to make data‑driven decisions about offices, workplace operations, and employee experience. You will work closely with Workplace Operations, Finance, and Technology teams to translate real‑world operational problems into reliable, scalable analytics products.
 This role is focused on strong execution and delivery: shipping trusted datasets, building production dashboards, and contributing to a growing analytics platform that supports both human and agent‑driven workflows.
**In This Role You Will**
* Build and maintain business‑facing data models in Databricks and SQL that power REW reporting and planning.
* Develop and manage data pipelines for Tableau dashboards used by site leaders, operators, and executives.
* Define and maintain canonical REW metrics and documentation to ensure consistent decision\-making across teams.
* Integrate data from HR systems, OfficeSpace, badge and access systems, meeting‑room bookings, and real‑time presence and occupancy sensors.
* Implement data quality checks, tests, and monitoring to ensure the reliability of REW metrics.
* Build real‑time data pipelines that support agent‑based operational applications.
* Partner with product managers and engineers to evolve and scale the REW data platform.
**You Might Thrive in This Role If You Have**
* 6\+ years of experience in analytics engineering, data engineering, or analytics.
* Strong SQL skills and experience working with cloud data platforms.
* Comfort working with messy, operational, and real‑world datasets such as environmental sensor data, IoT data, or other event‑based data sources.
* Experience with tools such as dbt, Airflow, or Spark, and real‑time systems such as Kafka, Kinesis, Delta Live Tables, or Spark Structured Streaming.
* The ability to thrive in a fast‑moving, ambiguous environment where priorities can shift quickly.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94">
      <c r="A94" t="inlineStr">
        <is>
          <t>li-4370908078</t>
        </is>
      </c>
      <c r="B94" t="inlineStr">
        <is>
          <t>Data Engineer</t>
        </is>
      </c>
      <c r="C94" t="inlineStr">
        <is>
          <t>LPL Financial</t>
        </is>
      </c>
      <c r="D94" t="inlineStr">
        <is>
          <t>linkedin</t>
        </is>
      </c>
      <c r="E94">
        <f>HYPERLINK("https://www.linkedin.com/jobs/view/4370908078", "https://www.linkedin.com/jobs/view/4370908078")</f>
        <v/>
      </c>
      <c r="F94" t="inlineStr"/>
      <c r="G94" t="inlineStr"/>
      <c r="H94" t="inlineStr"/>
      <c r="I94"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What if you could build data products that directly fuel insight and decision‑making across a Fortune 500 wealth management firm? What if you could work with a modern data tech stack, collaborate with a high‑performing analytics team, and contribute to platforms that serve thousands of financial advisors? If you're ready to make an impact and help us accelerate analytics innovation, this is the job for you!
 The
 **Client Analytics Team** 
 is seeking a
 **Data Engineer** 
 with hands‑on experience in building and automating Python\-based ETL pipelines, particularly using Flask and Apache Airflow. This role will focus on designing, orchestrating, and maintaining data pipelines that integrate data from Snowflake, flat files, and public APIs. You’ll work closely with analysts, data scientists, and product stakeholders to ensure trustworthy, production‑grade data delivery. While you don’t need to be a generalist in all engineering domains, deep experience with our core stack will allow you to quickly make an impact. This role is fully remote, with quarterly travel required to San Diego, CA or Fort Mill, SC.
**Responsibilities**
* Design, build, and maintain Python Flask ETL microservices and automated data pipelines.
* Develop, schedule, and monitor workflows using Apache Airflow.
* Implement data ingestion from diverse sources, including Snowflake, flat files, cloud storage, and public APIs.
* Partner with analytics and business teams to understand data requirements and deliver reliable, well‑structured datasets.
* Optimize pipeline performance, ensure data quality, and support production stability.
* Contribute to DevOps best practices, including CI/CD workflows, testing, logging, and observability.
* Document processes, data flows, and system dependencies for operational clarity.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3\+ years of experience designing and building ETL processes in Python.
* Demonstrable hands\-on experience with:
+ Apache Airflow for workflow orchestration.
+ Integrating data from Snowflake, flat files, and REST/JSON public APIs.
+ SQL, data modeling, and production data engineering practices.
* Ability to work remotely while collaborating effectively across distributed teams; quarterly travel is required.
**Core Competencies**
* Strong problem‑solving ability with a focus on reliability and scalability.
* Ability to break down ambiguous requirements into clear, technical solutions.
* Strong communication skills with both technical and non‑technical partners.
**Preferences**
* Experience working in financial services or wealth management environments.
* Familiarity with containerization (e.g., Docker) and CI/CD pipelines.
* Experience with cloud platforms such as AWS, GCP, or Azure.
**Pay Range:**
 $96,600\-$161,000/year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95">
      <c r="A95" t="inlineStr">
        <is>
          <t>li-4370893210</t>
        </is>
      </c>
      <c r="B95" t="inlineStr">
        <is>
          <t>Data Engineer</t>
        </is>
      </c>
      <c r="C95" t="inlineStr">
        <is>
          <t>Eli Lilly and Company</t>
        </is>
      </c>
      <c r="D95" t="inlineStr">
        <is>
          <t>linkedin</t>
        </is>
      </c>
      <c r="E95">
        <f>HYPERLINK("https://www.linkedin.com/jobs/view/4370893210", "https://www.linkedin.com/jobs/view/4370893210")</f>
        <v/>
      </c>
      <c r="F95" t="inlineStr"/>
      <c r="G95" t="inlineStr">
        <is>
          <t>Indianapolis, IN</t>
        </is>
      </c>
      <c r="H95" t="inlineStr"/>
      <c r="I95"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 Will Do**
 A Data Engineer is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**Your Basic Qualifications**
* Bachelor’s degree in Computer Science or similar stem degree
* At least 2 years of experience in data engineering using SQL, Python, PySpark, and AWS services including Lambda, Glue, S3, Redshift, Athena, and IAM roles/policies.
* 1\+ years of experience with hands\-on experience using GitHub and CI/CD pipelines for code deployment.
* Experience in a building data pipelines following Data Lakehouse, Data Warehouse, and Data Mart standards.
* Experience in data modelling (both OLTP and OLAP), managing large datasets, and implementing secure, compliant data governance practices.
* Hands\-on experience with Databricks, including cluster management, workspace configuration, notebook development, and performance optimization.
* Qualified applicants must be authorized to work in the United States on a full\-time basis. Lilly will not provide support for or sponsor work authorization or visas for this role now or in the future, including but not limited to F\-1 CPT, F\-1 OPT, F\-1 STEM OPT, J\-1, H\-1B, TN, O\-1, E\-3, H\-1B1, or L\-1\.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**What You Should Bring**
* Strong proficiency in SQL and Python.
* Experience with orchestration tools like Airflow for workflow automation.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 Customer Master, Product Master, Alignment Master, Activity, Consent etc. ), or regulated industries is a plus.
* Partner with and influence vendor resources on solution development to ensure understanding of data and technical direction for solutions as well as delivery
* AWS Certified Data Engineer
* Databricks Certified Data Engineer (Associate)
* Familiarity with AI/ML workflows and integrating machine learning models into data pipelines
* Ability to collaborate with business stakeholders to translate key business requirements into scalable technical solutions.
* Familiarity with security models and developing solutions on large\-scale, distributed data systems.
**Additional Information**
***Qualified applicants must be authorized to work in the United States on a full\-time basis. Lilly will not provide support for or sponsor work authorization or visas for this role now or in the future, including but not limited to F\-1 CPT, F\-1 OPT, F\-1 STEM OPT, J\-1, H\-1B, TN, O\-1, E\-3, H\-1B1, or L\-1\.***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**About The Business Function**
 Tech at Lilly Business Units is a global organization strategically positioned so that through information and technology leadership and solutions, we create meaningful connections and remarkable experiences, so people feel genuinely cared for. The Business Unit organization is accountable for designing, developing, and supporting commercial or customer engagement services and capabilities that span multiple Business Units (Bio\-Medicines, Diabetes, Oncology, International), functions, geographies, and digital channels. The areas supported by Business Unit includes: Customer Operations, Marketing and Commercial Operations, Medical Affairs, Market Research, Pricing, Reimbursement and Access, Customer Support Programs, Digital Production and Distribution, Global Patient Outcomes, and Real\-World Evidence.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96">
      <c r="A96" t="inlineStr">
        <is>
          <t>li-4370600590</t>
        </is>
      </c>
      <c r="B96" t="inlineStr">
        <is>
          <t>Data Engineer</t>
        </is>
      </c>
      <c r="C96" t="inlineStr">
        <is>
          <t>Per Scholas</t>
        </is>
      </c>
      <c r="D96" t="inlineStr">
        <is>
          <t>linkedin</t>
        </is>
      </c>
      <c r="E96">
        <f>HYPERLINK("https://www.linkedin.com/jobs/view/4370600590", "https://www.linkedin.com/jobs/view/4370600590")</f>
        <v/>
      </c>
      <c r="F96" t="inlineStr"/>
      <c r="G96" t="inlineStr"/>
      <c r="H96" t="inlineStr"/>
      <c r="I96" t="inlineStr">
        <is>
          <t>**ABOUT PER SCHOLAS:**
 For 30 years, Per Scholas has been on a mission to drive mobility and opportunity in the ever\-advancing technology landscape by unlocking the untapped potential of individuals, uplifting communities, and meeting the needs of employers through rigorous tech training. By teaming up with dynamic employer partners, ranging from Fortune 500 companies to innovative startups, we're forging inclusive tech talent pipelines, fulfilling an ever\-increasing need for skilled talent. With national remote training and campuses in 20\+ cities and counting, Per Scholas offers no\-cost training programs in the most sought\-after tech skills, spanning Cloud, Cybersecurity, Data Engineering, IT Support, Software Engineering, and more. To date, 30,000\+ individuals have been trained through Per Scholas, propelling their professional trajectories into high\-growth tech careers with salaries three times higher than their pre\-training earnings. Learn more by visiting PerScholas.org and follow us on LinkedIn, X, Facebook, Instagram, and YouTube.
**Per Scholas preferred hires reside within the following states** 
 : AZ, CA, CO, FL, GA, IL, IN, KS, MD, MA, MI, MO, NC, NJ, NY, OH, PA, TX, WA
**Position Title: Data Engineer**
**Location: Remote**
**Reports To: EVP, IT**
**Position Summary**
 Per Scholas is seeking a Data Engineer to maintain and expand our enterprise data infrastructure. This role focuses on the technical execution of our data strategy, specifically managing the flow of data into our newly established Snowflake Data Lake. You will be the "bridge" that ensures data from various sources is accurately ingested, transformed, and ready for visualization in Tableau.
**Core Responsibilities**
* Data Pipeline Management
* Set up and monitor automated data ingestion connectors using Fivetran.
* Troubleshoot sync errors and work with API providers to ensure continuous data flow.
* Write and optimize SQL transformations within Snowflake to prepare data for reporting.
* Familiarity or experience with OpenFlow data ingestion is nice\-to\-have
* Data Lake Maintenance
* Maintain the structure of the Snowflake Data Lake (schemas, tables, and views) as defined in partnership with InterWorks.
* Perform regular data quality checks to ensure the "source of truth" remains accurate.
* Monitor warehouse performance and assist in managing Snowflake credit consumption.
* Reporting \&amp; Visualization Support
* Build and maintain "Published Data Sources" in Tableau for use by various departments.
* Assist team members in building complex Tableau dashboards by providing the necessary back\-end data structures.
* Translate business requests into technical requirements for new data pipelines.
* Privacy \&amp; Compliance
* Execute data masking and access control policies to ensure compliance with Data Privacy frameworks.
* Assist in maintaining documentation for data lineage and the organizational data dictionary.
**Required Qualifications**
* Excellent communication skills, able to communicate technical requirements to non technical audiences
* A clear understanding of data modeling and best practices
* 2–4 years of professional experience in data engineering or a highly technical data analyst role.
* Experience with CI/CD pipelines
* Snowflake: Hands\-on experience querying and managing tables within a Snowflake environment.
* Fivetran: Proficiency in setting up and managing SaaS connectors.
* Experience writing and implementing data transformations with dbt (Data Build Tool)
* Tableau: Experience in data modeling for Tableau (calculating fields, joining data sets, and optimizing for performance).
* Technical Skills: Strong SQL skills are mandatory. Experience with Python for basic scripting is preferred.
* Mission\-Driven: A genuine interest in using technology to support Per Scholas’ mission of closing the opportunity gap.
 LI\#\- Remote
 For this position, our target salary is
 **$139,000,** 
 with a range of
 **$129,000 to $139,000\.** 
 The variation in compensation typically hinges on factors such as the candidate's geographic location and their qualifications and experience that align with the role.
**QUESTIONS?**
 If you have any questions about this role, please feel free to email our Talent team at jobs@perscholas.org. We look forward to viewing your application!
**Equal Employment Opportunity**
 We're proud to be an equal opportunity employer. All qualified applicants will receive consideration for employment without regard to age, race, color, religion, sex, sexual orientation, gender identity or national origin.
 PII Policies
 Non\-Discrimination Policy</t>
        </is>
      </c>
    </row>
    <row r="97">
      <c r="A97" t="inlineStr">
        <is>
          <t>li-4370910535</t>
        </is>
      </c>
      <c r="B97" t="inlineStr">
        <is>
          <t>Data Engineer, Product Analytics</t>
        </is>
      </c>
      <c r="C97" t="inlineStr">
        <is>
          <t>Lensa</t>
        </is>
      </c>
      <c r="D97" t="inlineStr">
        <is>
          <t>linkedin</t>
        </is>
      </c>
      <c r="E97">
        <f>HYPERLINK("https://www.linkedin.com/jobs/view/4370910535", "https://www.linkedin.com/jobs/view/4370910535")</f>
        <v/>
      </c>
      <c r="F97">
        <f>HYPERLINK("https://lensa.com/cgw/da583ce7f0734333b40436b49b9eb14etjo1?jpsi=directemployers&amp;publisher_preference=easier_apply&amp;utm_campaign=Computer%20Occupations&amp;utm_medium=slot&amp;utm_source=linkedin&amp;utm_term=jse&amp;urlHash=j06m", "https://lensa.com/cgw/da583ce7f0734333b40436b49b9eb14etjo1?jpsi=directemployers&amp;publisher_preference=easier_apply&amp;utm_campaign=Computer%20Occupations&amp;utm_medium=slot&amp;utm_source=linkedin&amp;utm_term=jse&amp;urlHash=j06m")</f>
        <v/>
      </c>
      <c r="G97" t="inlineStr">
        <is>
          <t>Menlo Park, CA</t>
        </is>
      </c>
      <c r="H97" t="inlineStr"/>
      <c r="I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Preferred Qualifications:
* Master's or Ph.D degree in a STEM field
**Public Compensation**
 $114,000/year to $173,000/year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98">
      <c r="A98" t="inlineStr">
        <is>
          <t>li-4361799868</t>
        </is>
      </c>
      <c r="B98" t="inlineStr">
        <is>
          <t>Data Engineer</t>
        </is>
      </c>
      <c r="C98" t="inlineStr">
        <is>
          <t>PitchBook</t>
        </is>
      </c>
      <c r="D98" t="inlineStr">
        <is>
          <t>linkedin</t>
        </is>
      </c>
      <c r="E98">
        <f>HYPERLINK("https://www.linkedin.com/jobs/view/4361799868", "https://www.linkedin.com/jobs/view/4361799868")</f>
        <v/>
      </c>
      <c r="F98">
        <f>HYPERLINK("https://job-boards.greenhouse.io/pitchbookdata/jobs/4650770006?gh_src=b1fb49bb6us&amp;urlHash=c5yk", "https://job-boards.greenhouse.io/pitchbookdata/jobs/4650770006?gh_src=b1fb49bb6us&amp;urlHash=c5yk")</f>
        <v/>
      </c>
      <c r="G98" t="inlineStr">
        <is>
          <t>Seattle, WA</t>
        </is>
      </c>
      <c r="H98" t="inlineStr"/>
      <c r="I98"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Data Engineer on the Enterprise Data Platform team, you will be responsible for building data pipelines to ingest various source data from enterprise technologies and PitchBook Platform data, manipulating (cleanse, dedupe, normalize) data into well\-constructed data models for data analysis, implementing business logic and standard calculations, governing (supporting, observing, documenting) the data, and making the data available to end consumers in the form of PitchBook data products built on top of our data warehouse / data lake (e.g. Snowflake). You’ll work with a range of data and reporting technologies (e.g. Python, Docker, Tableau, Power BI) to build upon a strong foundation of rigor, quantitative techniques, and efficient processing. You’ll join other Engineers and Analytics professionals as part of the team that develops data pipelines and insights for our internal stakeholders across Sales, Customer Success, Marketing, Research, Data Operations, Product, Finance, and Administration.
 Your team will rely on you to build your skills in data techniques and analytics to deliver accurate, timely, accessible, and secure data \&amp; insights to users. You’ll collaborate closely and effectively with internal and external stakeholders of different roles and technical backgrounds, who have varying understanding of data engineering. You’ll have the opportunity and ability to impact many different areas of analytics and operational thinking across enterprise technology and product engineering.
 You will exhibit a growth mindset, be willing to solicit feedback, engage others with empathy, and help create a culture of belonging, teamwork, and purpose. If you love building data\-centric solutions, strive for excellence every day, are adaptable and focused, and believe work should be fun, come join us!
**Primary Job Responsibilities**
* Apply unified data technologies to support advanced and automated business analytics
* Design, develop, document, and maintain database and reporting structures used to compile insights
* Define, develop, and review extract, load, and transform (ELT) processes and data modeling solutions
* Consistently evolve data processes and techniques following industry best practices
* Build data models to be used for reports and dashboards used to translate business data into insights, identify and prioritize operational improvement opportunities, and measure business KPIs
* Contribute to the ongoing improvement of quality assurance standards and procedures
* Support the vision and values of the company through role modeling and encouraging desired behaviors
* Participate in various company initiatives and projects as requested
**Skills And Qualifications**
* Bachelor's degree in a related field (Computer Science, Engineering, etc.)
* 2\+ years of experience in data engineering roles, including creating and maintaining data pipelines, data modeling, and data architecture
* 3\+ years of experience in advanced SQL, including expert\-level skills in querying large datasets from multiple sources and developing automated reporting
* 2\+ years of experience in Python, with skills for diverse components of data pipelines, including scripting, data manipulation, custom extract, transform and loads, and statistical/regression analysis
* Expertise in extract, transform, and load (ETL) and extract, load, transform (ELT) processes and pipelines, platforms (e.g. Airflow), and distributed messaging (e.g. Kafka)
* Experience with tools that capture and control data modeling change management (e.g. SQLMesh)
* Proficiency in data storage solutions, data warehousing, and cloud\-based data platforms (e.g. Snowflake)
* Knowledge and applicable working experience establishing and ensuring data governance, data quality, and compliance standards
* Exceptional problem\-solving skills
* Excellent communication and collaboration skills with the ability to engage with non\-technical stakeholders
* Experience working with enterprise technologies (CRM, ERP, Marketing Automation Platforms, Financial Systems, etc.) is a plus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$129,000\-$155,000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99">
      <c r="A99" t="inlineStr">
        <is>
          <t>li-4363021738</t>
        </is>
      </c>
      <c r="B99" t="inlineStr">
        <is>
          <t>Sr Data Engineer</t>
        </is>
      </c>
      <c r="C99" t="inlineStr">
        <is>
          <t>Vivint</t>
        </is>
      </c>
      <c r="D99" t="inlineStr">
        <is>
          <t>linkedin</t>
        </is>
      </c>
      <c r="E99">
        <f>HYPERLINK("https://www.linkedin.com/jobs/view/4363021738", "https://www.linkedin.com/jobs/view/4363021738")</f>
        <v/>
      </c>
      <c r="F99" t="inlineStr"/>
      <c r="G99" t="inlineStr">
        <is>
          <t>New Jersey, United States</t>
        </is>
      </c>
      <c r="H99" t="inlineStr"/>
      <c r="I99"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Vivint pioneers cutting\-edge smart home security solutions, empowering customers to live a safer, smarter, and more sustainable
 life. We seek passionate, innovative engineers eager to transform the daily lives of millions through groundbreaking solutions. We
 blend intelligent hardware, real\-time sensor data, and AI to transform how people interact with their homes.
**About This Role**
 Vivint, an NRG Company, is redefining home energy intelligence through data and AI to enable personalized comfort, energy
 efficiency, and demand\-response optimization across millions of connected homes. We are seeking a Senior Software Engineer,
 Data to build and scale the pipelines and data products that transform raw device telemetry into reliable, actionable intelligence.
* Data Pipeline Development: Design and maintain scalable ETL/ELT pipelines that process time\-series signals from
 thermostats, weather, schedules, and device analytics.
* Core Data Products: Build verified HVAC and Energy data tables (e.g., Run \&amp; Drift, Thermal Coefficients, Efficiency Drift) to
 serve as trusted sources for analytics, modeling, and automation.
* Modernization \&amp; Quality: Refactor legacy Scala/Akka processes into PySpark or Databricks jobs, improving observability,
 testing, and CI/CD coverage for upstream feeds.
* Integration \&amp; Streaming: Manage data sourced from Mongo\-based telemetry, Kafka or Pub/Sub streams, and cloud storage
 (GCS) to ensure reliability and consistency.
* Model Enablement: Collaborate with data scientists to generate and operationalize features supporting HVAC runtime
 prediction, anomaly detection, and DR optimization.
* Documentation \&amp; Governance: Promote best practices for data lineage, schema documentation, and change control to
 prevent regressions in production systems.
**Required Qualifications**
* 3\+ years of data engineering or backend data systems experience
* Strong proficiency in Python, SQL, and distributed data frameworks (PySpark, Databricks)
* Hands\-on experience with GCP, Kafka/Pub\-Sub, and data lake architecture
* Ability to read and modernize legacy Scala/Akka codebases
* Proven track record building production\-grade pipelines that deliver analytics\-ready datasets
* Strong problem\-solving skills in ambiguous, under\-documented environments
**Preferred Qualifications**
* Experience with ML platforms and feature engineering workflows (e.g. Vertex AI)
* AI/ML application experience (LLMs, computer vision, energy forecasting models)
* Background in IoT applications, protocols, and telemetry
* Familiarity with specialized databases:
* Graph databases (e.g. Neo4j)
* Vector databases (e.g. Pinecone)
* Experience with data orchestration tools (e.g. Airflow)
* Background in Demand Response or home energy automation
* Experience implementing data quality metrics, observability, and alerting
* Track record of significant cost optimization or performance improvements in data systems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00">
      <c r="A100" t="inlineStr">
        <is>
          <t>li-4370545998</t>
        </is>
      </c>
      <c r="B100" t="inlineStr">
        <is>
          <t>Data Engineer</t>
        </is>
      </c>
      <c r="C100" t="inlineStr">
        <is>
          <t>Whatnot</t>
        </is>
      </c>
      <c r="D100" t="inlineStr">
        <is>
          <t>linkedin</t>
        </is>
      </c>
      <c r="E100">
        <f>HYPERLINK("https://www.linkedin.com/jobs/view/4370545998", "https://www.linkedin.com/jobs/view/4370545998")</f>
        <v/>
      </c>
      <c r="F100">
        <f>HYPERLINK("https://www.wiraa.com/job-description/us442D8A112D5D729318FBF753E63D57D5?source=Linkedin&amp;urlHash=A1uj", "https://www.wiraa.com/job-description/us442D8A112D5D729318FBF753E63D57D5?source=Linkedin&amp;urlHash=A1uj")</f>
        <v/>
      </c>
      <c r="G100" t="inlineStr"/>
      <c r="H100" t="inlineStr"/>
      <c r="I100" t="inlineStr">
        <is>
          <t>**About The Company** 
 Join the Future of Commerce with Whatnot! Whatnot is the largest live shopping platform in North America and Europe dedicated to revolutionizing the way people buy, sell, and discover their favorite items. By seamlessly blending community, entertainment, and e\-commerce, Whatnot creates a dynamic marketplace where users can engage with live auctions across a diverse range of categories, including fashion, beauty, electronics, collectibles such as trading cards and comic books, and even live plants. With a focus on innovation and community\-driven experiences, Whatnot is committed to redefining online marketplaces. The company operates with a remote co\-located team and maintains hubs in the US, UK, Germany, Ireland, and Poland, fostering a global environment that encourages collaboration and growth. As one of the fastest\-growing marketplaces, Whatnot is passionate about enabling individuals to turn their passions into businesses and bringing people together through commerce.
**About The Role** 
 As a Data Engineer at Whatnot, you will play a pivotal role in powering the company's data\-driven decision\-making processes. Your primary responsibility will be to build and scale robust data systems that support internal operations and external growth initiatives. You will work directly with cross\-functional teams—including product, sales, marketing, finance, and trust—to design reliable data architectures, develop resilient data pipelines, and create foundational data products. Your work will ensure that data is accessible, accurate, and actionable, enabling the company to optimize performance, innovate, and deliver exceptional user experiences. The role offers an exciting opportunity to influence the company's technical landscape by making strategic architectural decisions, implementing scalable data workflows, and establishing standards for data quality and modeling. You will also support analytics, machine learning, and real\-time applications by providing high\-quality, low\-latency data access through semantic layers, APIs, and query systems.
**Qualifications** 
* 3\+ years of experience as a data or software engineer, specializing in building data warehouses, distributed data systems, or event\-driven architectures
* Proficiency in designing and implementing data models using techniques such as dimensional modeling, Data Vault, or ledger\-style approaches
* Hands\-on experience with modern data tooling, including Kafka, Debezium, dbt, Spark, Flink, Dagster, Airflow, Monte Carlo, and Great Expectations
* Experience operating cloud data warehouses such as Snowflake, BigQuery, or Redshift, including schema design, workload tuning, and cost optimization
* Strong coding skills in Python and SQL, with familiarity in integrating CI/CD pipelines and infrastructure\-as\-code workflows
* Ability to translate complex business requirements into efficient, scalable data systems
* Self\-starter mentality with the ability to thrive in a fast\-paced, dynamic environment
* Excellent collaboration skills across engineering, product, and analytics teams
**Responsibilities** 
* Own end\-to\-end data architecture, including data capture, modeling, and serving strategies that balance cost, scalability, and consistency
* Develop, operate, and optimize mission\-critical streaming and batch data pipelines processing high\-volume events across various domains
* Create and enforce domain\-oriented data models that serve as authoritative sources for analytics, machine learning, and real\-time applications
* Implement data quality systems, including lineage, monitoring, testing, and reconciliation to ensure dataset observability and accuracy
* Automate operational workflows by partnering with business systems and platform teams to streamline data handoffs and reconcile data across multiple systems
* Support analytics and experimentation efforts by exposing high\-quality, low\-latency data via APIs, semantic layers, and real\-time query systems
* Collaborate closely with cross\-disciplinary teams to translate business needs into scalable, reliable data solutions
* Maintain a focus on operational excellence, ensuring data systems meet SLAs and performance standards
**Benefits** 
* Generous holiday and time\-off policies to promote work\-life balance
* Comprehensive health insurance options including Medical, Dental, and Vision coverage
* Support for remote work with home office setup allowances and monthly stipends for internet and phone expenses
* Care benefits such as wellness allowances, childcare support, and family planning assistance
* Retirement plans including 401(k) with employer matching for US employees and international pension options
* Monthly allowances for product testing and app usage, encouraging team engagement and product understanding
* Paid parental leave of 16 weeks, with a gradual return\-to\-work program
* Opportunities for professional development and growth within a fast\-paced,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embracing diverse skills, perspectives, and experiences enhances our work culture and drives our success.</t>
        </is>
      </c>
    </row>
    <row r="101">
      <c r="A101" t="inlineStr">
        <is>
          <t>li-4370869750</t>
        </is>
      </c>
      <c r="B101" t="inlineStr">
        <is>
          <t>Data Engineer</t>
        </is>
      </c>
      <c r="C101" t="inlineStr">
        <is>
          <t>Ranger Technical Resources</t>
        </is>
      </c>
      <c r="D101" t="inlineStr">
        <is>
          <t>linkedin</t>
        </is>
      </c>
      <c r="E101">
        <f>HYPERLINK("https://www.linkedin.com/jobs/view/4370869750", "https://www.linkedin.com/jobs/view/4370869750")</f>
        <v/>
      </c>
      <c r="F101" t="inlineStr"/>
      <c r="G101" t="inlineStr">
        <is>
          <t>Florida, United States</t>
        </is>
      </c>
      <c r="H101" t="inlineStr"/>
      <c r="I101" t="inlineStr">
        <is>
          <t>**Position Summary:** 
 Our partner is a global manufacturer modernizing its ERP\-driven data environment into a cloud\-native platform for trusted analytics and forecasting. They are growing their team to support the build\-out and ownership of the data foundation that enterprise analytics and forecasting depend on. The environment is Databricks and Azure, with ERP data at the core, and the challenge is turning complex, scattered systems into trusted, high\-performance data models the business can rely on. The focus is on data modeling, pipeline reliability, performance tuning, and governance, not dashboards or surface\-level reporting. Data accuracy, performance, and reliability matter because leaders depend on these systems to make operational and financial decisions.
**Experience and Education:** 
* BS in Computer Science, Information Systems, Software Engineer or equivalent technical field
* Experience building enterprise data platforms using Databricks and Azure
* Background in designing and owning data models sourced from ERP systems
* Experience working with SAP or other large\-scale ERP environments
* History of owning data pipelines end\-to\-end in production environments
* Exposure to forecasting, analytics, or ML\-enabled data use cases
* Experience working with globally distributed or offshore teams
**Skills and Strengths:** 
* Databricks
* Azure
* Data engineering
* Data modeling
* ERP data environments
* SAP
* SQL
* Python
* Lakehouse architecture
* ETL design
* Data orchestration
* Data quality frameworks
* Performance optimization
* Enterprise data governance
* Analytics enablement
* Forecasting data pipelines
* Machine learning support
* Systems tradeoff analysis
* Cross\-team collaboration
* Technical documentation
**Primary Job Responsibilities:** 
* Own the Databricks\-based data engineering layer used across the enterprise
* Design and maintain high\-quality data models sourced from ERP systems
* Ensure data pipelines are reliable, scalable, and performant
* Standardize ETL patterns, orchestration, and data quality checks
* Improve lakehouse performance and long\-term maintainability
* Partner closely with BI leadership to enable trusted analytics and forecasting
* Support ML and advanced analytics use cases through strong data foundations
* Establish and reinforce enterprise data governance practices
* Collaborate with offshore and onshore teams to ensure consistency
* Decide when work requires immediate fixes versus backlog prioritization
* Clearly explain engineering tradeoffs across cost, performance, and maintainability
* Reduce operational firefighting by improving platform stability
* Document data models, pipelines, and standards for reuse
* Act as a senior technical voice without direct people management
* Continuously improve the platform based on business and technical needs</t>
        </is>
      </c>
    </row>
    <row r="102">
      <c r="A102" t="inlineStr">
        <is>
          <t>li-4370893500</t>
        </is>
      </c>
      <c r="B102" t="inlineStr">
        <is>
          <t>Data Engineer</t>
        </is>
      </c>
      <c r="C102" t="inlineStr">
        <is>
          <t>Lensa</t>
        </is>
      </c>
      <c r="D102" t="inlineStr">
        <is>
          <t>linkedin</t>
        </is>
      </c>
      <c r="E102">
        <f>HYPERLINK("https://www.linkedin.com/jobs/view/4370893500", "https://www.linkedin.com/jobs/view/4370893500")</f>
        <v/>
      </c>
      <c r="F102">
        <f>HYPERLINK("https://lensa.com/cgw/7b58b43e118a4b2db3a3be30965e27cctjo1?jpsi=directemployers_no_redirect&amp;publisher_preference=easier_apply&amp;utm_campaign=Computer%20Occupations&amp;utm_medium=slot&amp;utm_source=linkedin&amp;utm_term=jse&amp;urlHash=EuMi", "https://lensa.com/cgw/7b58b43e118a4b2db3a3be30965e27cctjo1?jpsi=directemployers_no_redirect&amp;publisher_preference=easier_apply&amp;utm_campaign=Computer%20Occupations&amp;utm_medium=slot&amp;utm_source=linkedin&amp;utm_term=jse&amp;urlHash=EuMi")</f>
        <v/>
      </c>
      <c r="G102" t="inlineStr">
        <is>
          <t>Boston, MA</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**Data Engineer**
**Anywhere**
**Type:** 
 Contract
**Category:** 
 Engineer
**Industry:** 
 Retail
**Workplace Type:** 
 Remote
**Reference ID:** 
 JN \-012026\-105081
**Date Posted:** 
 01/19/2026
**Shortcut:** 
 http://careers.eliassen.com/4MUOj7
* Description
* Recommended Jobs
**Description**
*Remote*
 Our client is a global food manufacturer based in the Northeastern United States. The organization delivers consumer products at scale and invests in modern data capabilities to support decision making.
*Due to client requirements, applicants must be willing and able to work on a w2 basis. For our w2 consultants, we offer a great benefits package that includes Medical, Dental, and Vision benefits, 401k with company matching, and life insurance.*
 Rate: $65\.00 to $80\.00/hr. w2
**Responsibilities**
**Responsibilities**
* Design, build, and maintain scalable data pipelines using Databricks and Azure Data Factory.
* Develop and optimize Snowflake data models following data warehousing best practices.
* Implement ELT and ETL processes to transform raw data into analysis\-ready formats.
* Create and maintain dimensional models and semantic layers for business analytics.
* Build and maintain Python backend APIs for data access and integration.
* Write clean, production\-ready Python code with documentation and tests.
* Develop RESTful APIs that connect data infrastructure to applications and tools.
* Implement data validation, quality checks, and monitoring solutions.
* Leverage Azure services including Data Lake, SQL, and Functions for data solutions.
* Implement CI/CD pipelines and infrastructure as code for data workflows.
* Manage and optimize cloud resources for cost and performance.
* Ensure data security, governance, and compliance standards.
* Partner with analysts, scientists, and business stakeholders to gather requirements.
* Translate business needs into technical data solutions.
* Document pipelines, processes, and architecture.
* Participate in code reviews and promote engineering best practices.
**Experience Requirements**
**Experience Requirements**
* 3 to 5\+ years as a Data Engineer or similar role.
* Proficiency in Python for data engineering and backend development.
* Extensive experience with Databricks including PySpark, Delta Lake, and workflows.
* Hands\-on Snowflake experience with data modeling, optimization, and SnowSQL.
* Experience with Azure services such as ADF, ADLS, and Azure SQL.
* Strong SQL skills and relational database expertise.
* Experience with Git and collaborative development.
* Deep understanding of data modeling, data warehousing, and ETL/ELT patterns.
* Knowledge of data formats such as Parquet, Avro, and Delta and their use cases.
* Experience building and optimizing data pipelines at scale.
* Understanding of data quality, governance, and security principles.
* Experience with dbt for transformation workflows (preferred).
* Knowledge of streaming technologies such as Kafka, Event Hubs, or Databricks Streaming (preferred).
* Familiarity with orchestration tools such as Airflow or Azure Data Factory (preferred).
* Experience with data visualization tools such as Power BI, Tableau, or Looker (preferred).
* Understanding of DataOps and agile methodologies (preferred).
* Experience with infrastructure as code such as Terraform or ARM templates (preferred).
* Knowledge of data mesh or data lakehouse architectures (preferred).
**Education Requirements**
**Education Requirements**
* Azure certifications such as Azure Data Engineer Associate or Databricks certifications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103">
      <c r="A103" t="inlineStr">
        <is>
          <t>li-4370546953</t>
        </is>
      </c>
      <c r="B103" t="inlineStr">
        <is>
          <t>Data Engineer II</t>
        </is>
      </c>
      <c r="C103" t="inlineStr">
        <is>
          <t>First Citizens Bank</t>
        </is>
      </c>
      <c r="D103" t="inlineStr">
        <is>
          <t>linkedin</t>
        </is>
      </c>
      <c r="E103">
        <f>HYPERLINK("https://www.linkedin.com/jobs/view/4370546953", "https://www.linkedin.com/jobs/view/4370546953")</f>
        <v/>
      </c>
      <c r="F103">
        <f>HYPERLINK("https://www.wiraa.com/job-description/usCB70011497BA7CD19F223B67986F652B?source=Linkedin&amp;urlHash=g8R6", "https://www.wiraa.com/job-description/usCB70011497BA7CD19F223B67986F652B?source=Linkedin&amp;urlHash=g8R6")</f>
        <v/>
      </c>
      <c r="G103" t="inlineStr"/>
      <c r="H103" t="inlineStr"/>
      <c r="I103" t="inlineStr">
        <is>
          <t>**About The Company**
 First Citizens Bank is a reputable financial institution committed to delivering exceptional banking services and innovative financial solutions to its clients. With a strong focus on integrity, customer satisfaction, and technological advancement, the bank continually strives to enhance its operational efficiency and data\-driven decision\-making capabilities. As a leading bank with a robust presence across the United States, First Citizens Bank invests heavily in modern data infrastructure to support its diverse business functions, including regulatory reporting, finance, risk management, and customer insights. The company's dedication to fostering a collaborative and inclusive work environment makes it an ideal place for professionals seeking growth and impactful contributions in the financial sector.
**About The Role**
 This remote role is critical in supporting and maintaining the enterprise data warehouse environment that underpins key business functions within the bank. The Data Engineer will be responsible for designing, developing, and optimizing data platforms to ensure seamless data integration, security, and accessibility across various departments. This position involves working closely with global technology teams, primarily in the US, to deliver scalable and resilient data solutions aligned with business objectives. The role may include overseeing less experienced analysts, managing technical deliverables, and supporting production systems to ensure continuous operational functionality. Candidates hired in North Carolina, Arizona, or Texas will be considered, reflecting the company's commitment to flexible and location\-specific talent acquisition.
**Qualifications**
* Bachelor’s degree in Computer Science, Information Technology, Data Engineering, or related field, with at least 2 years of relevant experience
* Or high school diploma or GED with a minimum of 6 years of experience in data engineering, database management, or related areas
* Experience with large\-scale data warehousing applications and databases such as Oracle, Netezza, Teradata, and SQL Server
* Proficiency in cloud\-based data platforms, especially Snowflake and AWS
* Strong SQL scripting and experience with programming languages such as Python
* Knowledge of data modeling, data architecture, and design patterns
* Experience with ETL/ELT tools including SAP BODS, Informatica IICS, IBM DataStage, DBT, Fivetran, and AWS Glue
* Familiarity with version control systems like Gitlab and CI/CD processes
* Excellent communication, problem\-solving, and collaboration skills
* Attention to detail and ability to manage multiple priorities effectively
**Responsibilities**
* Design, build, and maintain data platforms supporting enterprise data warehouse, operational data store, and data marts
* Develop and implement enterprise\-scale data integration procedures, pipelines, and frameworks throughout the data development lifecycle
* Create data ingestion pipelines optimized for performance in data warehouses and large\-scale data platforms
* Establish scheduled and trigger\-based data ingestion patterns using appropriate scheduling tools
* Develop performance\-optimized DDLs for row\-based and columnar databases such as Oracle, Postgres, and Netezza based on logical data models
* Perform performance tuning on complex data pipelines and SQL queries to ensure efficiency
* Conduct impact analysis for proposed changes, assessing system priorities, architecture, and capabilities
* Manage development deliverables, perform design reviews, and coordinate release activities
* Estimate project timelines, identify technical risks, and communicate issues and solutions effectively
* Drive automation initiatives, optimize data flows, and recommend process improvements
* Utilize agile engineering practices and various data development tools to rapidly develop data products
* Collaborate with product owners to understand project goals, clarify requirements, and ensure timely delivery
* Provide technical support for production incidents and resolve system failures promptly
* Work with global teams across different time zones to ensure continuous delivery of business value
**Benefits**
* Competitive salary and comprehensive health benefits package
* Paid time off and holidays
* Retirement savings plans with company contributions
* Professional development opportunities and training programs
* Flexible work arrangements supporting remote work
* Inclusive and collaborative work environment fostering growth and innovation
 Equal Opportunity
 First Citizens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in accordance with applicable laws.</t>
        </is>
      </c>
    </row>
    <row r="104">
      <c r="A104" t="inlineStr">
        <is>
          <t>li-4370908984</t>
        </is>
      </c>
      <c r="B104" t="inlineStr">
        <is>
          <t>Data Engineer - REMOTE</t>
        </is>
      </c>
      <c r="C104" t="inlineStr">
        <is>
          <t>Jobgether</t>
        </is>
      </c>
      <c r="D104" t="inlineStr">
        <is>
          <t>linkedin</t>
        </is>
      </c>
      <c r="E104">
        <f>HYPERLINK("https://www.linkedin.com/jobs/view/4370908984", "https://www.linkedin.com/jobs/view/4370908984")</f>
        <v/>
      </c>
      <c r="F104" t="inlineStr"/>
      <c r="G104" t="inlineStr">
        <is>
          <t>North Carolina, United States</t>
        </is>
      </c>
      <c r="H104" t="inlineStr"/>
      <c r="I104" t="inlineStr">
        <is>
          <t>This position is posted by Jobgether on behalf of a partner company. We are currently looking for a Principal Data Platform Engineer. In this role, you will be pivotal in leading the design and implementation of complex database solutions that drive mission\-critical operations. Your expertise in both on\-premises and cloud\-based architectures will enable the creation of efficient and scalable data platforms. Collaborating with cross\-functional teams, you will solve complex problems and innovate within the data ecosystem. Your contributions will significantly enhance data\-driven decision\-making and operational excellence across various industries.
**Accountabilities**
* Lead global teams in design and architecture discussions.
* Implement scalable database architectures on cloud\-native platforms (AWS).
* Optimize applications for cost efficiencies in AWS RDS \&amp; EMR.
* Collaborate with teams to ensure integration with existing systems.
* Manage automated operations through CI/CD pipelines and IaC tools.
* Monitor and fine\-tune database performance for scalability.
* Implement data protection strategies with encryption and access controls.
* Develop enterprise data models and enforce data standards.
* Research new technologies to enhance database efficiency.
* Create comprehensive documentation for database configurations.
**Requirements**
* Bachelor's degree in computer science or a related field.
* 10\+ years of Enterprise Data Platform Engineering experience.
* Expertise in multi\-cloud database architecture and cross\-platform migration.
* Experience with infrastructure\-as\-code (IaC) and DevOps automation tools.
* Familiarity with data governance and regulatory compliance frameworks.
* Experience diagnosing complex database issues.
* Knowledge of containerization tools like Docker and Kubernetes.
* Experience with observability and monitoring tools.
* Business continuity planning and high\-availability architecture design.
* Mentoring experience with junior engineers.
**Benefits**
* Great compensation package and bonus plan.
* Core benefits including medical, dental, vision, and matching 401K.
* Flexible work environment, ability to work remote or in\-office.
* Flexible time off including volunteer time, vacation, and paid holidays.
* Recognition as one of the World's Best Workplaces™ 2024\.
* Oppotunitiy to work with a diverse and inclusive workforce.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li-4370499463</t>
        </is>
      </c>
      <c r="B105" t="inlineStr">
        <is>
          <t>Data Engineer II - ABS Data Analytics &amp; Finance Reporting</t>
        </is>
      </c>
      <c r="C105" t="inlineStr">
        <is>
          <t>GM Financial</t>
        </is>
      </c>
      <c r="D105" t="inlineStr">
        <is>
          <t>linkedin</t>
        </is>
      </c>
      <c r="E105">
        <f>HYPERLINK("https://www.linkedin.com/jobs/view/4370499463", "https://www.linkedin.com/jobs/view/4370499463")</f>
        <v/>
      </c>
      <c r="F105" t="inlineStr"/>
      <c r="G105" t="inlineStr">
        <is>
          <t>Fort Worth, TX</t>
        </is>
      </c>
      <c r="H105" t="inlineStr"/>
      <c r="I105" t="inlineStr">
        <is>
          <t>**Job Description**
***NOTE: We are unable to offer visa sponsorship now or in the future for this position***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**About The Role**
 The ABS Data Engineer II is a critical technical role within the GMF North America Securitization and Conduit Reporting team. This position will be helping ABS reporting team in building and maintaining reliable and scalable data pipelines. This position will leverage your expertise in Python, SQL, and Azure cloud technologies to extract, transform, and load data efficiently, enabling seamless data access and analysis for accounting business users. This position involves a high level of coordination with other departments and third\-party software vendors.
**In This Role You Will**
* Work internal business partners to identify, capture, collect, and format data from the external sources, internal systems and the data warehouse to extract features of interest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Coordinate with Privacy Compliance to ensure proper data collection and handling
* Create and implement business rules and functional enhancements for data schemas and processes
* Coordinate with Privacy Compliance to ensure proper data collection and handling
* Perform data load monitoring and resolution
* Work with internal business clients to problem solve data availability and activation issues
**Responsibilities**
**What makes you an ideal candidate?**
* Experience with processing large data sets using Hadoop, HDFS, Spark, Kafka, Flume or similar distributed systems
* Experience with ingesting various source data formats such as JSON, Parquet, SequenceFile, Cloud Databases, MQ, Relational Databases such as Oracle
* Experience with Cloud technologies (such as Azure, AWS, GCP) and native toolsets such as Azure ARM Templates, Hashicorp Terraform, AWS Cloud Formation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Experience with containerization to include but not limited to Dockers, Kubernetes, Spark on Kubernetes, Spark Operator
* Working knowledge of Agile development / SAFe Scrum and Application Lifecycle Management
* Strong background with source control management systems (GIT or Subversion); Build Systems (Maven, Gradle, Webpack); Code Quality (Sonar); Artifact Repository Managers (Artifactory), Continuous Integration/ Continuous Deployment (Azure DevOps)
* Experience with NoSQL data stores such as CosmosDB, MongoDB, Cassandra, Redis, Riak or other technologies that embed NoSQL with search such as MarkLogic or Lily Enterprise
* Creating and maintaining ETL processes
* Experience with Adobe solutions (ideally Adobe Experience Platform, DTM/Launch) and REST APIs
* Digital technology solutions (DMPs, CDPs, Tag Management Platforms, Cross\-Device Tracking, SDKs, etc.)
* Knowledge of Real Time\-CDP and Journey Analytics solutions
* Understanding of big data platforms and architectures, data stream processing pipeline/platform, data lake and data lake houses
* SQL experience: querying data and sharing what insights can be derived
* Understanding of cloud solutions such as Google Cloud Platform, Microsoft Azure \&amp; Amazon AWS cloud architecture \&amp; services
* Understanding of GDPR, privacy \&amp; security topics
**Qualifications**
**Experience**
* 2\-4 years of hands 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
 LI\-\#hybrid
 LI\-\#MH1
 \#gmfJobs</t>
        </is>
      </c>
    </row>
    <row r="106">
      <c r="A106" t="inlineStr">
        <is>
          <t>li-4330597543</t>
        </is>
      </c>
      <c r="B106" t="inlineStr">
        <is>
          <t>Senior Data Engineer</t>
        </is>
      </c>
      <c r="C106" t="inlineStr">
        <is>
          <t>Peerspace</t>
        </is>
      </c>
      <c r="D106" t="inlineStr">
        <is>
          <t>linkedin</t>
        </is>
      </c>
      <c r="E106">
        <f>HYPERLINK("https://www.linkedin.com/jobs/view/4330597543", "https://www.linkedin.com/jobs/view/4330597543")</f>
        <v/>
      </c>
      <c r="F106" t="inlineStr"/>
      <c r="G106" t="inlineStr"/>
      <c r="H106" t="inlineStr"/>
      <c r="I106" t="inlineStr">
        <is>
          <t>**Senior Data Engineer** 
**About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We are looking for a Senior Data Engineer who approaches data with the mindset of a Software Engineer. You won't just be moving data; you will be building the robust infrastructure and services that power our product. In this role, you will take ownership of decomposing and modernizing our legacy business data pipelines. You will be a key architect in building data services that expose critical information directly within our product, as well as for internal analytics. We need a builder who values clean code, testability, and scalability alongside data quality.
 What you will do:
 \* Modernize \&amp; Decompose: Take the lead on breaking down large, monolithic data initiatives into manageable, modern services and pipelines that allow us to ship fast and scale efficiently.
 \* Architecture \&amp; Design: Drive the strategy for new data storage patterns and the services required to serve data back to the core product as well as for internal analytics consumption.
 \* Engineering Excellence: Apply software engineering best practices—such as CI/CD, unit testing, and version control—to our data ecosystem.
 \* End\-to\-End Data Ownership: Act with a strong ownership mindset, digging into the "why" and "how" to find answers in a startup\-style environment.
 \* Collaborate \&amp; Mentor: We’re a small and nimble team. You will be a primary collaborator across the company, from Product and Engineering to Marketing and Finance, serving as a partner and mentor to bring the whole team along in building production\-grade systems.
 What we are looking for:
 \* Software\-Driven Data Engineering: You have a deep understanding of software design patterns and a strong foundation in data engineering basics. You are opinionated on best practices regarding data orchestration and storage, and you know how to apply engineering rigor (modularity, testing, and maintainability) to data workflows.
 \* Strategic Pragmatism: You have a track record of balancing short\-term business requirements with long\-term technical health. You know when to build for the future and when a tactical solution is the right call for the moment.
 \* Python \&amp; SQL Mastery: You are highly proficient in Python and can write complex, performant SQL.
 \* Architectural Grit: You have a track record of breaking down high\-level business requirements into technical roadmaps and executing them.
 \* Collaborative Ownership: You are a proactive communicator who takes pride in owning a problem from discovery to resolution. You enjoy digging in yourself to find answers and partnering with others to implement the right solution.
 \* The "Startup" Spirit: You are comfortable with ambiguity. You don’t wait for a manual; you enjoy digging into the code to figure out how things work.
 Bonus Points:
 \* Experience or a strong interest in deploying ML pipelines and working with LLM tooling.
 \* Experience with dbt.
 \* Experience with real\-time or near real\-time data processing (streaming).
 Our Tech Stack:
 Knowing these specific tools is not a requirement for application, but we like to give you a heads\-up on what you would be working with daily: Google Cloud Platform (GCP), BigQuery, Airflow, dbt, Metaplane, Segment, Postgres, Tableau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Fridays observed company wide
 ● Annual in\-person, all company offsites and team\-building events
 The annual salary range for this role is $160,000 to $175,000\.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
 At Peerspace, we are committed to maintaining a secure and transparent hiring experience. Please be aware that scammers sometimes impersonate companies like ours by posting fake job listings or reaching out to job seekers in misleading ways. All legitimate communication from Peerspace will come from an official @peerspace.com email address. We do not contact candidates through personal email accounts, third\-party messaging apps such as WhatsApp or Microsoft Teams, or through the Peerspace platform's internal messaging system. All Interviews are conducted only by phone or Zoom, and we will never ask for sensitive personal or financial information such as your Social Security number or bank details during the early stages of the hiring process. If you receive any message that seems suspicious or does not align with these practices, please contact us immediately at help@peerspace.com so we can investigate. We only post our job openings and process applications, through our official careers page at
 https://jobs.lever.co/peerspace
 .</t>
        </is>
      </c>
    </row>
    <row r="107">
      <c r="A107" t="inlineStr">
        <is>
          <t>li-4370931094</t>
        </is>
      </c>
      <c r="B107" t="inlineStr">
        <is>
          <t>Foundry Data Engineer</t>
        </is>
      </c>
      <c r="C107" t="inlineStr">
        <is>
          <t>Saronic Technologies</t>
        </is>
      </c>
      <c r="D107" t="inlineStr">
        <is>
          <t>linkedin</t>
        </is>
      </c>
      <c r="E107">
        <f>HYPERLINK("https://www.linkedin.com/jobs/view/4370931094", "https://www.linkedin.com/jobs/view/4370931094")</f>
        <v/>
      </c>
      <c r="F107" t="inlineStr"/>
      <c r="G107" t="inlineStr">
        <is>
          <t>Austin, TX</t>
        </is>
      </c>
      <c r="H107" t="inlineStr"/>
      <c r="I107" t="inlineStr">
        <is>
          <t>Saronic Technologies is a leader in revolutionizing autonomy at sea, dedicated to developing state\-of\-the\-art solutions that enhance maritime operations through autonomous and intelligent platforms.
**Overview**
 We’re looking for people who are energized by hard problems, motivated by mission impact, and thrive in fast\-moving, collaborative environments. Ideally, you are passionate about maritime autonomy, defense technology and love building comprehensible data models. You prioritize speed and efficiency and are interested in generating powerful analytical models and applications within our organization.
**What You’ll Do**
* Maintain and build the Foundry platform alongside Palantir specialists.
* Collaborate with internal stakeholders
* Collect requirements and write code that results in secure, timely, accurate, and reliable data models in Palantir Foundry
**Requirements**
* Bachelor's degree
* 1\+ years of experience in Information Technology
* 1\-2 years of experience with hands\-on client\-facing development and data integration
* Experience with Python and SQL
* Experience with data modeling, ETL, and data visualization
* Experience with Git\-based code repositories and CI/CD workflows
* Ability to lead fast\-paced, Agile environments
**Benefits**
* Medical Insurance: Comprehensive health insurance plans covering a range of services
* Dental aMedical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108">
      <c r="A108" t="inlineStr">
        <is>
          <t>li-4370911086</t>
        </is>
      </c>
      <c r="B108" t="inlineStr">
        <is>
          <t>Junior Data Engineer</t>
        </is>
      </c>
      <c r="C108" t="inlineStr">
        <is>
          <t>ECS</t>
        </is>
      </c>
      <c r="D108" t="inlineStr">
        <is>
          <t>linkedin</t>
        </is>
      </c>
      <c r="E108">
        <f>HYPERLINK("https://www.linkedin.com/jobs/view/4370911086", "https://www.linkedin.com/jobs/view/4370911086")</f>
        <v/>
      </c>
      <c r="F108" t="inlineStr"/>
      <c r="G108" t="inlineStr">
        <is>
          <t>Fairfax, VA</t>
        </is>
      </c>
      <c r="H108" t="inlineStr"/>
      <c r="I108" t="inlineStr">
        <is>
          <t>**Job Description**
 ECS is seeking a
 **Junior Data Engineer** 
 to work in a hybrid remote/onsite capacity, with minimum of 3 business days onsite at our
 ***Fairfax, VA***
 ECS office and/or our
 ***Springfield, VA***
 customer site.
 ECS seeks a Junior Data Engineer to support a project team responsible for managing an Artificial Intelligence initiative. The work is performed in a multidisciplinary and collaborative team environment. This role will report to a project lead and will focus on developing and maintaining data pipelines, as well as performing data analysis, to support Artificial Intelligence development across multiple classification levels and environments.
**Position Responsibilities**
* Participate in technical exchange meetings and discussions with our customers, vendors, and internal team to help coordinate, prioritize, and track datasets supporting AI efforts.
* Work in person at the required office and, as needed, classified locations with team members and customer stakeholders.
* Coordinate with the Project Manager and Data Team to determine data requirements.
* Help cultivate an environment that promotes customer service, excellence, innovation, collaboration, and teamwork.
* Extract, transform, and load data to prepare for ingestion into Machine Learning (ML) development environments.
* Assist with the design and development of data services and pipelines, working to optimize data delivery and automate manual processes.
* Independently identify, document, and address technical challenges.
* Perform multiple tasks simultaneously and successfully under changing priorities and deadlines.
* Complete data analysis, catering results to the customer in a holistic and easy\-to\-understand way.
 We are a rapidly growing company that considers our employees and teams to be our most important assets. Our team environment provides opportunities for growth to individuals who are motivated to excel. Our growing program works with the most forward\-leaning technologies and extraordinary customers who are thought and action leaders within the AI/ML domain. We offer a highly competitive compensation and benefits package to the right person for this key position.
 Required Skills
* Must be a US Citizen
* Ability to obtain a TS/SCI Clearance
* A Bachelor's Degree in Data Engineering, Data Science, Information Management, Computer Science, Engineering, or an equivalent field
* 0\-3\+ years of working experience in one of the related areas: Data Engineering, Computer Engineering, Computer Science, or Data Science
* Demonstrated proficiency with Python, Pyspark, and/or SQL
* Experience with text parsing
* Experience transforming and manipulating data sets
* Excellent communication skills, critical thinking skills, and problem\-solving abilities
 Desired Skills
* Active Secret Clearance
* Experience with Databricks or other data management platforms
* Experience with Artificial Intelligence Machine Learning (AI/ML) development, particularly computer vision
* Experience working with cloud technologies (Amazon Web Services, Microsoft Azure, etc.)
* Experience with Linux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109">
      <c r="A109" t="inlineStr">
        <is>
          <t>li-4362282073</t>
        </is>
      </c>
      <c r="B109" t="inlineStr">
        <is>
          <t>IT Data Engineer I</t>
        </is>
      </c>
      <c r="C109" t="inlineStr">
        <is>
          <t>Woodward, Inc.</t>
        </is>
      </c>
      <c r="D109" t="inlineStr">
        <is>
          <t>linkedin</t>
        </is>
      </c>
      <c r="E109">
        <f>HYPERLINK("https://www.linkedin.com/jobs/view/4362282073", "https://www.linkedin.com/jobs/view/4362282073")</f>
        <v/>
      </c>
      <c r="F109" t="inlineStr"/>
      <c r="G109" t="inlineStr">
        <is>
          <t>Fort Collins, CO</t>
        </is>
      </c>
      <c r="H109" t="inlineStr"/>
      <c r="I109"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**Estimated annual base pay:** 
 65,000\.00 (minimum) \- 85,000\.00 (midpoint) \- 104,000\.00 (maximum)
**All Levels are eligible for the benefits below:**
* All members included in annual cash bonus opportunity.
* 401(k) match (4\.5%)
* Annual Woodward stock contribution (5%)
* Tuition reimbursement and Training/Professional Development opportunities for all members
* 12 paid holidays, including floating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**Key Responsibilities:**
* Monitor established data pipelines and scheduled jobs; build and validate basic ETL/ELT operations and simple data models.
* Become familiar with SAP S/4HANA and other enterprise source systems, assist analysts by locating fields, explaining basic table relationships, and answering questions about various business attributes.
* Support analysts and data scientists by gathering basic requirements; triage tickets and resolve routine incidents using the IT ticketing system.
* Provide support for Power BI, Fabric, and Business Objects users; troubleshoot common report issues and escalate complex problems.
* Perform routine platform administration tasks for on\-prem servers and web/application stacks. Apply updates, monitor services, and escalate incidents.
* Follow defined processes to provision and revoke user access across cloud and on\-prem platforms.
* Contribute to documentation efforts, simple architecture notes and process steps.
**Key Skills:**
* Proficient in SQL
* Entry\-level Python/PySpark, or comparable scripting languages (Scala, Java, etc.)
* Entry\-level experience with ETL/ELT using Azure Synapse pipelines, Azure Data Factory, or comparable tools (AWS Glue, Google Cloud Dataflow, Apache Airflow, etc.). Experience with SAP Data Services preferred.
* Beginner knowledge of SAP S/4HANA data structures and common data models. Experience with SLT sidecar for continuous replication preferred.
* Basic understanding of data warehouses (cloud or on\-prem), relational databases and data modeling concepts.
* Basic proficiency with connecting to, extracting and loading data from REST APIs.
* Exposure to Microsoft Power BI and Fabric admin features (workspace and capacity management, security). Experience with SAP Business Objects and Power BI report development (including DAX and M languages) preferred.
* Familiarity with version control (Git), basic testing and CI/CD.
* Clear communication to both technical and nontechnical people, receptive to peer feedback, problem\-solving ability, team player, continuous learner.
**Other Qualifications:**
* Bachelor’s Degree in Computer Science, Information Systems, Business Analytics, or related discipline is preferred.
* 1\-2 years in data engineering, ETL, data warehousing, or similar roles supporting enterprise analytics required.
 Application window is anticipated to close 7 days from original posting date.
 This information is provided in compliance with the Colorado Equal Pay for Equal Work Act and is the company’s good faith and reasonable estimate of the compensation range and benefits offered for this position. The compensation offered to the successful applicant may vary based on factors including experience, skills, education, location, and other job\-related reasons.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t>
        </is>
      </c>
    </row>
    <row r="110">
      <c r="A110" t="inlineStr">
        <is>
          <t>li-4370904407</t>
        </is>
      </c>
      <c r="B110" t="inlineStr">
        <is>
          <t>Software Developer/Data Engineer - Entry Level</t>
        </is>
      </c>
      <c r="C110" t="inlineStr">
        <is>
          <t>Lensa</t>
        </is>
      </c>
      <c r="D110" t="inlineStr">
        <is>
          <t>linkedin</t>
        </is>
      </c>
      <c r="E110">
        <f>HYPERLINK("https://www.linkedin.com/jobs/view/4370904407", "https://www.linkedin.com/jobs/view/4370904407")</f>
        <v/>
      </c>
      <c r="F110">
        <f>HYPERLINK("https://lensa.com/cgw/0e060955d537400e838f43be9a3136f0tjo1?jpsi=directemployers_no_redirect&amp;publisher_preference=easier_apply&amp;utm_campaign=Computer%20Occupations&amp;utm_medium=slot&amp;utm_source=linkedin&amp;utm_term=jse&amp;urlHash=T4E8", "https://lensa.com/cgw/0e060955d537400e838f43be9a3136f0tjo1?jpsi=directemployers_no_redirect&amp;publisher_preference=easier_apply&amp;utm_campaign=Computer%20Occupations&amp;utm_medium=slot&amp;utm_source=linkedin&amp;utm_term=jse&amp;urlHash=T4E8")</f>
        <v/>
      </c>
      <c r="G110" t="inlineStr">
        <is>
          <t>Nashville, TN</t>
        </is>
      </c>
      <c r="H110" t="inlineStr"/>
      <c r="I1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11">
      <c r="A111" t="inlineStr">
        <is>
          <t>li-4361884593</t>
        </is>
      </c>
      <c r="B111" t="inlineStr">
        <is>
          <t>Lead Data Engineer</t>
        </is>
      </c>
      <c r="C111" t="inlineStr">
        <is>
          <t>AustinWorks</t>
        </is>
      </c>
      <c r="D111" t="inlineStr">
        <is>
          <t>linkedin</t>
        </is>
      </c>
      <c r="E111">
        <f>HYPERLINK("https://www.linkedin.com/jobs/view/4361884593", "https://www.linkedin.com/jobs/view/4361884593")</f>
        <v/>
      </c>
      <c r="F111" t="inlineStr"/>
      <c r="G111" t="inlineStr"/>
      <c r="H111" t="inlineStr"/>
      <c r="I111" t="inlineStr">
        <is>
          <t>**Lead Data Engineer (Senior IC)** 
*$200k to $230k base salary* 
*Onsite in San Francisco* 
**About** 
 Austinworks is partnering with a series A fintech company (\~70 people) building core financial infrastructure for a large, complex industry that still runs on outdated systems. Our platform processes real transactional data and supports business\-critical workflows across finance, product, and go\-to\-market teams. The technical problems are real, the data is messy, and the impact is visible.
 This is a company where data correctness matters because it directly touches money.
**The Role** 
 We’re looking for a senior individual\-contributor Lead Data Engineer to own our data platform end\-to\-end. This is not a people\-management role and won’t be for the foreseeable future. You’ll be the technical owner of how data is ingested, modeled, validated, and made usable across the business.
 Roughly 70% of the work is internal platform and product data, and \~30% involves customer\-facing data workflows, including onboarding, integrations, and reporting tied to financial operations.
 If you enjoy building systems from scratch, understanding why they exist, and seeing direct business impact, this role will be a strong fit.
**What You’ll Do** 
* Own the design and implementation of
 **end\-to\-end data pipelines** 
 from raw ingestion to downstream consumption
* Build and maintain production\-grade data infrastructure used by finance, product, marketing, and leadership
* Partner closely with finance on transactional data, reconciliation, and reporting
* Work directly with customers on external data pipelines and integrations tied to onboarding and ongoing usage
* Establish standards around data modeling, quality, testing, and CI/CD
* Act as the technical authority for data architecture and tooling decisions
* Lead projects independently and drive initiatives from 0 → 1
**What We’re Looking For** 
* 6\+ years of experience in data engineering or similar senior IC roles
* **Hands\-on experience working with financial or transactional data** 
 (payments, billing, revenue, ledgers, reconciliation, etc.)
* Clear ownership of
 **0 → 1 data systems** 
 — not just maintaining existing pipelines
* Strong SQL and Python skills
* Experience designing data pipelines used in real production environments
* Ability to clearly articulate
 **why systems were built** 
 and the
 **business impact** 
 they delivered
* Comfortable working cross\-functionally with finance, product, engineering, and non\-technical stakeholders
**Nice to Have (Not Required)** 
* Experience with customer\-facing or external data pipelines
* Data feeding into AI / ML systems
* Dashboards or business\-facing data products
* Experience with Snowflake, AWS, dbt, Airflow/Dagster (tools are flexible)
**What This Is
 *Not***
* Not an ML engineering role
* Not an analytics\-only or dashboard\-only role
* Not a people\-management role
* Not a “maintain what already exists” position</t>
        </is>
      </c>
    </row>
    <row r="112">
      <c r="A112" t="inlineStr">
        <is>
          <t>li-4361255558</t>
        </is>
      </c>
      <c r="B112" t="inlineStr">
        <is>
          <t>Senior Data Engineer</t>
        </is>
      </c>
      <c r="C112" t="inlineStr">
        <is>
          <t>Talent Groups</t>
        </is>
      </c>
      <c r="D112" t="inlineStr">
        <is>
          <t>linkedin</t>
        </is>
      </c>
      <c r="E112">
        <f>HYPERLINK("https://www.linkedin.com/jobs/view/4361255558", "https://www.linkedin.com/jobs/view/4361255558")</f>
        <v/>
      </c>
      <c r="F112" t="inlineStr"/>
      <c r="G112" t="inlineStr">
        <is>
          <t>Beaverton, OR</t>
        </is>
      </c>
      <c r="H112" t="inlineStr"/>
      <c r="I112" t="inlineStr">
        <is>
          <t>**Title:** 
 Senior Data Engineer
**Location:** 
 Beaverton Oregon 97006 (Onsite)
**Employment Type:** 
 Fulltime Direct Hire no C2C or sponsorship available
**About the Role** 
 Talent Groups is seeking a Senior Data Engineer to join a growing Enterprise Data team and play a key role in building and scaling modern data platforms. This role focuses on designing and optimizing data pipelines that support analytics reporting and machine learning initiatives across the organization. You will work closely with technical teams and executive stakeholders while serving as an onsite technical leader.
 This is a hands on senior level role with a strong emphasis on Python, PySpark, Databricks, and Azure. The team is currently in the midst of an Azure migration creating an opportunity to make a meaningful impact and help shape future state architecture and best practices.
**What You Will Do** 
* Design develop and optimize scalable data pipelines using Azure Databricks
* Build and manage data ingestion transformation and storage solutions using Azure Data Factory, Azure Data Lake, and Delta Lake
* Develop data solutions that support analytics reporting and machine learning use cases
* Implement CI CD pipelines using tools such as Azure DevOps, Git, and Terraform
* Optimize Spark performance including partitioning orchestration and cost efficiency
* Collaborate with analysts data scientists and business stakeholders to deliver trusted reusable datasets
* Serve as the onsite face of the data engineering team and partner with leadership
* Mentor junior and associate data engineers
* Monitor troubleshoot and improve the reliability and scalability of existing pipelines
**Required Qualifications** 
* Five plus years of experience in data engineering with a strong focus on Azure
* Hands on experience with Azure Databricks, Azure Data Lake, and Data Factory
* Strong proficiency in PySpark, SQL, Python, and Apache Spark
* Solid understanding of data warehousing, ETL, ELT, and data modeling best practices
* Experience with version control CI/CD pipelines and infrastructure as code
* Knowledge of Spark performance tuning and job orchestration
* Strong problem solving skills and attention to detail
* Excellent communication skills with both technical and non technical stakeholders
* Ability to work independently and lead in a fast paced Agile environment
* Passion for delivering clean maintainable high quality code
**Preferred Qualifications** 
* Experience with Unity Catalog, Databricks Workflows, and Delta Live Tables
* Familiarity with DevOps practices or Terraform for Azure provisioning
* Understanding of data security, RBAC, and cloud compliance
* Experience integrating Databricks with Power BI or similar analytics tools
* Exposure to real time data processing using Kafka Event Hubs or Structured Streaming
 Talent Groups would like to thank all applicants. Only those who qualify for an interview will be contacted.
 Talent Groups is an equal opportunity employer.</t>
        </is>
      </c>
    </row>
    <row r="113">
      <c r="A113" t="inlineStr">
        <is>
          <t>li-4370499610</t>
        </is>
      </c>
      <c r="B113" t="inlineStr">
        <is>
          <t>Senior Data Engineer</t>
        </is>
      </c>
      <c r="C113" t="inlineStr">
        <is>
          <t>HTC Global Services</t>
        </is>
      </c>
      <c r="D113" t="inlineStr">
        <is>
          <t>linkedin</t>
        </is>
      </c>
      <c r="E113">
        <f>HYPERLINK("https://www.linkedin.com/jobs/view/4370499610", "https://www.linkedin.com/jobs/view/4370499610")</f>
        <v/>
      </c>
      <c r="F113">
        <f>HYPERLINK("https://www.htcinc.com/job-detail/?jobcode=240511&amp;board=177&amp;board_type=30&amp;urlHash=Q3zf", "https://www.htcinc.com/job-detail/?jobcode=240511&amp;board=177&amp;board_type=30&amp;urlHash=Q3zf")</f>
        <v/>
      </c>
      <c r="G113" t="inlineStr">
        <is>
          <t>Lansing, MI</t>
        </is>
      </c>
      <c r="H113" t="inlineStr"/>
      <c r="I113" t="inlineStr">
        <is>
          <t>**Job Description**
 a { text\-decoration: none; color: \#464feb; } tr th, tr td { border: 1px solid \#e6e6e6; } tr th { background\-color: \#f5f5f5; }
 We are seeking an experienced
 **Senior AWS Data Solutions Engineer** 
 to lead the design, development, and implementation of scalable, high‑performance cloud and data solutions. This role requires deep expertise in AWS, Databricks, Elastic Search, Python/Scala, and complex data architectures. The ideal candidate will have a strong background in ETL development, data warehousing, and Electronic Health Records (EHR) HL7 solutions.
 You will collaborate closely with cross\-functional teams, participate in the full SDLC, and contribute to delivering secure, efficient, and innovative data solutions aligned to organizational goals.
**Key Responsibilities**
* Lead the design and development of scalable, high‑performance solutions using AWS cloud services.
* Develop and maintain ETL processes and data pipelines using modern data engineering practices.
* Write clean, maintainable, and efficient code in Python or Scala.
* Build cloud\-based applications leveraging AWS services, including S3 and related components.
* Implement and manage Elastic Search engines for optimized data retrieval and analysis.
* Utilize Databricks for data processing, data transformations, and advanced analytics workflows.
* Work with EHR HL7 integrations and solutions.
* Design robust logical and physical database models and develop database objects such as stored procedures and functions.
* Apply experience with data warehousing, data visualization tools, and data integrity best practices.
* Execute the full SDLC, including gathering requirements, writing functional/technical specifications, and preparing design documentation.
* Use source control tools such as GIT to manage and maintain version control.
* Create software design documents and coordinate reviews and approval cycles with stakeholders.
* Interpret flowcharts, create screen layouts, and produce documentation to support system requirements.
* Contribute to and work effectively within large agile project environments.
* (Nice to Have) Assist in creating and maintaining CI/CD pipelines using Azure DevOps.
**Required Skills \&amp; Experience**
* 12\+ years developing complex database systems.
* 8\+ years hands\-on with Databricks.
* 8\+ years using Elastic Search and Kibana.
* 8\+ years programming in Python and/or Scala.
* 8\+ years working with Oracle databases.
* 5\+ years developing ETL processes and data pipelines.
* 5\+ years AWS cloud development experience.
* 5\+ years experience with data warehousing, data visualization tools, and data integrity frameworks.
* 5\+ years working with CMM/CMMI Level 3 methodologies.
* 5\+ years implementing agile development practices including test\-driven development.
* 3\+ years experience or working knowledge of Azure DevOps CI/CD pipelines (Nice to Have).
**Preferred Qualifications**
* Strong understanding of EHR systems and HL7 interfaces.
* Ability to work independently and collaboratively within cross\-functional engineering teams.
* Excellent communication and documentation skills.
* Strong analytical and problem‑solving abilities with attention to detail.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
 NC1</t>
        </is>
      </c>
    </row>
    <row r="114">
      <c r="A114" t="inlineStr">
        <is>
          <t>li-4354438974</t>
        </is>
      </c>
      <c r="B114" t="inlineStr">
        <is>
          <t>Data Engineer II, Strategic Ingestion Product</t>
        </is>
      </c>
      <c r="C114" t="inlineStr">
        <is>
          <t>Travelers</t>
        </is>
      </c>
      <c r="D114" t="inlineStr">
        <is>
          <t>linkedin</t>
        </is>
      </c>
      <c r="E114">
        <f>HYPERLINK("https://www.linkedin.com/jobs/view/4354438974", "https://www.linkedin.com/jobs/view/4354438974")</f>
        <v/>
      </c>
      <c r="F114">
        <f>HYPERLINK("https://careers.travelers.com/job/22860661/data-engineer-ii-strategic-ingestion-product-hartford-ct/?source=S0791&amp;urlHash=OBqY", "https://careers.travelers.com/job/22860661/data-engineer-ii-strategic-ingestion-product-hartford-ct/?source=S0791&amp;urlHash=OBqY")</f>
        <v/>
      </c>
      <c r="G114" t="inlineStr">
        <is>
          <t>Hartford, CT</t>
        </is>
      </c>
      <c r="H114" t="inlineStr"/>
      <c r="I114"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Integration teams provide scalable platform for constructing self\-serve data pipelines that contextualize and provide easy access to data by the entire enterprise. As a Data Engineer for our Strategic Ingestion Product (SIP), you will play a key role to ensure Travelers has the necessary data to grow and transform our analytic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ingest, explore, transform, and utilize data that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Highly Proficient use of tools, techniques, and manipulation including Cloud platforms (e.g. AWS, Databricks), Enterprise Data Integration Tools (e.g. Ab Initio, Glue, etc.), programming languages, and a full understanding of modern software engineering practices.
* The ability to deliver work at a steady, predictable pace to achieve commitments, deliver complete solutions but release them in small batches, and identify and negotiate important tradeoffs.
* Passion for continuous improvement, automation, optimization and delivering high\-quality data solutions.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The ability to deliver work at a steady, predictable pace to achieve commitments, deliver complete solutions but release them in small batches, and identify and negotiate important tradeoffs.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15">
      <c r="A115" t="inlineStr">
        <is>
          <t>li-4370899142</t>
        </is>
      </c>
      <c r="B115" t="inlineStr">
        <is>
          <t>Senior Data Engineer | The Points Guy</t>
        </is>
      </c>
      <c r="C115" t="inlineStr">
        <is>
          <t>The Points Guy</t>
        </is>
      </c>
      <c r="D115" t="inlineStr">
        <is>
          <t>linkedin</t>
        </is>
      </c>
      <c r="E115">
        <f>HYPERLINK("https://www.linkedin.com/jobs/view/4370899142", "https://www.linkedin.com/jobs/view/4370899142")</f>
        <v/>
      </c>
      <c r="F115" t="inlineStr"/>
      <c r="G115" t="inlineStr"/>
      <c r="H115" t="inlineStr"/>
      <c r="I115" t="inlineStr">
        <is>
          <t>Our
 *The Points Guy* 
 team is looking for a
 **Senior Data Engineer** 
 . In this role, you’ll build data products and create the foundation that powers our machine learning and business analytics efforts. You’ll work hand\-in\-hand with a variety of stakeholders from functional groups across the organization to create end\-to\-end solutions. Red Ventures is a high\-autonomy, high\-ownership environment; you’ll own your work from idea to production solution. Our data engineering tech stack is primarily AWS and Spark/SparkSQL/Python via Databricks, though we welcome strong applicants from a wide variety of technical backgrounds. We believe that diverse, inclusive teams are better teams. Think of the bullets below as guidelines: if you only partially meet the qualifications on this posting, we encourage you to apply anyway!
**What You'll Do**
* Design, build, and optimize data pipelines and infrastructure in Databricks and AWS (S3, EC2, Lambda, etc.).
* Build high impact data products \- Develop scalable, well tested data models that drive lifetime value, churn, and propensity insights powering RV sites and CRM activations.
* Engineer reliable data pipelines \- Implement Python/Spark jobs, dbt transformations, and Orchestration with CI/CD (GitHub Actions, Terraform).
* Partner with analytics and product teams to translate business needs into scalable data models and solutions.
* Implement and promote best practices in data architecture, security, observability, and governance.
* Collaborate with data stakeholders on privacy\-safe data sharing solutions, including clean\-room environments and other secure data exchange methods.
**What We're Looking For**
* Cloud \&amp; big data platforms \- 5\+ years designing and developing on AWS and Databricks data lake and lakehouse architectures
* Programming \- Expert in SQL, Python/Scala
* Streaming \- Hands on with Kafka and Spark Structured Streaming in production
* Data modeling \&amp; warehousing \- Dimensional, data vault, and real time schemas; SQL performance tuning on data warehouses, including Snowflake and Databricks SQL
* Orchestration \&amp; DevOps \- dbt, GitHub Actions, Terraform; strong CI/CD experience
* Proven experience building scalable data pipelines and integrations leveraging APIs.
* Data architecture \- System design experience for batch and real time
* Domain experience \- Prior work in consumer finance, banking or fintech
* Soft skills \- Proven ability to translate technical concepts to non technical audiences; excellent written \&amp; verbal communication
**Preferred \&amp; Bonus Points**
* Experience modernizing or migrating large\-scale data environments to Databricks or AWS.
* Familiarity with data governance, cataloging, and access\-control frameworks.
* Proven success influencing technical direction and driving adoption of best practices across teams.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$100,000 \- $182,500 per year
* New York City Total Cash Compensation Range: $125,000 \- $228,125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\#TPG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116">
      <c r="A116" t="inlineStr">
        <is>
          <t>li-4370475630</t>
        </is>
      </c>
      <c r="B116" t="inlineStr">
        <is>
          <t>IT Sr. Data Engineer, Commercial</t>
        </is>
      </c>
      <c r="C116" t="inlineStr">
        <is>
          <t>ConocoPhillips</t>
        </is>
      </c>
      <c r="D116" t="inlineStr">
        <is>
          <t>linkedin</t>
        </is>
      </c>
      <c r="E116">
        <f>HYPERLINK("https://www.linkedin.com/jobs/view/4370475630", "https://www.linkedin.com/jobs/view/4370475630")</f>
        <v/>
      </c>
      <c r="F116" t="inlineStr"/>
      <c r="G116" t="inlineStr">
        <is>
          <t>Houston, TX</t>
        </is>
      </c>
      <c r="H116" t="inlineStr"/>
      <c r="I116" t="inlineStr">
        <is>
          <t>* World’s largest independent upstream oil and gas business
* SPIRIT values \- Safety People Integrity Responsibility Innovation Teamwork
* Operations in 13 countries
 Welcome to ConocoPhillips, where innovation and excellence create a platform for opportunity and growth. Come realize your full potential here.
**Who We Are**
 We are one of the world’s largest independent exploration and production companies, based on proved reserves and production of liquids and natural gas. With operations and activities in 13 countries, we explore for, develop, and produce crude oil and natural gas globally. We are challenged with an important job to safely find and deliver energy to the world. Our employees are critical to our success, and with them we power civilization.
 We’re grounded by our SPIRIT Values – safety, people, integrity, responsibility, innovation, and teamwork. These values position us to deliver strong performance in a dynamic business – but not at all costs. We believe it’s not just what we do – it’s how we do it – that sets us apart.
**Fostering an Inclusive Work Environment**
 To deliver superior performance, we create an environment that respects the contributions and differences of every individual. Wherever possible, we use these differences to drive competitive business advantage, personal growth and, ultimately, create business success.
**Job Summary**
 We are seeking a highly skilled and experienced IT Sr. Data Engineer, Commercial to join our team. Reporting to the IT Supervisor, Commercial Data, this role will be responsible for building data pipelines from source systems and external data providers into the data management and analytics environments with validation to allow creation and operations of analytical solutions and Commercial models.
 The Commercial organization is going through transformation initiatives moving from ETRM\-centric to data\-centric architectural design and implementing new tech strategies including new ETRM systems. The initial focus of this role will be building/enhancing Commercial analytics data ingestion pipelines for Commercial models and supporting the Commercial Transformation initiatives.
 The IT Sr. Data Engineer, Commercial will be part of a team of data architects, a data governance analyst and data engineers responsible for implementing Commercial data pipelines while ensuring a high level of data quality based on corporate and industry standards. The team will also be responsible for developing and enforcing standards for data management and implementing data technology solutions for structured and unstructured datasets as well as data catalogs and data lineage to enhance visibility and access to data for Commercial groups.
 This role will work closely with Corporate IT operational support managed services team, database administrators, analytics architect, and IT infrastructure support to ensure system availability and timely issue resolution.
 This role will be proficient at integrating and preparing large, varied datasets including time series data and designing specialized database tables and information links within the environment. The person will work closely with Commercial data/quant analysts, data scientists, model owners, project/program managers, data architects, and the data governance analyst to provide clean and reliable data.
 This role requires a strong and current technology focus, practical analytical experience, and excellent written and communications skills.
**Position Overview**
 Your responsibilities may include:
* Design and develop robust data pipelines, ETL/ELT processes, and workflow orchestration systems to automate data ingestion, transformation, and distribution across multiple platforms for Commercial
* Build and maintain scalable data infrastructure including data warehouses, data lakes, and streaming systems that support high\-volume data processing and analytics workloads
* Implement data quality validation, monitoring frameworks, and error handling mechanisms to ensure reliable data delivery and maintain system performance standards
* Collaborate with data architects and analysts to translate business requirements into technical specifications for data processing solutions and system enhancements
* Optimize data processing performance through query tuning, indexing strategies, and resource management to support efficient analytics and operational reporting
* Establish data security protocols, access controls, and backup procedures to protect sensitive information and ensure business continuity for critical data systems
* Monitor system health, troubleshoot data pipeline failures, and implement automated recovery
* procedures to maintain operational reliability and minimize downtime
* Collaborate with business subject matter experts and data scientists to create datasets and engineer features for analytical models
* Monitor Commercial trading analytics models performance
* Adhere to ConocoPhillips’ governance and compliance policies for data and processes
* Collaborate with Data Architect to develop and evaluate design options to ingest and catalogue real\-time, structured, and unstructured datasets into Data Management environments per Commercial business priorities and use cases
* Cultivate relationships with peer Data Management groups to ensure alignment, compliance and long\-term sustainability of our Commercial digital assets
* Proactively identify opportunities for automation and continuous improvements
* Stays current with the latest trends, technologies, and best practices in data management and data engineering
* Participate in and support Agile quarterly planning for the team.
* Expertise in optimizing queries and performance by establishing standards to minimize system workload and costs
 Basic/Required:
* Legally authorized to work in the United States
* Bachelor's degree or higher in Computer Science, Math, Engineering, Statistics, Information Systems, Information Science, or related fields
* 10 or more years of hands\-on experience in designing, scaling and implementing data pipelines for structured and non\-structured data into cloud\-based data platforms
* 10 or more years of experience in data engineering in an enterprise environment with demonstrated strength in SQL, data modeling, ETL development, and data warehousing
* 10 or more years of Experience with an RDBMS (Oracle, PostgreSQL)
* 7 or more years of experience with practical programming skills including advanced knowledge of Python
* 5 or more years of experience of modern cloud\-based data platform technologies e.g., Snowflake, ADLS, Data Bricks
* 5 or more years of experience with data visualization/analytics tools (Spotfire, Power BI, Sigma) advanced Excel skills
 Preferred:
* MS Degree in Computer Science, Math, Engineering, Statistics, Information Systems, Information Science, or related fields
* 5 or more years of Energy industry and Commercial experience
* 5 or more years of Experience with Cloud DevOps (Azure, AWS Cloud Formation Terraform) and Infrastructure as Code (IaC)
* Experience with handling Commercial operational and trading analytics data
* Experience with data engineering and data analytics tool set such as Airflow, Streamlit, UiPath, Document AI, etc.
* Hands on experience and proficiency in Data Management tools – SQL, SDE, JSON, XML, scripting languages such as Python Big Data technology stack including NoSQL, Spark, Hive, Kafka, StreamSets, IICS, ADF etc.
* Intermediate level of knowledge one or more programming languages (R, C\+\+, Java, Perl, Spark)
* Work across structured, semi\-structured, and unstructured data, with strong technical experience in large distributed systems, data warehousing, data lake at scale
* Comprehensive knowledge of Data Management principles, processes and data lifecycle
* Advanced knowledge of master data management, real\-time streaming data and cloud technologies
* Understanding of Data Science and related technologies
* Excellent verbal and written presentation skills, with the ability to communicate clearly and persuasively
* An understanding of project processes and methodology to support project management initiatives and delivery
* Team player, and self\-driven individual who can multi\-task, work independently under minimal supervision and deliver on commitments
* Open attitude towards and ability to learn and utilize new technologies and standards
* Ability to take ownership, engage, lead change, achieve results, adapt, solve problems, manage risk and drive tasks to completion
* Demonstrated ability to deal with ambiguity and maintain effective performance under stressful and uncertain conditions
* Excellent analytical mind and proven problem\-solving skills
* Project Management skills
* Delivers positive results through realistic planning to accomplish goals
* Builds effective solutions based on available information and makes timely decisions that are safe and ethical
**Apply By:**
 Feb 18, 2026
**Sponsorship:**
 ConocoPhillips’ sponsorship for employment authorization in the U.S. is NOT available for this position.
**EEO:**
 In the US, ConocoPhillips is an Equal Opportunity/Affirmative Action Employer. All qualified applicants will receive consideration for employment without regard to race, color, religion, sex, sexual orientation, national origin, age, disability, veteran status, gender identity or expression, genetic information, or any other legally protected status.</t>
        </is>
      </c>
    </row>
    <row r="117">
      <c r="A117" t="inlineStr">
        <is>
          <t>li-4370620168</t>
        </is>
      </c>
      <c r="B117" t="inlineStr">
        <is>
          <t>Senior GCP Data Engineer</t>
        </is>
      </c>
      <c r="C117" t="inlineStr">
        <is>
          <t>Infinite Computer Solutions</t>
        </is>
      </c>
      <c r="D117" t="inlineStr">
        <is>
          <t>linkedin</t>
        </is>
      </c>
      <c r="E117">
        <f>HYPERLINK("https://www.linkedin.com/jobs/view/4370620168", "https://www.linkedin.com/jobs/view/4370620168")</f>
        <v/>
      </c>
      <c r="F117" t="inlineStr"/>
      <c r="G117" t="inlineStr">
        <is>
          <t>Irving, TX</t>
        </is>
      </c>
      <c r="H117" t="inlineStr"/>
      <c r="I117" t="inlineStr">
        <is>
          <t>**About Infinite:** 
 Infinite is a global leader in digital engineering and IT services, with over 20 years of experience driving digital transformation. We partner with leading Fortune 1000 companies to deliver innovative, scalable technology solutions that accelerate business outcomes.
 With deep expertise in telecommunications, healthcare, banking, and finance, Infinite helps organizations optimize and modernize their technology landscapes to achieve long\-term growth and efficiency.
 Overview :
 We're looking for a highly skilled Data Analyst to join our team, focusing on the migration of our data platform from Teradata to Google Cloud's BigQuery. The ideal candidate will have deep expertise in both Teradata and BigQuery, with a proven track record of analyzing, understanding, and translating complex business logic from legacy systems to modern cloud environments. This role requires a blend of technical prowess, business acumen, and problem\-solving skills to ensure a smooth and accurate transition.
**Key Responsibilities**
* Teradata Script Analysis: Analyze and interpret existing Teradata scripts, including BTEQ, SQL, and stored procedures, to understand the underlying business logic and data transformation processes.
* Business Logic Deduction: Collaborate with business stakeholders to deduce and document the business rules, data lineage, and purpose of existing Teradata scripts and data models.
* Teradata Script Modification: Modify and optimize Teradata scripts as needed to meet current and future business requirements.
* BigQuery Conversion: Translate complex Teradata SQL and stored procedures into Google Standard SQL for execution within BigQuery.
* ETL/ELT Pipeline Development: Design, develop, and implement efficient data loading and transformation processes to migrate data from on\-premise sources to BigQuery.
* Data Validation \&amp; Quality: Perform thorough data validation and quality checks to ensure data integrity and accuracy post\-migration.
* Documentation: Create comprehensive documentation for all migrated scripts, data models, and business logic.
**Required Qualifications**
* Experience: Minimum of 7\+ years of experience as a Data Engineering/data analyst or a related role.
* Teradata Expertise: Strong proficiency in Teradata SQL, BTEQ scripts, stored procedures, and the Teradata architecture.
* BigQuery Proficiency: Solid understanding and practical experience with Google Cloud Platform (GCP) and specifically with BigQuery. Familiarity with bq command\-line tool, BigQuery's data loading mechanisms, and data partitioning/clustering is essential.
* SQL Mastery: Exceptional SQL skills with the ability to write complex, performant queries and understand query execution plans in both Teradata and BigQuery.
* Analytical Skills: Excellent problem\-solving and analytical skills with the ability to reverse\-engineer complex logic and understand data relationships.
* Communication: Strong verbal and written communication skills to effectively interact with technical and non\-technical stakeholders.
**Preferred Qualifications**
* Experience with other GCP services such as Cloud Storage, Dataflow, and Dataproc.
* Knowledge of scripting languages like Python or Shell for automation purposes.
* Familiarity with data warehousing concepts and data modeling techniques.
* Experience in a large\-scale data migration project.</t>
        </is>
      </c>
    </row>
    <row r="118">
      <c r="A118" t="inlineStr">
        <is>
          <t>li-4370882471</t>
        </is>
      </c>
      <c r="B118" t="inlineStr">
        <is>
          <t>Analytics Engineer II</t>
        </is>
      </c>
      <c r="C118" t="inlineStr">
        <is>
          <t>CereCore</t>
        </is>
      </c>
      <c r="D118" t="inlineStr">
        <is>
          <t>linkedin</t>
        </is>
      </c>
      <c r="E118">
        <f>HYPERLINK("https://www.linkedin.com/jobs/view/4370882471", "https://www.linkedin.com/jobs/view/4370882471")</f>
        <v/>
      </c>
      <c r="F118">
        <f>HYPERLINK("https://jobs.crelate.com/portal/cerecore/job/h6d4mi67a6nuhqzdk3ptz9mknc&amp;urlHash=aX4n", "https://jobs.crelate.com/portal/cerecore/job/h6d4mi67a6nuhqzdk3ptz9mknc&amp;urlHash=aX4n")</f>
        <v/>
      </c>
      <c r="G118" t="inlineStr">
        <is>
          <t>Nashville, TN</t>
        </is>
      </c>
      <c r="H118" t="inlineStr"/>
      <c r="I118" t="inlineStr">
        <is>
          <t>**Classification: Contract**
**Contract Length:** 
 12\-months
**Position Summary**
 The Analytics Engineer II is focused on providing subject matter expertise on Data Integration, Data Management, Analysis, Design, and Requirements building. Collaborating with project teams and business partners to meet ITG project objectives. This position will have responsibility for Business Reporting Analysis, Data Analytics Analysis, Design and Requirements responsibilities in developing and documenting reports, datasets, data cubes and fact tables to support reference data management initiatives. This position will provide support to other analysts and technical teams to ensure successful delivery of the product initiatives according to HCA ITG objectives.
 The successful candidate will have excellent verbal and written communication skills, the ability to establish effective working relationships and manage multiple priorities. This includes discussions and collaborating with other project team members to design functional product details and changes, identify and escalate project issues, and ultimately ensure product requirements are met.
 The candidate will provide hands\-on expertise in BI Tools by taking responsibilities to work with operators in creating a vision/guidance that would then produce the development of reports/dashboards and supporting documentation. The candidate will need to have the ability to work independently, frequently communicating with project team members, support resources, other supporting external vendors, and end users. This position requires a strong working knowledge in SQL report writing, BI tools experience, ETL Data Mapping, and Reference Data Management.
 The ideal candidate for this position has an IT Data Analytics background with well\-developed communication skills. Technology expertise in SQL, Cloudera, Teradata, BI Tools like Microstrategy / Power BI, and Reference Data Management Tools like Ataccama is a plus.
**Responsibilities**
* Support the design, build, requirements efforts in working directly with Leaders in healthcare service lines
* Creation of standardized reports, dashboards for the enterprise
* Working with Analytic toolsets such as SQL, Cloudera, Teradata, and BI Tools
* Work closely with each service line lead to ensure reports usage optimization
* Work with Data Management team at HCA to provide assistance and guidance in building out queries and data tables / data cubes
* Ability to multitask, given various task assignments, assisting management in prioritization of tasks
* Working individually or with teams to accomplish goals
* Works with all departments throughout the product delivery cycle to ensure project dates are met and ensure timely completion of Product Analyst deliverables
* Perform other duties as assigned.
**Requirements**
* Bachelor’s degree in computer science, Analytics, Information Systems, Business Administration, Engineering, or related field.
* 4\-5 years of experience on increasingly challenging projects in business with a proven delivery track record.
* Must have 4\+ years of experience with SQL, ETL</t>
        </is>
      </c>
    </row>
    <row r="119">
      <c r="A119" t="inlineStr">
        <is>
          <t>li-4370933254</t>
        </is>
      </c>
      <c r="B119" t="inlineStr">
        <is>
          <t>Data Engineer</t>
        </is>
      </c>
      <c r="C119" t="inlineStr">
        <is>
          <t>Viasat</t>
        </is>
      </c>
      <c r="D119" t="inlineStr">
        <is>
          <t>linkedin</t>
        </is>
      </c>
      <c r="E119">
        <f>HYPERLINK("https://www.linkedin.com/jobs/view/4370933254", "https://www.linkedin.com/jobs/view/4370933254")</f>
        <v/>
      </c>
      <c r="F119">
        <f>HYPERLINK("https://careers.viasat.com/jobs/5568?lang=en-us&amp;iis=Job+Board&amp;iisn=LinkedIn&amp;source=LinkedIn&amp;urlHash=4ymd", "https://careers.viasat.com/jobs/5568?lang=en-us&amp;iis=Job+Board&amp;iisn=LinkedIn&amp;source=LinkedIn&amp;urlHash=4ymd")</f>
        <v/>
      </c>
      <c r="G119" t="inlineStr">
        <is>
          <t>Englewood, CO</t>
        </is>
      </c>
      <c r="H119" t="inlineStr"/>
      <c r="I11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member of our Data Platform team, you’ll help build infrastructure and tools for collecting and processing data in streaming and batch pipelines. Your work will power access to data for a variety of use\-cases, be it real\-time stream processing, online data access, analytic data exploration or large\-scale data processing. Our mission is to enable our community of data scientists, analysts, and developers to derive faster insights and reduce TTM in order to fuel Viasat growth.
**The day\-to\-day**
 In this Software Engineer role, you will own core components of data ingestion and integration processing that intakes :4 billon events per hour with data volume in excess of 30TB per day. You will design and implement new features and enhancements to our data platform to advance component architecture towards strategic data governance/management objectives while providing ongoing support, monitoring, and maintenance of deployed products. Additionally, you will monitor emerging technologies/technology practices for potential use within the Company.
**What You'll Need**
* 5\+ years software development experience using at least two of the following: Java, Scala, Python, C or C\+\+.
* Familiarity with RDBMS technologies (PostgreSQL, MySQL, Oracle, etc.)
* Experience in Linux based systems, docker, and code versioning tooling (Git/CI/CD).
* Familiarity with at least one cloud provider such as AWS, GCP, or Azure.
* Experience in design and implementation of robust and highly scalable Data services
* Experience in Linux based systems, docker, and code versioning tooling (Git/CI/CD).
* Reliable teammate with the ability to handle different projects simultaneously in a fast\-paced multifaceted agile work environment.
* BS or equivalent experience in Computer Science, Computer Engineering, Software Engineering, Electrical Engineering, Math, Physics or a related field
* Ability to travel up to 10%
* Strong analytical abilities
* US Citizenship required
**What Will Help You On The Job**
* Understanding of distributed and parallel computing architectures
* Experience with scaled data environments and Streaming technologies like Kafka and Spark
* Expertise in Scala and/or Java
* Working experience in design, development, and implementation of highly scalable, scaled software systems and components, client\-facing web applications and systems as a full stack developer using one of the following: Java, Python, or Scala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20">
      <c r="A120" t="inlineStr">
        <is>
          <t>li-4370907988</t>
        </is>
      </c>
      <c r="B120" t="inlineStr">
        <is>
          <t>Remote Cloud Data Engineer</t>
        </is>
      </c>
      <c r="C120" t="inlineStr">
        <is>
          <t>Jobgether</t>
        </is>
      </c>
      <c r="D120" t="inlineStr">
        <is>
          <t>linkedin</t>
        </is>
      </c>
      <c r="E120">
        <f>HYPERLINK("https://www.linkedin.com/jobs/view/4370907988", "https://www.linkedin.com/jobs/view/4370907988")</f>
        <v/>
      </c>
      <c r="F120" t="inlineStr"/>
      <c r="G120" t="inlineStr">
        <is>
          <t>Texas, United States</t>
        </is>
      </c>
      <c r="H120" t="inlineStr"/>
      <c r="I120" t="inlineStr">
        <is>
          <t>This position is posted by Jobgether on behalf of a partner company. We are currently looking for a Principal Data Platform Engineer. In this role, you will be pivotal in leading the design and implementation of complex database solutions that drive mission\-critical operations. Your expertise in both on\-premises and cloud\-based architectures will enable the creation of efficient and scalable data platforms. Collaborating with cross\-functional teams, you will solve complex problems and innovate within the data ecosystem. Your contributions will significantly enhance data\-driven decision\-making and operational excellence across various industries.
**Accountabilities**
* Lead global teams in design and architecture discussions.
* Implement scalable database architectures on cloud\-native platforms (AWS).
* Optimize applications for cost efficiencies in AWS RDS \&amp; EMR.
* Collaborate with teams to ensure integration with existing systems.
* Manage automated operations through CI/CD pipelines and IaC tools.
* Monitor and fine\-tune database performance for scalability.
* Implement data protection strategies with encryption and access controls.
* Develop enterprise data models and enforce data standards.
* Research new technologies to enhance database efficiency.
* Create comprehensive documentation for database configurations.
**Requirements**
* Bachelor's degree in computer science or a related field.
* 10\+ years of Enterprise Data Platform Engineering experience.
* Expertise in multi\-cloud database architecture and cross\-platform migration.
* Experience with infrastructure\-as\-code (IaC) and DevOps automation tools.
* Familiarity with data governance and regulatory compliance frameworks.
* Experience diagnosing complex database issues.
* Knowledge of containerization tools like Docker and Kubernetes.
* Experience with observability and monitoring tools.
* Business continuity planning and high\-availability architecture design.
* Mentoring experience with junior engineers.
**Benefits**
* Great compensation package and bonus plan.
* Core benefits including medical, dental, vision, and matching 401K.
* Flexible work environment, ability to work remote or in\-office.
* Flexible time off including volunteer time, vacation, and paid holidays.
* Recognition as one of the World's Best Workplaces™ 2024\.
* Oppotunitiy to work with a diverse and inclusive workforce.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li-4370491639</t>
        </is>
      </c>
      <c r="B121" t="inlineStr">
        <is>
          <t>Data Engineer</t>
        </is>
      </c>
      <c r="C121" t="inlineStr">
        <is>
          <t>Jobs via Dice</t>
        </is>
      </c>
      <c r="D121" t="inlineStr">
        <is>
          <t>linkedin</t>
        </is>
      </c>
      <c r="E121">
        <f>HYPERLINK("https://www.linkedin.com/jobs/view/4370491639", "https://www.linkedin.com/jobs/view/4370491639")</f>
        <v/>
      </c>
      <c r="F121">
        <f>HYPERLINK("https://click.appcast.io/t/nOZ_nPNOlq6aNUb20ZLqoDChVee4G1WftkrjXTuGasU=&amp;urlHash=-X3P", "https://click.appcast.io/t/nOZ_nPNOlq6aNUb20ZLqoDChVee4G1WftkrjXTuGasU=&amp;urlHash=-X3P")</f>
        <v/>
      </c>
      <c r="G121" t="inlineStr">
        <is>
          <t>Lansing, MI</t>
        </is>
      </c>
      <c r="H121" t="inlineStr"/>
      <c r="I121" t="inlineStr">
        <is>
          <t>Dice is the leading career destination for tech experts at every stage of their careers. Our client, iMinds Technology Systems, Inc., is seeking the following. Apply via Dice today!
 The State of Michigan is looking for: Programmer Analyst 6 \- Data Engineer
 Contract: 12 M
 Rate: $65 to $70
 Note: H1Bs are not eligible.
 Top Skills \&amp; Years of Experience:
* 12\+ years developing complex database systems.
* 8\+ years Databricks.
* 8\+ years using Elastic Search, Kibana.
* 8\+ years using Python/Scala.
* 8\+ years Oracle.
* 5\+ years' experience with Extract, Transform, and Load (ETL) processes and developing Data Pipelines.
* 5\+ years' experience with AWS.
* 5\+ years' experience with data warehousing, data visualization Tools, and data integrity.
* 5\+ years using CMM/CMMI Level 3 methods and practices.
* 5\+ years implemented agile development processes, including test\-driven development.
 Will close submissions on: 2/12 at 10:00 am EST.
 Interview Process: Candidates submitted must be willing to come ONSITE (Lansing, MI) for interviews. A screenshot photo of the candidate will be required for any interviews, as well as a vendor present at the beginning of any MS Teams interview to validate the candidate.
 On\-site: Hybrid position \- Onsite 2 days per week \- REQUIRED. CANDIDATES MUST BE LOCAL (60mi radius from Lansing). The hiring manager is not currently interested in candidates who will need to relocate to accept the offer. NO REMOTE ONLY OPTION.
 Duration: 1 year with possible extension.</t>
        </is>
      </c>
    </row>
    <row r="122">
      <c r="A122" t="inlineStr">
        <is>
          <t>li-4370498468</t>
        </is>
      </c>
      <c r="B122" t="inlineStr">
        <is>
          <t>Azure Data Engineer</t>
        </is>
      </c>
      <c r="C122" t="inlineStr">
        <is>
          <t>Jobs via Dice</t>
        </is>
      </c>
      <c r="D122" t="inlineStr">
        <is>
          <t>linkedin</t>
        </is>
      </c>
      <c r="E122">
        <f>HYPERLINK("https://www.linkedin.com/jobs/view/4370498468", "https://www.linkedin.com/jobs/view/4370498468")</f>
        <v/>
      </c>
      <c r="F122" t="inlineStr"/>
      <c r="G122" t="inlineStr">
        <is>
          <t>Redmond, WA</t>
        </is>
      </c>
      <c r="H122" t="inlineStr"/>
      <c r="I122" t="inlineStr">
        <is>
          <t>Dice is the leading career destination for tech experts at every stage of their careers. Our client, Quadrant Technologies, is seeking the following. Apply via Dice today!
 We are seeking a highly skilled and experienced Data Engineer / Data Architect with strong expertise in
 **SQL, Azure Databricks, Azure Synapse Analytics, SSAS, and Azure AI Foundry** 
 . The ideal candidate will be responsible for designing, developing, and optimizing scalable data solutions, advanced analytics models, and AI\-driven data platforms within the Microsoft Azure ecosystem.
**Required Skills \&amp; Qualifications**
* 5\+ years of experience in Data Engineering / Data Architecture.
* Strong expertise in SQL Server and query performance optimization.
* Hands\-on experience with Azure Databricks (Spark, PySpark, Delta Lake).
* Experience working with Azure Synapse Analytics (Dedicated \&amp; Serverless SQL Pools).
* Strong experience in SSAS (Tabular/Multidimensional modeling, DAX, MDX).
* Working knowledge of Azure AI Foundry / Azure AI services / Machine Learning integration.
* Experience with Azure Data Factory and data orchestration tools.
* Understanding of data warehousing concepts (Star Schema, Snowflake Schema, Data Modeling).
* Experience in handling large\-scale structured and unstructured data.
* Familiarity with Power BI is a plus.</t>
        </is>
      </c>
    </row>
    <row r="123">
      <c r="A123" t="inlineStr">
        <is>
          <t>li-4370601394</t>
        </is>
      </c>
      <c r="B123" t="inlineStr">
        <is>
          <t>Azure Databricks Data Engineer</t>
        </is>
      </c>
      <c r="C123" t="inlineStr">
        <is>
          <t>Jobs via Dice</t>
        </is>
      </c>
      <c r="D123" t="inlineStr">
        <is>
          <t>linkedin</t>
        </is>
      </c>
      <c r="E123">
        <f>HYPERLINK("https://www.linkedin.com/jobs/view/4370601394", "https://www.linkedin.com/jobs/view/4370601394")</f>
        <v/>
      </c>
      <c r="F123">
        <f>HYPERLINK("https://click.appcast.io/t/9YGOLiRlQyohlmWnNB5YJ5EE-poUzzm-hcPoDaZaFZA=&amp;urlHash=-FW2", "https://click.appcast.io/t/9YGOLiRlQyohlmWnNB5YJ5EE-poUzzm-hcPoDaZaFZA=&amp;urlHash=-FW2")</f>
        <v/>
      </c>
      <c r="G123" t="inlineStr">
        <is>
          <t>Pineville, NC</t>
        </is>
      </c>
      <c r="H123" t="inlineStr"/>
      <c r="I123" t="inlineStr">
        <is>
          <t>Dice is the leading career destination for tech experts at every stage of their careers. Our client, 4 Consulting Inc, is seeking the following. Apply via Dice today!
 Job Title: Azure Databricks Data Engineer
 Location: Pineville, NC
 Duration: long term
 Requirement ID: 4CI 6914
 Required Qualifications:
* Proven hands\-on experience with Azure Databricks, including pipeline development and Delta Lake architecture.
* Strong expertise with Azure Data Lake Storage (ADLS)\-architecture, permissions, workflows, and performance patterns.
* Experience designing and developing data models and integration layers across heterogeneous data sources.
* Demonstrated success delivering scalable batch and streaming workloads on Azure.
* Track record of improving process efficiency and advancing workflow automation.
* Proficiency with Azure services including ADLS, Azure Data Factory, Azure Synapse Analytics, and related cloud tools.</t>
        </is>
      </c>
    </row>
    <row r="124">
      <c r="A124" t="inlineStr">
        <is>
          <t>li-4370875832</t>
        </is>
      </c>
      <c r="B124" t="inlineStr">
        <is>
          <t>Senior Analytics Engineer (Breakthrough)</t>
        </is>
      </c>
      <c r="C124" t="inlineStr">
        <is>
          <t>Breakthrough</t>
        </is>
      </c>
      <c r="D124" t="inlineStr">
        <is>
          <t>linkedin</t>
        </is>
      </c>
      <c r="E124">
        <f>HYPERLINK("https://www.linkedin.com/jobs/view/4370875832", "https://www.linkedin.com/jobs/view/4370875832")</f>
        <v/>
      </c>
      <c r="F124" t="inlineStr"/>
      <c r="G124" t="inlineStr">
        <is>
          <t>Green Bay, WI</t>
        </is>
      </c>
      <c r="H124" t="inlineStr"/>
      <c r="I124" t="inlineStr">
        <is>
          <t>**Position Summary**
 About Breakthrough
 At Breakthrough, we empower our clients with data, technology, and market knowledge to reduce costs, create efficient networks, and decarbonize transportation. As a strategic partner to our clients, we challenge legacy practices in the $700 billion transportation industry, delivering sustainable fuel and freight products that foster fair partnerships and environmental responsibility.
 As a digital product company, our culture thrives on curiosity, autonomy, and purpose\-driven innovation. Here, you're not just executing tasks; you're collaborating with a team dedicated to transforming transportation and making a tangible impact on the global economy and the planet.
 The Role
 As a Senior Analytics Engineer, you will play a crucial role in the design, development, and implementation of robust, scalable, and high\-performance analytics solutions. You will be responsible for analytic data modeling, building efficient ETL processes, and seamless integrations with SaaS products and visualization tools, leveraging your expertise to drive technical excellence across the team.
 We're seeking individuals who excel in collaborative environments, are driven by the "why" behind their work and the core problems they're trying to solve, and are eager to develop innovative solutions while influencing the evolution of our systems, teams, and culture.
 “At Breakthrough, we’re figuring out things for the first time; things that no one else has ever done before” \- Engineering leader, Breakthrough
 This role is open to work on\-site in Green Bay or remote/hybrid options based on relevancy of candidate experience.
**Job Responsibilities**
**What You’ll Do**
* Collaborate with cross\-functional teams—including product owners, designers, and fellow engineers—to build reliable, scalable systems.
* Working closely with our clients, market experts, and the broader Breakthrough team, you will build innovative solutions that solve industry problems.
* Lead the end\-to\-end design and implementation of new product features and services.
* Learn and apply the latest technologies to our cloud native solutions.
* Write clean, maintainable code accompanied by comprehensive automated tests.
* Review pull requests, mentor other engineers, and elevate the technical standards within the team.
* Contribute to technical strategy, system design, and process improvements.
* Participate in our on\-call rotation and support production systems, embracing a shared ownership model.
 Learn more about the work you'll do at Breakthrough and our culture here.
**This Role Might Be a Great Fit If…**
* You're enthusiastic about tackling complex challenges and can distill them into actionable solutions.
* You prioritize writing clean, readable, and testable code, while understanding the importance of pragmatism.
* Understanding the underlying purpose of your work motivates you, beyond merely delivering features.
* You thrive in collaborative settings, engaging with engineers, product owners, and designers to achieve common goals.
* You're committed to advancing sustainability in transportation and reducing environmental impact through technological innovation.
**This Role Might Not Be the Best Fit If…**
* You prefer working in isolation or solely on predefined tasks without broader context.
* Adaptability to shifting priorities in a dynamic environment is challenging for you.
* Collaborating with non\-engineering disciplines, such as product and design, doesn't align with your working style.
* You seek a rigid hierarchical structure to guide all decision\-making processes.
* Mentoring others and contributing to team growth aren't areas of interest for you.
**How We Work**
* Hybrid\-Friendly: While many team members are based in Green Bay, we embrace remote work and prioritize impact over location.
* Cross\-Functional Teams: You'll be part of an agile team of fellow engineers, fostering a holistic approach to product development by working with Product Owners, Quality Assurance, and others throughout the organization.
* Continuous Improvement: We regularly conduct retrospectives, refine our processes, and invest in addressing technical debt to enhance our workflows.
* Empowered Engineers: Beyond task execution, you're encouraged to influence both what we build and how we build it, ensuring alignment with our strategic objectives.
**Qualifications**
**What you bring**
* Bachelor’s degree in Computer Science or a related technical field involving coding (e.g, physics or mathematics), or equivalent technical experience.
* 10\+ years as a data or analytics engineer, with a focus on a combination of data modeling and engineering.
* Experience in designing and implementing scalable and high\-performance analytics features.
* Proficiency in multiple programming languages, frameworks, and technologies, specifically dbt, SQL, Jinja, BigQuery, cube, and Python.
* Knowledge of data architectures, security best practices, and data integration concepts.
* Experience with ETL technologies and data engineering with a focus on building and maintaining data platforms, data pipelines, and data ingestion tools.
* Exposure to modern infrastructure such as code technologies like Docker, Kubernetes, Terraform, and Airflow.
* In depth understanding of database concepts, data modeling, and data warehousing principles.
* Understanding of distributed data management systems and related applications.
* Familiarity with public cloud infrastructure design, tools, and strategies.
* Experience with software development methodologies including Agile, Kanban, and Scrum
* A growth mindset and excitement for using AI to drive innovation, improve workflows and solve complex problems.
* Collaborative by nature, you value pairing, whiteboarding sessions, and learning from diverse perspectives.
* Passionate about delivering high\-quality products that enhance client experiences and drive sustainability in transportation.
**Tech We Use**
* Backend: Python, Postgres
* Frontend: Node, React, TypeScript, graphQL
* Cloud \&amp; Infrastructure: Google Cloud Platform (GCP), Terraform, Docker
* Data \&amp; Analytics: BigQuery, dbt
* Monitoring \&amp; Observability: GCP Monitoring
**Why Breakthrough**
* Mission\-Driven Work: Engage in projects that have a tangible impact on the economy and the environment. Hear more about our innovation in this video.
* Supportive Culture: Experience a workplace that values autonomy, growth, and meaningful contributions.
* Leadership Opportunities: Take on roles that allow you to mentor, guide, and shape the future of our products and technological direction.
* Established Backing: As a U.S. Venture company, we benefit from a legacy of innovation and a commitment to sustainable practices.
**Apply Now**
 If you're driven to develop smarter, cleaner transportation solutions and want to be part of a team that's making a difference, we'd love to hear from you!
 \#Breakthrough
**DIVISION** 
 :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125">
      <c r="A125" t="inlineStr">
        <is>
          <t>li-4370489615</t>
        </is>
      </c>
      <c r="B125" t="inlineStr">
        <is>
          <t>Sr. Data Engineer</t>
        </is>
      </c>
      <c r="C125" t="inlineStr">
        <is>
          <t>Jobs via Dice</t>
        </is>
      </c>
      <c r="D125" t="inlineStr">
        <is>
          <t>linkedin</t>
        </is>
      </c>
      <c r="E125">
        <f>HYPERLINK("https://www.linkedin.com/jobs/view/4370489615", "https://www.linkedin.com/jobs/view/4370489615")</f>
        <v/>
      </c>
      <c r="F125" t="inlineStr"/>
      <c r="G125" t="inlineStr">
        <is>
          <t>Deerfield Beach, FL</t>
        </is>
      </c>
      <c r="H125" t="inlineStr"/>
      <c r="I125" t="inlineStr">
        <is>
          <t>Dice is the leading career destination for tech experts at every stage of their careers. Our client, Symbiotic Consulting Group, is seeking the following. Apply via Dice today!
 Sr. Data Engineer will be responsible for developing curated data (data models, data ETL pipelines, views) in a cloud\-based environment to support business needs for analytics and reporting. The engineer will assist an existing team with migration from on prem to cloud\-based data delivery platform and should have experience in migration of environments. The candidate will provide guidance and support for the set\-up of the new environment along with best practices and recommendations based on industry and hands on experience as a data engineer. In addition, the candidate should have experience with standardizing data modeling and design frameworks for analysis, design, building, testing and maintenance. Cloud based data engineering is required and experience using the Azure stack is highly preferred and recommended. Candidates must possess the technical capabilities to extract, retrieve and analyze data with SQL based tools. The engineer should possess strong interpersonal communication skills to be able to bridge the gap between business and technical users to understand and assess requirements and deliver data driven solutions. The role will also involve adhering to data governance standards and practices along with experience developing in an agile environment using Azure boards or similar tool such as Azure Dev Ops.
* Responsible for eliciting, understanding, interpreting and representing business requirements.
* Act as the conduit between the customer and technical teams to ensure requirements are understood.
* Responsible for understanding business processes to develop business models.
* Provide subject matter expertise on the use of data as well as educate teams on business model, metadata and standards.
* Responsible for understanding source systems and its data models.
* Develop source to target mappings for data lineage.
* Document source architecture to include data flows.
* Responsible for analyzing data to validate business domains and requirements.
* Responsible for data profiling and ensuring data quality requirements are accurate and complete.
* Act in an advisory capacity in data model reviews, architecture approach and solution design to ensure high quality deliverables.
* Responsible for partnering with management and business units on innovative ways to successfully utilize data and related tools to advance business objectives.
* Responsible for providing day\-to\-day support, troubleshooting and incident management and resolution.
* Responsible for communicating planned and unplanned activities to appropriate parties as needed.
* Provide ad hoc support for Business reporting requests
**Requirements**
* Bachelor’s degree or equivalent plus 7 years of related professional experience. Degree in technology related area preferred.
* 5\+ years experience as a Data Engineer/Analyst, specifically utilizing Azure Data \&amp; Analytics PaaS Services (Azure Data Factory, Azure Data Lake, Azure SQL DW)
* 5\+ Experience with JSON
* 5\+ years hands\-on experience working with SQL.
* 5\+ years experience with data modeling concepts and techniques.
* 5\+ years experience of hands\-on with Informatica Power Center and IICS development
* Strong experience building data pipelines to bring together information from different source systems.
* Strong NoSQL experience with CosmosDB
* Experience working with Microsoft Power Platform (PowerBi, PowerApps, PowerAutomate) a plus
* Well versed in data management concepts, data lifecycle and methodologies.
* Must exhibit strong thought leadership.
* Skillful at applying business and technical skills to drive innovation and performance improvement.
* Excellent analytical, problem\-solving, and decision\-making skills, leveraging both logic and creativity.
* Excellent written and oral communication, as well as, good organizational and presentation skills.
* Demonstrated ability to handle multiple competing priorities in a dynamic environment.
* Demonstrated facilitation and meeting management skills.
* Demonstrated ability to understand the unique needs of the customer and translate to actionable results while delivering high quality outcomes.
* Ability to influence and motivate individuals and teams to drive mutually beneficial outcomes.
* Excellent interpersonal skills with the ability to build relationships within and between individuals and cross\-functional teams.
* Must enjoy working in a team\-oriented, collaborative environment as well as autonomously.
* High achievement orientation with a willingness to learn.
* Possess a solid overall understanding of technology concepts, trends, and capabilities.
* Exhibit a strong desire to understand the organization, its industry, and its strategies.
* Working knowledge of project management principles, a plus.
* Must exhibit strong customer service orientation.
* Must be willing to be on\-call as needed.</t>
        </is>
      </c>
    </row>
    <row r="126">
      <c r="A126" t="inlineStr">
        <is>
          <t>li-4361864673</t>
        </is>
      </c>
      <c r="B126" t="inlineStr">
        <is>
          <t>IT Data Engineering Manager</t>
        </is>
      </c>
      <c r="C126" t="inlineStr">
        <is>
          <t>BDO USA</t>
        </is>
      </c>
      <c r="D126" t="inlineStr">
        <is>
          <t>linkedin</t>
        </is>
      </c>
      <c r="E126">
        <f>HYPERLINK("https://www.linkedin.com/jobs/view/4361864673", "https://www.linkedin.com/jobs/view/4361864673")</f>
        <v/>
      </c>
      <c r="F126" t="inlineStr"/>
      <c r="G126" t="inlineStr">
        <is>
          <t>Grand Rapids, MI</t>
        </is>
      </c>
      <c r="H126" t="inlineStr"/>
      <c r="I126" t="inlineStr">
        <is>
          <t>**Job Summary**
**JOB DESCRIPTION**
 The IT Data Engineering Manager is expected to use their strong business acumen and leadership skills to effectively guide the Data Engineering team to work with business partners to understand their data needs and develop technical designs and requirements to meet those needs. This role manages the Data Engineering team to take the lead in helping to identify, organize and report on the Firm’s valuable data assets to achieve better operational efficiencies, and provide better services to its clients through data\-driven insights and actions. This role, in collaboration with data architects and other IT teams (such as, Business Analysts and Project Managers), will help develop standard processes, procedures, and guidelines to ensure the effective and efficient delivery of sustainable data solutions based on timely provision of requirements, following design standards/best practices, and appropriate IT and user testing. Finally, this role provides support in developing strategies, policies, and governance models to ensure data remains accurate, timely, and relevant to the Firm’s goals.
**Job Duties**
* Ensures Data Engineering team is working effectively with stakeholders and data architects to appropriately define and design data solutions to support the Firm’s data initiatives
* Continually increases maturation of Data Engineering practices and processes to ensure proper level of planning, controls, documentation, and monitoring is in place to deliver high quality, sustainable work products
* Collaborates with project managers to provide effort estimates, and provides technical leadership in solution design and requirements
* Acts as a subject matter expert and catalyst to educate on the Firm’s data platforms, and best practices as they relate to the usage and hygiene of the Firm’s data assets
* Meets regularly with line of business customers to gain a better understanding of their business processes and of the customer's evolving data needs in order to identify potential data\-related projects
* Works with data scientists and developers to use emerging and advanced technologies such as, artificial intelligence and machine learning to identify and extrapolate hidden patterns and trends, increasing the value of the Firm’s data
* Builds and maintains constructive working relationships with project team members, vendors, and other departments involved with projects, systems, and IT strategies
* Ensures data governance principles are followed through the course of day\-to\-day data usage, and solution design
* Identifies and executes continuous improvement efforts regarding data operations to ensure the Firm’s data remains accurate and timely
* Works closely with the Information Security and Compliance teams to ensure the Firm’s data strategy, and technologies meet or exceed both internal policies and external regulatory requirements
* Collaborates with BDO Global and other BDO member firms to ensure standards between organizations are followed in support of reusable models and rapid deployment of shared technology
* Understands and follows project management basics and project management office policies and procedures
* Other duties as required
**Supervisory Responsibilities**
* Supervises Data Engineering team members
**Education**
**Qualifications, Knowledge, Skills and Abilities:**
* High School Diploma or GED, required
* Bachelor’s degree in Computer Science, Information Management, Mathematics, or Statistics, preferred
**Experience**
* Demonstrable proficiency in successfully leading other developers in delivering complex data integration solutions, (required)
* Six (6\) or more years working as a data engineer, analyst, or extract/transform/load (ETL) developer, required
* Three (3\) or more years working with PowerBI, Tableau, or similar data visualization products, required
* Demonstrable proficiency in developing and understanding custom, and ad\-hoc SQL queries, required
* Three (3\) or more years working within commercial cloud platforms such as Amazon Web Services, or Microsoft Azure, preferred
* Experience working within a large, complex enterprise with significant regulatory and compliance requirements, preferred
* Professional service firm experience, preferred
**License(s)/Certification(s)**
* N/A
**Software**
* Strong proficiency in the use of Microsoft Office suite, specifically Excel, required
**Language(s)**
* N/A
**Other Knowledge, Skills \&amp; Abilities**
* Strong ability to mentor and coach data engineers in their development and support activities
* Ability to effectively negotiate work request priorities with business requesters while maintaining good working relationships
* Strong analytical, organizational, and problem\-solving skills
* Excellent written communication skills, maintaining accurate documentation, and technical authorship of complex documents
* Ability to facilitate meetings efficiently and effectively
* Ability to follow an issue through to its logical conclusion, and escalate as necessary
* Ability to work independently as well as part of a team, including providing technical leadership to less experienced colleagues
* Excellent interpersonal and customer relationship skills
* Ability to work in a deadline\-driven environment, while handling multiple complex projects/tasks simultaneously with a focus on details
* Ability to work well under pressure while dealing with unexpected issues in a professional manner
* Ability to work after hours and weekends as needed
* Ability to travel as needed
 Individual salaries that are offered to a candidate are determined after consideration of numerous factors including but not limited to the candidate’s qualifications, experience, skills, and geography.
 National Range: $142,500 \- $157,000
 California Range: $142,500 \- $157,000
 Colorado Range: $142,500 \- $157,000
 Illinois Range: $142,500 \- $157,000
 Maryland Range: $142,500 \- $157,000
 Minnesota Range: $142,500 \- $157,000
 New Jersey Range: $142,500 \- $157,000
 NYC/Long Island/Westchester Range: $142,500 \- $157,000
 Washington Range: $142,500 \- $157,000
 Washington DC Range: $142,500 \- $157,000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127">
      <c r="A127" t="inlineStr">
        <is>
          <t>li-4370487710</t>
        </is>
      </c>
      <c r="B127" t="inlineStr">
        <is>
          <t>Healthcare Google Cloud Platform Data Engineer at Portland, OR - Onsite</t>
        </is>
      </c>
      <c r="C127" t="inlineStr">
        <is>
          <t>Jobs via Dice</t>
        </is>
      </c>
      <c r="D127" t="inlineStr">
        <is>
          <t>linkedin</t>
        </is>
      </c>
      <c r="E127">
        <f>HYPERLINK("https://www.linkedin.com/jobs/view/4370487710", "https://www.linkedin.com/jobs/view/4370487710")</f>
        <v/>
      </c>
      <c r="F127" t="inlineStr"/>
      <c r="G127" t="inlineStr">
        <is>
          <t>Portland, OR</t>
        </is>
      </c>
      <c r="H127" t="inlineStr"/>
      <c r="I127" t="inlineStr">
        <is>
          <t>Dice is the leading career destination for tech experts at every stage of their careers. Our client, PamTen Inc, is seeking the following. Apply via Dice today!
**Job Title** 
 :
 **Google Cloud Platform Data Engineer**
**Location:** 
**Portland, OR**
**Job Type: Contract**
 As a Google Cloud Platform Data Engineer with 10\+ years of experience, you will be a part of an Agile team to build healthcare applications and implement new features while adhering to the best coding development standards .
**Specific technologies to be used and level of proficiency: \-**
* DBT: Prefer candidates with real\-world DBT experience.
* Healthcare Industry Experience: Some experience is required, preferably Payer experience. Experience in Google Cloud Platform (Google Cloud Platform) using Spanner/Big Query
**Responsibilities: \-**
* Data profiling to identify primary keys and issues with the data.
* ETL to bring data onto the client's Data Platform, de\-duplicate data, create or update dimensional data structures, and produce use case\-specific output.
* Unit testing, functional testing, and performance testing and tuning.
* Interacting with the Product team to understand and refine requirements.
* Interacting with QA to address reported findings.
* Working individually and as a team to achieve our goals.
* Taking initiative to take on additional work if the present work stream slows down
**Educational Qualifications: \-**
* Engineering Degree BE/ME/BTech/MTech/BSc/MSc.
* Technical certification in multiple technologies is desirable.
**Mandatory Skills**
* SQL: Highly Skilled. Must be familiar with common table elements (CTEs), complex joins, and analytic \&amp; windowing functions.
* Snowflake: Prefer candidates with real\-world experience using Snowflake.
* Data Profiling: Must be able to identify unique and primary keys and determine cardinality, data type, precision, and scale, and skew.
* Effective communication skills to communicate internally within our team and externally across other teams, notably Product and QA
* Understands the scope and context of the work and takes initiative to achieve the goals, rather than waiting to take specific direction.</t>
        </is>
      </c>
    </row>
    <row r="128">
      <c r="A128" t="inlineStr">
        <is>
          <t>li-4362272483</t>
        </is>
      </c>
      <c r="B128" t="inlineStr">
        <is>
          <t>IT Data Engineering Manager</t>
        </is>
      </c>
      <c r="C128" t="inlineStr">
        <is>
          <t>BDO USA</t>
        </is>
      </c>
      <c r="D128" t="inlineStr">
        <is>
          <t>linkedin</t>
        </is>
      </c>
      <c r="E128">
        <f>HYPERLINK("https://www.linkedin.com/jobs/view/4362272483", "https://www.linkedin.com/jobs/view/4362272483")</f>
        <v/>
      </c>
      <c r="F128">
        <f>HYPERLINK("https://ebqb.fa.us2.oraclecloud.com/hcmUI/CandidateExperience/en/job/11483/?utm_medium=jobshare&amp;urlHash=S4Sy", "https://ebqb.fa.us2.oraclecloud.com/hcmUI/CandidateExperience/en/job/11483/?utm_medium=jobshare&amp;urlHash=S4Sy")</f>
        <v/>
      </c>
      <c r="G128" t="inlineStr">
        <is>
          <t>Kalamazoo, MI</t>
        </is>
      </c>
      <c r="H128" t="inlineStr"/>
      <c r="I128" t="inlineStr">
        <is>
          <t>**Job Summary**
**JOB DESCRIPTION**
 The IT Data Engineering Manager is expected to use their strong business acumen and leadership skills to effectively guide the Data Engineering team to work with business partners to understand their data needs and develop technical designs and requirements to meet those needs. This role manages the Data Engineering team to take the lead in helping to identify, organize and report on the Firm’s valuable data assets to achieve better operational efficiencies, and provide better services to its clients through data\-driven insights and actions. This role, in collaboration with data architects and other IT teams (such as, Business Analysts and Project Managers), will help develop standard processes, procedures, and guidelines to ensure the effective and efficient delivery of sustainable data solutions based on timely provision of requirements, following design standards/best practices, and appropriate IT and user testing. Finally, this role provides support in developing strategies, policies, and governance models to ensure data remains accurate, timely, and relevant to the Firm’s goals.
**Job Duties**
* Ensures Data Engineering team is working effectively with stakeholders and data architects to appropriately define and design data solutions to support the Firm’s data initiatives
* Continually increases maturation of Data Engineering practices and processes to ensure proper level of planning, controls, documentation, and monitoring is in place to deliver high quality, sustainable work products
* Collaborates with project managers to provide effort estimates, and provides technical leadership in solution design and requirements
* Acts as a subject matter expert and catalyst to educate on the Firm’s data platforms, and best practices as they relate to the usage and hygiene of the Firm’s data assets
* Meets regularly with line of business customers to gain a better understanding of their business processes and of the customer's evolving data needs in order to identify potential data\-related projects
* Works with data scientists and developers to use emerging and advanced technologies such as, artificial intelligence and machine learning to identify and extrapolate hidden patterns and trends, increasing the value of the Firm’s data
* Builds and maintains constructive working relationships with project team members, vendors, and other departments involved with projects, systems, and IT strategies
* Ensures data governance principles are followed through the course of day\-to\-day data usage, and solution design
* Identifies and executes continuous improvement efforts regarding data operations to ensure the Firm’s data remains accurate and timely
* Works closely with the Information Security and Compliance teams to ensure the Firm’s data strategy, and technologies meet or exceed both internal policies and external regulatory requirements
* Collaborates with BDO Global and other BDO member firms to ensure standards between organizations are followed in support of reusable models and rapid deployment of shared technology
* Understands and follows project management basics and project management office policies and procedures
* Other duties as required
**Supervisory Responsibilities**
* Supervises Data Engineering team members
**Education**
**Qualifications, Knowledge, Skills and Abilities:**
* High School Diploma or GED, required
* Bachelor’s degree in Computer Science, Information Management, Mathematics, or Statistics, preferred
**Experience**
* Demonstrable proficiency in successfully leading other developers in delivering complex data integration solutions, (required)
* Six (6\) or more years working as a data engineer, analyst, or extract/transform/load (ETL) developer, required
* Three (3\) or more years working with PowerBI, Tableau, or similar data visualization products, required
* Demonstrable proficiency in developing and understanding custom, and ad\-hoc SQL queries, required
* Three (3\) or more years working within commercial cloud platforms such as Amazon Web Services, or Microsoft Azure, preferred
* Experience working within a large, complex enterprise with significant regulatory and compliance requirements, preferred
* Professional service firm experience, preferred
**License(s)/Certification(s)**
* N/A
**Software**
* Strong proficiency in the use of Microsoft Office suite, specifically Excel, required
**Language(s)**
* N/A
**Other Knowledge, Skills \&amp; Abilities**
* Strong ability to mentor and coach data engineers in their development and support activities
* Ability to effectively negotiate work request priorities with business requesters while maintaining good working relationships
* Strong analytical, organizational, and problem\-solving skills
* Excellent written communication skills, maintaining accurate documentation, and technical authorship of complex documents
* Ability to facilitate meetings efficiently and effectively
* Ability to follow an issue through to its logical conclusion, and escalate as necessary
* Ability to work independently as well as part of a team, including providing technical leadership to less experienced colleagues
* Excellent interpersonal and customer relationship skills
* Ability to work in a deadline\-driven environment, while handling multiple complex projects/tasks simultaneously with a focus on details
* Ability to work well under pressure while dealing with unexpected issues in a professional manner
* Ability to work after hours and weekends as needed
* Ability to travel as needed
 Individual salaries that are offered to a candidate are determined after consideration of numerous factors including but not limited to the candidate’s qualifications, experience, skills, and geography.
 National Range: $142,500 \- $157,000
 California Range: $142,500 \- $157,000
 Colorado Range: $142,500 \- $157,000
 Illinois Range: $142,500 \- $157,000
 Maryland Range: $142,500 \- $157,000
 Minnesota Range: $142,500 \- $157,000
 New Jersey Range: $142,500 \- $157,000
 NYC/Long Island/Westchester Range: $142,500 \- $157,000
 Washington Range: $142,500 \- $157,000
 Washington DC Range: $142,500 \- $157,000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129">
      <c r="A129" t="inlineStr">
        <is>
          <t>li-4370498445</t>
        </is>
      </c>
      <c r="B129" t="inlineStr">
        <is>
          <t>Programmer Analyst 6 - Data Engineer</t>
        </is>
      </c>
      <c r="C129" t="inlineStr">
        <is>
          <t>Jobs via Dice</t>
        </is>
      </c>
      <c r="D129" t="inlineStr">
        <is>
          <t>linkedin</t>
        </is>
      </c>
      <c r="E129">
        <f>HYPERLINK("https://www.linkedin.com/jobs/view/4370498445", "https://www.linkedin.com/jobs/view/4370498445")</f>
        <v/>
      </c>
      <c r="F129">
        <f>HYPERLINK("https://click.appcast.io/t/6JLnUhWOrRsdstG3y1K9I1G1hsrzMZMkRKiX39eEP_I=&amp;urlHash=C3R1", "https://click.appcast.io/t/6JLnUhWOrRsdstG3y1K9I1G1hsrzMZMkRKiX39eEP_I=&amp;urlHash=C3R1")</f>
        <v/>
      </c>
      <c r="G129" t="inlineStr">
        <is>
          <t>Lansing, MI</t>
        </is>
      </c>
      <c r="H129" t="inlineStr"/>
      <c r="I129" t="inlineStr">
        <is>
          <t>job summary:
 The position is responsible for providing ongoing maintenance and support of the Michigan Disease Surveillance System (MDSS). MDSS is a complex application that supports communicable disease surveillance, registries, and case management systems that are critical to supporting effective responses to public health emergencies and reducing the burden of communicable diseases. MDSS is going through modernization to enhance stability and functionality of the system. With phase 1 already completed. The resource is integral to developing and maintaining and enhancing MDHHS' MDSS phase 1\. Making sure automated processes are funtioning, streamlining critical business processes, data integrity, SEM/SUITE compliance, and securing the application
 location: Lansing, Michigan
 job type: Contract
 salary: $58\.76 \- 68\.76 per hour
 work hours: 8am to 5pm
 education: Bachelors
 responsibilities: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qualifications:
* 12\+ years developing complex database systems.
* 8\+ years Databricks.
* 8\+ years using Elastic search, Kibanna.
* 8\+ years using Python/Scala.
* 8\+ years Oracle.
* 5\+ years experience with Extract, Transform, and Load (ETL) processes and developing Data Pipelines.
* 5\+ years experience with AWS.
* Over 5\+ years experience with data warehousing, data visualization Tools, data integrity .
* Over 5\+ years using CMM/CMMI Level 3 methods and practices.
* Over 5\+ years implemented agile development processes including test driven development.
* Over 3\+ years Experience or Knowledge on creating CI/CD pipelines using Azure Devops\- Nice to have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30">
      <c r="A130" t="inlineStr">
        <is>
          <t>li-4370486723</t>
        </is>
      </c>
      <c r="B130" t="inlineStr">
        <is>
          <t>Senior Data Engineer (W2 position only)</t>
        </is>
      </c>
      <c r="C130" t="inlineStr">
        <is>
          <t>Jobs via Dice</t>
        </is>
      </c>
      <c r="D130" t="inlineStr">
        <is>
          <t>linkedin</t>
        </is>
      </c>
      <c r="E130">
        <f>HYPERLINK("https://www.linkedin.com/jobs/view/4370486723", "https://www.linkedin.com/jobs/view/4370486723")</f>
        <v/>
      </c>
      <c r="F130" t="inlineStr"/>
      <c r="G130" t="inlineStr"/>
      <c r="H130" t="inlineStr"/>
      <c r="I130" t="inlineStr">
        <is>
          <t>Dice is the leading career destination for tech experts at every stage of their careers. Our client, Teknosys Inc, is seeking the following. Apply via Dice today!
 Greetings!
 We are looking for Senior Data Engineer position.
 Please find the Job description as below:
 Workstyle: Remote
**NOTE** 
 : Candidate must be on Teknosys W2 only.
**Experience: 10 \+ (Candidate must have at least 10\+ years of relevant experience)**
**Key Responsibilities:**
* 
+ Develop ETL solutions and dedicated SQL pools for extraction, transformation and aggregation.
+ Analyze the source system and design the ETL data load.
+ Create pipelines using Linked Services/Datasets/Pipeline to Extract, Transform and Load data from different sources like Salesforce.
+ Must have experience with Python, Data modeling aND SQL
+ Perform needed monitoring, troubleshooting, and maintenance of the data architecture and pipelines.
+ Collaborate with data engineers, analysts, and stakeholders to gather requirements, design visualizations, and provide training to use self\-service BI Tools.
**Key Skills:** 
 Python, SQL, Data integration and implementation, Data modelling ,ETL Pipelines,
 **Power BI** 
 , and cloud platforms like
 **Azure and AWS** 
 .
 Kindly share updated resume in word format and LinkedIn profile link if interested.
 Regards
 Shruti K
 IT Recruiter / HR \- Teknosys, Inc</t>
        </is>
      </c>
    </row>
    <row r="131">
      <c r="A131" t="inlineStr">
        <is>
          <t>li-4370484714</t>
        </is>
      </c>
      <c r="B131" t="inlineStr">
        <is>
          <t>Google Cloud Platform Data Engineer in Irving, TX || Onsite || Hybrid</t>
        </is>
      </c>
      <c r="C131" t="inlineStr">
        <is>
          <t>Jobs via Dice</t>
        </is>
      </c>
      <c r="D131" t="inlineStr">
        <is>
          <t>linkedin</t>
        </is>
      </c>
      <c r="E131">
        <f>HYPERLINK("https://www.linkedin.com/jobs/view/4370484714", "https://www.linkedin.com/jobs/view/4370484714")</f>
        <v/>
      </c>
      <c r="F131" t="inlineStr"/>
      <c r="G131" t="inlineStr">
        <is>
          <t>Irving, TX</t>
        </is>
      </c>
      <c r="H131" t="inlineStr"/>
      <c r="I131" t="inlineStr">
        <is>
          <t>Dice is the leading career destination for tech experts at every stage of their careers. Our client, Exatech Inc, is seeking the following. Apply via Dice today!
 10\+ years of experience in Data Engineering, with at least 3 years in Google Cloud Platform.
 Strong hands\-on experience in Python, Pyspark, and complex SQL.
 Solid knowledge of Google Cloud Platform services: BigQuery, Dataflow, Cloud Storage, Pub/Sub, Composer, and Dataproc.
 Familiarity with CI/CD, Git, and DevOps practices in cloud data environments.
 Strong analytical, troubleshooting, and communication skills.</t>
        </is>
      </c>
    </row>
    <row r="132">
      <c r="A132" t="inlineStr">
        <is>
          <t>li-4370499043</t>
        </is>
      </c>
      <c r="B132" t="inlineStr">
        <is>
          <t>Data Engineer, Operations Digital Decision Science</t>
        </is>
      </c>
      <c r="C132" t="inlineStr">
        <is>
          <t>Delta Air Lines</t>
        </is>
      </c>
      <c r="D132" t="inlineStr">
        <is>
          <t>linkedin</t>
        </is>
      </c>
      <c r="E132">
        <f>HYPERLINK("https://www.linkedin.com/jobs/view/4370499043", "https://www.linkedin.com/jobs/view/4370499043")</f>
        <v/>
      </c>
      <c r="F132">
        <f>HYPERLINK("https://delta.avature.net/careers/JobDetail?jobId=31328&amp;urlHash=b6Uv", "https://delta.avature.net/careers/JobDetail?jobId=31328&amp;urlHash=b6Uv")</f>
        <v/>
      </c>
      <c r="G132" t="inlineStr">
        <is>
          <t>Atlanta, GA</t>
        </is>
      </c>
      <c r="H132" t="inlineStr"/>
      <c r="I132"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Ops Digital \&amp; Decision Science (ODDS) at Delta drives the development and execution of a unified digital tools strategy that supports operational excellence. We collaborate across the enterprise to deliver innovative, data\-driven, and AI\-powered solutions that enhance decision\-making and uphold Delta’s reputation for industry\-leading reliability. Our work is grounded in partnership, transparency, and a shared commitment to operational innovation.
 The ODDS’s Data Engineering Team is seeking a Data Engineer to lead the development of data products and infrastructure that support decision science solutions across Delta’s operations. In this role, you will work closely with data scientists and engineers to design and build batch and near real\-time data pipelines, analytical data assets, and scalable systems that drive performance improvements and enhance operational decision\-making across the airline.
 This opportunity is ideal for a candidate with a strong engineering foundation and an analytical mindset. The ideal individual excels in stakeholder communication, demonstrates a passion for integrating data from diverse sources, and is skilled at transforming complex data into actionable insights while optimizing large\-scale systems in a dynamic, high\-impact environment.
**Primary Functions**
* Design and implement data engineering solutions by leveraging emerging technologies to efficiently locate, extract, and transform data from diverse sources for reporting, analysis, and statistical modeling—driving continuous business improvement.
* Execute unit tests and validate outcomes to ensure the accuracy and integrity of data and applications through comprehensive data validation, in\-depth analysis, and precise coding practices.
* Apply Agile methodologies to effectively manage projects, utilizing Generative AI tools to craft high\-quality user stories and features that align with business objectives and enhance team productivity.
* Collaborate cross\-functionally with engineers, product managers, and data scientists to assess data requirements and communicate key insights through meaningful, visually compelling representations.
* Promote a safety\-conscious work environment that prioritizes employee well\-being and operational safety.
**What You Need To Succeed (Minimum Qualifications)**
* 2\+ years of experience with SQL, ETL processes, data modeling, and proficiency in at least one programming language such as Python, C\+\+, C\#, Scala, or a similar language.
* 2\+ years of professional experience in information technology, specializing in software development.
* 2\+ years of experience in roles primarily focused on working with data, including positions such as data analyst, data scientist, data engineer, or similar.
* Excellent written, verbal, and interpersonal communication skills.
* Strong project management, organizational, and prioritization capabilities.
* Ability to collaborate effectively across all levels within Operations Analysis \&amp; Performance, OCC, cross\-functional teams, and external stakeholders.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in computer science or in a related STEM field (master's degree preferred).
* Hands\-on experience with AWS technologies, including RDS, DynamoDB, S3, AWS Glue, Lambda, Step Functions, SageMaker, Bedrock, CDK, and IAM roles and permissions.
* Proficient in consuming and integrating APIs to enable data exchange and enhance application functionality.
* Familiarity with real\-time data processing and streaming technologies (e.g., Apache Kafka, Kinesis).
* Familiarity with relational and cloud\-based database systems such as Amazon Redshift, Microsoft SQL Server, Oracle, DB2, Aurora PostgreSQL, and Teradata.
* Proficient in utilizing Generative AI tools and AI\-powered coding assistants to boost development productivity and improve code quality.
* Familiarity with modern development paradigms and platforms, including Azure, AWS, GCP, microservices architecture, RESTful web services, containers, and cloud\-native technologies.
* Practical experience with Continuous Integration/Continuous Delivery (CI/CD) methodologies in Agile development environments.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2026-02-10T04:25:52Z</dcterms:created>
  <dcterms:modified xsi:type="dcterms:W3CDTF">2026-02-10T04:25:52Z</dcterms:modified>
</cp:coreProperties>
</file>