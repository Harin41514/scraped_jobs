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in-d0d6e00980d7eebb</t>
        </is>
      </c>
      <c r="B2" t="inlineStr">
        <is>
          <t>Program Manager - Grants Planning &amp; Development</t>
        </is>
      </c>
      <c r="C2" t="inlineStr">
        <is>
          <t>Access Community Health Network</t>
        </is>
      </c>
      <c r="D2" t="inlineStr">
        <is>
          <t>indeed</t>
        </is>
      </c>
      <c r="E2" t="inlineStr"/>
      <c r="F2" t="inlineStr"/>
      <c r="G2" t="inlineStr">
        <is>
          <t>Chicago, IL, US</t>
        </is>
      </c>
      <c r="H2" s="2" t="n">
        <v>46053</v>
      </c>
      <c r="I2" t="inlineStr">
        <is>
          <t>We are an equal opportunity employer. All qualified applicants will receive consideration for employment. We do not discriminate for any reason. We welcome talented individuals who believe in our mission, drive the organization forward, and recognize the positive impact they can bring to our communities.
Who We Are
If you want to work for a mission\-driven organization that’s impacting community health care both on a local and national level, then Access Community Health Network (ACCESS) may be the perfect place for you. As a nationally recognized leader in community health, we continue to innovate and improve our integrated care model to address the total health and wellness of our patients. Our dedicated staff are committed to advancing health equity and making a long\-term impact on the health outcomes of the more than 150,000 patients that count on ACCESS as their medical home each year.
Position Summary
The Program Manager, Grants Planning and Development, leads planning activities in line with organizational strategies, goals and objectives to further the mission of ACCESS and garner private and government funding. The position works with physicians, staff, and community partners to plan and implement new programs that respond to the unmet health care needs of our patients and their communities. The Planning and Development department is responsible for raising 15\-20 percent of the organization’s budget annually through public and private sources.
Core Job Responsibilities
* Develop relationships to support ACCESS’ priorities and service delivery. Represent ACCESS in planning forums with other organizations (e.g. at community or funder meetings). This includes establishing and maintaining organizational relationships with funders.
* Research, analyze and present community, health center, and financial data to support planning activities.
* Identify and evaluate government and private funders and funding opportunities for their strategic, financial, and programmatic value.
* Develop funding applications and related planning materials that advance organizational strategies and programming with an understanding of funders’/partners’/communities’ priorities.
* Coordinate implementation activities to ensure program deliverables and objectives are met.
* Orient appropriate staff to grant aims, goals and deliverables upon grant award.
* Monitor and report progress towards program goals and budgets.
* Troubleshoot problem areas and suggest solutions for the successful implementation of grant\-funded programs.
* Develop, monitor, and revise grant and operational budgets in partnership with Finance and Program Managers; ensure alignment with internal and external guidelines.
Requirements
* Bachelor’s degree
* Minimum of five (5\) years’ experience in program development and/or grant writing or grant making, program planning and implementation
* Experience writing successful program and/or research grant applications with thorough attention to detail
* Experience developing grant program budgets
* Advanced proficiency in Microsoft Office, including Word, Excel, Outlook and PowerPoint
Preferred Qualifications
* Master’s Degree
* Experience working in Federally Qualified Health Center (FQHC)
* Bilingual English/Spanish
Benefits
* Tuition reimbursement and student loan forgiveness programs for qualifying individuals
* Comprehensive healthcare coverage including Medical, Dental, and Vision
* Generous PTO after introduction period
* 403(B) retirement plan and financial resources to help you save and plan for your retirement
* Life Insurance
* Opportunity to participate in cross\-departmental committees to innovate and transform our care delivery model and our workplace
ACCESS is a Network of Federally Qualified Health Centers treating patients on the frontlines of community\-based health care. Depending on position applied/being recruited for, candidates may be required to be vaccinated against communicable diseases and provide supporting documentation proving that they are properly vaccinated, or apply for religious and/or medical vaccination exemption as a part of the application process.
The pay ranges provided represent the minimum to mid\-range for positions. Actual compensation will be determined based on a combination of factors including years of experience, educational background, market conditions, and available grant funding.</t>
        </is>
      </c>
    </row>
    <row r="3">
      <c r="A3" t="inlineStr">
        <is>
          <t>in-088896174264764d</t>
        </is>
      </c>
      <c r="B3" t="inlineStr">
        <is>
          <t>Product Manager Data and AI</t>
        </is>
      </c>
      <c r="C3" t="inlineStr">
        <is>
          <t>JPMorganChase</t>
        </is>
      </c>
      <c r="D3" t="inlineStr">
        <is>
          <t>indeed</t>
        </is>
      </c>
      <c r="E3" t="inlineStr"/>
      <c r="F3" t="inlineStr"/>
      <c r="G3" t="inlineStr">
        <is>
          <t>New York, NY, US</t>
        </is>
      </c>
      <c r="H3" s="2" t="n">
        <v>46053</v>
      </c>
      <c r="I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Data and AI Product Manager focusing on Knowledge Management, you are an integral part of the Chief Data \&amp; Analytics Office that innovates new solutions for the firm's AI use cases. You will build platform products to leverage the firm's incredibly rich proprietary data assets and enable RAG, while collaborating with product leaders, data scientists and engineers across lines of businesses. As a core leader, you are responsible for acting as the voice of the customer and developing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Drive the product vision and strategy of enterprise Knowledge Management, enabling RAG and agentic workflows across unstructured data
* Partner closely with all lines of business to identify, prioritize and solution key AI and data use cases
* Drive the end\-to\-end product management lifecycle, including integration of data sources – from requirements gathering, prioritization, solutioning, writing clear PRDs and partnering with designers and engineers on execution
* Own, maintain, and develop a product backlog to support the overall strategic roadmap and value proposition
* Work with client engagement and product marketing teams to refine product positioning and messaging
* Draft communication materials for stakeholder discussions at varying levels of seniority and technicality
* Stay at the forefront of what’s possible with AI and RAG, especially industry developments
**Required qualifications, capabilities, and skills**
* 5\+ years of experience or equivalent expertise in AI and data platform product management or a relevant domain area
* Advanced knowledge of the product development lifecycle, design, and data analytics
* Track record of leading product management lifecycle activities including discovery, ideation, strategic development, requirements definition, and value management
* Strong ability to communicate complex technical materials to technical and non\-technical stakeholders, in both written and verbal forms
* Excellent ability to collaborate with senior stakeholders and technical leads
* Organized with a great sense of ownership and accountability
* Bachelor’s or Master’s degree in Machine Learning or Computer Science
**Preferred qualifications, capabilities, and skills**
* Demonstrated prior experience working in a highly matrixed, complex organization
* Technical expertise in retrieval\-augmented generation and advanced RAG, such as GraphRAG and search
* Prior engineering experience, with skills in Python programming and SQL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
      <c r="A4" t="inlineStr">
        <is>
          <t>in-1b46005e5ce3716f</t>
        </is>
      </c>
      <c r="B4" t="inlineStr">
        <is>
          <t>Digital Markets CRM - Product Manager - Vice President</t>
        </is>
      </c>
      <c r="C4" t="inlineStr">
        <is>
          <t>JPMorganChase</t>
        </is>
      </c>
      <c r="D4" t="inlineStr">
        <is>
          <t>indeed</t>
        </is>
      </c>
      <c r="E4" t="inlineStr"/>
      <c r="F4" t="inlineStr"/>
      <c r="G4" t="inlineStr">
        <is>
          <t>New York, NY, US</t>
        </is>
      </c>
      <c r="H4" s="2" t="n">
        <v>46053</v>
      </c>
      <c r="I4" t="inlineStr">
        <is>
          <t>**JOB DESCRIPTION**  
If you are a driven and experienced Product Manager with a passion for CRM and the Markets business, we are looking for you. JP Morgan is seeking a Vice President to lead the build\-out of our CRM product within Digital Markets. In this pivotal role, you will thrive in a dynamic, collaborative environment that values diversity and inclusion, while shaping the future of CRM platforms for our Markets business.
**Job summary:**
As a Vice President in Digital Markets, you will be at the forefront of shaping the CRM Platform that underpins our Markets business. In this role, you will define and deliver the essential building blocks of our CRM solution, ensuring it is purpose\-built to support the complex workflows and dynamic requirements of digital market sales.
You will be responsible for architecting CRM workflows that drive sales productivity, client engagement, and operational efficiency across the Markets organization. This includes designing and optimizing processes for lead management, opportunity tracking, client onboarding, sales pipeline visibility, and post\-trade client servicing. Your work will ensure that sales teams have the tools and insights they need to build strong client relationships, respond quickly to market opportunities, and deliver exceptional service.
You will collaborate closely with sales, trading, technology, and operations teams to capture business requirements and translate them into scalable CRM features. By leveraging data, automation, and AI\-driven insights, you will enable seamless integration of CRM workflows with other digital platforms, ensuring a unified experience for users. Your leadership will be instrumental in driving adoption, continuous improvement, and innovation within the CRM ecosystem, positioning JP Morgan as a leader in digital market sales.
**Job responsibilities:**
* **Workflow Design:** Develop and refine CRM workflows for lead generation, sales pipeline management, client onboarding, and post\-trade support, tailored to the unique needs of digital market sales teams.
* **Sales Enablement:** Ensure the CRM platform empowers sales teams with real\-time data, actionable insights, and automated processes to maximize efficiency and client impact.
* **Integration:** Architect seamless integration between CRM and other digital platforms, such as trading systems, analytics tools, and client portals, to provide a holistic view of client interactions and sales activities.
* **User Experience:** Champion intuitive, user\-centric design that simplifies complex sales processes and enhances productivity for front\-office teams.
* **Continuous Improvement:** Establish feedback loops with users to identify pain points, prioritize enhancements, and drive ongoing optimization of CRM workflows.
* **Innovation:** Incorporate AI, machine learning, and automation to streamline repetitive tasks, surface opportunities, and deliver predictive insights that support proactive sales strategies.
**Required qualifications, capabilities, and skills:**
* 5\+ years of experience in Product Management, with a strong track record of delivering successful products.
* In\-depth understanding of the Markets business.
* Strong technical abilities, with experience in defining and delivering core platform components.
* Proven ability to manage complex projects and deliver results in a fast\-paced environment.
* Excellent communication and collaboration skills, with the ability to work effectively with cross\-functional teams.
* Strategic thinker with a customer\-centric approach to product development.
**Preferred qualifications, capabilities, and skills:**
* Experience in CRM systems.
* Familiarity with AI/LLM frameworks and mobile product development.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5">
      <c r="A5" t="inlineStr">
        <is>
          <t>in-cafe54027bf7d1ae</t>
        </is>
      </c>
      <c r="B5" t="inlineStr">
        <is>
          <t>Product Manager - Machine Learning &amp; Intelligence Operations</t>
        </is>
      </c>
      <c r="C5" t="inlineStr">
        <is>
          <t>JPMorganChase</t>
        </is>
      </c>
      <c r="D5" t="inlineStr">
        <is>
          <t>indeed</t>
        </is>
      </c>
      <c r="E5" t="inlineStr"/>
      <c r="F5" t="inlineStr"/>
      <c r="G5" t="inlineStr">
        <is>
          <t>Columbus, OH, US</t>
        </is>
      </c>
      <c r="H5" s="2" t="n">
        <v>46053</v>
      </c>
      <c r="I5" t="inlineStr">
        <is>
          <t>**JOB DESCRIPTION**  
We are seeking for a talented and highly motivated leader to join the Machine Learning \&amp; Intelligent Operations (MLIO) team as Vice President, Product Manager. This role will spearhead transcription and conversational insights initiatives for the bank. The MLIO team is dedicated to developing innovative solutions using AI, machine learning, and a design\-thinking approach to significantly enhance both customer and employee experiences.
As a Product Manager with Machine Learning \&amp; Intelligence Operations, you will define the strategy for your product, design, and execute on the product roadmap while embracing Agile methodology and best practices. You will lead cross\-functional teams comprising technologists, data scientists, researchers, designers, and analytics members to modernize the service experience for tens of millions of customers. Your relentless focus on the customer and employee experience will help establish the team’s priorities to maximize the value of the product and the work of the modeling and development teams.
**Job Responsibilities:**
* Define the product strategy, roadmap, prioritization, and backlog for machine learning applications.
* Analyze contact volumes and customer journey/friction points across various channels to drive product feature prioritization.
* Lead agile product teams that include product managers, data scientists, machine learning engineers, and data analytics members.
* Manage existing product features and actively lead the research, definition, and development of new features to advance the product roadmap and performance.
* Maximize product value delivered through backlog creation, management, and prioritization of epics and user stories.
* Partner with user research and business/operations teams to analyze and ideate customer experience, behavior, and improvement opportunities.
* Prioritize strategies and solutions to enhance self\-service utilization and reduce customer contact volume.
* Collaborate with Controls/Risk, Audit, Compliance, Data \&amp; Model Governance, and Technology to ensure readiness to deliver on the product roadmap.
* Stay abreast of industry trends, emerging technologies, and best practices in AI and machine learning to continuously improve product offerings.
Foster a culture of innovation, collaboration, and continuous improvement within the team.  
* 
**Required Qualifications, Capabilities, and Skills:**
* 6\+ years of experience in Technical Product Management, ideally with AI/ML\-related products.
* Proven experience leading multi\-disciplinary teams in a large, matrixed organization and fast\-paced agile development environment.
* Demonstrated ability to make strategic decisions while candidly challenging the status quo to drive the right employee and customer outcomes.
* Applied experience in a variety of AI and machine learning techniques and technologies.
* Strong technical acumen: ability to independently manage large and complex relationships with internal technology partners.
* Ability to harness data and the power of analytics and customer insights for comprehensive strategy planning.
* Excellent communicator with the ability to fluidly interact with senior leaders, key stakeholders, employees, and third\-party vendors.
* Preferred: Experience working in or with customer service operations.
* Strong problem\-solving skills and the ability to think creatively and strategically.
Experience with cloud\-based AI/ML platforms and tools is a plus.  
* 
**Preferred Qualifications, Capabilities, and Skills:**
* Advanced degree in Computer Science, Engineering, Data Science, or a related field is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6">
      <c r="A6" t="inlineStr">
        <is>
          <t>in-01d5de865bbfcc2f</t>
        </is>
      </c>
      <c r="B6" t="inlineStr">
        <is>
          <t>Digital Markets Sales Applied AI and Insights - Product Manager - Executive Director</t>
        </is>
      </c>
      <c r="C6" t="inlineStr">
        <is>
          <t>JPMorganChase</t>
        </is>
      </c>
      <c r="D6" t="inlineStr">
        <is>
          <t>indeed</t>
        </is>
      </c>
      <c r="E6" t="inlineStr"/>
      <c r="F6" t="inlineStr"/>
      <c r="G6" t="inlineStr">
        <is>
          <t>New York, NY, US</t>
        </is>
      </c>
      <c r="H6" s="2" t="n">
        <v>46053</v>
      </c>
      <c r="I6" t="inlineStr">
        <is>
          <t>**JOB DESCRIPTION**  
The Corporate \&amp; Investment Bank is a global leader in investment banking, wholesale payments, markets, and securities services. Trusted by the world’s most important corporations, governments, and institutions, we operate in more than 100 countries. Our teams provide strategic advice, raise capital, manage risk, and extend liquidity across global markets.
The Digital team is committed to developing innovative, industry\-leading products and experiences that empower customers to access, share, and control their financial data—enabling smarter financial decisions. We foster innovation while upholding the firm’s core principles of security, customer control, convenience, and privacy.
**Job Description**
Are you passionate about shaping the future of product innovation? As a senior leader, you will drive value for sales, guide successful product launches, and consistently exceed expectations. Join our high\-performing Digital Sales Products Team and make a meaningful impact by delivering high\-quality products that transform the way we do business within Markets.
As a Product Manager – Sales Applied AI \&amp; Insights Executive Director – in Digital Sales, you will play a pivotal role in leveraging emerging technologies such as GenAI to create unique products and actionable insights. You will serve as the voice of sales, influencing the development of cutting\-edge products by the Applied AI team. Your responsibilities include driving user engagement, connecting with users and stakeholders to ensure adoption, mapping feedback to product enhancements, and proactively identifying key features to further advance our products.
**Job responsibilities:**
* Define and articulate a compelling product vision and strategy, establishing a clear roadmap
* Develop user journey mapping and end\-to\-end requirements
* Drive compliance approvals and collaborate closely with Controls partners
* Own product adoption targets and maintain regular user engagement
* Collaborate with internal stakeholders to gather requirements, prioritize features, and serve as the liaison between sales business units and QR, Data Science, and Technology teams
* Partner with the Chief Data Office to ensure data assets are available and data quality issues are addressed
* Implement innovative, data\-driven insights using GenAI solutions
**Required qualifications, capabilities, and skills:**
* Extensive experience in product management or a relevant domain
* Extensive understanding of Financial Services and its various Lines of Business
* Extensive knowledge of the product development lifecycle, design, and data analytics
* Proven ability to lead product lifecycle activities, including discovery, ideation, strategic development, requirements definition, and value management
* Experience leveraging data assets to generate unique insights
* Proficiency in cloud computing and architecture, ML platform processes, and tools spanning data ingestion, engineering, quality, orchestration, infrastructure, usage/consumption, and data privacy/governance
* Experience with the ML development lifecycle (MDLC), including annotation, model training, serving, scoring, pre/post\-processing, productionization, and feedback capture
* Excellent leadership, communication, and interpersonal skills
* Strong data analysis skills and familiarity with relevant tools and technologies
* Experience in leading teams
**Preferred qualifications, capabilities, and skills**
* Prior experience working in a highly matrixed, complex organization
* Thorough understanding of machine learning and approaches to building a business development plan
* Demonstrated ability to market products and collaborate with customers, stakeholders, and all levels of management
* Ability to explain machine learning governance effectively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
      <c r="A7" t="inlineStr">
        <is>
          <t>in-207926003119becc</t>
        </is>
      </c>
      <c r="B7" t="inlineStr">
        <is>
          <t>eCommerce, Product Manager-Payments-Vice President</t>
        </is>
      </c>
      <c r="C7" t="inlineStr">
        <is>
          <t>JPMorganChase</t>
        </is>
      </c>
      <c r="D7" t="inlineStr">
        <is>
          <t>indeed</t>
        </is>
      </c>
      <c r="E7" t="inlineStr"/>
      <c r="F7" t="inlineStr"/>
      <c r="G7" t="inlineStr">
        <is>
          <t>Brooklyn, NY, US</t>
        </is>
      </c>
      <c r="H7" s="2" t="n">
        <v>46053</v>
      </c>
      <c r="I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Merchant Services, eCommerce Payments Products and Solutions,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or a relevant domain area
* 3\+ years of experience in the payment space; Payment networks, Issuer, ISV, Payfac or other relevant experience
* Advanced knowledge of the product development life cycle, design, and data analytics
* Proven ability to lead product life cycle activities including discovery, ideation, strategic development, requirements definition, and value management
* Experience navigating governance processes and managing diverse stakeholder groups
**Preferred qualifications, capabilities, and skills**
* Demonstrated prior experience working in a highly matrixed, complex organization
* Familiarity with software product development life cycle
* Familiarity with payments, merchant services, merchant acquiring, payment processing, and fintech payments products
* Experience in strategy consulting a plus
* MBA degree a plus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8">
      <c r="A8" t="inlineStr">
        <is>
          <t>in-556b80f630d9e6d8</t>
        </is>
      </c>
      <c r="B8" t="inlineStr">
        <is>
          <t>Public Sector Product Manager - Vice President</t>
        </is>
      </c>
      <c r="C8" t="inlineStr">
        <is>
          <t>JPMorganChase</t>
        </is>
      </c>
      <c r="D8" t="inlineStr">
        <is>
          <t>indeed</t>
        </is>
      </c>
      <c r="E8" t="inlineStr"/>
      <c r="F8" t="inlineStr"/>
      <c r="G8" t="inlineStr">
        <is>
          <t>Jersey City, NJ, US</t>
        </is>
      </c>
      <c r="H8" s="2" t="n">
        <v>46053</v>
      </c>
      <c r="I8" t="inlineStr">
        <is>
          <t>**JOB DESCRIPTION**  
Are you ready to transform how payments disbursements, operations, and controls are developed and delivered in the public sector? As a Product Delivery Lead in our Commercial \&amp; Investment Bank Payments Team, you will leverage your problem\-solving skills to thrive in a fast\-paced environment and drive customer\-centric strategies. As a leader in delivery, you will collaborate closely with Technology, Operations, Legal \&amp; Contracts, and Risk \&amp; Control teams to deliver tailor\-made product solutions that meet clients’ needs.
As a Product Manager in the North America Public Sector Product Team, you are an integral part of a team that defines and configures complex solutions for key client relationships. You are responsible for acting as the voice of the customer by understanding their needs and communicating feedback to cross\-functional teams leveraging your knowledge of treasury, payments and Public Sector products and solutions.
**Job Responsibilities**
* Develops a product strategy and product vision that delivers value to Federal Government customers.
* Manages discovery efforts and market research to uncover customer solutions and integrate them into the product roadmap.
* Owns, maintains, and develops an agile product backlog that enables development to support the overall strategic roadmap and value proposition.
* Partner with 3rd party vendors / partners to enhance product offering.
* Work with both North America and Global Public Sector teams to replicate best practices and across several client scenarios and solutions to drive stickiness.
* Collaborate with cross\-functional teams including Technology, Design, Operations, Legal \&amp; Contracts, Risk \&amp; Controls to integrate high\-value experiences into product development processes, ensuring seamless and customer\-centric solutions.
* Articulate and present product strategies and decisions to leadership, clearly communicating the value and impact of our solutions.
**Required Qualifications, Capabilities, and Skills**
* 5\+ years of relevant work experience, with a focus on complex business processes in banking or similar industries, including experience in public sector challenges.
* This role supports US Federal government contracts that require, U.S. citizenship or lawful permanent status
* Proven ability to lead and structure agile delivery, ensuring high\-quality execution.
* Experience in assessing the impact of business value and product strategy to drive successful organizational outcomes.
* Demonstrated ability to understand and work effectively with engineering teams particularly within public sector and regulated environments.
* Bachelor’s Degree or deep relevant work experience.
**Preferred Qualifications, Capabilities, and Skills**
* Experience in designing for financial services, insurance, payments, and government solutions, with a focus on public sector challenges, is a plus.
**A Government Security Clearance may be required for this position. This includes, but is not limited to:**
* Fingerprints
* Credit Check
* Employment History
* Tax Filing History (possibly)
* References (possibly)
* Proof of U.S. Legal Permanent Residence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
      <c r="A9" t="inlineStr">
        <is>
          <t>in-bdd53ddc82ef89ce</t>
        </is>
      </c>
      <c r="B9" t="inlineStr">
        <is>
          <t>Consumer &amp; Community Bank Finance Integration – Financial Control Program Manager – Vice President</t>
        </is>
      </c>
      <c r="C9" t="inlineStr">
        <is>
          <t>JPMorganChase</t>
        </is>
      </c>
      <c r="D9" t="inlineStr">
        <is>
          <t>indeed</t>
        </is>
      </c>
      <c r="E9" t="inlineStr"/>
      <c r="F9" t="inlineStr"/>
      <c r="G9" t="inlineStr">
        <is>
          <t>Newark, DE, US</t>
        </is>
      </c>
      <c r="H9" s="2" t="n">
        <v>46053</v>
      </c>
      <c r="I9" t="inlineStr">
        <is>
          <t>**JOB DESCRIPTION**  
Join JPMorgan Chase’s Consumer \&amp; Community Bank Finance Integration team! The Firmwide Financial Controllers organization ensures the accuracy, integrity, and timeliness of the Firm’s books and records, while providing essential reporting to both internal and external clients. Within this group, the Finance Integration Team manages the end\-to\-end change management agenda to prepare Controllers for new products and systems. Team activities include conducting impact assessments, defining business and technology requirements, creating testing strategies, supporting end\-to\-end testing, and documenting changes to establish new operating models. Due to the complexity of these initiatives, the team collaborates closely with stakeholders across the organization, including Controllers, Product, and Technology partners.
As a Financial Control Program Manager – Vice President within our Consumer \&amp; Community Bank Finance Integration team, you provide project management support for one or more Consumer \&amp; Community Bank Initiatives that are expected to span multiple years. The initiatives involve extensive finance integration to support new consumer products or new banking systems.
**Job responsibilities:**
* Act as lead project manager. Define, manage and execute project deliverables, including business requirements, testing, operating model assessments, and post implementation evaluation.
* Provide management direction and support to junior project manager associates and other project team specialists.
* Ensure tracking and remediation of project risks and issues, escalating issues and roadblocks to senior managers and stakeholders as needed.
* Manage and partner with business/Finance on test strategies, test cases/scripts and raise and drive resolution of defects to arrive at Go/No Go decisions.
* Define and manage implementation events, monitor the project outcomes post go\-live, and escalate issues for remediation.
* Manage and lead project updates on various Steering Committees or working group forums, tailoring messages based on seniority of audience.
**Required qualifications, capabilities, and skills:**
* Bachelor’s degree
* 6 years in accounting within financial services; experience with project lifecycle and financial product integration
* Strong analytical skills with ability to draw conclusions from complex data, define solutions with a control mindset, and effectively communicate them to project stakeholders
* Strong team\-orientation, partnership, and leadership skills; experience working with and influencing key stakeholders in driving strategic decisions and preparing succinct presentations
* Highly disciplined, self\-motivated, delivery\-focused individual who can work in a high pressure \&amp; fast\-paced environment
* Ability to quickly learn and assimilate accounting, business, and technical knowledge
* Strong written and verbal communication skills, with ability to tailor messaging to various audiences
* Proficiency in MS Excel, MS PowerPoint, and MS Teams
**Preferred qualifications, capabilities, and skills:**
* Finance or Accounting degree preferred
* Alteryx is a plus
* Experience with executing project delivery discipline in a lead role, Agile discipline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0">
      <c r="A10" t="inlineStr">
        <is>
          <t>in-8fd00d8b8590b2ec</t>
        </is>
      </c>
      <c r="B10" t="inlineStr">
        <is>
          <t>Consumer &amp; Community Bank Finance Integration – Financial Control Program Manager – Senior Associate</t>
        </is>
      </c>
      <c r="C10" t="inlineStr">
        <is>
          <t>JPMorganChase</t>
        </is>
      </c>
      <c r="D10" t="inlineStr">
        <is>
          <t>indeed</t>
        </is>
      </c>
      <c r="E10" t="inlineStr"/>
      <c r="F10" t="inlineStr"/>
      <c r="G10" t="inlineStr">
        <is>
          <t>Newark, DE, US</t>
        </is>
      </c>
      <c r="H10" s="2" t="n">
        <v>46053</v>
      </c>
      <c r="I10" t="inlineStr">
        <is>
          <t>**JOB DESCRIPTION**  
Join JPMorgan Chase’s Consumer \&amp; Community Bank Finance Integration team! The Firmwide Financial Controllers organization ensures the accuracy, integrity, and timeliness of the Firm’s books and records, while providing essential reporting to both internal and external clients. Within this group, the Finance Integration Team manages the end\-to\-end change management agenda to prepare Controllers for new products and systems. Team activities include conducting impact assessments, defining business and technology requirements, creating testing strategies, supporting end\-to\-end testing, and documenting changes to establish new operating models. Due to the complexity of these initiatives, the team collaborates closely with stakeholders across the organization, including Controllers, Product, and Technology partners.
As a Financial Control Program Manager – Senior Associate within our Consumer \&amp; Community Bank Finance Integration team, you will provide project management support for one or more Consumer \&amp; Community Bank Initiatives that are expected to span multiple years. The initiatives involve extensive finance integration to support new consumer products or new banking systems.
**Job responsibilities:**
* Provide support to Lead Project Manager and project stakeholders in defining and executing project deliverables, including business requirements, testing, operating model assessments, and post implementation evaluation
* Support tracking and remediation of project risks and issues, escalating issues and roadblocks to managers and stakeholders as needed
* Manage and partner with business/Finance on test strategies, test cases/scripts and raise and drive resolution of defects
* Define and manage implementation events, monitor the project outcomes post go\-live, and remediate resulting issues
* Provide project updates on various forums, tailoring messages based on seniority of audience
**Required qualifications, capabilities, and skills:**
* Bachelor’s degree
* 4 years in accounting within financial services; experience with project lifecycle and financial product integration
* Strong analytical skills with ability to draw conclusions from complex data, define solutions with a control mindset, and effectively communicate them to project stakeholders
* Strong team\-orientation, partnership, and leadership skills; experience working with and influencing key stakeholders in driving strategic decisions and preparing succinct presentations
* Highly disciplined, self\-motivated, delivery\-focused individual who can work in a high pressure \&amp; fast\-paced environment
* Ability to quickly learn and assimilate accounting, business, and technical knowledge
* Strong written and verbal communication skills, with ability to tailor messaging to various audiences
* Proficiency in MS Excel, MS PowerPoint, and MS Teams
**Preferred qualifications, capabilities, and skills:**
* Finance or Accounting degree preferred
* Alteryx is a plus
* Experience with project delivery discipline, Agile discipline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
      <c r="A11" t="inlineStr">
        <is>
          <t>in-56dbb7905cff13be</t>
        </is>
      </c>
      <c r="B11" t="inlineStr">
        <is>
          <t>Principal Technical Program Manager- Executive Director Network Product Line</t>
        </is>
      </c>
      <c r="C11" t="inlineStr">
        <is>
          <t>JPMorganChase</t>
        </is>
      </c>
      <c r="D11" t="inlineStr">
        <is>
          <t>indeed</t>
        </is>
      </c>
      <c r="E11" t="inlineStr"/>
      <c r="F11" t="inlineStr"/>
      <c r="G11" t="inlineStr">
        <is>
          <t>Jersey City, NJ, US</t>
        </is>
      </c>
      <c r="H11" s="2" t="n">
        <v>46053</v>
      </c>
      <c r="I11" t="inlineStr">
        <is>
          <t>**JOB DESCRIPTION**  
Elevate your career by steering multi\-faceted tech programs, integrating innovative solutions for a dynamic impact across global operations.
As a Principal Technical Program Manager in Network Product Lines, you will lead complex, multi\-functional technology projects and programs that will impact experiences for multiple groups across the firm, including clients, employees, and stakeholders.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**Job responsibilities**
* Develop and implement strategic technical program plans, aligning with organizational goals and cross\-functional collaboration
* Oversee complex technology project and program execution, managing resources, budgets, and timelines while mitigating risks and addressing roadblocks
* Foster strong relationships with stakeholders, clients, and cross\-functional teams, providing direction and defining decision\-making procedures for beneficial outcomes
* Guide the selection and implementation of appropriate technologies, platforms and software tools leveraging advanced technical fluency
* Champion continuous improvement by identifying process optimization opportunities, incorporating best practices, and staying abreast of emerging technologies
**Required qualifications, capabilities, and skills**
* 7\+ years of experience or equivalent expertise in technical program management, leading complex technology projects and programs in large organizations
* Demonstrated proficiency in technical solutions, vendor product knowledge, managing vendor relations, and implementing solutions
* Understanding of large matrixes organizations
* Knowledge of Infrastructure Technologies\- Networking
* 5\+ years in leading/ managing teams of technical program managers
* Advanced analytical reasoning skills, applying critical thinking and problem\-solving techniques to break down business, technical, and operational objectives
* Proven ability in leading through change, managing dependencies, and controlling change in high\-pressure, shifting environments
* Advanced expertise in stakeholder management, establishing productive relationships, and driving beneficial outcomes aligned with firm objectives
**Preferred qualifications, capabilities, and skills**
* Excellent collaboration \&amp; leadership skills
* Understanding of Development Life Cycle for software and tooling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Infrastructure group is a team of innovators who love technology as much as you do. Together, you’ll use a disciplined, innovative and a business focused approach to develop a wide variety of high\-quality products and solutions. You’ll work in a stable, resilient and secure operating environment where you—and the products you deliver—will thrive.  
High Risk Roles (HRR) are sensitive roles within the technology organization that require high assurance of the integrity of staff by virtue of 1\) sensitive cybersecurity and technology functions they perform within systems or 2\) information they receive regarding sensitive cybersecurity or technology matters. Users in these roles are subject to enhanced pre\-hire screening which includes both criminal and credit background checks (as allowed by law). The enhanced screening will need to be successfully completed prior to commencing employment or assignment.</t>
        </is>
      </c>
    </row>
    <row r="12">
      <c r="A12" t="inlineStr">
        <is>
          <t>in-98ff701179b70626</t>
        </is>
      </c>
      <c r="B12" t="inlineStr">
        <is>
          <t>Product Manager - Open Source Developer Experience</t>
        </is>
      </c>
      <c r="C12" t="inlineStr">
        <is>
          <t>JPMorganChase</t>
        </is>
      </c>
      <c r="D12" t="inlineStr">
        <is>
          <t>indeed</t>
        </is>
      </c>
      <c r="E12" t="inlineStr"/>
      <c r="F12" t="inlineStr"/>
      <c r="G12" t="inlineStr">
        <is>
          <t>New York, NY, US</t>
        </is>
      </c>
      <c r="H12" s="2" t="n">
        <v>46053</v>
      </c>
      <c r="I12" t="inlineStr">
        <is>
          <t>**JOB DESCRIPTION**  
Open source is a critical component to the software development lifecycle (SDLC) at JPMorganChase. At JPMC we build with open source, engage with open source forums and communities, and contribute open source code to the upstream repositories of projects we consume.
As a Product Manager in the Office of CTO you are an integral part of the team that innovates new product offerings and leads the end\-to\-end life cycle that encompasses our open source software use at the firm. As a core leader, you are responsible for acting as the voice of the customer – in this case our developers, both internal and external, and developing platforms they use to consume and contribute to open source. Utilizing your deep understanding of how to get a product off the ground, you guide the successful launch of the products developers use, gather crucial feedback, and ensure top\-tier developer experiences. With a strong commitment to scalability, resiliency, and stability, you collaborate closely with cross\-functional teams to deliver high\-quality products that exceed our internal and external developer customers' expectations.
**Job Responsibilities**:
* Drive the execution and realization of the open source roadmap, both around how we consume open source and also how we make and accept contributions/ this work will be done with the Head of Open Source Governance and input from other senior leaders in the Office of CTO
* Identify, prioritize, and implement (with Python or in Tableau) open source consumption (inbound) and contribution (outbound) Key Performance Indicators, and other metrics
* Develop, implement, and help enforce policies, guidelines, controls, and control procedures related to both the firm's consumption of, and contribution to, open source
* Curate our open source foundation investment portfolio and maintain support strategies
* Serve our internal developer customers by fulfilling open source consultation requests
* Develop and maintain our product strategy and product vision that delivers value to customers
* Manage discovery efforts and market research to uncover customer solutions and integrate them into the product roadmap; owns, maintains, and develops a product backlog that enables development to support the overall strategic roadmap and value proposition
* Build the framework and track the product and processes success
* Be active and visible in the open source community; participate in and speak at open source, and more general developer conferences
**Required Qualifications, Skills and Capabilities**:
* 5\+ years of experience or equivalent expertise in product management or a relevant domain area
* Fluent in open source license, open source licensing terms; strong knowledge of fundamental concepts of open source intellectual property legal and licensing concepts; fluent in all things Git and GitHub, knowledge of Git is a must
* Understand the fundamentals of Software Bills of Materials, software supply chain, and software security
* Good organizational and prioritization skills, detail\-oriented, strong interpersonal and influencing skills
* Ability to foster partnerships across lines of business to achieve goals and quality results in high\-pressure, rapidly changing environment requiring flexibility and adaptability to changeable directives
* Excellent written/verbal communication and presentations skills targeting various stakeholders and senior management
* Advanced knowledge of the product development life cycle, design, and data analytics; proven ability to lead product life cycle activities including discovery, ideation, strategic development, requirements definition, and value management
**Preferred Qualifications, Skills and Capabilities**:
* Demonstrated prior experience working in a highly matrixed, complex organization
* Some experience coding or developing software or working with data\-processing languages or tools including Python, SQL, etc.
* Familiarity with contribution tooling, CI/CD tools, and GitHub
* Sufficient data engineering and Python development skills to help create and improve open source dashboards and reporting
* Comfortable working in and around the financial services industry a plus; prior experience working in a bank or similar institution strongly preferred, should understand what it means to work in a highly regulated industry
* Comfortable with the "working backwards" process, writing PR FAQs, Agile, Jira, Scrum experience
* Certified Information Systems Security Professional (CISSP) or similar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
      <c r="A13" t="inlineStr">
        <is>
          <t>in-b2a7dbcaab65a650</t>
        </is>
      </c>
      <c r="B13" t="inlineStr">
        <is>
          <t>Program Manager III - Florida Integrated Surgical Institute</t>
        </is>
      </c>
      <c r="C13" t="inlineStr">
        <is>
          <t>Cleveland Clinic</t>
        </is>
      </c>
      <c r="D13" t="inlineStr">
        <is>
          <t>indeed</t>
        </is>
      </c>
      <c r="E13" t="inlineStr"/>
      <c r="F13" t="inlineStr"/>
      <c r="G13" t="inlineStr">
        <is>
          <t>Weston, FL, US</t>
        </is>
      </c>
      <c r="H13" s="2" t="n">
        <v>46053</v>
      </c>
      <c r="I13" t="inlineStr">
        <is>
          <t>Join the Cleveland Clinic team down in sunny Florida where you will work alongside passionate caregivers and provide patient\-first healthcare. Here, you will receive endless support and appreciation while building a rewarding career with one of the most respected healthcare organizations in the world.  
Cleveland Clinic Florida is looking to add a Program Manager III to the team who will support the Florida Integrated Surgical Institute. Orthopaedics and Otolaryngology will be your primary responsibilities, but you will also work within Urology, Plastics, and Breast surgery. This essential role serves the Integrated Surgical Institute’s analytics and projects for all service lines. You will be the first point of contact for templates, budgeting, mitigation, and provider business planning. While there are no direct reports, this role requires strong leadership, communication, and collaboration skills to effectively align operations, support clinical workflows, and ensure high\-quality patient care across the regions.
 **A caregiver in this position works days****from 7:00AM – 5:00PM****, with occasional meetings which run until 6:00PM.**
A caregiver who excels in this role will:
* Develop, implement, manage and maintain operational systems and activities.
* Serve as a liaison with all levels of the organization and outside the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 Other duties as assigned.
Minimum qualifications for the ideal future caregiver include:
* Bachelor's Degree in Business Administration, Healthcare Administration or related field and five years of related experience
* OR Master’s Degree and four years of experience
* Strong presentation, communication and training skills
* Knowledge of statistical and financial analysis, primary research and business plan development
* Demonstrated team, leadership, organizational, financial management and problem\-solving skills
Preferred qualifications for the ideal future caregiver include:
* Master’s Degree in Healthcare Administration
* Analytics or administrative fellowship or residency background
* Related experience in a healthcare setting
**Physical Requirements:**
* Ability to communicate and exchange accurate information.
* Ability to perform work in a stationary position for extended periods.
* Ability to work with physical records or operate a computer or other office equipment.
* In some locations, ability to travel throughout the hospital system.
* In some locations ability to move up to 25 lbs.
**Personal Protective Equipment:**
* Follows Standard Precautions using personal protective equipment as required for procedures.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4">
      <c r="A14" t="inlineStr">
        <is>
          <t>in-c5eb254d6080cc1b</t>
        </is>
      </c>
      <c r="B14" t="inlineStr">
        <is>
          <t>Program Manager</t>
        </is>
      </c>
      <c r="C14" t="inlineStr">
        <is>
          <t>KVC Health Systems</t>
        </is>
      </c>
      <c r="D14" t="inlineStr">
        <is>
          <t>indeed</t>
        </is>
      </c>
      <c r="E14" t="inlineStr"/>
      <c r="F14" t="inlineStr"/>
      <c r="G14" t="inlineStr">
        <is>
          <t>Wichita, KS, US</t>
        </is>
      </c>
      <c r="H14" s="2" t="n">
        <v>46053</v>
      </c>
      <c r="I14" t="inlineStr">
        <is>
          <t>### **Program Manager – Camber Children’s Mental Health Hospital, Wichita, KS**
**Salary:** Starting at $52,000 annually (increases based on education \&amp; experience)
Are you a collaborative leader who is passionate about making a difference in the lives of children, youth, and families? Camber Children’s Mental Health in Wichita, KS is seeking a Program Manager I to join our team. In this vital role, you will provide engaging and inclusive leadership, develop and implement program enhancements, and ensure compliance with KVC/Camber policies, local licensing bodies, and accreditation programs.
#### **Why Join Camber?**
Camber gives children and families hope. As a Program Manager, you will play a key role in supporting our mission by leading teams, driving program improvements, and ensuring the highest standards of care and compliance.
#### **What You’ll Do**
* Provide engaging and inclusive leadership to program staff
* Develop, plan, and implement program enhancements
* Ensure compliance with KVC/Camber policies, local licensing bodies, and accreditation programs
* Foster a positive, collaborative, and mission\-driven work environment
#### **What We Offer**
* Starting Pay: $52,000 annually, increasing based on education and experience
* Comprehensive Benefits Package, including:
	+ Medical, Vision, and Free Dental Insurance
	+ Paid Parental Leave
	+ 403(b) Retirement Plan with Company Match
	+ Tuition Reimbursement
	+ Paid Time Off (PTO) Plan
#### **What We’re Looking For**
* **Education:** High school diploma required; Bachelor’s degree in Psychology, Sociology, Social Work/Services, Human Services, Education, Criminal Justice, Criminology, or a related field from an accredited college or university preferred
* **Licensure/Certification:** Valid Driver’s License and auto insurance
* **Experience:**
	+ Two or more years in a management role, or
	+ Four or more years of direct care experience in a residential and/or psychiatric hospital environment, or
	+ A combination of management and direct care experience totaling four or more years
#### **Who We Are**
Camber is a private, nonprofit organization and a subsidiary of KVC Health Systems. KVC Health Systems is the parent company of a family of nonprofit organizations working to make a difference in the lives of children, adults, and families.
CCMH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5">
      <c r="A15" t="inlineStr">
        <is>
          <t>in-d13b2567351f438b</t>
        </is>
      </c>
      <c r="B15" t="inlineStr">
        <is>
          <t>Customer Program Manager</t>
        </is>
      </c>
      <c r="C15" t="inlineStr">
        <is>
          <t>Atlassian</t>
        </is>
      </c>
      <c r="D15" t="inlineStr">
        <is>
          <t>indeed</t>
        </is>
      </c>
      <c r="E15" t="inlineStr"/>
      <c r="F15" t="inlineStr"/>
      <c r="G15" t="inlineStr">
        <is>
          <t>Salt Lake City, UT, US</t>
        </is>
      </c>
      <c r="H15" s="2" t="n">
        <v>46053</v>
      </c>
      <c r="I15" t="inlineStr">
        <is>
          <t>Overview:
DX is headquartered in Salt Lake City, Utah and is one of the fastest\-growing SaaS companies globally. We help engineering leaders build high\-performing, productive teams. DX collects millions of data points daily, powering insights into developer productivity and experience at companies like Pinterest, GitHub, BNY, Xero, and many more.
Our business has scaled profitably and grown rapidly—tripling annual recurring revenue in the last several years.
DX recently closed on its acquisition by Atlassian. By joining Atlassian, we will expand our resources, accelerate growth and R\&amp;D, and ultimately deliver greater impact to our customers
**Working at Atlassian**  
To help our teams work together effectively, this role is fully remote, but requires you to be located in Salt Lake City, Utah.
**Your future team**
As an associate on the Program Manager Services team, you will work directly with DX’s customers to coordinate the planning, execution, and analysis of their quarterly developer experience surveys. In addition, you will work closely with our Customer Success team to develop and strengthen relationships with executive stakeholders at customer accounts.
Responsibilities:
#### **What You’ll Do**
* Create and drive execution of detailed projects, working in collaboration with customer stakeholders
* Own communication with clients regularly to provide our recommendations and manage expectations
* Directly communicate with VP\+ level executive stakeholders at customer accounts
* Identify the needs of technology executives and prepare relevant analyses and reports to help inform decision\-making and provide clarity into the health of their engineering organization and actions required to improve
In partnership with our Customer Success and Product teams, you will also:
* Refine the strategies to deliver great value to customers through DX Program Manager services
* Recommend and contribute to process improvements to maximize accuracy and efficiency within the Program Manager Services offering
Qualifications:
* 1\-4 years experience in a customer facing role
* Prior experience in change management, consulting, business analytics, client services, project management, operations, etc
* Excellent verbal and written communication skills; comfort presenting to strategic stakeholders/leadership
* Highly organized and able to effectively manage a high volume of parallel projects at once
* Able to provide great, consistent service to clients who are sometimes assertive and demanding
* Self\-motivated, able to work effectively under deadlines without much supervision, excellent follow\-through
####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$109,800 \- $143,350
Zone B: $99,000 \- $129,250
Zone C: $91,800 \- $119,850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16">
      <c r="A16" t="inlineStr">
        <is>
          <t>in-5f96dd3ba630064d</t>
        </is>
      </c>
      <c r="B16" t="inlineStr">
        <is>
          <t>Customer Program Manager</t>
        </is>
      </c>
      <c r="C16" t="inlineStr">
        <is>
          <t>Atlassian</t>
        </is>
      </c>
      <c r="D16" t="inlineStr">
        <is>
          <t>indeed</t>
        </is>
      </c>
      <c r="E16" t="inlineStr"/>
      <c r="F16" t="inlineStr"/>
      <c r="G16" t="inlineStr">
        <is>
          <t>Salt Lake City, UT, US</t>
        </is>
      </c>
      <c r="H16" s="2" t="n">
        <v>46053</v>
      </c>
      <c r="I16" t="inlineStr">
        <is>
          <t>Overview:
DX is headquartered in Salt Lake City, Utah and is one of the fastest\-growing SaaS companies globally. We help engineering leaders build high\-performing, productive teams. DX collects millions of data points daily, powering insights into developer productivity and experience at companies like Pinterest, GitHub, BNY, Xero, and many more.
Our business has scaled profitably and grown rapidly—tripling annual recurring revenue in the last several years.
DX recently closed on its acquisition by Atlassian. By joining Atlassian, we will expand our resources, accelerate growth and R\&amp;D, and ultimately deliver greater impact to our customers
**Working at Atlassian**  
To help our teams work together effectively, this role is fully remote, but requires you to be located in Salt Lake City, Utah.
**Your future team**
As an associate on the Program Manager Services team, you will work directly with DX’s customers to coordinate the planning, execution, and analysis of their quarterly developer experience surveys. In addition, you will work closely with our Customer Success team to develop and strengthen relationships with executive stakeholders at customer accounts.
Responsibilities:
#### **What You’ll Do**
* Create and drive execution of detailed projects, working in collaboration with customer stakeholders
* Own communication with clients regularly to provide our recommendations and manage expectations
* Directly communicate with VP\+ level executive stakeholders at customer accounts
* Identify the needs of technology executives and prepare relevant analyses and reports to help inform decision\-making and provide clarity into the health of their engineering organization and actions required to improve
In partnership with our Customer Success and Product teams, you will also:
* Refine the strategies to deliver great value to customers through DX Program Manager services
* Recommend and contribute to process improvements to maximize accuracy and efficiency within the Program Manager Services offering
Qualifications:
* 1\-4 years experience in a customer facing role
* Prior experience in change management, consulting, business analytics, client services, project management, operations, etc
* Excellent verbal and written communication skills; comfort presenting to strategic stakeholders/leadership
* Highly organized and able to effectively manage a high volume of parallel projects at once
* Able to provide great, consistent service to clients who are sometimes assertive and demanding
* Self\-motivated, able to work effectively under deadlines without much supervision, excellent follow\-through
####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$109,800 \- $143,350
Zone B: $99,000 \- $129,250
Zone C: $91,800 \- $119,850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row>
    <row r="17">
      <c r="A17" t="inlineStr">
        <is>
          <t>in-7f383abf53c54c64</t>
        </is>
      </c>
      <c r="B17" t="inlineStr">
        <is>
          <t>IT Program Manager - Growth Program</t>
        </is>
      </c>
      <c r="C17" t="inlineStr">
        <is>
          <t>Concorde Career Colleges</t>
        </is>
      </c>
      <c r="D17" t="inlineStr">
        <is>
          <t>indeed</t>
        </is>
      </c>
      <c r="E17" t="inlineStr"/>
      <c r="F17" t="inlineStr"/>
      <c r="G17" t="inlineStr">
        <is>
          <t>Phoenix, AZ, US</t>
        </is>
      </c>
      <c r="H17" s="2" t="n">
        <v>46052</v>
      </c>
      <c r="I17"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 **What We Offer:***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 Define and drive program vision, ensuring alignment with enterprise strategy and long\-term business goals
* Lead planning and execution of enterprise programs composed of multiple related IT projects, ensuring delivery on time, within scope, and within budget
* Establish and monitor KPIs and OKRs to evaluate program success and inform strategic adjustments
* Influence executive decision\-making by providing insights on program performance, risks, and opportunities
* Lead governance structures and steering committees to ensure strategic alignment and stakeholder engagement
* Oversee change management and communication strategies across program initiatives
* Ensure benefits realization and post\-implementation value tracking
* Coordinate internal resources and third parties/vendors to allocate resources efficiently across various projects
* Review technical developments and work with teams to develop viable solutions to challenges encountered during project execution
* Develop integrated program plans and manage program budgets, timelines, risks, and interdependencies
* Prepare and present program status reports and dashboards to senior leadership
* Other duties as assigned
Qualifications:
**Education / Experience:***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PMP Certification (Required)
* PgMT Certification (preferred)
* Valid, state\-issued driver's license (required)
 **Program Planning \&amp; Design Coordination**
* Establish the **IT Build\-of\-Materials (BOM)** and standards package (network, Wi‑Fi, cabling, MDF/IDF, classroom AV, digital signage, security integrations) and ensure it is incorporated into the project design documents (schematic design, DD, CD).
* Produce **IT construction phasing plans** and milestones synchronized with the GC schedule (e.g., long‑lead equipment procurement, rough‑in, cable pulls, device install, SAT/commissioning).
* Create a **risk register** specific to construction programs (supply chain, lead times, site access, power readiness, AHJ inspections) with mitigation and contingency plans.
**Procurement \&amp; Financial Management**
* Own the **IT construction budget** (CapEx/OpEx), including cost tracking by building/phase, change‑order review, and monthly earned\-value reporting (PV/EV/AC).
* Ensure warranty, spares, and **lifecycle planning** (refresh cycles; support models) are captured before handover.
**Construction Execution \&amp; Site Readiness**
* Lead weekly **IT–GC coordination meetings**; align IT tasks to look‑ahead schedules; resolve field issues (pathways, penetrations, mounting, power/data drops) rapidly.
* Manage vendors performing **structured cabling, network installs, classroom AV integration**, endpoint staging/imaging, and application enablement; enforce QA checkpoints.
* Coordinate **cutover plans** (network activation, security systems integration, classroom tech commissioning) with Facilities, Security, and Academic units.
**Testing, Commissioning \&amp; Handover**
* Define and execute **Site Acceptance Test (SAT)** scripts per room type (Wi‑Fi heat maps, AV signal paths, audio intelligibility, camera coverage, device manageability).
* Produce **As‑Built documentation** (updated drawings, device inventories, IP addressing, configs, rack elevations, wiring schedules) and store in the CMMS/ITSM knowledge base.
* Lead **training \&amp; change management** for faculty/staff (quick‑start guides, micro‑videos, helpdesk readiness, first‑week hypercare). \[IT Program...121\-142302 \| Word]
**Governance \&amp; Stakeholder Management**
* Operate a **Program Steering Committee** (Facilities, Academics, Security, Finance, IT) with dashboards on schedule, budget, risks, and decisions. \[IT Program...121\-142302 \| Word]
* Ensure compliance with **code and standards** (ADA/assistive listening, fire/life safety clearances for AV mounts, low‑voltage labeling, cybersecurity baselines).
**Operational Readiness \&amp; Post‑Occupancy**
* Stand up **hypercare**: accelerated incident response, on‑site IT presence, rapid defect resolution, daily debriefs.
* Transition into steady state: finalize **support model**, SLAs, asset onboarding to ITSM, and handover to **operations teams**.
**Knowledge, Skills \&amp; Abilities (focused)**
**Technical/Domain Skills**
* **Construction IT integration:** Pathways/spaces (MDF/IDF design, racks, cooling, power), structured cabling standards, low‑voltage coordination, and field QA.
* **Network \&amp; Wi‑Fi planning:** Capacity and coverage design for dense classrooms; switch/AP placement; PoE budgeting; VLAN/security segmentation; cutover sequencing.
* **Classroom technology/AV:** Signal flows (HDMI/USB‑C, HDBaseT), audio DSP basics, microphone/speaker selection, camera placement for hybrid learning, assistive listening compliance.
* **Systems \&amp; applications enablement:** Endpoint imaging, identity/SSO, classroom management tools, lecture capture/UC integration, digital signage, print, security (NAC/MFA).
* **ITSM/Operations handoff:** Asset management, monitoring, warranty/RMA, spares strategy, runbooks, and knowledge base creation.
**Program/Construction Management Skills**
* **Master scheduling \&amp; phasing** aligned to GC look‑ahead; experience with pull planning/Last Planner concepts to de‑risk IT tasks.
* **Vendor management** across integrators and cabling contractors; enforce QA checkpoints and hold‑points; negotiate change orders.
* **Design review literacy:** Read architectural, electrical, and low‑voltage drawings; interpret specs; mark‑up RFI responses.
* **Risk \&amp; dependency management** specific to construction (permits, inspections, AHJ approvals, material availability, site access).
* **Stakeholder engagement \&amp; change management** for academic leadership and faculty adoption.
**Abilities**
* Lead through ambiguity in active construction environments; deconflict trades (e.g., electrical vs AV vs furniture).
* Communicate clearly to executives and faculty with visuals (floor plans, rack elevations, dashboards).
**Experience (targeted)**
* 7–10\+ years driving **IT components of capital construction programs** (education or enterprise workplace fit‑outs), including at least **3 major projects** with 20\+ classrooms or equivalent.
* Proven delivery of **network, Wi‑Fi, and AV integration** in new builds/renovations; experience commissioning classroom tech at scale.
* Experience with **GC coordination**, A/E design review, RFIs, submittals, and **change‑order management**.
* Direct leadership of multi‑vendor teams (cabling, AV integrator, network OEM, endpoint deployment) with **field QA processes**.
* Familiarity with **ITSM** and operations handoff in academic environments (helpdesk readiness, training artifacts, and knowledge management).</t>
        </is>
      </c>
    </row>
    <row r="18">
      <c r="A18" t="inlineStr">
        <is>
          <t>in-25ca479201fe44a8</t>
        </is>
      </c>
      <c r="B18" t="inlineStr">
        <is>
          <t>Product Owner Senior</t>
        </is>
      </c>
      <c r="C18" t="inlineStr">
        <is>
          <t>Concorde Career Colleges</t>
        </is>
      </c>
      <c r="D18" t="inlineStr">
        <is>
          <t>indeed</t>
        </is>
      </c>
      <c r="E18" t="inlineStr"/>
      <c r="F18" t="inlineStr"/>
      <c r="G18" t="inlineStr">
        <is>
          <t>Phoenix, AZ, US</t>
        </is>
      </c>
      <c r="H18" s="2" t="n">
        <v>46052</v>
      </c>
      <c r="I18" t="inlineStr">
        <is>
          <t>Overview:
The Product Owner Senior plays a strategic and leadership role in defining and delivering high\-value digital products and enterprise solutions. Acting as the voice of the business and customer, they are accountable for shaping the product roadmap, prioritizing outcomes, and guiding multiple Agile teams in delivering solutions that drive measurable business impact. With deep domain expertise, strong stakeholder management skills, and a focus on customer value, the Product Owner Senior not only manages product backlogs but also mentors other Product Owners and contributes to the overall product strategy. **Pay Range: $110,000 \- $126,000** **What We Offer:***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 Partner with Product Managers and business leaders to define product strategy, roadmap, and long\-term vision
* Lead and manage multiple product backlogs across teams, ensuring alignment with strategic business objectives
* Translate complex business needs into epics, features, and user stories with clear acceptance criteria
* Prioritize initiatives by balancing customer value, business outcomes, technical dependencies, and risk
* Drive cross\-functional collaboration between design, engineering, architecture, and business stakeholders
* Ensure Agile teams deliver high\-quality product increments that meet performance, scalability, and usability standard.
* Represent the product in stakeholder meetings, steering committees, and executive updates
* Track and report product KPIs, measure business outcomes, and adapt strategy based on insights
* Mentor and coach junior Product Owners, Business Analysts, and team members to build product management capability
* Champion Agile and product management best practices across the organization
* Establish/maintain a high performance team of professional, motivated and engaged staff utilizing effective training, performance management and career\-development activities while leading them to achieve established business results and performance metrics
* Recognizes and rewards employee contributions and achievements
* Other duties as assigned
Qualifications:
**Education / Experience:*** Bachelor’s degree in Business, Computer Science, or related field (required)
* Five (5\) years of experience as a Product Owner, Business Analyst, or Product Manager in an Agile environment (required)
* Strong background with Intranets
* Strong background with Sharepoint and Power Platform
* Strong experience managing Product and Solutions within a product driven organization
* Experience managing a team and must have previous people management experience in IT or Product
* Strong expertise in Agile/Scrum frameworks, backlog management, and product delivery (required)
* Experience with Agile tools (e.g., Jira, Azure DevOps, Rally) (required)
* Experience leading digital transformations or large\-scale enterprise product initiatives (preferred)
* Strong understanding of UX/UI design principles, customer journey mapping, and analytics (preferred)
* Background in data\-driven decision\-making and product performance measurement
**Skills:*** Skilled in managing complex products or multiple backlogs in a large enterprise setting
* Strong expertise in Agile/Scrum frameworks, backlog management, and product delivery
* Excellent stakeholder engagement, facilitation, and negotiation skills
* Background of delivering products that create measurable customer and business value
**Abilities:***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
* Ability to influence product strategy at senior leadership levels and across organizational boundaries
**Work Environment:*** Work is performed indoors in a climate\-controlled environment when on site at assigned company location. Employees must be able to safely ambulate when on company premises.
* This position is designated as Remote. Employees must meet minimum technical standards for eligibility and participation.
* No travel required
**\#LI\-Remote**</t>
        </is>
      </c>
    </row>
    <row r="19">
      <c r="A19" t="inlineStr">
        <is>
          <t>in-d9e8a79dff90cf3e</t>
        </is>
      </c>
      <c r="B19" t="inlineStr">
        <is>
          <t>IT Program Manager - ERP</t>
        </is>
      </c>
      <c r="C19" t="inlineStr">
        <is>
          <t>Concorde Career Colleges</t>
        </is>
      </c>
      <c r="D19" t="inlineStr">
        <is>
          <t>indeed</t>
        </is>
      </c>
      <c r="E19" t="inlineStr"/>
      <c r="F19" t="inlineStr"/>
      <c r="G19" t="inlineStr">
        <is>
          <t>Phoenix, AZ, US</t>
        </is>
      </c>
      <c r="H19" s="2" t="n">
        <v>46052</v>
      </c>
      <c r="I19"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$150,000****What We Offer:***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**Specific Accountabilities*** Lead End\-to\-End Implementation  
Drive planning, coordination, and execution of ERP (Workday), CRM, and SIS programs across all phases: requirements, design, development/configuration, testing, business readiness, OCM, and deployment.
* Business \&amp; IT Alignment  
Partner with functional leaders to align technology solutions with business processes and compliance requirements.
* Vendor \&amp; Partner Management  
Manage relationships with Workday and Salesforce implementation partners, ensuring deliverables meet contractual obligations and quality standards.
* Risk \&amp; Issue Management  
Proactively identify risks related to data migration, system performance, and change adoption; develop mitigation strategies.
* Governance \&amp; Steering Committees  
Facilitate executive\-level governance forums, presenting program health, KPIs, and strategic recommendations.
* Organizational Change Management (OCM)  
Oversee OCM strategies to ensure stakeholder engagement, training, and adoption of new systems.
Qualifications:
**Education / Experience:***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PMP Certification (Required)
* PgMT Certification (preferred)
* Valid, state\-issued driver's license (required)
 **Skills:*** **Deep ERP/CRM Expertise**: Hands\-on experience with Workday Finance modules and Salesforce Sales/Service Cloud.
* **Data Migration \&amp; Integration**: Strong understanding of ETL processes, APIs, and middleware for large\-scale system integrations.
* **Testing Leadership**: Expertise in managing UAT, SIT, and regression testing for enterprise applications.
* **Budget \&amp; Financial Control**: Ability to manage multi\-million\-dollar program budgets and vendor contracts.
* **Executive Communication**: Skilled in presenting complex program updates to C\-suite stakeholders.
**Abilities**
* **Strategic Leadership**: Ability to lead multi\-year, multi\-system transformation programs.
* **Decision\-Making Under Ambiguity**: Navigate complex organizational structures and competing priorities.
* **Cross\-Functional Collaboration**: Build strong partnerships across Finance, Marketing, Student Services, and IT.
**Experience**
* **Mandatory**:
* + Direct leadership of at least one **Workday ERP** or **Salesforce CRM** implementation from initiation to deployment.
* **Preferred**:
* + Experience with **Student Information Systems**.
	+ Background in higher education or large\-scale corporate environments
 **Standard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t>
        </is>
      </c>
    </row>
    <row r="20">
      <c r="A20" t="inlineStr">
        <is>
          <t>in-ecec12397f75f528</t>
        </is>
      </c>
      <c r="B20" t="inlineStr">
        <is>
          <t>IT Program Manager - Foundational Tech Uplift Program</t>
        </is>
      </c>
      <c r="C20" t="inlineStr">
        <is>
          <t>Concorde Career Colleges</t>
        </is>
      </c>
      <c r="D20" t="inlineStr">
        <is>
          <t>indeed</t>
        </is>
      </c>
      <c r="E20" t="inlineStr"/>
      <c r="F20" t="inlineStr"/>
      <c r="G20" t="inlineStr">
        <is>
          <t>Phoenix, AZ, US</t>
        </is>
      </c>
      <c r="H20" s="2" t="n">
        <v>46052</v>
      </c>
      <c r="I20" t="inlineStr">
        <is>
          <t>Overview:
The IT Program Manager provides strategic leadership across multiple interrelated IT projects within enterprise programs. This role manages program resources, budgets, risks, cross\-functional dependencies, and ensures delivery of integrated solutions that support long\-term business value. The IT Program Manager leads governance structures, facilitates executive stakeholder engagement, and oversees change management and benefits realization across the program lifecycle. **Pay Range: $108,000 \- $150,000** **What We Offer:*** **Tuition Waiver**: Enjoy a tuition waiver after 6 months of employment for you AND your immediate family offered at UTI and Concorde campuses
* **Paid Time Off**: Competitive paid time off programs for employees (Vacation, Sick, Flexible)
* **Retirement Matching**: 50% match on the first 6% of your contributions after 90 days
* **Paid Parental Leave**: 4 weeks of paid leave for both birthing and non\-birthing parents to bond with a new baby
* **Competitive Insurance**: Health, vision, and dental coverage for you and your dependents
* **Pet Insurance**: Competitive coverage for your furry family members through ASPCA
* **Health Plan Enrollment**: Eligibility starts first of the month following completing one full month of employment
Responsibilities:
* Define and drive program vision, ensuring alignment with enterprise strategy and long\-term business goals
* Lead planning and execution of enterprise programs composed of multiple related IT projects, ensuring delivery on time, within scope, and within budget
* Establish and monitor KPIs and OKRs to evaluate program success and inform strategic adjustments
* Influence executive decision\-making by providing insights on program performance, risks, and opportunities
* Lead governance structures and steering committees to ensure strategic alignment and stakeholder engagement
* Oversee change management and communication strategies across program initiatives
* Ensure benefits realization and post\-implementation value tracking
* Coordinate internal resources and third parties/vendors to allocate resources efficiently across various projects
* Review technical developments and work with teams to develop viable solutions to challenges encountered during project execution
* Develop integrated program plans and manage program budgets, timelines, risks, and interdependencies
* Prepare and present program status reports and dashboards to senior leadership
* Other duties as assigned
Qualifications:
**Education / Experience:*** Bachelor’s degree in Computer Science, Information Technology, Business Administration, or related field (required)
* Master’s degree (preferred)
* Ten (10\) years of experience in IT program and project management, including enterprise\-level initiatives (required)
* Experience in management of complex, cross\-functional IT initiatives
* Expert understanding of Program Management, and Adaptive Project Management methodologies as well as agile frameworks and ways of working
 **Licenses / Certifications:*** PMP Certification (Required)
* PgMT Certification (preferred)
* Valid, state\-issued driver's license (required)
 **Specific Accountabilities**
* **Technical Program Roadmap Ownership**  
Develop and maintain a roadmap for modernization initiatives, ensuring alignment with enterprise architecture and security standards.
* **Integration Oversight**  
Ensure seamless integration of new platforms with existing systems, minimizing disruption and maintaining data integrity.
* **Risk \&amp; Compliance Management**  
Proactively identify and mitigate technical risks related to cybersecurity, regulatory compliance, and data governance.
* **Vendor \&amp; Technology Evaluation**  
Lead evaluation and selection of technologies and vendors for network upgrades, IAM solutions, and data platforms.
* **Quality Assurance \&amp; Performance Metrics**  
Define and enforce technical quality standards, including performance benchmarks for infrastructure and security systems.
* **Cross\-Functional Technical Coordination**  
Facilitate collaboration between infrastructure, security, data engineering, and application teams to ensure cohesive delivery.
**Skills**
* **Deep Technical Acumen** in:
* + Cloud platforms (AWS, Azure, GCP)
	+ Data management technologies (ETL, data lakes, data warehouses)
	+ Network architecture and protocols
	+ Identity \&amp; Access Management (IAM) frameworks
* **Advanced Risk Management** for technical dependencies and cybersecurity threats.
* **Stakeholder Communication** with ability to translate technical complexity into business terms.
* **Program Governance** using tools like ADO, FreshService, or ClickUp for tracking technical deliverables.
**Standard Abilities:**  
* Able and willing to:
* Communicate, think, learn, and reason
* Use computers and computer systems (including hardware and software) to process transactions, store documents, enter data, or perform assigned tasks
* Safely ambulate and/or maneuver when on\-site at Company locations
* Demonstrate and utilize active listening, inductive reasoning, information ordering and category flexibility
* Ability to use good judgment, problem\-solving and decision\-making skills
* Ability to maintain confidentiality and manage sensitive information with discretion
* Ability to work in a fast\-paced environment where deadlines are essential and multiple projects are worked simultaneously
* Ability to gain, understand and apply information and data as it relates essential functions of the position
* Ability to foster long\-term relationships with stakeholders</t>
        </is>
      </c>
    </row>
    <row r="21">
      <c r="A21" t="inlineStr">
        <is>
          <t>in-099b4b1450c046c5</t>
        </is>
      </c>
      <c r="B21" t="inlineStr">
        <is>
          <t>Technical Program Manager</t>
        </is>
      </c>
      <c r="C21" t="inlineStr">
        <is>
          <t>Intone Networks</t>
        </is>
      </c>
      <c r="D21" t="inlineStr">
        <is>
          <t>indeed</t>
        </is>
      </c>
      <c r="E21" t="inlineStr"/>
      <c r="F21" t="inlineStr"/>
      <c r="G21" t="inlineStr">
        <is>
          <t>Mountain View, CA, US</t>
        </is>
      </c>
      <c r="H21" s="2" t="n">
        <v>46051</v>
      </c>
      <c r="I21" t="inlineStr">
        <is>
          <t>Responsibilities • Program Ownership: Drive large\-scale data annotation programs end\-to\-end, from scoping requirements to delivery and post\-mortem analysis. • Cross\-Functional Collaboration: Partner with AI Research leadership, AI researchers, data scientists, ML engineers, and product managers to define data needs, success metrics, and annotation guidelines. • Vendor \&amp; Workforce Management: Manage external annotation vendors and internal labeling teams, including contract negotiation, SLAs, quality standards, and throughput planning. • Quality \&amp; Process: Design and implement robust quality control pipelines, annotation tools, and feedback loops to ensure data quality at scale. • Tooling \&amp; Automation: Collaborate with engineering to improve annotation infrastructure, workflows, and data pipelines for efficiency and scalability. • Data Strategy \&amp; Governance: Contribute to data governance best practices, including privacy, security, ethics, and compliance in annotation workflows. • Reporting \&amp; Metrics: Define and track key program metrics (cost, quality, speed, volume), and regularly communicate progress to stakeholders and leadership. • Internal Adoption: Coordinate internal adoption of agentic AI products by building onboarding processes, workflows, and change management strategies. • Data Quality Leadership: Establish and standardize processes for measuring, monitoring, and improving data quality across datasets and annotation teams. • Customer Engagement: Collaborate with external customers and research partners on evaluation workshops, pilots, and feedback sessions to drive continuous improvement. Competencies and Requirements • Bachelor’s or Master’s degree in a technical field (e.g. Computer Science, Data Science, Machine Learning, Information Systems) or equivalent practical experience. • 7\+ years of experience in technical program management, project management, or operations in data\-centric or AI/ML environments. • Strong understanding of ML development workflows, data pipelines, and annotation lifecycle. • Experience managing large\-scale data labeling or data collection efforts, including working with third\-party vendors. • Familiarity with big data platforms (e.g. Apache Spark, Databricks, Hadoop) and data warehousing concepts. • Excellent organizational, problem\-solving, and communication skills with the ability to influence cross\-functional stakeholders. • Proven track record of driving cross\-functional teams to deliver complex technical projects on time and with high quality. • Excellent communication, negotiation and analytical skills, with the ability to document standard operating procedures and processes • Advanced working SQL Knowledge, Ability to build and maintain analytics to track, forecast, and visualize consumption through ad\-hoc SQL, reports, and dashboards • Experience performing root cause analysis on internal and external data and processes to answer specific business questions and identify opportunities for improvement. • Self\-motivated and able to work independently, as well as in a team environment. • Preferred good working knowledge of GPU technology and its applications in generative AI and machine learning. • Familiarity with big data technologies such as Apache Spark, Delta Lake, and MLflow is a plus. • Location is San Francisco, Mountain View or Seattle</t>
        </is>
      </c>
    </row>
    <row r="22">
      <c r="A22" t="inlineStr">
        <is>
          <t>in-d4851332ff9c777a</t>
        </is>
      </c>
      <c r="B22" t="inlineStr">
        <is>
          <t>Program Manager Program Implementations, Process Implementations &amp; Optimization</t>
        </is>
      </c>
      <c r="C22" t="inlineStr">
        <is>
          <t>Intone Networks</t>
        </is>
      </c>
      <c r="D22" t="inlineStr">
        <is>
          <t>indeed</t>
        </is>
      </c>
      <c r="E22" t="inlineStr"/>
      <c r="F22" t="inlineStr"/>
      <c r="G22" t="inlineStr">
        <is>
          <t>Remote, US</t>
        </is>
      </c>
      <c r="H22" s="2" t="n">
        <v>46051</v>
      </c>
      <c r="I22" t="inlineStr">
        <is>
          <t>Qualifications Required Qualifications  7\+ years of experience in Employee Relations and/or Labor Relations (or equivalent), including discipline, performance management, and investigations.  Demonstrated experience building standardized processes and playbooks that drive execution consistency.  Strong project or program management experience delivering cross\-functional operational improvements.  Working knowledge of labor relations fundamentals, including sensitivity to union environments, grievance processes, effects bargaining concepts, and negotiation preparation.  Excellent writing, facilitation, and stakeholder management skills.  Strong judgment and risk orientation; ability to build processes that are both practical and legally defensible.  High confidentiality and discretion with sensitive employee information.</t>
        </is>
      </c>
    </row>
    <row r="23">
      <c r="A23" t="inlineStr">
        <is>
          <t>in-c00dc4b2d372e238</t>
        </is>
      </c>
      <c r="B23" t="inlineStr">
        <is>
          <t>Global Signage &amp; Wayfinding Designer Program Manager, Workplace Design &amp; Construction (WD&amp;C)</t>
        </is>
      </c>
      <c r="C23" t="inlineStr">
        <is>
          <t>Amazon.com</t>
        </is>
      </c>
      <c r="D23" t="inlineStr">
        <is>
          <t>indeed</t>
        </is>
      </c>
      <c r="E23" t="inlineStr"/>
      <c r="F23" t="inlineStr"/>
      <c r="G23" t="inlineStr">
        <is>
          <t>Arlington, VA, US</t>
        </is>
      </c>
      <c r="H23" s="2" t="n">
        <v>45998</v>
      </c>
      <c r="I2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in-abf3e295f81e59a6</t>
        </is>
      </c>
      <c r="B24" t="inlineStr">
        <is>
          <t>Global Signage &amp; Wayfinding Designer Program Manager, Workplace Design &amp; Construction (WD&amp;C)</t>
        </is>
      </c>
      <c r="C24" t="inlineStr">
        <is>
          <t>Amazon.com</t>
        </is>
      </c>
      <c r="D24" t="inlineStr">
        <is>
          <t>indeed</t>
        </is>
      </c>
      <c r="E24" t="inlineStr"/>
      <c r="F24" t="inlineStr"/>
      <c r="G24" t="inlineStr">
        <is>
          <t>Seattle, WA, US</t>
        </is>
      </c>
      <c r="H24" s="2" t="n">
        <v>45998</v>
      </c>
      <c r="I2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in-1f62bc114d61d58d</t>
        </is>
      </c>
      <c r="B25" t="inlineStr">
        <is>
          <t>Senior Product Manager, Ads</t>
        </is>
      </c>
      <c r="C25" t="inlineStr">
        <is>
          <t>Amazon.com</t>
        </is>
      </c>
      <c r="D25" t="inlineStr">
        <is>
          <t>indeed</t>
        </is>
      </c>
      <c r="E25" t="inlineStr"/>
      <c r="F25" t="inlineStr"/>
      <c r="G25" t="inlineStr">
        <is>
          <t>Los Angeles, CA, US</t>
        </is>
      </c>
      <c r="H25" s="2" t="n">
        <v>45994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in-440f26391c504c2d</t>
        </is>
      </c>
      <c r="B26" t="inlineStr">
        <is>
          <t>Senior Product Manager, Ads</t>
        </is>
      </c>
      <c r="C26" t="inlineStr">
        <is>
          <t>Amazon.com</t>
        </is>
      </c>
      <c r="D26" t="inlineStr">
        <is>
          <t>indeed</t>
        </is>
      </c>
      <c r="E26" t="inlineStr"/>
      <c r="F26" t="inlineStr"/>
      <c r="G26" t="inlineStr">
        <is>
          <t>Irvine, CA, US</t>
        </is>
      </c>
      <c r="H26" s="2"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in-9ed86d75f8fc77f0</t>
        </is>
      </c>
      <c r="B27" t="inlineStr">
        <is>
          <t>Senior Product Manager, Ads</t>
        </is>
      </c>
      <c r="C27" t="inlineStr">
        <is>
          <t>Amazon.com</t>
        </is>
      </c>
      <c r="D27" t="inlineStr">
        <is>
          <t>indeed</t>
        </is>
      </c>
      <c r="E27" t="inlineStr"/>
      <c r="F27" t="inlineStr"/>
      <c r="G27" t="inlineStr">
        <is>
          <t>Irvine, CA, US</t>
        </is>
      </c>
      <c r="H27" s="2"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in-9e399a96d62daa42</t>
        </is>
      </c>
      <c r="B28" t="inlineStr">
        <is>
          <t>Senior Product Manager, Ads</t>
        </is>
      </c>
      <c r="C28" t="inlineStr">
        <is>
          <t>Amazon.com</t>
        </is>
      </c>
      <c r="D28" t="inlineStr">
        <is>
          <t>indeed</t>
        </is>
      </c>
      <c r="E28" t="inlineStr"/>
      <c r="F28" t="inlineStr"/>
      <c r="G28" t="inlineStr">
        <is>
          <t>San Francisco, CA, US</t>
        </is>
      </c>
      <c r="H28" s="2"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in-0f0bd3904e68f912</t>
        </is>
      </c>
      <c r="B29" t="inlineStr">
        <is>
          <t>Senior Product Manager, Ads</t>
        </is>
      </c>
      <c r="C29" t="inlineStr">
        <is>
          <t>Amazon.com</t>
        </is>
      </c>
      <c r="D29" t="inlineStr">
        <is>
          <t>indeed</t>
        </is>
      </c>
      <c r="E29" t="inlineStr"/>
      <c r="F29" t="inlineStr"/>
      <c r="G29" t="inlineStr">
        <is>
          <t>San Francisco, CA, US</t>
        </is>
      </c>
      <c r="H29" s="2"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in-a47db577efb6c297</t>
        </is>
      </c>
      <c r="B30" t="inlineStr">
        <is>
          <t>Senior Product Manager, Ads</t>
        </is>
      </c>
      <c r="C30" t="inlineStr">
        <is>
          <t>Amazon.com</t>
        </is>
      </c>
      <c r="D30" t="inlineStr">
        <is>
          <t>indeed</t>
        </is>
      </c>
      <c r="E30" t="inlineStr"/>
      <c r="F30" t="inlineStr"/>
      <c r="G30" t="inlineStr">
        <is>
          <t>Los Angeles, CA, US</t>
        </is>
      </c>
      <c r="H30" s="2"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in-98ddabbd0f6ca1fd</t>
        </is>
      </c>
      <c r="B31" t="inlineStr">
        <is>
          <t>Senior Product Manager, Ads</t>
        </is>
      </c>
      <c r="C31" t="inlineStr">
        <is>
          <t>Amazon.com</t>
        </is>
      </c>
      <c r="D31" t="inlineStr">
        <is>
          <t>indeed</t>
        </is>
      </c>
      <c r="E31" t="inlineStr"/>
      <c r="F31" t="inlineStr"/>
      <c r="G31" t="inlineStr">
        <is>
          <t>New York, NY, US</t>
        </is>
      </c>
      <c r="H31" s="2"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in-47653fe59740b871</t>
        </is>
      </c>
      <c r="B32" t="inlineStr">
        <is>
          <t>Senior Product Manager, Ads</t>
        </is>
      </c>
      <c r="C32" t="inlineStr">
        <is>
          <t>Amazon.com</t>
        </is>
      </c>
      <c r="D32" t="inlineStr">
        <is>
          <t>indeed</t>
        </is>
      </c>
      <c r="E32" t="inlineStr"/>
      <c r="F32" t="inlineStr"/>
      <c r="G32" t="inlineStr">
        <is>
          <t>Seattle, WA, US</t>
        </is>
      </c>
      <c r="H32" s="2"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in-8cfbde1f49e38078</t>
        </is>
      </c>
      <c r="B33" t="inlineStr">
        <is>
          <t>Senior Product Manager, Ads</t>
        </is>
      </c>
      <c r="C33" t="inlineStr">
        <is>
          <t>Amazon.com</t>
        </is>
      </c>
      <c r="D33" t="inlineStr">
        <is>
          <t>indeed</t>
        </is>
      </c>
      <c r="E33" t="inlineStr"/>
      <c r="F33" t="inlineStr"/>
      <c r="G33" t="inlineStr">
        <is>
          <t>New York, NY, US</t>
        </is>
      </c>
      <c r="H33" s="2"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in-148a2f24f2901c8b</t>
        </is>
      </c>
      <c r="B34" t="inlineStr">
        <is>
          <t>Senior Product Manager, Ads</t>
        </is>
      </c>
      <c r="C34" t="inlineStr">
        <is>
          <t>Amazon.com</t>
        </is>
      </c>
      <c r="D34" t="inlineStr">
        <is>
          <t>indeed</t>
        </is>
      </c>
      <c r="E34" t="inlineStr"/>
      <c r="F34" t="inlineStr"/>
      <c r="G34" t="inlineStr">
        <is>
          <t>Seattle, WA, US</t>
        </is>
      </c>
      <c r="H34" s="2"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in-1bc8bf45c8c5fe48</t>
        </is>
      </c>
      <c r="B35" t="inlineStr">
        <is>
          <t>Sr. Product Manager</t>
        </is>
      </c>
      <c r="C35" t="inlineStr">
        <is>
          <t>Amazon.com</t>
        </is>
      </c>
      <c r="D35" t="inlineStr">
        <is>
          <t>indeed</t>
        </is>
      </c>
      <c r="E35" t="inlineStr"/>
      <c r="F35" t="inlineStr"/>
      <c r="G35" t="inlineStr">
        <is>
          <t>New York, NY, US</t>
        </is>
      </c>
      <c r="H35" s="2" t="n">
        <v>45979</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in-4cb5a64769d54476</t>
        </is>
      </c>
      <c r="B36" t="inlineStr">
        <is>
          <t>Sr. Product Manager</t>
        </is>
      </c>
      <c r="C36" t="inlineStr">
        <is>
          <t>Amazon.com</t>
        </is>
      </c>
      <c r="D36" t="inlineStr">
        <is>
          <t>indeed</t>
        </is>
      </c>
      <c r="E36" t="inlineStr"/>
      <c r="F36" t="inlineStr"/>
      <c r="G36" t="inlineStr">
        <is>
          <t>San Francisco, CA, US</t>
        </is>
      </c>
      <c r="H36" s="2" t="n">
        <v>45979</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in-718927c6b3c11686</t>
        </is>
      </c>
      <c r="B37" t="inlineStr">
        <is>
          <t>Sr. Product Manager</t>
        </is>
      </c>
      <c r="C37" t="inlineStr">
        <is>
          <t>Amazon.com</t>
        </is>
      </c>
      <c r="D37" t="inlineStr">
        <is>
          <t>indeed</t>
        </is>
      </c>
      <c r="E37" t="inlineStr"/>
      <c r="F37" t="inlineStr"/>
      <c r="G37" t="inlineStr">
        <is>
          <t>Irvine, CA, US</t>
        </is>
      </c>
      <c r="H37" s="2" t="n">
        <v>45979</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in-c238d538a536e102</t>
        </is>
      </c>
      <c r="B38" t="inlineStr">
        <is>
          <t>Sr. Product Manager</t>
        </is>
      </c>
      <c r="C38" t="inlineStr">
        <is>
          <t>Amazon.com</t>
        </is>
      </c>
      <c r="D38" t="inlineStr">
        <is>
          <t>indeed</t>
        </is>
      </c>
      <c r="E38" t="inlineStr"/>
      <c r="F38" t="inlineStr"/>
      <c r="G38" t="inlineStr">
        <is>
          <t>Los Angeles, CA, US</t>
        </is>
      </c>
      <c r="H38" s="2" t="n">
        <v>45979</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in-61a6459ea497d20e</t>
        </is>
      </c>
      <c r="B39" t="inlineStr">
        <is>
          <t>Sr. Product Manager</t>
        </is>
      </c>
      <c r="C39" t="inlineStr">
        <is>
          <t>Amazon.com</t>
        </is>
      </c>
      <c r="D39" t="inlineStr">
        <is>
          <t>indeed</t>
        </is>
      </c>
      <c r="E39" t="inlineStr"/>
      <c r="F39" t="inlineStr"/>
      <c r="G39" t="inlineStr">
        <is>
          <t>Seattle, WA, US</t>
        </is>
      </c>
      <c r="H39" s="2" t="n">
        <v>45979</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in-9110cf0c09b6e488</t>
        </is>
      </c>
      <c r="B40" t="inlineStr">
        <is>
          <t>Program Manager, Executive Content and Programs, Global Executive Marketing</t>
        </is>
      </c>
      <c r="C40" t="inlineStr">
        <is>
          <t>Amazon Web Services</t>
        </is>
      </c>
      <c r="D40" t="inlineStr">
        <is>
          <t>indeed</t>
        </is>
      </c>
      <c r="E40" t="inlineStr"/>
      <c r="F40" t="inlineStr"/>
      <c r="G40" t="inlineStr">
        <is>
          <t>Seattle, WA, US</t>
        </is>
      </c>
      <c r="H40" s="2" t="n">
        <v>45970</v>
      </c>
      <c r="I40"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in-a4d6da07810b3a17</t>
        </is>
      </c>
      <c r="B41" t="inlineStr">
        <is>
          <t>Program Manager, Executive Content and Programs, Global Executive Marketing</t>
        </is>
      </c>
      <c r="C41" t="inlineStr">
        <is>
          <t>Amazon Web Services</t>
        </is>
      </c>
      <c r="D41" t="inlineStr">
        <is>
          <t>indeed</t>
        </is>
      </c>
      <c r="E41" t="inlineStr"/>
      <c r="F41" t="inlineStr"/>
      <c r="G41" t="inlineStr">
        <is>
          <t>Arlington, VA, US</t>
        </is>
      </c>
      <c r="H41" s="2" t="n">
        <v>45970</v>
      </c>
      <c r="I41"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in-55baf4fce9924063</t>
        </is>
      </c>
      <c r="B42" t="inlineStr">
        <is>
          <t>Senior Product Manager, Sub Same Day</t>
        </is>
      </c>
      <c r="C42" t="inlineStr">
        <is>
          <t>Amazon.com</t>
        </is>
      </c>
      <c r="D42" t="inlineStr">
        <is>
          <t>indeed</t>
        </is>
      </c>
      <c r="E42" t="inlineStr"/>
      <c r="F42" t="inlineStr"/>
      <c r="G42" t="inlineStr">
        <is>
          <t>New York, NY, US</t>
        </is>
      </c>
      <c r="H42" s="2" t="n">
        <v>45957</v>
      </c>
      <c r="I42"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in-cc4785d664b2ba32</t>
        </is>
      </c>
      <c r="B43" t="inlineStr">
        <is>
          <t>Senior Product Manager, Sub Same Day</t>
        </is>
      </c>
      <c r="C43" t="inlineStr">
        <is>
          <t>Amazon.com</t>
        </is>
      </c>
      <c r="D43" t="inlineStr">
        <is>
          <t>indeed</t>
        </is>
      </c>
      <c r="E43" t="inlineStr"/>
      <c r="F43" t="inlineStr"/>
      <c r="G43" t="inlineStr">
        <is>
          <t>Nashville, TN, US</t>
        </is>
      </c>
      <c r="H43" s="2" t="n">
        <v>45957</v>
      </c>
      <c r="I43"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in-05d56f741054ec15</t>
        </is>
      </c>
      <c r="B44" t="inlineStr">
        <is>
          <t>Senior Product Manager, Sub Same Day</t>
        </is>
      </c>
      <c r="C44" t="inlineStr">
        <is>
          <t>Amazon.com</t>
        </is>
      </c>
      <c r="D44" t="inlineStr">
        <is>
          <t>indeed</t>
        </is>
      </c>
      <c r="E44" t="inlineStr"/>
      <c r="F44" t="inlineStr"/>
      <c r="G44" t="inlineStr">
        <is>
          <t>Bellevue, WA, US</t>
        </is>
      </c>
      <c r="H44" s="2" t="n">
        <v>45957</v>
      </c>
      <c r="I44"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in-ef633779df8cd60c</t>
        </is>
      </c>
      <c r="B45" t="inlineStr">
        <is>
          <t>Sr. Program Manager, Planning &amp; Automation, Global Fleet and Products Electrification and Infrastructure</t>
        </is>
      </c>
      <c r="C45" t="inlineStr">
        <is>
          <t>Amazon.com</t>
        </is>
      </c>
      <c r="D45" t="inlineStr">
        <is>
          <t>indeed</t>
        </is>
      </c>
      <c r="E45" t="inlineStr"/>
      <c r="F45" t="inlineStr"/>
      <c r="G45" t="inlineStr">
        <is>
          <t>Bellevue, WA, US</t>
        </is>
      </c>
      <c r="H45" s="2" t="n">
        <v>45949</v>
      </c>
      <c r="I45"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in-10679a52d5960490</t>
        </is>
      </c>
      <c r="B46" t="inlineStr">
        <is>
          <t>Sr. Program Manager, Planning &amp; Automation, Global Fleet and Products Electrification and Infrastructure</t>
        </is>
      </c>
      <c r="C46" t="inlineStr">
        <is>
          <t>Amazon.com</t>
        </is>
      </c>
      <c r="D46" t="inlineStr">
        <is>
          <t>indeed</t>
        </is>
      </c>
      <c r="E46" t="inlineStr"/>
      <c r="F46" t="inlineStr"/>
      <c r="G46" t="inlineStr">
        <is>
          <t>Nashville, TN, US</t>
        </is>
      </c>
      <c r="H46" s="2" t="n">
        <v>45949</v>
      </c>
      <c r="I46"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in-4a7171b2371d8fb9</t>
        </is>
      </c>
      <c r="B47" t="inlineStr">
        <is>
          <t>Sr. Program Manager, Planning &amp; Automation, Global Fleet and Products Electrification and Infrastructure</t>
        </is>
      </c>
      <c r="C47" t="inlineStr">
        <is>
          <t>Amazon.com</t>
        </is>
      </c>
      <c r="D47" t="inlineStr">
        <is>
          <t>indeed</t>
        </is>
      </c>
      <c r="E47" t="inlineStr"/>
      <c r="F47" t="inlineStr"/>
      <c r="G47" t="inlineStr">
        <is>
          <t>San Francisco, CA, US</t>
        </is>
      </c>
      <c r="H47" s="2" t="n">
        <v>45949</v>
      </c>
      <c r="I47"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in-bba1851f89c755c3</t>
        </is>
      </c>
      <c r="B48" t="inlineStr">
        <is>
          <t>Sr Program Manager, Procurement Operations, SSD OI</t>
        </is>
      </c>
      <c r="C48" t="inlineStr">
        <is>
          <t>Amazon.com</t>
        </is>
      </c>
      <c r="D48" t="inlineStr">
        <is>
          <t>indeed</t>
        </is>
      </c>
      <c r="E48" t="inlineStr"/>
      <c r="F48" t="inlineStr"/>
      <c r="G48" t="inlineStr">
        <is>
          <t>Nashville, TN, US</t>
        </is>
      </c>
      <c r="H48" s="2" t="n">
        <v>45938</v>
      </c>
      <c r="I48"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in-745d16c4e1aa69bd</t>
        </is>
      </c>
      <c r="B49" t="inlineStr">
        <is>
          <t>Sr Program Manager, Procurement Operations, SSD OI</t>
        </is>
      </c>
      <c r="C49" t="inlineStr">
        <is>
          <t>Amazon.com</t>
        </is>
      </c>
      <c r="D49" t="inlineStr">
        <is>
          <t>indeed</t>
        </is>
      </c>
      <c r="E49" t="inlineStr"/>
      <c r="F49" t="inlineStr"/>
      <c r="G49" t="inlineStr">
        <is>
          <t>New York, NY, US</t>
        </is>
      </c>
      <c r="H49" s="2" t="n">
        <v>45938</v>
      </c>
      <c r="I49"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in-89e105d45944282f</t>
        </is>
      </c>
      <c r="B50" t="inlineStr">
        <is>
          <t>Sr Program Manager, Procurement Operations, SSD OI</t>
        </is>
      </c>
      <c r="C50" t="inlineStr">
        <is>
          <t>Amazon.com</t>
        </is>
      </c>
      <c r="D50" t="inlineStr">
        <is>
          <t>indeed</t>
        </is>
      </c>
      <c r="E50" t="inlineStr"/>
      <c r="F50" t="inlineStr"/>
      <c r="G50" t="inlineStr">
        <is>
          <t>Bellevue, WA, US</t>
        </is>
      </c>
      <c r="H50" s="2" t="n">
        <v>45938</v>
      </c>
      <c r="I50"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in-b91c00247224a7b9</t>
        </is>
      </c>
      <c r="B51" t="inlineStr">
        <is>
          <t>Sr. Supply Chain Product Manager, Amazon Custom Modules</t>
        </is>
      </c>
      <c r="C51" t="inlineStr">
        <is>
          <t>Amazon.com</t>
        </is>
      </c>
      <c r="D51" t="inlineStr">
        <is>
          <t>indeed</t>
        </is>
      </c>
      <c r="E51" t="inlineStr"/>
      <c r="F51" t="inlineStr"/>
      <c r="G51" t="inlineStr">
        <is>
          <t>Austin, TX, US</t>
        </is>
      </c>
      <c r="H51" s="2" t="n">
        <v>45935</v>
      </c>
      <c r="I5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in-82c0f13641a47d3a</t>
        </is>
      </c>
      <c r="B52" t="inlineStr">
        <is>
          <t>Sr. Supply Chain Product Manager, Amazon Custom Modules</t>
        </is>
      </c>
      <c r="C52" t="inlineStr">
        <is>
          <t>Amazon.com</t>
        </is>
      </c>
      <c r="D52" t="inlineStr">
        <is>
          <t>indeed</t>
        </is>
      </c>
      <c r="E52" t="inlineStr"/>
      <c r="F52" t="inlineStr"/>
      <c r="G52" t="inlineStr">
        <is>
          <t>Seattle, WA, US</t>
        </is>
      </c>
      <c r="H52" s="2" t="n">
        <v>45935</v>
      </c>
      <c r="I5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in-e934c2bbad3f753f</t>
        </is>
      </c>
      <c r="B53" t="inlineStr">
        <is>
          <t>Sr. Supply Chain Product Manager, Amazon Custom Modules</t>
        </is>
      </c>
      <c r="C53" t="inlineStr">
        <is>
          <t>Amazon.com</t>
        </is>
      </c>
      <c r="D53" t="inlineStr">
        <is>
          <t>indeed</t>
        </is>
      </c>
      <c r="E53" t="inlineStr"/>
      <c r="F53" t="inlineStr"/>
      <c r="G53" t="inlineStr">
        <is>
          <t>Cupertino, CA, US</t>
        </is>
      </c>
      <c r="H53" s="2" t="n">
        <v>45935</v>
      </c>
      <c r="I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in-c39db4f5ad05e410</t>
        </is>
      </c>
      <c r="B54" t="inlineStr">
        <is>
          <t>Sr. Program Manager, Same Day Programs</t>
        </is>
      </c>
      <c r="C54" t="inlineStr">
        <is>
          <t>Amazon.com</t>
        </is>
      </c>
      <c r="D54" t="inlineStr">
        <is>
          <t>indeed</t>
        </is>
      </c>
      <c r="E54" t="inlineStr"/>
      <c r="F54" t="inlineStr"/>
      <c r="G54" t="inlineStr">
        <is>
          <t>Bellevue, WA, US</t>
        </is>
      </c>
      <c r="H54" s="2" t="n">
        <v>45931</v>
      </c>
      <c r="I5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in-13841dc9a28c2086</t>
        </is>
      </c>
      <c r="B55" t="inlineStr">
        <is>
          <t>Sr. Program Manager, Same Day Programs</t>
        </is>
      </c>
      <c r="C55" t="inlineStr">
        <is>
          <t>Amazon.com</t>
        </is>
      </c>
      <c r="D55" t="inlineStr">
        <is>
          <t>indeed</t>
        </is>
      </c>
      <c r="E55" t="inlineStr"/>
      <c r="F55" t="inlineStr"/>
      <c r="G55" t="inlineStr">
        <is>
          <t>Nashville, TN, US</t>
        </is>
      </c>
      <c r="H55" s="2" t="n">
        <v>45931</v>
      </c>
      <c r="I5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in-71a60bc1147e3b01</t>
        </is>
      </c>
      <c r="B56" t="inlineStr">
        <is>
          <t>Sr. Program Manager, Same Day Programs,</t>
        </is>
      </c>
      <c r="C56" t="inlineStr">
        <is>
          <t>Amazon.com</t>
        </is>
      </c>
      <c r="D56" t="inlineStr">
        <is>
          <t>indeed</t>
        </is>
      </c>
      <c r="E56" t="inlineStr"/>
      <c r="F56" t="inlineStr"/>
      <c r="G56" t="inlineStr">
        <is>
          <t>Bellevue, WA, US</t>
        </is>
      </c>
      <c r="H56" s="2" t="n">
        <v>45931</v>
      </c>
      <c r="I5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in-21f02a70ed18f06d</t>
        </is>
      </c>
      <c r="B57" t="inlineStr">
        <is>
          <t>Sr. Program Manager, Same Day Programs,</t>
        </is>
      </c>
      <c r="C57" t="inlineStr">
        <is>
          <t>Amazon.com</t>
        </is>
      </c>
      <c r="D57" t="inlineStr">
        <is>
          <t>indeed</t>
        </is>
      </c>
      <c r="E57" t="inlineStr"/>
      <c r="F57" t="inlineStr"/>
      <c r="G57" t="inlineStr">
        <is>
          <t>Nashville, TN, US</t>
        </is>
      </c>
      <c r="H57" s="2" t="n">
        <v>45931</v>
      </c>
      <c r="I5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in-9eb82676a042e024</t>
        </is>
      </c>
      <c r="B58" t="inlineStr">
        <is>
          <t>Tech Infrastructure Program Manager - AV , IT Services - CIS</t>
        </is>
      </c>
      <c r="C58" t="inlineStr">
        <is>
          <t>Amazon.com</t>
        </is>
      </c>
      <c r="D58" t="inlineStr">
        <is>
          <t>indeed</t>
        </is>
      </c>
      <c r="E58" t="inlineStr"/>
      <c r="F58" t="inlineStr"/>
      <c r="G58" t="inlineStr">
        <is>
          <t>Sunnyvale, CA, US</t>
        </is>
      </c>
      <c r="H58" s="2" t="n">
        <v>45923</v>
      </c>
      <c r="I58"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in-de4c70e535e88286</t>
        </is>
      </c>
      <c r="B59" t="inlineStr">
        <is>
          <t>Tech Infrastructure Program Manager - AV , IT Services - CIS</t>
        </is>
      </c>
      <c r="C59" t="inlineStr">
        <is>
          <t>Amazon.com</t>
        </is>
      </c>
      <c r="D59" t="inlineStr">
        <is>
          <t>indeed</t>
        </is>
      </c>
      <c r="E59" t="inlineStr"/>
      <c r="F59" t="inlineStr"/>
      <c r="G59" t="inlineStr">
        <is>
          <t>Austin, TX, US</t>
        </is>
      </c>
      <c r="H59" s="2" t="n">
        <v>45923</v>
      </c>
      <c r="I59"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in-033b7586a1407b03</t>
        </is>
      </c>
      <c r="B60" t="inlineStr">
        <is>
          <t>Tech Infrastructure Program Manager - AV , IT Services - CIS</t>
        </is>
      </c>
      <c r="C60" t="inlineStr">
        <is>
          <t>Amazon.com</t>
        </is>
      </c>
      <c r="D60" t="inlineStr">
        <is>
          <t>indeed</t>
        </is>
      </c>
      <c r="E60" t="inlineStr"/>
      <c r="F60" t="inlineStr"/>
      <c r="G60" t="inlineStr">
        <is>
          <t>Arlington, VA, US</t>
        </is>
      </c>
      <c r="H60" s="2" t="n">
        <v>45923</v>
      </c>
      <c r="I60"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in-7e0eb9dc2535da2f</t>
        </is>
      </c>
      <c r="B61" t="inlineStr">
        <is>
          <t>Tech Infrastructure Program Manager - AV , IT Services - CIS</t>
        </is>
      </c>
      <c r="C61" t="inlineStr">
        <is>
          <t>Amazon.com</t>
        </is>
      </c>
      <c r="D61" t="inlineStr">
        <is>
          <t>indeed</t>
        </is>
      </c>
      <c r="E61" t="inlineStr"/>
      <c r="F61" t="inlineStr"/>
      <c r="G61" t="inlineStr">
        <is>
          <t>Seattle, WA, US</t>
        </is>
      </c>
      <c r="H61" s="2" t="n">
        <v>45923</v>
      </c>
      <c r="I6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in-7c06e1be2ee8e176</t>
        </is>
      </c>
      <c r="B62" t="inlineStr">
        <is>
          <t>Amazon Last Mile Fleet Program Manager, In Life Services-Recalls, Retrofits, and Tires</t>
        </is>
      </c>
      <c r="C62" t="inlineStr">
        <is>
          <t>Amazon.com</t>
        </is>
      </c>
      <c r="D62" t="inlineStr">
        <is>
          <t>indeed</t>
        </is>
      </c>
      <c r="E62" t="inlineStr"/>
      <c r="F62" t="inlineStr"/>
      <c r="G62" t="inlineStr">
        <is>
          <t>Bellevue, WA, US</t>
        </is>
      </c>
      <c r="H62" s="2" t="n">
        <v>45911</v>
      </c>
      <c r="I6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in-1a4f09fe452830d4</t>
        </is>
      </c>
      <c r="B63" t="inlineStr">
        <is>
          <t>Amazon Last Mile Fleet Program Manager, In Life Services-Recalls, Retrofits, and Tires</t>
        </is>
      </c>
      <c r="C63" t="inlineStr">
        <is>
          <t>Amazon.com</t>
        </is>
      </c>
      <c r="D63" t="inlineStr">
        <is>
          <t>indeed</t>
        </is>
      </c>
      <c r="E63" t="inlineStr"/>
      <c r="F63" t="inlineStr"/>
      <c r="G63" t="inlineStr">
        <is>
          <t>Arlington, VA, US</t>
        </is>
      </c>
      <c r="H63" s="2" t="n">
        <v>45911</v>
      </c>
      <c r="I6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in-d58a979790d187da</t>
        </is>
      </c>
      <c r="B64" t="inlineStr">
        <is>
          <t>Amazon Last Mile Fleet Program Manager, In Life Services-Recalls, Retrofits, and Tires</t>
        </is>
      </c>
      <c r="C64" t="inlineStr">
        <is>
          <t>Amazon.com</t>
        </is>
      </c>
      <c r="D64" t="inlineStr">
        <is>
          <t>indeed</t>
        </is>
      </c>
      <c r="E64" t="inlineStr"/>
      <c r="F64" t="inlineStr"/>
      <c r="G64" t="inlineStr">
        <is>
          <t>Nashville, TN, US</t>
        </is>
      </c>
      <c r="H64" s="2" t="n">
        <v>45911</v>
      </c>
      <c r="I6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in-e295397425c79f85</t>
        </is>
      </c>
      <c r="B65" t="inlineStr">
        <is>
          <t>Sr. EHS Program Manager, Safety Learning and Development</t>
        </is>
      </c>
      <c r="C65" t="inlineStr">
        <is>
          <t>Amazon.com</t>
        </is>
      </c>
      <c r="D65" t="inlineStr">
        <is>
          <t>indeed</t>
        </is>
      </c>
      <c r="E65" t="inlineStr"/>
      <c r="F65" t="inlineStr"/>
      <c r="G65" t="inlineStr">
        <is>
          <t>Nashville, TN, US</t>
        </is>
      </c>
      <c r="H65" s="2" t="n">
        <v>45910</v>
      </c>
      <c r="I6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in-d59eea3255e45a4d</t>
        </is>
      </c>
      <c r="B66" t="inlineStr">
        <is>
          <t>Sr. EHS Program Manager, Safety Learning and Development</t>
        </is>
      </c>
      <c r="C66" t="inlineStr">
        <is>
          <t>Amazon.com</t>
        </is>
      </c>
      <c r="D66" t="inlineStr">
        <is>
          <t>indeed</t>
        </is>
      </c>
      <c r="E66" t="inlineStr"/>
      <c r="F66" t="inlineStr"/>
      <c r="G66" t="inlineStr">
        <is>
          <t>Bellevue, WA, US</t>
        </is>
      </c>
      <c r="H66" s="2" t="n">
        <v>45910</v>
      </c>
      <c r="I6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in-9fe181a08bf6286b</t>
        </is>
      </c>
      <c r="B67" t="inlineStr">
        <is>
          <t>Sr. Product Manager, Sub-Same Day (SSD) - DOT, SSD Delivery Ops Tech</t>
        </is>
      </c>
      <c r="C67" t="inlineStr">
        <is>
          <t>Amazon.com</t>
        </is>
      </c>
      <c r="D67" t="inlineStr">
        <is>
          <t>indeed</t>
        </is>
      </c>
      <c r="E67" t="inlineStr"/>
      <c r="F67" t="inlineStr"/>
      <c r="G67" t="inlineStr">
        <is>
          <t>Nashville, TN, US</t>
        </is>
      </c>
      <c r="H67" s="2" t="n">
        <v>45876</v>
      </c>
      <c r="I6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in-17ca53c3e1d4752d</t>
        </is>
      </c>
      <c r="B68" t="inlineStr">
        <is>
          <t>Sr. Product Manager, Sub-Same Day (SSD) - DOT, SSD Delivery Ops Tech</t>
        </is>
      </c>
      <c r="C68" t="inlineStr">
        <is>
          <t>Amazon.com</t>
        </is>
      </c>
      <c r="D68" t="inlineStr">
        <is>
          <t>indeed</t>
        </is>
      </c>
      <c r="E68" t="inlineStr"/>
      <c r="F68" t="inlineStr"/>
      <c r="G68" t="inlineStr">
        <is>
          <t>Bellevue, WA, US</t>
        </is>
      </c>
      <c r="H68" s="2" t="n">
        <v>45876</v>
      </c>
      <c r="I6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in-d06213098dd50a9d</t>
        </is>
      </c>
      <c r="B69" t="inlineStr">
        <is>
          <t>Sr. Product Manager, Sub-Same Day (SSD) - DOT, SSD Delivery Ops Tech</t>
        </is>
      </c>
      <c r="C69" t="inlineStr">
        <is>
          <t>Amazon.com</t>
        </is>
      </c>
      <c r="D69" t="inlineStr">
        <is>
          <t>indeed</t>
        </is>
      </c>
      <c r="E69" t="inlineStr"/>
      <c r="F69" t="inlineStr"/>
      <c r="G69" t="inlineStr">
        <is>
          <t>New York, NY, US</t>
        </is>
      </c>
      <c r="H69" s="2" t="n">
        <v>45876</v>
      </c>
      <c r="I6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in-76fcbe7d6def855a</t>
        </is>
      </c>
      <c r="B70" t="inlineStr">
        <is>
          <t>Senior Product Manager - Tech, Fire TV</t>
        </is>
      </c>
      <c r="C70" t="inlineStr">
        <is>
          <t>Amazon.com</t>
        </is>
      </c>
      <c r="D70" t="inlineStr">
        <is>
          <t>indeed</t>
        </is>
      </c>
      <c r="E70" t="inlineStr"/>
      <c r="F70" t="inlineStr"/>
      <c r="G70" t="inlineStr">
        <is>
          <t>Sunnyvale, CA, US</t>
        </is>
      </c>
      <c r="H70" s="2" t="n">
        <v>45855</v>
      </c>
      <c r="I70"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in-1c7d435bcfc837ca</t>
        </is>
      </c>
      <c r="B71" t="inlineStr">
        <is>
          <t>Senior Product Manager - Tech, Fire TV</t>
        </is>
      </c>
      <c r="C71" t="inlineStr">
        <is>
          <t>Amazon.com</t>
        </is>
      </c>
      <c r="D71" t="inlineStr">
        <is>
          <t>indeed</t>
        </is>
      </c>
      <c r="E71" t="inlineStr"/>
      <c r="F71" t="inlineStr"/>
      <c r="G71" t="inlineStr">
        <is>
          <t>Seattle, WA, US</t>
        </is>
      </c>
      <c r="H71" s="2" t="n">
        <v>45855</v>
      </c>
      <c r="I7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in-47ee0a2f11525b6a</t>
        </is>
      </c>
      <c r="B72" t="inlineStr">
        <is>
          <t>Principal Product Manager Tech - Devices, Fire TV Devices</t>
        </is>
      </c>
      <c r="C72" t="inlineStr">
        <is>
          <t>Amazon.com</t>
        </is>
      </c>
      <c r="D72" t="inlineStr">
        <is>
          <t>indeed</t>
        </is>
      </c>
      <c r="E72" t="inlineStr"/>
      <c r="F72" t="inlineStr"/>
      <c r="G72" t="inlineStr">
        <is>
          <t>Sunnyvale, CA, US</t>
        </is>
      </c>
      <c r="H72" s="2" t="n">
        <v>45844</v>
      </c>
      <c r="I7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in-10977d918d40d8fd</t>
        </is>
      </c>
      <c r="B73" t="inlineStr">
        <is>
          <t>Principal Product Manager Tech - Devices, Fire TV Devices</t>
        </is>
      </c>
      <c r="C73" t="inlineStr">
        <is>
          <t>Amazon.com</t>
        </is>
      </c>
      <c r="D73" t="inlineStr">
        <is>
          <t>indeed</t>
        </is>
      </c>
      <c r="E73" t="inlineStr"/>
      <c r="F73" t="inlineStr"/>
      <c r="G73" t="inlineStr">
        <is>
          <t>Seattle, WA, US</t>
        </is>
      </c>
      <c r="H73" s="2" t="n">
        <v>45844</v>
      </c>
      <c r="I7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in-5b8e0d5cae475c79</t>
        </is>
      </c>
      <c r="B74" t="inlineStr">
        <is>
          <t>Principal Product Manager-Technical, AGI, Artificial General Intellgence</t>
        </is>
      </c>
      <c r="C74" t="inlineStr">
        <is>
          <t>Amazon.com</t>
        </is>
      </c>
      <c r="D74" t="inlineStr">
        <is>
          <t>indeed</t>
        </is>
      </c>
      <c r="E74" t="inlineStr"/>
      <c r="F74" t="inlineStr"/>
      <c r="G74" t="inlineStr">
        <is>
          <t>Bellevue, WA,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in-93253dafd314cefd</t>
        </is>
      </c>
      <c r="B75" t="inlineStr">
        <is>
          <t>Principal Product Manager-Technical, AGI, Artificial General Intellgence</t>
        </is>
      </c>
      <c r="C75" t="inlineStr">
        <is>
          <t>Amazon.com</t>
        </is>
      </c>
      <c r="D75" t="inlineStr">
        <is>
          <t>indeed</t>
        </is>
      </c>
      <c r="E75" t="inlineStr"/>
      <c r="F75" t="inlineStr"/>
      <c r="G75" t="inlineStr">
        <is>
          <t>Sunnyvale, CA,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in-7f35c2cb10ceaf9a</t>
        </is>
      </c>
      <c r="B76" t="inlineStr">
        <is>
          <t>Principal Product Manager-Technical, AGI, Artificial General Intellgence</t>
        </is>
      </c>
      <c r="C76" t="inlineStr">
        <is>
          <t>Amazon.com</t>
        </is>
      </c>
      <c r="D76" t="inlineStr">
        <is>
          <t>indeed</t>
        </is>
      </c>
      <c r="E76" t="inlineStr"/>
      <c r="F76" t="inlineStr"/>
      <c r="G76" t="inlineStr">
        <is>
          <t>Boston, MA, US</t>
        </is>
      </c>
      <c r="H76" s="2" t="n">
        <v>45824</v>
      </c>
      <c r="I7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in-55de36e82c9dc244</t>
        </is>
      </c>
      <c r="B77" t="inlineStr">
        <is>
          <t>Sr. Product Manager Technical, Deal Tooling &amp; Insights, Strategic Customer Engagements</t>
        </is>
      </c>
      <c r="C77" t="inlineStr">
        <is>
          <t>Amazon Web Services</t>
        </is>
      </c>
      <c r="D77" t="inlineStr">
        <is>
          <t>indeed</t>
        </is>
      </c>
      <c r="E77" t="inlineStr"/>
      <c r="F77" t="inlineStr"/>
      <c r="G77" t="inlineStr">
        <is>
          <t>New York, NY,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8">
      <c r="A78" t="inlineStr">
        <is>
          <t>in-f41f42f5822fbf83</t>
        </is>
      </c>
      <c r="B78" t="inlineStr">
        <is>
          <t>Sr. Product Manager Technical, Deal Tooling &amp; Insights, Strategic Customer Engagements</t>
        </is>
      </c>
      <c r="C78" t="inlineStr">
        <is>
          <t>Amazon Web Services</t>
        </is>
      </c>
      <c r="D78" t="inlineStr">
        <is>
          <t>indeed</t>
        </is>
      </c>
      <c r="E78" t="inlineStr"/>
      <c r="F78" t="inlineStr"/>
      <c r="G78" t="inlineStr">
        <is>
          <t>Herndon, VA,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9">
      <c r="A79" t="inlineStr">
        <is>
          <t>in-aab1824466435c94</t>
        </is>
      </c>
      <c r="B79" t="inlineStr">
        <is>
          <t>Sr. Product Manager Technical, Deal Tooling &amp; Insights, Strategic Customer Engagements</t>
        </is>
      </c>
      <c r="C79" t="inlineStr">
        <is>
          <t>Amazon Web Services</t>
        </is>
      </c>
      <c r="D79" t="inlineStr">
        <is>
          <t>indeed</t>
        </is>
      </c>
      <c r="E79" t="inlineStr"/>
      <c r="F79" t="inlineStr"/>
      <c r="G79" t="inlineStr">
        <is>
          <t>Arlington, VA, US</t>
        </is>
      </c>
      <c r="H79" s="2" t="n">
        <v>45994</v>
      </c>
      <c r="I7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0">
      <c r="A80" t="inlineStr">
        <is>
          <t>in-f03b9369d346a018</t>
        </is>
      </c>
      <c r="B80" t="inlineStr">
        <is>
          <t>Sr. Product Manager Technical, Deal Tooling &amp; Insights, Strategic Customer Engagements</t>
        </is>
      </c>
      <c r="C80" t="inlineStr">
        <is>
          <t>Amazon Web Services</t>
        </is>
      </c>
      <c r="D80" t="inlineStr">
        <is>
          <t>indeed</t>
        </is>
      </c>
      <c r="E80" t="inlineStr"/>
      <c r="F80" t="inlineStr"/>
      <c r="G80" t="inlineStr">
        <is>
          <t>Dallas, TX, US</t>
        </is>
      </c>
      <c r="H80" s="2" t="n">
        <v>45994</v>
      </c>
      <c r="I8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1">
      <c r="A81" t="inlineStr">
        <is>
          <t>in-5c6ef2a705c0129b</t>
        </is>
      </c>
      <c r="B81" t="inlineStr">
        <is>
          <t>Sr. Product Manager Technical, Deal Tooling &amp; Insights, Strategic Customer Engagements</t>
        </is>
      </c>
      <c r="C81" t="inlineStr">
        <is>
          <t>Amazon Web Services</t>
        </is>
      </c>
      <c r="D81" t="inlineStr">
        <is>
          <t>indeed</t>
        </is>
      </c>
      <c r="E81" t="inlineStr"/>
      <c r="F81" t="inlineStr"/>
      <c r="G81" t="inlineStr">
        <is>
          <t>Austin, TX,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2">
      <c r="A82" t="inlineStr">
        <is>
          <t>in-f88bcae98c51eef7</t>
        </is>
      </c>
      <c r="B82" t="inlineStr">
        <is>
          <t>Sr. Product Manager Technical, Deal Tooling &amp; Insights, Strategic Customer Engagements</t>
        </is>
      </c>
      <c r="C82" t="inlineStr">
        <is>
          <t>Amazon Web Services</t>
        </is>
      </c>
      <c r="D82" t="inlineStr">
        <is>
          <t>indeed</t>
        </is>
      </c>
      <c r="E82" t="inlineStr"/>
      <c r="F82" t="inlineStr"/>
      <c r="G82" t="inlineStr">
        <is>
          <t>Seattle, WA,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3">
      <c r="A83" t="inlineStr">
        <is>
          <t>in-7886013718e01ab3</t>
        </is>
      </c>
      <c r="B83" t="inlineStr">
        <is>
          <t>Sr. Product Manager - Tech, WHS Data-Tech</t>
        </is>
      </c>
      <c r="C83" t="inlineStr">
        <is>
          <t>Amazon.com</t>
        </is>
      </c>
      <c r="D83" t="inlineStr">
        <is>
          <t>indeed</t>
        </is>
      </c>
      <c r="E83" t="inlineStr"/>
      <c r="F83" t="inlineStr"/>
      <c r="G83" t="inlineStr">
        <is>
          <t>Nashville, TN, US</t>
        </is>
      </c>
      <c r="H83" s="2" t="n">
        <v>45836</v>
      </c>
      <c r="I83"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4">
      <c r="A84" t="inlineStr">
        <is>
          <t>in-db361f7e776a136d</t>
        </is>
      </c>
      <c r="B84" t="inlineStr">
        <is>
          <t>Sr. Product Manager - Tech, WHS Data-Tech</t>
        </is>
      </c>
      <c r="C84" t="inlineStr">
        <is>
          <t>Amazon.com</t>
        </is>
      </c>
      <c r="D84" t="inlineStr">
        <is>
          <t>indeed</t>
        </is>
      </c>
      <c r="E84" t="inlineStr"/>
      <c r="F84" t="inlineStr"/>
      <c r="G84" t="inlineStr">
        <is>
          <t>Arlington, VA, US</t>
        </is>
      </c>
      <c r="H84" s="2" t="n">
        <v>45836</v>
      </c>
      <c r="I84"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5">
      <c r="A85" t="inlineStr">
        <is>
          <t>in-c5d242bd4d9c51ac</t>
        </is>
      </c>
      <c r="B85" t="inlineStr">
        <is>
          <t>Sr. Product Manager - Tech, WHS Data-Tech</t>
        </is>
      </c>
      <c r="C85" t="inlineStr">
        <is>
          <t>Amazon.com</t>
        </is>
      </c>
      <c r="D85" t="inlineStr">
        <is>
          <t>indeed</t>
        </is>
      </c>
      <c r="E85" t="inlineStr"/>
      <c r="F85" t="inlineStr"/>
      <c r="G85" t="inlineStr">
        <is>
          <t>Bellevue, WA, US</t>
        </is>
      </c>
      <c r="H85" s="2" t="n">
        <v>45836</v>
      </c>
      <c r="I8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86">
      <c r="A86" t="inlineStr">
        <is>
          <t>in-86e6657f53dd8b0d</t>
        </is>
      </c>
      <c r="B86" t="inlineStr">
        <is>
          <t>Principal Product Manager - Tech, Recommender Systems, Prime Video Personalization &amp; Discovery</t>
        </is>
      </c>
      <c r="C86" t="inlineStr">
        <is>
          <t>Amazon.com</t>
        </is>
      </c>
      <c r="D86" t="inlineStr">
        <is>
          <t>indeed</t>
        </is>
      </c>
      <c r="E86" t="inlineStr"/>
      <c r="F86" t="inlineStr"/>
      <c r="G86" t="inlineStr">
        <is>
          <t>Washington, DC,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in-0cd2b9de702414c6</t>
        </is>
      </c>
      <c r="B87" t="inlineStr">
        <is>
          <t>Principal Product Manager - Tech, Recommender Systems, Prime Video Personalization &amp; Discovery</t>
        </is>
      </c>
      <c r="C87" t="inlineStr">
        <is>
          <t>Amazon.com</t>
        </is>
      </c>
      <c r="D87" t="inlineStr">
        <is>
          <t>indeed</t>
        </is>
      </c>
      <c r="E87" t="inlineStr"/>
      <c r="F87" t="inlineStr"/>
      <c r="G87" t="inlineStr">
        <is>
          <t>Seattle, WA,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in-03022fc6f082499e</t>
        </is>
      </c>
      <c r="B88" t="inlineStr">
        <is>
          <t>Program Manager, Relo Ops Excellence, Relo Ops Integration</t>
        </is>
      </c>
      <c r="C88" t="inlineStr">
        <is>
          <t>Amazon.com</t>
        </is>
      </c>
      <c r="D88" t="inlineStr">
        <is>
          <t>indeed</t>
        </is>
      </c>
      <c r="E88" t="inlineStr"/>
      <c r="F88" t="inlineStr"/>
      <c r="G88" t="inlineStr">
        <is>
          <t>Dallas, TX, US</t>
        </is>
      </c>
      <c r="H88" s="2" t="n">
        <v>46020</v>
      </c>
      <c r="I8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89">
      <c r="A89" t="inlineStr">
        <is>
          <t>in-7711f24fa2de55bf</t>
        </is>
      </c>
      <c r="B89" t="inlineStr">
        <is>
          <t>Program Manager, Relo Ops Excellence, Relo Ops Integration</t>
        </is>
      </c>
      <c r="C89" t="inlineStr">
        <is>
          <t>Amazon.com</t>
        </is>
      </c>
      <c r="D89" t="inlineStr">
        <is>
          <t>indeed</t>
        </is>
      </c>
      <c r="E89" t="inlineStr"/>
      <c r="F89" t="inlineStr"/>
      <c r="G89" t="inlineStr">
        <is>
          <t>Phoenix, AZ, US</t>
        </is>
      </c>
      <c r="H89" s="2" t="n">
        <v>46020</v>
      </c>
      <c r="I8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0">
      <c r="A90" t="inlineStr">
        <is>
          <t>in-68dca31316f0b5d1</t>
        </is>
      </c>
      <c r="B90" t="inlineStr">
        <is>
          <t>Program Manager, Relo Ops Excellence, Relo Ops Integration</t>
        </is>
      </c>
      <c r="C90" t="inlineStr">
        <is>
          <t>Amazon.com</t>
        </is>
      </c>
      <c r="D90" t="inlineStr">
        <is>
          <t>indeed</t>
        </is>
      </c>
      <c r="E90" t="inlineStr"/>
      <c r="F90" t="inlineStr"/>
      <c r="G90" t="inlineStr">
        <is>
          <t>Bellevue, WA, US</t>
        </is>
      </c>
      <c r="H90" s="2" t="n">
        <v>46020</v>
      </c>
      <c r="I9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1">
      <c r="A91" t="inlineStr">
        <is>
          <t>in-fe6f2b295ef77f4a</t>
        </is>
      </c>
      <c r="B91" t="inlineStr">
        <is>
          <t>Program Manager, Relo Ops Excellence, Relo Ops Integration</t>
        </is>
      </c>
      <c r="C91" t="inlineStr">
        <is>
          <t>Amazon.com</t>
        </is>
      </c>
      <c r="D91" t="inlineStr">
        <is>
          <t>indeed</t>
        </is>
      </c>
      <c r="E91" t="inlineStr"/>
      <c r="F91" t="inlineStr"/>
      <c r="G91" t="inlineStr">
        <is>
          <t>Phoenix, AZ, US</t>
        </is>
      </c>
      <c r="H91" s="2" t="n">
        <v>46020</v>
      </c>
      <c r="I9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2">
      <c r="A92" t="inlineStr">
        <is>
          <t>in-f68a916bb446ac06</t>
        </is>
      </c>
      <c r="B92" t="inlineStr">
        <is>
          <t>Program Manager, Relo Ops Excellence, Relo Ops Integration</t>
        </is>
      </c>
      <c r="C92" t="inlineStr">
        <is>
          <t>Amazon.com</t>
        </is>
      </c>
      <c r="D92" t="inlineStr">
        <is>
          <t>indeed</t>
        </is>
      </c>
      <c r="E92" t="inlineStr"/>
      <c r="F92" t="inlineStr"/>
      <c r="G92" t="inlineStr">
        <is>
          <t>Bellevue, WA, US</t>
        </is>
      </c>
      <c r="H92" s="2" t="n">
        <v>46020</v>
      </c>
      <c r="I9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3">
      <c r="A93" t="inlineStr">
        <is>
          <t>in-bb1835cae1b9ea21</t>
        </is>
      </c>
      <c r="B93" t="inlineStr">
        <is>
          <t>Program Manager, Relo Ops Excellence, Relo Ops Integration</t>
        </is>
      </c>
      <c r="C93" t="inlineStr">
        <is>
          <t>Amazon.com</t>
        </is>
      </c>
      <c r="D93" t="inlineStr">
        <is>
          <t>indeed</t>
        </is>
      </c>
      <c r="E93" t="inlineStr"/>
      <c r="F93" t="inlineStr"/>
      <c r="G93" t="inlineStr">
        <is>
          <t>Dallas, TX, US</t>
        </is>
      </c>
      <c r="H93" s="2" t="n">
        <v>46020</v>
      </c>
      <c r="I9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4">
      <c r="A94" t="inlineStr">
        <is>
          <t>in-c037c45bc42d735a</t>
        </is>
      </c>
      <c r="B94" t="inlineStr">
        <is>
          <t>Program Manager, Relo Ops Excellence, Relo Ops Integration</t>
        </is>
      </c>
      <c r="C94" t="inlineStr">
        <is>
          <t>Amazon.com</t>
        </is>
      </c>
      <c r="D94" t="inlineStr">
        <is>
          <t>indeed</t>
        </is>
      </c>
      <c r="E94" t="inlineStr"/>
      <c r="F94" t="inlineStr"/>
      <c r="G94" t="inlineStr">
        <is>
          <t>Nashville, TN, US</t>
        </is>
      </c>
      <c r="H94" s="2" t="n">
        <v>46020</v>
      </c>
      <c r="I9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5">
      <c r="A95" t="inlineStr">
        <is>
          <t>in-a98081a5e76df2f5</t>
        </is>
      </c>
      <c r="B95" t="inlineStr">
        <is>
          <t>Program Manager, Relo Ops Excellence, Relo Ops Integration</t>
        </is>
      </c>
      <c r="C95" t="inlineStr">
        <is>
          <t>Amazon.com</t>
        </is>
      </c>
      <c r="D95" t="inlineStr">
        <is>
          <t>indeed</t>
        </is>
      </c>
      <c r="E95" t="inlineStr"/>
      <c r="F95" t="inlineStr"/>
      <c r="G95" t="inlineStr">
        <is>
          <t>Nashville, TN, US</t>
        </is>
      </c>
      <c r="H95" s="2" t="n">
        <v>46020</v>
      </c>
      <c r="I9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96">
      <c r="A96" t="inlineStr">
        <is>
          <t>in-5f1272bb348771a7</t>
        </is>
      </c>
      <c r="B96" t="inlineStr">
        <is>
          <t>Principal Product Manager Technical, Creative X - RAPID</t>
        </is>
      </c>
      <c r="C96" t="inlineStr">
        <is>
          <t>Amazon.com</t>
        </is>
      </c>
      <c r="D96" t="inlineStr">
        <is>
          <t>indeed</t>
        </is>
      </c>
      <c r="E96" t="inlineStr"/>
      <c r="F96" t="inlineStr"/>
      <c r="G96" t="inlineStr">
        <is>
          <t>New York, NY, US</t>
        </is>
      </c>
      <c r="H96" s="2" t="n">
        <v>45939</v>
      </c>
      <c r="I9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7">
      <c r="A97" t="inlineStr">
        <is>
          <t>in-3b01932318e7d6f2</t>
        </is>
      </c>
      <c r="B97" t="inlineStr">
        <is>
          <t>Principal Product Manager Technical, Creative X - RAPID</t>
        </is>
      </c>
      <c r="C97" t="inlineStr">
        <is>
          <t>Amazon.com</t>
        </is>
      </c>
      <c r="D97" t="inlineStr">
        <is>
          <t>indeed</t>
        </is>
      </c>
      <c r="E97" t="inlineStr"/>
      <c r="F97" t="inlineStr"/>
      <c r="G97" t="inlineStr">
        <is>
          <t>Seattle, WA, US</t>
        </is>
      </c>
      <c r="H97" s="2" t="n">
        <v>45939</v>
      </c>
      <c r="I97"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98">
      <c r="A98" t="inlineStr">
        <is>
          <t>in-e4d97669382e01da</t>
        </is>
      </c>
      <c r="B98" t="inlineStr">
        <is>
          <t>Behavioral Health Program Manager</t>
        </is>
      </c>
      <c r="C98" t="inlineStr">
        <is>
          <t>International Health and Medical Services</t>
        </is>
      </c>
      <c r="D98" t="inlineStr">
        <is>
          <t>indeed</t>
        </is>
      </c>
      <c r="E98" t="inlineStr"/>
      <c r="F98" t="inlineStr"/>
      <c r="G98" t="inlineStr">
        <is>
          <t>El Paso, TX, US</t>
        </is>
      </c>
      <c r="H98" s="2" t="n">
        <v>46054</v>
      </c>
      <c r="I98" t="inlineStr">
        <is>
          <t>**Company Description**  
International Health and Medical Services delivers customized medical and security risk management and wellbeing solutions to enable our clients to operate safely and effectively in environments far from home. Founded in 1984, we operate in 92 countries providing integrated medical solutions to organizations with international operations. Our innovative technology and medical and security expertise focus on prevention, offering real\-time, actionable insights and on\-the\-ground quality delivery. We provide clinical services to include “hands on” direct care at over 800 sites around the world, many of which include inpatient clinical care capabilities. With 12,000 staff (including 5,200 medical and behavioral health providers) our services include the design, deployment, and operation of healthcare solutions including freestanding surgical facilities in remote and austere environments, telemedicine consultation through a wide range of virtual modalities, referrals to a global network of more than 100,000 vetted providers, and global aeromedical evacuation. Within our portfolio of companies, International Health and Medical Services headquartered in Houston, Texas provides contracted healthcare support to Government defense and civil agencies and government contractors, including support to military exercises and operations, diplomatic missions, natural disasters, and refugee care.
 **Job Description** ***This position is contingent upon award***
International Health and Medical Services is looking for an individual who is an experienced Program Manager to oversee the planning, implementation, and evaluation of the Behavioral Health program aimed at improving patient care, operational efficiency, and overall health outcomes. The Program Manager will coordinate resources, manage budgets, and ensure that programs align with the facility strategic goals and regulatory standards.
* Design and implement healthcare programs that address the specialize needs of behavioral health patients, improved care delivery, and support facility goals.
* Oversee multiple projects within the program, ensuring they are completed on time, within budget, and to the required standards.
* Develop and manage budgets for programs, ensuring efficient allocation of resources and compliance with financial policies.
* Collaborate with healthcare professionals, administrators, and external partners to ensure successful program execution and alignment with strategic objectives.
* Track and evaluate program performance using key metrics, and implement improvements based on data analysis and feedback.
* Ensure program adhere to regulatory requirements and healthcare standards, maintaining compliance with local, state, and federal laws.
* Identify and mitigate risks associated with program implementation and operation.
* Prepare and present detailed reports on program progress, outcomes, and financial status to senior management and stakeholders.
* Lead and support program staff, fostering a collaborative and productive working environment.
* Continuously seek opportunities to enhance program effectiveness and efficiency through innovative solution and best practices.
* Ensure the organization and delivery of health care in the facility maintains compliance with behavioral health applicable policies, accreditation standards, laws, and regulations.
* Collaborates with the Clinical Director and Nurse Manager, as a function of the Triad of leadership, to establish necessary processes and procedures ensuring provision of consistent high\-quality standards of care are equally accessible by patients.
* Maintains a collaborative working relationship with client and outside agencies as applicable.
* Addresses government personal issues through their respective supervisory chain of command relating to behavioral health issues. Maintains full responsibility for planning, directing, organizing, coordinating, and controlling overall behaviour health administrative operations through supporting managers who possess technical expertise in their respective areas.
* Employs high level judgment, analysis and decision\-making skills when delegating tasks and responsibilities to the multidisciplinary workforce.
* Provides program direction to supporting managers in various administrative areas for necessary mission accomplishment and accreditation standards.
* Monitors on\-site contracts to ensure services rendered are consistent with the contract.
* Collaborates with the headquarters contracting officer representative (COR) to ensure compliance with Federal Acquisition Regulations (FAR) policy for purchasing and procurement, and appropriate implementations of behavioral health contracts.
* Administer and monitor policies and procedures and identified objectives of behavioral health programs established by client to include staffing, training, records management, clinical services, and nursing services, medical records, and administration; quality assurance programs, safety and security standards, and public health.
* Develop and implement policies and procedures at the local level that are coordinated with and supportive of clinical activities.
* Monitor compliance of behavioral health required elements within client policies, regulations, and the rules of associated accrediting bodies by monitoring operations, performing internal assessments, and initiating changes where required.
* Monitors and directs behavioral health required programs, documentation, reports, and mission related data in accordance with established timelines, policy, and accreditation standards.
* Monitors incidents, sentinel events and potential litigation situations, providing documentation of corrective actions accordingly, to include developing, evaluating, and adjusting local operating processes and procedures.
* Ensures behavioral health required meetings are held and documented in compliance with established policies and accreditation standards.
* Ensures fiscal responsibility through appropriate management of the clinic budget.
* Ensures government furnished property and supplies which includes medical equipment and administrative supplies are properly accounted for and in good condition sufficient to meet mission requirements.
* Completes required organizational compliance education, including assigned requirements that are client\-specified, for Joint Commission Healthcare Staffing Services certification or other regulatory bodies.
***This list is non\-exhaustive, and the role holder may be required to undertake additional duties that are not specifically listed above.***
 **Qualifications** **Basic Requirements/Certifications:**
* Minimum of eight (8\) years' experience in program management or equivalent healthcare experience.
* Correctional Health experience preferred.
* Knowledge of issues confronting the health care delivery system, including specific problems and concerns of special population groups.
* Flexibility and ability to adapt to sudden changes in schedules and work\-related requirements.
* High degree of independence, initiative, and follow\-through on a wide range of sensitive, complex, and program issues.
* Proven ability to respond 24/7 to staff for consultation.
* Maintains basic readiness status.
* American Heart Association (AHA) Basic Life Support (BLS).
* Trained in Basic First Aid.
* Employees shall have at least one year of general experience that demonstrates the following:
	+ The ability to greet and deal tactfully with the public.
* + Capability of understanding and applying written and verbal orders, rules, and regulations. All personnel shall be literate and be able to interpret printed rules and regulations, detailed written orders, training instructions and materials, and must be able to compose reports.
	+ Good judgment, courage, alertness, an even temperament, and render satisfactory performance through knowledge of his/her position responsibilities.
	+ Ability to maintain poise and self\-control during situations that involve mental stress, such as fires, explosions, civil disturbances, and building evacuations.
**Education Required:**
* Master's Degree in a relevant healthcare field of study.
**Physical Requirements:**
* This position is considered hazardous duty.
* Required to walk unaided at a normal pace for up to 5 minutes and maintain balance.
* Required to jog/fast walk up to ¼ mile.
* Requires physical exertion such as lifting objects greater than 30 pounds.
* Required to perform CPR/emergency care standing or kneeling.
* Must have the ability to assist sick, injured, or aging patients or staff exiting the building (may require lifting, dragging, wheeling, or carrying someone who weighs significantly more than self).
* Must be able to see, hear and smell with aids if necessary.
* Must be able to lift, push, or carry 30 pounds.
* Must perform the duties of my job in a stressful and often austere environment without physical limitations.
* Sitting and/or standing for extended periods of time.
* Average manual dexterity for computer operation.
* Phone or computer use for extended periods of time.
**Other Special Qualifications:**
* Minimum of 21 years of age.
* Must maintain current/physical residency in the continental U.S.
* Pass a medical examination conducted by a licensed physician within 30 days prior to initial assignment.
* Be a U.S. citizen or a person lawfully admitted into the U.S. for permanent residence.
* Have resided in the U.S. for the last five years (unless abroad on official U.S. government duty).
* Successfully engage in and complete a thorough Background Investigation.
* Poses or have ability to obtain required security clearances.
* Proficiency in Spanish is preferred.
**Additional Information** *Pay range is based on several factors and may vary in addition to a full range of medical, financial, and/or other benefits. Final salary and offer will be determined by the applicant’s background, experience, skills, internal equity, and alignment with geographical market data.*
*Benefits – Full\-time positions are eligible for our comprehensive and competitive benefits package including medical, dental, vision, and basic life insurance. Additional benefits include a 401k plan paid time off and an annual bonus. International Health and Medical Services complies with all federal, state, and local minimum wage laws*
*International Health and Medical Services is an equal opportunity employer and does not discriminate against employees or job applicants on the basis of race, color, religion, gender, sexual orientation, gender identity, national origin, age, disability, genetic information, marital status, amnesty or status as a covered veteran in accordance with the applicable federal, state and local laws.*</t>
        </is>
      </c>
    </row>
    <row r="99">
      <c r="A99" t="inlineStr">
        <is>
          <t>in-f645ab2b2e69e234</t>
        </is>
      </c>
      <c r="B99" t="inlineStr">
        <is>
          <t>Field Healthcare Program Manager</t>
        </is>
      </c>
      <c r="C99" t="inlineStr">
        <is>
          <t>International Health and Medical Services</t>
        </is>
      </c>
      <c r="D99" t="inlineStr">
        <is>
          <t>indeed</t>
        </is>
      </c>
      <c r="E99" t="inlineStr"/>
      <c r="F99" t="inlineStr"/>
      <c r="G99" t="inlineStr">
        <is>
          <t>El Paso, TX, US</t>
        </is>
      </c>
      <c r="H99" s="2" t="n">
        <v>46054</v>
      </c>
      <c r="I99" t="inlineStr">
        <is>
          <t>**Company Description**  
International Health and Medical Services delivers customized medical and security risk management and wellbeing solutions to enable our clients to operate safely and effectively in environments far from home. Founded in 1984, we operate in 92 countries providing integrated medical solutions to organizations with international operations. Our innovative technology and medical and security expertise focus on prevention, offering real\-time, actionable insights and on\-the\-ground quality delivery. We provide clinical services to include “hands on” direct care at over 800 sites around the world, many of which include inpatient clinical care capabilities. With 12,000 staff (including 5,200 medical and behavioral health providers) our services include the design, deployment, and operation of healthcare solutions including freestanding surgical facilities in remote and austere environments, telemedicine consultation through a wide range of virtual modalities, referrals to a global network of more than 100,000 vetted providers, and global aeromedical evacuation. Within our portfolio of companies, International Health and Medical Services, headquartered in Houston, Texas provides contracted healthcare support to Government defense and civil agencies and government contractors, including support to military exercises and operations, diplomatic missions, natural disasters, and refugee care. To protect your workforce, we are at your fingertips: internationalsos.com
 **Job Description** **This position is contingent on contract award.**
International Health and Medical Services is looking for an individual who is an experienced Program Manager to oversee the planning, implementation, and evaluation of the program aimed at improving patient care, operational efficiency, and overall health outcomes. The Program Manager will coordinate resources, manage budgets, and ensure that programs align with the facility strategic goals and regulatory standards.
**Key Responsibilities**
* Design and implement healthcare programs that address patient needs, improved care delivery, and support facility goals.
* Oversee multiple projects within the program, ensuring they are completed on time, within budget, and to the required standards.
* Develop and manage budgets for programs, ensuring efficient allocation of resources and compliance with financial policies.
* Collaborate with healthcare professionals, administrators, and external partners to ensure successful program execution and alignment with strategic objectives.
* Track and evaluate program performance using key metrics, and implement improvements based on data analysis and feedback.
* Ensure program adhere to regulatory requirements and healthcare standards, maintaining compliance with local, state, and federal laws.
* Identify and mitigate risks associated with program implementation and operation.
* Prepare and present detailed reports on program progress, outcomes, and financial status to senior management and stakeholders.
* Lead and support program staff, fostering a collaborative and productive working environment.
* Continuously seek opportunities to enhance program effectiveness and efficiency through innovative solution and best practices.
* Ensure the organization and delivery of health care in the facility maintains compliance with all applicable policies, accreditation standards, laws, and regulations.
* Collaborates with the Clinical Director and Nurse Manager, as a function of the Triad of leadership, to establish necessary processes and procedures ensuring provision of consistent high\-quality standards of care are equally accessible by all patients.
* Serves as the final approving authority for the facility schedule to support the mission.
* Maintains a collaborative working relationship with client and outside agencies as applicable.
* Addresses all other government personal issues through their respective supervisory chain of command. Maintains full responsibility for planning, directing, organizing, coordinating, and controlling overall administrative operations through supporting managers who possess technical expertise in their respective areas.
* Employs high level judgment, analysis and decision\-making skills when delegating tasks and responsibilities to the multidisciplinary workforce.
* Provides program direction to supporting managers in various administrative areas for necessary mission accomplishment and accreditation standards.
* Serves as Government Technical Monitor for all contracted services at the facility, to include personnel/staffing services, translation services, laboratory services, biological and hazardous waste disposal services, air management services, medical and dental equipment inspection and recalibration services, radiology services.
* Monitors on\-site contracts to ensure services rendered are consistent with the contract.
* Collaborates with the headquarters contracting officer representative (COR) to ensure compliance with Federal Acquisition Regulations (FAR) policy for purchasing and procurement, and appropriate implementations of all contracts.
* Administer and monitor policies and procedures and identified objectives of all programs established by client to include staffing, training, records management, clinical services, nursing services, mental health services, pharmacy services, dental services, medical records, and administration; quality assurance programs, safety and security standards, public health, environmental control standards.
* Develop and implement policies and procedures at the local level that are coordinated with and supportive of clinical activities.
* Monitor compliance of all required elements within client policies, regulations, and the rules of all associated accrediting bodies by monitoring operations, performing internal assessments, and initiating changes where required.
* Monitors and directs all required programs, documentation, reports, and mission related data in accordance with established timelines, policy, and accreditation standards.
* Monitors incidents, sentinel events and potential litigation situations, providing documentation of corrective actions accordingly, to include developing, evaluating, and adjusting local operating processes and procedures.
* Ensures all required meetings are held and documented in compliance with established policies and accreditation standards.
* Ensures fiscal responsibility through appropriate management of the clinic budget.
* Ensures government furnished property and supplies which includes medical equipment and administrative supplies are properly accounted for and in good condition sufficient to meet mission requirements.
* Oversees the local government purchase program (P\-Card) ensuring the proper level of medical equipment and supplies are available and accessible for full clinic operations.
* Effectively communicates resource and funding needs to the proper agency authorities with all required supporting documentation.
**This list is non\-exhaustive, and the role holder may be required to undertake additional duties that are not specifically listed above.**
 **Qualifications** **Basic Requirements/Certifications:**
* Minimum of eight (8\) years' experience in program management or equivalent healthcare experience.
* Correctional Health experience preferred.
* Knowledge of issues confronting the health care delivery system, including specific problems and concerns of special population groups.
* Flexibility and ability to adapt to sudden changes in schedules and work\-related requirements.
* High degree of independence, initiative, and follow\-through on a wide range of sensitive, complex, and program issues.
* Proven ability to respond 24/7 to staff for consultation.
* Maintains basic readiness status.
* American Heart Association (AHA) Basic Life Support (BLS).
* Trained in Basic First Aid.
* Employees shall have at least one year of general experience that demonstrates the following:
	+ The ability to greet and deal tactfully with the public.
	+ Capability of understanding and applying written and verbal orders, rules, and regulations. All personnel shall be literate and be able to interpret printed rules and regulations, detailed written orders, training instructions and materials, and must be able to compose reports.
	+ Good judgment, courage, alertness, an even temperament, and render satisfactory performance through knowledge of his/her position responsibilities.
	+ Ability to maintain poise and self\-control during situations that involve mental stress, such as fires, explosions, civil disturbances, and building evacuations.
**Education Required:**
* Master's Degree in a relevant healthcare field of study.
**Physical Requirements:**
* This position is considered hazardous duty.
* Required to walk unaided at a normal pace for up to 5 minutes and maintain balance.
* Required to jog/fast walk up to ¼ mile.
* Requires physical exertion such as lifting objects greater than 30 pounds.
* Required to perform CPR/emergency care standing or kneeling.
* Must have the ability to assist sick, injured, or aging patients or staff exiting the building (may require lifting, dragging, wheeling, or carrying someone who weighs significantly more than self).
* Must be able to see, hear and smell with aids if necessary.
* Must be able to lift, push, or carry 30 pounds.
* Must perform the duties of my job in a stressful and often austere environment without physical limitations.
* Sitting and/or standing for extended periods of time.
* Average manual dexterity for computer operation.
* Phone or computer use for extended periods of time.
**Other Special Qualifications:**
* Minimum of 21 years of age.
* Must maintain current/physical residency in the continental U.S.
* Pass a medical examination conducted by a licensed physician within 30 days prior to initial assignment.
* Be a U.S. citizen or a person lawfully admitted into the U.S. for permanent residence.
* Have resided in the U.S. for the last five years (unless abroad on official U.S. government duty).
* Successfully engage in and complete a thorough Background Investigation.
* Poses or have ability to obtain required security clearances.
* Proficiency in Spanish is preferred.
**Additional Information** *Pay range is based on several factors and may vary in addition to a full range of medical, financial, and/or other benefits. Final salary and offer will be determined by the applicant’s background, experience, skills, internal equity, and alignment with geographical market data.*
*Benefits – Full\-time positions are eligible for our comprehensive and competitive benefits package including medical, dental, vision, and basic life insurance. Additional benefits include a 401k plan paid time off and an annual bonus. International Health and Medical Services complies with all federal, state, and local minimum wage laws*
*International Health and Medical Serivdes is an equal opportunity employer and does not discriminate against employees or job applicants on the basis of race, color, religion, gender, sexual orientation, gender identity, national origin, age, disability, genetic information, marital status, amnesty or status as a covered veteran in accordance with the applicable federal, state and local laws.*</t>
        </is>
      </c>
    </row>
    <row r="100">
      <c r="A100" t="inlineStr">
        <is>
          <t>in-6aaeaf1b4550feab</t>
        </is>
      </c>
      <c r="B100" t="inlineStr">
        <is>
          <t>Program Manager Supported Living DODD</t>
        </is>
      </c>
      <c r="C100" t="inlineStr"/>
      <c r="D100" t="inlineStr">
        <is>
          <t>indeed</t>
        </is>
      </c>
      <c r="E100" t="inlineStr"/>
      <c r="F100" t="inlineStr"/>
      <c r="G100" t="inlineStr">
        <is>
          <t>Dayton, OH, US</t>
        </is>
      </c>
      <c r="H100" s="2" t="n">
        <v>46054</v>
      </c>
      <c r="I100" t="inlineStr">
        <is>
          <t>The primary responsibility of this position will provide leadership and support the Home Coordinators and the Direct Support Professionals to ensure policies and procedures and delivery of services are consistent with agency mission and in accordance with contract requirements, state and federal regulations. In addition to ensuring the overall health and safety of our individual’s, the Program Manager also ensures the effective and efficient use of available resources and is responsible for overall management of program staff including the supervision style and effort for the retention of staff and continuity of care for the individuals. This position is on call 24/7\.
Essential Job Functions:
Staff/Team:
* Observe, monitor and coach House Coordinator Team and direct reports to assure consistency and compliance with ISP contract requirements, and agency policies not limited to the following areas, ISP, BSP, Outcome goals, etc.
* Collaborate with Quality Assurance to ensure quality of all services and establish systems and procedures to maintain quality and correct deficiencies.
* Facilitate positive communication between all staff and team members.
* Follow retention programs for all Home Coordinators and DSPs.
* Complete performance appraisal documents and meetings for all direct reports as directed.
* Ensure staff are trained within agency guidelines and training required by OAC.
* Attend and coordinator regular Site Team Meetings.
Individual:
* Review individual specific ISP, BSP and any other relative services that a individual is receiving or is eligible for to ensure compliance with contracts.
* Ensure development and maintenance of accurate and appropriate records and documentation for compliance with the program requirements, agency policy and ensure completion of all reports as required. (HPCs, QAs, LPS, etc.)
* Responds to complaints, grievances and appeals regarding individual services and escalate and effectively communicates as needed.
* Facilitates communication and coordination of care between individuals, family, and the support team.
* Comply with all DSP and Home Coordinators job responsibilities as necessary.
* Ensure follow up on all Quality Assurance reviews and medical reviews as required.
* Follow up on reviews of UI/MUI reports.</t>
        </is>
      </c>
    </row>
    <row r="101">
      <c r="A101" t="inlineStr">
        <is>
          <t>in-5aae8e987c6ea737</t>
        </is>
      </c>
      <c r="B101" t="inlineStr">
        <is>
          <t>Hunger Relief Program Manager</t>
        </is>
      </c>
      <c r="C101" t="inlineStr">
        <is>
          <t>Neighbors, Inc.</t>
        </is>
      </c>
      <c r="D101" t="inlineStr">
        <is>
          <t>indeed</t>
        </is>
      </c>
      <c r="E101" t="inlineStr"/>
      <c r="F101" t="inlineStr"/>
      <c r="G101" t="inlineStr">
        <is>
          <t>South Saint Paul, MN, US</t>
        </is>
      </c>
      <c r="H101" s="2" t="n">
        <v>46054</v>
      </c>
      <c r="I101" t="inlineStr">
        <is>
          <t>**Job Overview**  
Neighbors is excited to be seeking a Hunger Relief Program Manager. The Neighbors Hunger Program has been serving our community for over 50 years. It is essential for our community to be able to continue and to grow this program. Neighbors is seeking an experienced Hunger Relief Program Manager to lead and grow this program in a holistic and intentional manner. The successful candidate is an individual who is passionate about community and hunger relief and is dedicated to inclusive leadership. This is a high energy position for an individual who possesses outstanding communication and organizational skills.
The Hunger Relief Program Manager is ultimately responsible for all aspects of the successful operational oversight of the Hunger Relief Program including, but not limited to, food sourcing, inventory, and compliance with safety standards while driving program improvements and meeting organizational goals. This position is an integral part of the organization with strong leadership skills and the ability to effectively communicate and collaborate with the organization s team and management. This position requires a person who wants to engineer and implement growth and strategic change to meet the needs of the community. This role leads and supports staff, manages training and performance, demonstrates inclusion with volunteers, and ensures high\-quality service delivery. It is essential that the manager embraces the mission and culture of Neighbors.
Neighbors, Inc. is a non\-profit, social\-service agency with 50\+ years of experience serving predominately northern Dakota County communities with high dignity basic needs services (Hunger Relief, Clothing and Community Resources) and most recently Financial Empowerment services were launched to help lift communities out of poverty. With the tremendous support of over 400 active volunteers, Neighbors is a pillar of support and unity in our community and is well known as a place for individuals to turn to for help. We focus on meeting immediate needs while empowering individuals to move towards self\-sufficiency.
**Our Mission:** Neighbors helping neighbors build stability to increase opportunity and well\-being
**Duties**
**Hunger Relief Program Operations**
* Be a visible presence providing leadership in the program operational areas to maintain organizational flow for effectiveness in a highly logistical hunger program (Food Shelf, Express Sites, etc.)
* Oversight of food sourcing to support adequate inventory within organizational standards and budget, as well as the distribution of food within programmatic limitations and locations (express sites)
* Ensure completion of the loading and unloading of trucks and stocking products
* Ensure the functional programmatic areas of operation remain organized, clean, while ensuring safety and security
* Recommend continuous quality and program improvement to leadership
* Deep collaboration with Hunger Relief Associate to move forward outreach and other solutions which include:
* Keep abreast of legislation and trending in the industry which may impact the program to maintain federal and agency set food safety regulations and standards throughout the program
* Continuous forward movement to expand hunger relief
* Collaboration with other departments to effectively market and message to constituents, donors, volunteers
**Supervision and Leadership**
* Foster a collaborative and supportive work environment that leads to innovative new ideas and strong integrated service strategies while strategically leaning into strengths of staff
* Is able to collaborate and communicate with management and staff as a thought partner
* Demonstrate confidence in decision making and accountability
Ability to initiate, strategically plan and execute independently and as part of a collaborative team
* **Team Management**
* Provide exceptional training, resources and support as needed to staff ensuring a high\-quality Hunger Relief Program environment
* Ensure staff and volunteers are highly trained in the integrated resources and referrals of Neighbors, Inc. array of services
* Manage staff schedules as needed and warranted
* Provide continuous training and oversight of the volunteers to foster a holistic environment in collaboration with the Hunger Relief Associate
**Program Evaluation**
* Maintain and monitor programmatic data and inventory through appropriate databases including weighing and recording food shelf donations and distributed food (i.e. Salesforce and Link2Feed)
* Identify and evaluate creative strategies leading to high levels of programmatic success in collaboration with organization leadership
* Complete regular reporting as required by Hunger Relief Program partners
* Maintain high standards of confidentiality
* Other duties may be assigned within the scope of the mission of Neighbors, Inc. and the program.
**Knowledge, Skills and Abilities:**
* 3\+ years managing food/food logistics preferred or warehouse inventory management with proven ability to manage complex logistical operations, including coordinating multiple program tasks, optimizing resource allocation, and ensuring timely execution of strict deadlines.
* Bachelor's degree or equivalent progressive work experience may be considered
* Proven strong collaboration and communication skills
* Possess strong analytical and problem\-solving skills to improve efficiency and reduce operational risks.
* Ability to effectively use Microsoft Office applications and cloud\-based software systems.
* Valid Drivers License with a clean driving record. Comfortable driving large vans.
**Preferred:**
* Strong preference for bilingual (English/Spanish)
Proven familiarity with local and surrounding community
**Physical Requirements:**
* Frequent loading and unloading of food, lifting of up to fifty pounds, outdoors and indoors without risk to self
* Long periods of standing
**Additional Information**
* Eligible for employment in the United States.
* Pass criminal and vehicular background checks.
*This job description is a good\-faith representation of what the job entails and is subject to change.*
*Equal Opportunity Employer: All qualified applicants will receive consideration for employment without regard to age, race, color, religion, disability, marital status, national origin, sex, gender identity, sexual orientation, familial status, genetic information or a protected veteran s status*
Job Type: Full\-time
Pay: $65,000\.00 \- $68,000\.00 per year
Benefits:
* 403(b)
* 403(b) matching
* Dental insurance
* Employee assistance program
* Flexible spending account
* Health insurance
* Life insurance
* Paid time off
* Vision insurance
Work Location: In person</t>
        </is>
      </c>
    </row>
    <row r="102">
      <c r="A102" t="inlineStr">
        <is>
          <t>in-8042e12c5d53d363</t>
        </is>
      </c>
      <c r="B102" t="inlineStr">
        <is>
          <t>CDOC (Health Professional VI) - SOTMP Program Manager (Colorado Springs)</t>
        </is>
      </c>
      <c r="C102" t="inlineStr">
        <is>
          <t>Colorado Department of Corrections</t>
        </is>
      </c>
      <c r="D102" t="inlineStr">
        <is>
          <t>indeed</t>
        </is>
      </c>
      <c r="E102" t="inlineStr"/>
      <c r="F102" t="inlineStr"/>
      <c r="G102" t="inlineStr">
        <is>
          <t>Colorado Springs, CO, US</t>
        </is>
      </c>
      <c r="H102" s="2" t="n">
        <v>46049</v>
      </c>
      <c r="I102" t="inlineStr">
        <is>
          <t>**Department Information**
--------------------------
If your goal is to build a career that makes a difference and build greater public confidence in good government, consider joining the dedicated people of the State of Colorado. Our professionals strive to support state government and the citizens of Colorado. Customer service is a key component for every position in state government as is the focus on ideas and ways to redesign the delivery of services in making state government more effective and efficient.  
In addition to a great agency and rewarding, meaningful work, we offer:* Distinctive career advancement opportunities throughout the state system;
* Strong, secure, yet flexible retirement benefits including PERA Defined Benefit Plan or PERA Defined
* Contribution Plan plus 401K and 457 plans. Member Contribution Rates.
* Medical and dental health plans;
* Short and long term disability coverage;
* Paid life insurance;
* 11 paid holidays per year plus vacation and sick leave;
* Wellness program, tuition reimbursement, training opportunities and more;
* Visit State of Colorado Employee Benefits. for more information.
 **Who May Apply:** This position is only open to Colorado state residents.
**Location:** This position is located at **CDOC Headquarters in Colorado Springs****, CO.** This posting may be used to fill future vacancies at this location.  
**Description of Job**
----------------------
This position provides supervision and direction in collaboration with the SOTMP Administrator for SOTMP Programs at Fremont Correctional Facility, Denver Women’s Correctional Facility, Denver Reception and Diagnostic Center, Arkansas Valley Corrections facility, and Colorado Territorial Correctional Facility per the SOMB guidelines maintaining delivery of SOTMP services, assuring compliance with mental health practices and ethics in conjunction with SOMB standards and guidelines.  
Responsibilities include, but are not limited to:* Provides leadership and vision for the Sex Offender Treatment \&amp; Monitoring Programs (SOTMP) in collaboration with the SOTMP Administrator.
* Supervises, organizes, reviews, and evaluates the work of all SOTMP staff for competency and efficiency, directly or through subordinate supervisors.
* Maintaining the standard of care for the SOTMP program or work unit assigned by verifying compliance with the Sex Offender Management Board Standards and Guidelines and applicable mental health standards with collaboration and coordination with the SOTMP Administrator.
* Collaborate with other clinical program administrators regarding the behavioral health needs of inmates; providing consultation in offense specific risk assessment, clinical interviews, and diagnosis; participate in support education and In\-Reach meetings on a periodic basis.
* Acts as a consultant and provides training to facility, community, and state service providers on issues related to treating incarcerated offenders with sex offenses.
* Collaborate with SOTMP Administrator to supervise the identification, treatment and continuity of care for inmates with sexual offenses and histories of sexual offending behaviors, including: development and management of Track I, Track II and Track III treatment programs.
* Participate as part of the SOTMP management team to resolve issues and further develop policy, clinical standards, and procedures.
* Work with the SOTMP administrator and trainer to ensure all clinical staff training are updated.
* Define the programs and treatment methodology for sex offender services by developing staffing plans, decision items, Zero Based Budgets, strategic plans, management plans, therapist manuals, and other reports as directed by the Assistant Director of Clinical and Correctional Services and Chief of Behavioral Health Services.
* Write and manage grants to implement model demonstration programs for sex offenders.
* May be required to travel to other facilities.
* Other duties as assigned.
**\*\*Please read through this job announcement carefully and ensure that you submit a complete and thorough application. You are encouraged to print a copy of this announcement for your records\*\***
**Minimum Qualifications, Substitutions, Conditions of Employment \&amp; Appeal Rights**
------------------------------------------------------------------------------------
**ONLY APPLICANTS WHO MEET THE MINIMUM AND SPECIAL QUALIFICATIONS LISTED BELOW WILL PARTICIPATE IN THE COMPARATIVE ANALYSIS PROCESS.**
**MINIMUM QUALIFICATIONS:**
**EXPERIENCE ONLY:**  
* Applicant must have at least **nine (9\) years** of professional experience providing behavioral health services or managing the the care in a setting that provided behavioral health services. ***Experience must be thoroughly detailed in the Work Experience section of the application.***
***OR***  
 **EDUCATION AND EXPERIENCE:**  
* Applicant must have a combination of relevant education from an accredited institution **AND** professional experience as defined above, equal to **nine (9\) years**. ***You must attach a copy of your transcripts that include the name of the accredited institution, your name, type of degree received and date degree was awarded.***
**SPECIAL QUALIFICATIONS:*** **Licensure:** Applicant must have a current and valid license from the Colorado Department of Regulatory Agencies as a Licensed Clinical Social Worker (CSW), Licensed Professional Counselor (LPC), Licensed Psychologist, or Licensed Marriage and Family Therapist (MFT).
* Applicant must be listed with the **SOMB (Sex Offender Management Board) as an Approved Provider and Clinical Supervisor** **SOMB Provider**
 **Ensure that the 'Work Experience" section of the application is complete and contains all relevant work experience related to the position** **that you are applying for****. This information will be used to help determine compensation for the position. "See resume" statements cannot be accepted in lieu of the "work experience" section of the application. Additional work experience will not be accepted after the job announcement close date for compensation purposes.**
 **Required Competencies:*** Ability to supervise and provide staff leadership to include staff development, mentoring, coaching and performance evaluation;
* Excellent verbal and written communication skills;
* Ability to provide direct patient care to offenders;
* Ability to adapt, innovate and lead in a fast paced environment with competing priorities and excellent organizational skills;
* Ability to problem solve and think critically to effectively resolve issues;
* Exceptional interpersonal skills with the ability to collaborate effectively across facility programs and with internal and external stakeholders;
* Leadership: ambitious, operationally\-focused and results\-driven leader**;**
* Ability to effectively manage clinical operations while ensuring health\-care measures are met;
* Ability to ensure operational and administrative compliance with regulations, standards, procedures, laws, rules and statutes;
* Ability to read and comprehend the English language;
* Ability to effectively communicate fluently in English both verbally and in writing;
* Ability to create accessible documents and technical content that follows plain language guidelines with accessibility in mind.
**Preferred Qualifications:*** Supervisory experience over professional, behavioral health staff. Supervisory experience includes making decisions that affect the pay, status and tenure of subordinate employees;
* Completion of the minimal qualifications, as determined by DORA, to provide clinical supervision based on your specific license;
* Experience which includes leadership and oversight of a Behavioral Health Program.
* Experience providing Behavioral Health Treatment and discharge planning
* Five (5\) years of licensed experience providing Behavioral Health Treatment.
 **IMPORTANT INFORMATION**
If you have any questions regarding this job announcement, please contact Stacey Hibpshman at Stacey.Hibpshman@state.co.us or 719\-723\-3973\. **The Assessment Process**: Your application will be reviewed to determine if you meet the minimum Qualifications (MQ's). Applicants that meet MQ’s will be included in the Comparative Analysis process. Colorado Revised Statutes require that state employees are hired and promoted through a comparative analysis which may include, but is not limited to, a suitability screening, eSkills Assessment, oral assessment, written performance assessment or it may include a review of your application material and your responses to any supplemental questions by a Subject Matter Expert (SME) to assess and rank applicants in order to establish an eligible list for referral to the hiring manager for final consideration.
Use of artificial intelligence (AI) tools, including language models, to create, write, or alter any portion of responses throughout any step of the assessment process may result in the disqualification of an applicant.  
Be sure the "Work Experience" section of your application is complete and specifically addresses your qualifications, experience, and accomplishments as they relate to the **Description of the Job**, **Minimum Qualifications**, **Required Competencies** and **Preferred Qualifications** as listed above. Resumes and "see resume" statements will not be accepted in lieu of the "Work Experience" section of the application. Failure to include adequate information or follow instructions by the closing date may result in your application not being accepted and/or may affect your score, rank or inclusion in the final pool of eligible applicants.
Employees who are rehired or reinstated within six months of their separation will return at either their previous pay rate if hired into the same class level or based on their time in the class series, whichever is higher. Those rehired or reinstated after six months' separation will be calculated using the same formula for new hires and promotions.  
Please note that while this change in role may constitute a promotion in title and/or responsibility, salary adjustments are not guaranteed and may be influenced by factors such as internal pay equity, budget constraints, market benchmarks, or the individual’s current compensation level. Any changes to compensation will be determined separately and communicated accordingly.  
If you have transcripts, a license or other relevant documentation regarding your qualifications, upload and attach copies to your application.
If an unofficial copy of transcripts is being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prevent your application from moving forward in the selection process.  
Under the Job Application Fairness Act (SB 23\-058\), applicants may redact information from certifications and transcripts that identify their age, date of birth or dates of attendance from an educational institution. *In order to process a background investigation, your application must include at least (10\) ten years of the most current work experience unless experience related to the job for which you are applying is later than (10\) years. Failure to provide this information could result in delays and/or elimination from the background investigation process*
**Toll Free Applicant Technical Support:**If you experience technical difficulty with the NEOGOV system (e.g. uploading or attaching documents to your online application) call NEOGOV technical support at 855\-524\-5627 Mon\-Fri between 6 am and 6 pm (Pacific Time). Helpful hints: if you are having difficulty uploading or attaching documents to your application first, ensure your documents are PDF or Microsoft Word files and second, close the document before you attempt upload (attach) it.
 **Conditions of Employment:** All job offers are contingent upon a successful medical screening by a healthcare professional, certifying candidate's ability to perform the essential functions of the position. Applicant must consent to hold harmless CDOC and its agents and staff from any liability arising in whole or in part from the testing and the use of this information in connection with CDOC’s consideration of application for employment.
* Must be 21 years of age;
* Possess a valid driver’s license; Drivers must maintain a valid, non\-restricted Colorado driver license, obey traffic laws, and be able to safely operate a motor vehicle. State drivers are expected to maintain a safe driving record consistent with Colorado Division of Human Resources Universal Policy Driving Standards (Download PDF reader). Eligibility to drive a State\-owned vehicle, includes holding a valid Colorado driver’s license within 30 days of employment or residency change and meeting specific driving record criteria. Serious traffic violations, including DUIs or reckless driving, can disqualify drivers for up to seven years. All State Vehicles are monitored by telematics for safe operation and employees have no reasonable expectation of privacy while using an agency State Fleet vehicle.
* Possess a high school diploma or GED;
* Have NO felony convictions, to include any actions defined in 5 U.S.C. 301; U.S.C. 509, 510; 42 U.S.C. 15601\-15609\. The CDOC shall not hire nor promote anyone who may have contact with an offender who has engaged in sexual abuse which includes acts, activity, and sexual behavior, in a prison or other institution as defined in 42 U.S.C. 1997; or has been convicted of engaging or attempting to engage in sexual activity in the community facilitated by force, overt or implied threats of force or coercion, or if the victim did not consent or was unable to consent or refuse, or has been civilly or administratively adjudicated to have engaged in the activity described in the above paragraph. The agency shall consider any incidents of sexual harassment in determining whether to hire anyone who may have contact with offenders or residents.
* Applicants must be legally eligible to work in the United States to be appointed to this position. CDOC uses e\-Verify, an Internet\-based system, to confirm the eligibility of all newly hired employees to work in the United States. CDOC does not sponsor non\-residents of the United States.
* Successfully pass all modules of the 6 week Colorado Department of Corrections Basic Training, to include English reading comprehension, relevant competency assessments and written/practical exams in Defensive Tactics;
* Possess the physical ability to successfully complete Defensive Tactics;
	+ Lift arms above head and kick as high as own waist;
	+ Stabilize another person to accomplish a controlled take down;
	+ Use arms, palms of hands, shins, and feet to deliver blows;
	+ Withstand impact (slow speed or with a safety bag) on own body from strikes/blows;
	+ Swing a baton in a striking technique;
	+ Rotate body 90 degrees with feet planted for striking with foot or using a defensive tactic;
	+ Get down on one or both knees and up again with multiple repetitions;
* Will be exposed to Oleoresin Capsicum during Basic Training and will be exposed while on assignment;
* Must be able to see and hear in order to observe, address and respond to potential breaches in safety and security
* Seize, hold, control or subdue violent or assaultive persons and defend oneself or others to prevent injury;
* Demonstrate body agility, strength of all four limbs and the ability to walk and climb stairs consistently;
* Work in situations involving assaultive behavior, physical control of another person and/or restraint situations;
* Deal with individuals with a range of moods and behaviors, utilizing tactfulness and a congenial, personable manner;
* Work with people of the opposite sex, diverse racial ethnic groups, mentally ill and emotionally disturbed inmates;
* Communicate by talking, listening and/or signaling people to convey or exchange information, assignments;
* Work in an environment with fluctuating noise and temperature (hot and cold) which may include working outdoors in inclement weather and/or concrete floor/wall work settings;
* Willing and able to travel;
* Willing and able to work various shifts, days, afternoons, graveyards (nights) which includes a rotating shift schedule;
* TB (tuberculosis) screening is required of all new employees upon hire.
Successful completion of a background investigation is required. Should applicant’s background reveal criminal charges, it shall be the responsibility of the applicant to provide the Department of Corrections with written/official disposition of any charges.
The CDOC is committed to a work environment free from illegal drugs and alcohol. Employees (see exception below) may use marijuana in their personal time but are prohibited from working while under the influence of any substance, including marijuana. A drug test will be administered to all new employees; employees must successfully pass. Random drug screening will occur throughout employment.
Exception: Peace Officer Standards and Training (POST) certified employees are prohibited from the use of marijuana. Health care professionals must check their licensing requirements regarding marijuana use.
 **Appeal Rights:** If you receive notice that you have been eliminated from consideration for this position, you may file an appeal with the State Personnel Board or request a review by the State Personnel Director.  
An appeal or review must be submitted on the official appeal form, signed by you or your representative. This form must be delivered to the State Personnel Board by email (dpa\_state.personnelboard@state.co.us), postmarked in US Mail or hand delivered (1525 Sherman Street, 4th Floor, Denver CO 80203\), or faxed (303\.866\.5038\) within ten (10\) calendar days from your receipt of notice or acknowledgement of the department’s action.  
For more information about the appeals process, the official appeal form, and how to deliver it to the State Personnel Board; go to spb.colorado.gov; contact the State Personnel Board for assistance at (303\) 866\-3300; or refer to 4 Colorado Code of Regulations (CCR) 801\-1, State Personnel Board Rules and Personnel Director's Administrative Procedures, Chapter 8, Resolution of Appeals and Disputes, at spb.colorado.gov under Rules.
**Supplemental Information**
----------------------------
After submitting an application, you should receive an immediate email acknowledging your submission. If you do not get the email, please check to ensure you have actually submitted the application and typed the correct email address on the application.
Include a working email address on your application; one that is checked daily as **time sensitive correspondence WILL take place via email**. You may receive email notifications from a Colorado Dept of Corrections employee or from this email address info@governmentjobs.com It is your responsibility to ensure that your email will accept these notices and/or review your junk mail and spam filtered email; if you do not receive correspondence soon after the closing date, please contact Stacey Hibpshman at stacey.hibpshman@state.co.us.
SCHEDULED DATES OF POSSIBLE APPLICANT ASSESSMENTS (I.E., EXAMS, ORAL BOARDS, WRITTEN EXAMS) WILL NOT BE MADE UP. IF YOU FAIL TO SHOW AT THE APPOINTED DATE/TIME, MAKE\-UPS WILL NOT BE ALLOWED.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State of Colorado strives to create a Colorado for All by building and maintaining workplaces that value and respect all Coloradans through a commitment to equal opportunity and hiring based on merit and fitness. The State is resolute in non\-discriminatory practices in everything we do, including hiring, employment, and advancement opportunities.
Colorado Department of Corrections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Employee Relations Specialist, Kristen Lange, at doc\_employeerelations@state.co.us or call 719\-728\-0270\.
ALL DEPARTMENT OF CORRECTIONS FACILITIES AND BUILDINGS ARE TOBACCO FREE.
WE STRONGLY ENCOURAGE PROTECTED CLASSES TO APPLY.</t>
        </is>
      </c>
    </row>
    <row r="103">
      <c r="A103" t="inlineStr">
        <is>
          <t>in-fd1acf5cd0ff6c6c</t>
        </is>
      </c>
      <c r="B103" t="inlineStr">
        <is>
          <t>Global Signage &amp; Wayfinding Designer Program Manager, Workplace Design &amp; Construction (WD&amp;C)</t>
        </is>
      </c>
      <c r="C103" t="inlineStr">
        <is>
          <t>Amazon.com</t>
        </is>
      </c>
      <c r="D103" t="inlineStr">
        <is>
          <t>indeed</t>
        </is>
      </c>
      <c r="E103" t="inlineStr"/>
      <c r="F103" t="inlineStr"/>
      <c r="G103" t="inlineStr">
        <is>
          <t>Seattle, WA, US</t>
        </is>
      </c>
      <c r="H103" s="2" t="n">
        <v>45998</v>
      </c>
      <c r="I103"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in-aa59880e9a6b01aa</t>
        </is>
      </c>
      <c r="B104" t="inlineStr">
        <is>
          <t>Global Signage &amp; Wayfinding Designer Program Manager, Workplace Design &amp; Construction (WD&amp;C)</t>
        </is>
      </c>
      <c r="C104" t="inlineStr">
        <is>
          <t>Amazon.com</t>
        </is>
      </c>
      <c r="D104" t="inlineStr">
        <is>
          <t>indeed</t>
        </is>
      </c>
      <c r="E104" t="inlineStr"/>
      <c r="F104" t="inlineStr"/>
      <c r="G104" t="inlineStr">
        <is>
          <t>Arlington, VA, US</t>
        </is>
      </c>
      <c r="H104" s="2" t="n">
        <v>45998</v>
      </c>
      <c r="I10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in-5f86053fd48bac75</t>
        </is>
      </c>
      <c r="B105" t="inlineStr">
        <is>
          <t>Sr. Product Manager, Tech, Stores Privacy</t>
        </is>
      </c>
      <c r="C105" t="inlineStr">
        <is>
          <t>Amazon.com</t>
        </is>
      </c>
      <c r="D105" t="inlineStr">
        <is>
          <t>indeed</t>
        </is>
      </c>
      <c r="E105" t="inlineStr"/>
      <c r="F105" t="inlineStr"/>
      <c r="G105" t="inlineStr">
        <is>
          <t>Austin, TX, US</t>
        </is>
      </c>
      <c r="H105" s="2" t="n">
        <v>45995</v>
      </c>
      <c r="I105"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in-e8f7c13e5c1a4bd3</t>
        </is>
      </c>
      <c r="B106" t="inlineStr">
        <is>
          <t>Sr. Product Manager, Tech, Stores Privacy</t>
        </is>
      </c>
      <c r="C106" t="inlineStr">
        <is>
          <t>Amazon.com</t>
        </is>
      </c>
      <c r="D106" t="inlineStr">
        <is>
          <t>indeed</t>
        </is>
      </c>
      <c r="E106" t="inlineStr"/>
      <c r="F106" t="inlineStr"/>
      <c r="G106" t="inlineStr">
        <is>
          <t>Arlington, VA, US</t>
        </is>
      </c>
      <c r="H106" s="2" t="n">
        <v>45995</v>
      </c>
      <c r="I106"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in-abc566e57bb11413</t>
        </is>
      </c>
      <c r="B107" t="inlineStr">
        <is>
          <t>Sr. Product Manager, Tech, Stores Privacy</t>
        </is>
      </c>
      <c r="C107" t="inlineStr">
        <is>
          <t>Amazon.com</t>
        </is>
      </c>
      <c r="D107" t="inlineStr">
        <is>
          <t>indeed</t>
        </is>
      </c>
      <c r="E107" t="inlineStr"/>
      <c r="F107" t="inlineStr"/>
      <c r="G107" t="inlineStr">
        <is>
          <t>Seattle, WA, US</t>
        </is>
      </c>
      <c r="H107" s="2" t="n">
        <v>45995</v>
      </c>
      <c r="I107"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in-840666b164c2c4d8</t>
        </is>
      </c>
      <c r="B108" t="inlineStr">
        <is>
          <t>Senior Product Manager, Ads</t>
        </is>
      </c>
      <c r="C108" t="inlineStr">
        <is>
          <t>Amazon.com</t>
        </is>
      </c>
      <c r="D108" t="inlineStr">
        <is>
          <t>indeed</t>
        </is>
      </c>
      <c r="E108" t="inlineStr"/>
      <c r="F108" t="inlineStr"/>
      <c r="G108" t="inlineStr">
        <is>
          <t>Los Angeles, CA, US</t>
        </is>
      </c>
      <c r="H108" s="2" t="n">
        <v>45994</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in-bc19612b0975b108</t>
        </is>
      </c>
      <c r="B109" t="inlineStr">
        <is>
          <t>Senior Product Manager, Ads</t>
        </is>
      </c>
      <c r="C109" t="inlineStr">
        <is>
          <t>Amazon.com</t>
        </is>
      </c>
      <c r="D109" t="inlineStr">
        <is>
          <t>indeed</t>
        </is>
      </c>
      <c r="E109" t="inlineStr"/>
      <c r="F109" t="inlineStr"/>
      <c r="G109" t="inlineStr">
        <is>
          <t>Los Angeles, CA, US</t>
        </is>
      </c>
      <c r="H109" s="2" t="n">
        <v>45994</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in-de3e8fb439b6e759</t>
        </is>
      </c>
      <c r="B110" t="inlineStr">
        <is>
          <t>Senior Product Manager, Ads</t>
        </is>
      </c>
      <c r="C110" t="inlineStr">
        <is>
          <t>Amazon.com</t>
        </is>
      </c>
      <c r="D110" t="inlineStr">
        <is>
          <t>indeed</t>
        </is>
      </c>
      <c r="E110" t="inlineStr"/>
      <c r="F110" t="inlineStr"/>
      <c r="G110" t="inlineStr">
        <is>
          <t>San Francisco, CA, US</t>
        </is>
      </c>
      <c r="H110" s="2" t="n">
        <v>45994</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in-7323e51108f1adad</t>
        </is>
      </c>
      <c r="B111" t="inlineStr">
        <is>
          <t>Senior Product Manager, Ads</t>
        </is>
      </c>
      <c r="C111" t="inlineStr">
        <is>
          <t>Amazon.com</t>
        </is>
      </c>
      <c r="D111" t="inlineStr">
        <is>
          <t>indeed</t>
        </is>
      </c>
      <c r="E111" t="inlineStr"/>
      <c r="F111" t="inlineStr"/>
      <c r="G111" t="inlineStr">
        <is>
          <t>Irvine, CA, US</t>
        </is>
      </c>
      <c r="H111" s="2" t="n">
        <v>45994</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in-4082ac113480f798</t>
        </is>
      </c>
      <c r="B112" t="inlineStr">
        <is>
          <t>Senior Product Manager, Ads</t>
        </is>
      </c>
      <c r="C112" t="inlineStr">
        <is>
          <t>Amazon.com</t>
        </is>
      </c>
      <c r="D112" t="inlineStr">
        <is>
          <t>indeed</t>
        </is>
      </c>
      <c r="E112" t="inlineStr"/>
      <c r="F112" t="inlineStr"/>
      <c r="G112" t="inlineStr">
        <is>
          <t>New York, NY, US</t>
        </is>
      </c>
      <c r="H112" s="2" t="n">
        <v>45994</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in-e82e311ad6752cbc</t>
        </is>
      </c>
      <c r="B113" t="inlineStr">
        <is>
          <t>Senior Product Manager, Ads</t>
        </is>
      </c>
      <c r="C113" t="inlineStr">
        <is>
          <t>Amazon.com</t>
        </is>
      </c>
      <c r="D113" t="inlineStr">
        <is>
          <t>indeed</t>
        </is>
      </c>
      <c r="E113" t="inlineStr"/>
      <c r="F113" t="inlineStr"/>
      <c r="G113" t="inlineStr">
        <is>
          <t>Irvine, CA, US</t>
        </is>
      </c>
      <c r="H113" s="2" t="n">
        <v>45994</v>
      </c>
      <c r="I1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in-4555f08f07d53632</t>
        </is>
      </c>
      <c r="B114" t="inlineStr">
        <is>
          <t>Senior Product Manager, Ads</t>
        </is>
      </c>
      <c r="C114" t="inlineStr">
        <is>
          <t>Amazon.com</t>
        </is>
      </c>
      <c r="D114" t="inlineStr">
        <is>
          <t>indeed</t>
        </is>
      </c>
      <c r="E114" t="inlineStr"/>
      <c r="F114" t="inlineStr"/>
      <c r="G114" t="inlineStr">
        <is>
          <t>Seattle, WA, US</t>
        </is>
      </c>
      <c r="H114" s="2" t="n">
        <v>45994</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in-b18a87c5b2fd8151</t>
        </is>
      </c>
      <c r="B115" t="inlineStr">
        <is>
          <t>Senior Product Manager, Ads</t>
        </is>
      </c>
      <c r="C115" t="inlineStr">
        <is>
          <t>Amazon.com</t>
        </is>
      </c>
      <c r="D115" t="inlineStr">
        <is>
          <t>indeed</t>
        </is>
      </c>
      <c r="E115" t="inlineStr"/>
      <c r="F115" t="inlineStr"/>
      <c r="G115" t="inlineStr">
        <is>
          <t>Seattle, WA, US</t>
        </is>
      </c>
      <c r="H115" s="2" t="n">
        <v>45994</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in-7f3ce9a6182ce721</t>
        </is>
      </c>
      <c r="B116" t="inlineStr">
        <is>
          <t>Senior Product Manager, Ads</t>
        </is>
      </c>
      <c r="C116" t="inlineStr">
        <is>
          <t>Amazon.com</t>
        </is>
      </c>
      <c r="D116" t="inlineStr">
        <is>
          <t>indeed</t>
        </is>
      </c>
      <c r="E116" t="inlineStr"/>
      <c r="F116" t="inlineStr"/>
      <c r="G116" t="inlineStr">
        <is>
          <t>New York, NY, US</t>
        </is>
      </c>
      <c r="H116" s="2" t="n">
        <v>45994</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in-7718b5e0d769cefa</t>
        </is>
      </c>
      <c r="B117" t="inlineStr">
        <is>
          <t>Senior Product Manager, Ads</t>
        </is>
      </c>
      <c r="C117" t="inlineStr">
        <is>
          <t>Amazon.com</t>
        </is>
      </c>
      <c r="D117" t="inlineStr">
        <is>
          <t>indeed</t>
        </is>
      </c>
      <c r="E117" t="inlineStr"/>
      <c r="F117" t="inlineStr"/>
      <c r="G117" t="inlineStr">
        <is>
          <t>San Francisco, CA, US</t>
        </is>
      </c>
      <c r="H117" s="2" t="n">
        <v>45994</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in-e1e9493e5c1eb494</t>
        </is>
      </c>
      <c r="B118" t="inlineStr">
        <is>
          <t>Sr. Product Manager</t>
        </is>
      </c>
      <c r="C118" t="inlineStr">
        <is>
          <t>Amazon.com</t>
        </is>
      </c>
      <c r="D118" t="inlineStr">
        <is>
          <t>indeed</t>
        </is>
      </c>
      <c r="E118" t="inlineStr"/>
      <c r="F118" t="inlineStr"/>
      <c r="G118" t="inlineStr">
        <is>
          <t>Irvine, CA, US</t>
        </is>
      </c>
      <c r="H118" s="2" t="n">
        <v>45979</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in-e15e68bffe14f3f3</t>
        </is>
      </c>
      <c r="B119" t="inlineStr">
        <is>
          <t>Sr. Product Manager</t>
        </is>
      </c>
      <c r="C119" t="inlineStr">
        <is>
          <t>Amazon.com</t>
        </is>
      </c>
      <c r="D119" t="inlineStr">
        <is>
          <t>indeed</t>
        </is>
      </c>
      <c r="E119" t="inlineStr"/>
      <c r="F119" t="inlineStr"/>
      <c r="G119" t="inlineStr">
        <is>
          <t>Los Angeles, CA, US</t>
        </is>
      </c>
      <c r="H119" s="2" t="n">
        <v>45979</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in-150cfa8a549e7fc7</t>
        </is>
      </c>
      <c r="B120" t="inlineStr">
        <is>
          <t>Sr. Product Manager</t>
        </is>
      </c>
      <c r="C120" t="inlineStr">
        <is>
          <t>Amazon.com</t>
        </is>
      </c>
      <c r="D120" t="inlineStr">
        <is>
          <t>indeed</t>
        </is>
      </c>
      <c r="E120" t="inlineStr"/>
      <c r="F120" t="inlineStr"/>
      <c r="G120" t="inlineStr">
        <is>
          <t>San Francisco, CA, US</t>
        </is>
      </c>
      <c r="H120" s="2" t="n">
        <v>45979</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in-31311a224d40cc6e</t>
        </is>
      </c>
      <c r="B121" t="inlineStr">
        <is>
          <t>Sr. Product Manager</t>
        </is>
      </c>
      <c r="C121" t="inlineStr">
        <is>
          <t>Amazon.com</t>
        </is>
      </c>
      <c r="D121" t="inlineStr">
        <is>
          <t>indeed</t>
        </is>
      </c>
      <c r="E121" t="inlineStr"/>
      <c r="F121" t="inlineStr"/>
      <c r="G121" t="inlineStr">
        <is>
          <t>New York, NY, US</t>
        </is>
      </c>
      <c r="H121" s="2" t="n">
        <v>45979</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in-95884e41a803ba53</t>
        </is>
      </c>
      <c r="B122" t="inlineStr">
        <is>
          <t>Sr. Product Manager</t>
        </is>
      </c>
      <c r="C122" t="inlineStr">
        <is>
          <t>Amazon.com</t>
        </is>
      </c>
      <c r="D122" t="inlineStr">
        <is>
          <t>indeed</t>
        </is>
      </c>
      <c r="E122" t="inlineStr"/>
      <c r="F122" t="inlineStr"/>
      <c r="G122" t="inlineStr">
        <is>
          <t>Seattle, WA, US</t>
        </is>
      </c>
      <c r="H122" s="2" t="n">
        <v>45979</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in-1bd3193cf39bf554</t>
        </is>
      </c>
      <c r="B123" t="inlineStr">
        <is>
          <t>Program Manager, Executive Content and Programs, Global Executive Marketing</t>
        </is>
      </c>
      <c r="C123" t="inlineStr">
        <is>
          <t>Amazon Web Services</t>
        </is>
      </c>
      <c r="D123" t="inlineStr">
        <is>
          <t>indeed</t>
        </is>
      </c>
      <c r="E123" t="inlineStr"/>
      <c r="F123" t="inlineStr"/>
      <c r="G123" t="inlineStr">
        <is>
          <t>Seattle, WA, US</t>
        </is>
      </c>
      <c r="H123" s="2" t="n">
        <v>45970</v>
      </c>
      <c r="I123"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in-bcb70d0d70a22431</t>
        </is>
      </c>
      <c r="B124" t="inlineStr">
        <is>
          <t>Program Manager, Executive Content and Programs, Global Executive Marketing</t>
        </is>
      </c>
      <c r="C124" t="inlineStr">
        <is>
          <t>Amazon Web Services</t>
        </is>
      </c>
      <c r="D124" t="inlineStr">
        <is>
          <t>indeed</t>
        </is>
      </c>
      <c r="E124" t="inlineStr"/>
      <c r="F124" t="inlineStr"/>
      <c r="G124" t="inlineStr">
        <is>
          <t>Arlington, VA, US</t>
        </is>
      </c>
      <c r="H124" s="2" t="n">
        <v>45970</v>
      </c>
      <c r="I12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in-420c8796061a8f91</t>
        </is>
      </c>
      <c r="B125" t="inlineStr">
        <is>
          <t>Senior Product Manager, Sub Same Day</t>
        </is>
      </c>
      <c r="C125" t="inlineStr">
        <is>
          <t>Amazon.com</t>
        </is>
      </c>
      <c r="D125" t="inlineStr">
        <is>
          <t>indeed</t>
        </is>
      </c>
      <c r="E125" t="inlineStr"/>
      <c r="F125" t="inlineStr"/>
      <c r="G125" t="inlineStr">
        <is>
          <t>Nashville, TN, US</t>
        </is>
      </c>
      <c r="H125" s="2" t="n">
        <v>45957</v>
      </c>
      <c r="I125"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in-f504db32ad3f2bf8</t>
        </is>
      </c>
      <c r="B126" t="inlineStr">
        <is>
          <t>Senior Product Manager, Sub Same Day</t>
        </is>
      </c>
      <c r="C126" t="inlineStr">
        <is>
          <t>Amazon.com</t>
        </is>
      </c>
      <c r="D126" t="inlineStr">
        <is>
          <t>indeed</t>
        </is>
      </c>
      <c r="E126" t="inlineStr"/>
      <c r="F126" t="inlineStr"/>
      <c r="G126" t="inlineStr">
        <is>
          <t>Bellevue, WA, US</t>
        </is>
      </c>
      <c r="H126" s="2" t="n">
        <v>45957</v>
      </c>
      <c r="I126"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in-a1a5f229260e63d4</t>
        </is>
      </c>
      <c r="B127" t="inlineStr">
        <is>
          <t>Senior Product Manager, Sub Same Day</t>
        </is>
      </c>
      <c r="C127" t="inlineStr">
        <is>
          <t>Amazon.com</t>
        </is>
      </c>
      <c r="D127" t="inlineStr">
        <is>
          <t>indeed</t>
        </is>
      </c>
      <c r="E127" t="inlineStr"/>
      <c r="F127" t="inlineStr"/>
      <c r="G127" t="inlineStr">
        <is>
          <t>New York, NY, US</t>
        </is>
      </c>
      <c r="H127" s="2" t="n">
        <v>45957</v>
      </c>
      <c r="I12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in-d30b8a3f442ab2d2</t>
        </is>
      </c>
      <c r="B128" t="inlineStr">
        <is>
          <t>Sr. Program Manager, Planning &amp; Automation, Global Fleet and Products Electrification and Infrastructure</t>
        </is>
      </c>
      <c r="C128" t="inlineStr">
        <is>
          <t>Amazon.com</t>
        </is>
      </c>
      <c r="D128" t="inlineStr">
        <is>
          <t>indeed</t>
        </is>
      </c>
      <c r="E128" t="inlineStr"/>
      <c r="F128" t="inlineStr"/>
      <c r="G128" t="inlineStr">
        <is>
          <t>San Francisco, CA, US</t>
        </is>
      </c>
      <c r="H128" s="2" t="n">
        <v>45949</v>
      </c>
      <c r="I128"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in-ab4e45c542ed466f</t>
        </is>
      </c>
      <c r="B129" t="inlineStr">
        <is>
          <t>Sr. Program Manager, Planning &amp; Automation, Global Fleet and Products Electrification and Infrastructure</t>
        </is>
      </c>
      <c r="C129" t="inlineStr">
        <is>
          <t>Amazon.com</t>
        </is>
      </c>
      <c r="D129" t="inlineStr">
        <is>
          <t>indeed</t>
        </is>
      </c>
      <c r="E129" t="inlineStr"/>
      <c r="F129" t="inlineStr"/>
      <c r="G129" t="inlineStr">
        <is>
          <t>Bellevue, WA, US</t>
        </is>
      </c>
      <c r="H129" s="2" t="n">
        <v>45949</v>
      </c>
      <c r="I129"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in-e2d86f4897840954</t>
        </is>
      </c>
      <c r="B130" t="inlineStr">
        <is>
          <t>Sr. Program Manager, Planning &amp; Automation, Global Fleet and Products Electrification and Infrastructure</t>
        </is>
      </c>
      <c r="C130" t="inlineStr">
        <is>
          <t>Amazon.com</t>
        </is>
      </c>
      <c r="D130" t="inlineStr">
        <is>
          <t>indeed</t>
        </is>
      </c>
      <c r="E130" t="inlineStr"/>
      <c r="F130" t="inlineStr"/>
      <c r="G130" t="inlineStr">
        <is>
          <t>Nashville, TN, US</t>
        </is>
      </c>
      <c r="H130" s="2" t="n">
        <v>45949</v>
      </c>
      <c r="I13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in-a4d7dce7181b7847</t>
        </is>
      </c>
      <c r="B131" t="inlineStr">
        <is>
          <t>Sr Program Manager, Procurement Operations, SSD OI</t>
        </is>
      </c>
      <c r="C131" t="inlineStr">
        <is>
          <t>Amazon.com</t>
        </is>
      </c>
      <c r="D131" t="inlineStr">
        <is>
          <t>indeed</t>
        </is>
      </c>
      <c r="E131" t="inlineStr"/>
      <c r="F131" t="inlineStr"/>
      <c r="G131" t="inlineStr">
        <is>
          <t>Bellevue, WA, US</t>
        </is>
      </c>
      <c r="H131" s="2" t="n">
        <v>45938</v>
      </c>
      <c r="I131"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in-97d629681167d176</t>
        </is>
      </c>
      <c r="B132" t="inlineStr">
        <is>
          <t>Sr Program Manager, Procurement Operations, SSD OI</t>
        </is>
      </c>
      <c r="C132" t="inlineStr">
        <is>
          <t>Amazon.com</t>
        </is>
      </c>
      <c r="D132" t="inlineStr">
        <is>
          <t>indeed</t>
        </is>
      </c>
      <c r="E132" t="inlineStr"/>
      <c r="F132" t="inlineStr"/>
      <c r="G132" t="inlineStr">
        <is>
          <t>New York, NY, US</t>
        </is>
      </c>
      <c r="H132" s="2" t="n">
        <v>45938</v>
      </c>
      <c r="I132"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in-9950d902229ade8e</t>
        </is>
      </c>
      <c r="B133" t="inlineStr">
        <is>
          <t>Sr Program Manager, Procurement Operations, SSD OI</t>
        </is>
      </c>
      <c r="C133" t="inlineStr">
        <is>
          <t>Amazon.com</t>
        </is>
      </c>
      <c r="D133" t="inlineStr">
        <is>
          <t>indeed</t>
        </is>
      </c>
      <c r="E133" t="inlineStr"/>
      <c r="F133" t="inlineStr"/>
      <c r="G133" t="inlineStr">
        <is>
          <t>Nashville, TN, US</t>
        </is>
      </c>
      <c r="H133" s="2" t="n">
        <v>45938</v>
      </c>
      <c r="I13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in-031639de11574c87</t>
        </is>
      </c>
      <c r="B134" t="inlineStr">
        <is>
          <t>Sr. Supply Chain Product Manager, Amazon Custom Modules</t>
        </is>
      </c>
      <c r="C134" t="inlineStr">
        <is>
          <t>Amazon.com</t>
        </is>
      </c>
      <c r="D134" t="inlineStr">
        <is>
          <t>indeed</t>
        </is>
      </c>
      <c r="E134" t="inlineStr"/>
      <c r="F134" t="inlineStr"/>
      <c r="G134" t="inlineStr">
        <is>
          <t>Seattle, WA, US</t>
        </is>
      </c>
      <c r="H134" s="2" t="n">
        <v>45935</v>
      </c>
      <c r="I1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in-2256bd079db9faf1</t>
        </is>
      </c>
      <c r="B135" t="inlineStr">
        <is>
          <t>Sr. Supply Chain Product Manager, Amazon Custom Modules</t>
        </is>
      </c>
      <c r="C135" t="inlineStr">
        <is>
          <t>Amazon.com</t>
        </is>
      </c>
      <c r="D135" t="inlineStr">
        <is>
          <t>indeed</t>
        </is>
      </c>
      <c r="E135" t="inlineStr"/>
      <c r="F135" t="inlineStr"/>
      <c r="G135" t="inlineStr">
        <is>
          <t>Cupertino, CA, US</t>
        </is>
      </c>
      <c r="H135" s="2" t="n">
        <v>45935</v>
      </c>
      <c r="I1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in-639e4a62b022c68c</t>
        </is>
      </c>
      <c r="B136" t="inlineStr">
        <is>
          <t>Sr. Supply Chain Product Manager, Amazon Custom Modules</t>
        </is>
      </c>
      <c r="C136" t="inlineStr">
        <is>
          <t>Amazon.com</t>
        </is>
      </c>
      <c r="D136" t="inlineStr">
        <is>
          <t>indeed</t>
        </is>
      </c>
      <c r="E136" t="inlineStr"/>
      <c r="F136" t="inlineStr"/>
      <c r="G136" t="inlineStr">
        <is>
          <t>Austin, TX, US</t>
        </is>
      </c>
      <c r="H136" s="2" t="n">
        <v>45935</v>
      </c>
      <c r="I13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in-e160f847a187042b</t>
        </is>
      </c>
      <c r="B137" t="inlineStr">
        <is>
          <t>Sr. Program Manager, Same Day Programs,</t>
        </is>
      </c>
      <c r="C137" t="inlineStr">
        <is>
          <t>Amazon.com</t>
        </is>
      </c>
      <c r="D137" t="inlineStr">
        <is>
          <t>indeed</t>
        </is>
      </c>
      <c r="E137" t="inlineStr"/>
      <c r="F137" t="inlineStr"/>
      <c r="G137" t="inlineStr">
        <is>
          <t>Nashville, TN, US</t>
        </is>
      </c>
      <c r="H137" s="2" t="n">
        <v>45931</v>
      </c>
      <c r="I1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in-7ed6dbe8f338150a</t>
        </is>
      </c>
      <c r="B138" t="inlineStr">
        <is>
          <t>Sr. Program Manager, Same Day Programs</t>
        </is>
      </c>
      <c r="C138" t="inlineStr">
        <is>
          <t>Amazon.com</t>
        </is>
      </c>
      <c r="D138" t="inlineStr">
        <is>
          <t>indeed</t>
        </is>
      </c>
      <c r="E138" t="inlineStr"/>
      <c r="F138" t="inlineStr"/>
      <c r="G138" t="inlineStr">
        <is>
          <t>Nashville, TN, US</t>
        </is>
      </c>
      <c r="H138" s="2" t="n">
        <v>45931</v>
      </c>
      <c r="I1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in-b27fc8a73c79716f</t>
        </is>
      </c>
      <c r="B139" t="inlineStr">
        <is>
          <t>Sr. Program Manager, Same Day Programs,</t>
        </is>
      </c>
      <c r="C139" t="inlineStr">
        <is>
          <t>Amazon.com</t>
        </is>
      </c>
      <c r="D139" t="inlineStr">
        <is>
          <t>indeed</t>
        </is>
      </c>
      <c r="E139" t="inlineStr"/>
      <c r="F139" t="inlineStr"/>
      <c r="G139" t="inlineStr">
        <is>
          <t>Bellevue, WA, US</t>
        </is>
      </c>
      <c r="H139" s="2" t="n">
        <v>45931</v>
      </c>
      <c r="I1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in-18e6cee2b82a519b</t>
        </is>
      </c>
      <c r="B140" t="inlineStr">
        <is>
          <t>Sr. Program Manager, Same Day Programs</t>
        </is>
      </c>
      <c r="C140" t="inlineStr">
        <is>
          <t>Amazon.com</t>
        </is>
      </c>
      <c r="D140" t="inlineStr">
        <is>
          <t>indeed</t>
        </is>
      </c>
      <c r="E140" t="inlineStr"/>
      <c r="F140" t="inlineStr"/>
      <c r="G140" t="inlineStr">
        <is>
          <t>Bellevue, WA, US</t>
        </is>
      </c>
      <c r="H140" s="2" t="n">
        <v>45931</v>
      </c>
      <c r="I14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in-15d99a07c0a28458</t>
        </is>
      </c>
      <c r="B141" t="inlineStr">
        <is>
          <t>Tech Infrastructure Program Manager - AV , IT Services - CIS</t>
        </is>
      </c>
      <c r="C141" t="inlineStr">
        <is>
          <t>Amazon.com</t>
        </is>
      </c>
      <c r="D141" t="inlineStr">
        <is>
          <t>indeed</t>
        </is>
      </c>
      <c r="E141" t="inlineStr"/>
      <c r="F141" t="inlineStr"/>
      <c r="G141" t="inlineStr">
        <is>
          <t>Seattle, WA, US</t>
        </is>
      </c>
      <c r="H141" s="2" t="n">
        <v>45923</v>
      </c>
      <c r="I141"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in-3523c8110b82da83</t>
        </is>
      </c>
      <c r="B142" t="inlineStr">
        <is>
          <t>Tech Infrastructure Program Manager - AV , IT Services - CIS</t>
        </is>
      </c>
      <c r="C142" t="inlineStr">
        <is>
          <t>Amazon.com</t>
        </is>
      </c>
      <c r="D142" t="inlineStr">
        <is>
          <t>indeed</t>
        </is>
      </c>
      <c r="E142" t="inlineStr"/>
      <c r="F142" t="inlineStr"/>
      <c r="G142" t="inlineStr">
        <is>
          <t>Arlington, VA, US</t>
        </is>
      </c>
      <c r="H142" s="2" t="n">
        <v>45923</v>
      </c>
      <c r="I142"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in-d44ab83406e0b1a0</t>
        </is>
      </c>
      <c r="B143" t="inlineStr">
        <is>
          <t>Tech Infrastructure Program Manager - AV , IT Services - CIS</t>
        </is>
      </c>
      <c r="C143" t="inlineStr">
        <is>
          <t>Amazon.com</t>
        </is>
      </c>
      <c r="D143" t="inlineStr">
        <is>
          <t>indeed</t>
        </is>
      </c>
      <c r="E143" t="inlineStr"/>
      <c r="F143" t="inlineStr"/>
      <c r="G143" t="inlineStr">
        <is>
          <t>Austin, TX, US</t>
        </is>
      </c>
      <c r="H143" s="2" t="n">
        <v>45923</v>
      </c>
      <c r="I14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in-a24bb1037779de74</t>
        </is>
      </c>
      <c r="B144" t="inlineStr">
        <is>
          <t>Tech Infrastructure Program Manager - AV , IT Services - CIS</t>
        </is>
      </c>
      <c r="C144" t="inlineStr">
        <is>
          <t>Amazon.com</t>
        </is>
      </c>
      <c r="D144" t="inlineStr">
        <is>
          <t>indeed</t>
        </is>
      </c>
      <c r="E144" t="inlineStr"/>
      <c r="F144" t="inlineStr"/>
      <c r="G144" t="inlineStr">
        <is>
          <t>Sunnyvale, CA, US</t>
        </is>
      </c>
      <c r="H144" s="2" t="n">
        <v>45923</v>
      </c>
      <c r="I14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in-899951c7fce33230</t>
        </is>
      </c>
      <c r="B145" t="inlineStr">
        <is>
          <t>Amazon Last Mile Fleet Program Manager, In Life Services-Recalls, Retrofits, and Tires</t>
        </is>
      </c>
      <c r="C145" t="inlineStr">
        <is>
          <t>Amazon.com</t>
        </is>
      </c>
      <c r="D145" t="inlineStr">
        <is>
          <t>indeed</t>
        </is>
      </c>
      <c r="E145" t="inlineStr"/>
      <c r="F145" t="inlineStr"/>
      <c r="G145" t="inlineStr">
        <is>
          <t>Bellevue, WA, US</t>
        </is>
      </c>
      <c r="H145" s="2" t="n">
        <v>45911</v>
      </c>
      <c r="I1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in-d142d3fe56d6fb24</t>
        </is>
      </c>
      <c r="B146" t="inlineStr">
        <is>
          <t>Amazon Last Mile Fleet Program Manager, In Life Services-Recalls, Retrofits, and Tires</t>
        </is>
      </c>
      <c r="C146" t="inlineStr">
        <is>
          <t>Amazon.com</t>
        </is>
      </c>
      <c r="D146" t="inlineStr">
        <is>
          <t>indeed</t>
        </is>
      </c>
      <c r="E146" t="inlineStr"/>
      <c r="F146" t="inlineStr"/>
      <c r="G146" t="inlineStr">
        <is>
          <t>Arlington, VA, US</t>
        </is>
      </c>
      <c r="H146" s="2" t="n">
        <v>45911</v>
      </c>
      <c r="I14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in-e40385c2e3c7a692</t>
        </is>
      </c>
      <c r="B147" t="inlineStr">
        <is>
          <t>Amazon Last Mile Fleet Program Manager, In Life Services-Recalls, Retrofits, and Tires</t>
        </is>
      </c>
      <c r="C147" t="inlineStr">
        <is>
          <t>Amazon.com</t>
        </is>
      </c>
      <c r="D147" t="inlineStr">
        <is>
          <t>indeed</t>
        </is>
      </c>
      <c r="E147" t="inlineStr"/>
      <c r="F147" t="inlineStr"/>
      <c r="G147" t="inlineStr">
        <is>
          <t>Nashville, TN, US</t>
        </is>
      </c>
      <c r="H147" s="2" t="n">
        <v>45911</v>
      </c>
      <c r="I14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in-36fd84c7e6709a03</t>
        </is>
      </c>
      <c r="B148" t="inlineStr">
        <is>
          <t>Sr. EHS Program Manager, Safety Learning and Development</t>
        </is>
      </c>
      <c r="C148" t="inlineStr">
        <is>
          <t>Amazon.com</t>
        </is>
      </c>
      <c r="D148" t="inlineStr">
        <is>
          <t>indeed</t>
        </is>
      </c>
      <c r="E148" t="inlineStr"/>
      <c r="F148" t="inlineStr"/>
      <c r="G148" t="inlineStr">
        <is>
          <t>Nashville, TN, US</t>
        </is>
      </c>
      <c r="H148" s="2" t="n">
        <v>45910</v>
      </c>
      <c r="I14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in-4b9a845f6ef9cd61</t>
        </is>
      </c>
      <c r="B149" t="inlineStr">
        <is>
          <t>Sr. EHS Program Manager, Safety Learning and Development</t>
        </is>
      </c>
      <c r="C149" t="inlineStr">
        <is>
          <t>Amazon.com</t>
        </is>
      </c>
      <c r="D149" t="inlineStr">
        <is>
          <t>indeed</t>
        </is>
      </c>
      <c r="E149" t="inlineStr"/>
      <c r="F149" t="inlineStr"/>
      <c r="G149" t="inlineStr">
        <is>
          <t>Bellevue, WA, US</t>
        </is>
      </c>
      <c r="H149" s="2" t="n">
        <v>45910</v>
      </c>
      <c r="I14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in-7604375e71fddc88</t>
        </is>
      </c>
      <c r="B150" t="inlineStr">
        <is>
          <t>Sr. Product Manager, Sub-Same Day (SSD) - DOT, SSD Delivery Ops Tech</t>
        </is>
      </c>
      <c r="C150" t="inlineStr">
        <is>
          <t>Amazon.com</t>
        </is>
      </c>
      <c r="D150" t="inlineStr">
        <is>
          <t>indeed</t>
        </is>
      </c>
      <c r="E150" t="inlineStr"/>
      <c r="F150" t="inlineStr"/>
      <c r="G150" t="inlineStr">
        <is>
          <t>Bellevue, WA, US</t>
        </is>
      </c>
      <c r="H150" s="2" t="n">
        <v>45876</v>
      </c>
      <c r="I15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in-5b049334eee25f76</t>
        </is>
      </c>
      <c r="B151" t="inlineStr">
        <is>
          <t>Sr. Product Manager, Sub-Same Day (SSD) - DOT, SSD Delivery Ops Tech</t>
        </is>
      </c>
      <c r="C151" t="inlineStr">
        <is>
          <t>Amazon.com</t>
        </is>
      </c>
      <c r="D151" t="inlineStr">
        <is>
          <t>indeed</t>
        </is>
      </c>
      <c r="E151" t="inlineStr"/>
      <c r="F151" t="inlineStr"/>
      <c r="G151" t="inlineStr">
        <is>
          <t>Nashville, TN, US</t>
        </is>
      </c>
      <c r="H151" s="2" t="n">
        <v>45876</v>
      </c>
      <c r="I15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in-4e4d048c2e60fb2f</t>
        </is>
      </c>
      <c r="B152" t="inlineStr">
        <is>
          <t>Sr. Product Manager, Sub-Same Day (SSD) - DOT, SSD Delivery Ops Tech</t>
        </is>
      </c>
      <c r="C152" t="inlineStr">
        <is>
          <t>Amazon.com</t>
        </is>
      </c>
      <c r="D152" t="inlineStr">
        <is>
          <t>indeed</t>
        </is>
      </c>
      <c r="E152" t="inlineStr"/>
      <c r="F152" t="inlineStr"/>
      <c r="G152" t="inlineStr">
        <is>
          <t>New York, NY, US</t>
        </is>
      </c>
      <c r="H152" s="2" t="n">
        <v>45876</v>
      </c>
      <c r="I15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in-084ab76924201cd3</t>
        </is>
      </c>
      <c r="B153" t="inlineStr">
        <is>
          <t>Principal Product Manager - External Services, End User Computing</t>
        </is>
      </c>
      <c r="C153" t="inlineStr">
        <is>
          <t>Amazon Web Services</t>
        </is>
      </c>
      <c r="D153" t="inlineStr">
        <is>
          <t>indeed</t>
        </is>
      </c>
      <c r="E153" t="inlineStr"/>
      <c r="F153" t="inlineStr"/>
      <c r="G153" t="inlineStr">
        <is>
          <t>Seattle, WA, US</t>
        </is>
      </c>
      <c r="H153" s="2" t="n">
        <v>45876</v>
      </c>
      <c r="I153"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in-b095df91fe4c2a6e</t>
        </is>
      </c>
      <c r="B154" t="inlineStr">
        <is>
          <t>Senior Product Manager - Tech, Fire TV</t>
        </is>
      </c>
      <c r="C154" t="inlineStr">
        <is>
          <t>Amazon.com</t>
        </is>
      </c>
      <c r="D154" t="inlineStr">
        <is>
          <t>indeed</t>
        </is>
      </c>
      <c r="E154" t="inlineStr"/>
      <c r="F154" t="inlineStr"/>
      <c r="G154" t="inlineStr">
        <is>
          <t>Sunnyvale, CA, US</t>
        </is>
      </c>
      <c r="H154" s="2" t="n">
        <v>45855</v>
      </c>
      <c r="I15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in-78dbf0dbb1a817a3</t>
        </is>
      </c>
      <c r="B155" t="inlineStr">
        <is>
          <t>Senior Product Manager - Tech, Fire TV</t>
        </is>
      </c>
      <c r="C155" t="inlineStr">
        <is>
          <t>Amazon.com</t>
        </is>
      </c>
      <c r="D155" t="inlineStr">
        <is>
          <t>indeed</t>
        </is>
      </c>
      <c r="E155" t="inlineStr"/>
      <c r="F155" t="inlineStr"/>
      <c r="G155" t="inlineStr">
        <is>
          <t>Seattle, WA, US</t>
        </is>
      </c>
      <c r="H155" s="2" t="n">
        <v>45855</v>
      </c>
      <c r="I15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in-cf54baa0c3f1e0f6</t>
        </is>
      </c>
      <c r="B156" t="inlineStr">
        <is>
          <t>Principal Product Manager Tech - Devices, Fire TV Devices</t>
        </is>
      </c>
      <c r="C156" t="inlineStr">
        <is>
          <t>Amazon.com</t>
        </is>
      </c>
      <c r="D156" t="inlineStr">
        <is>
          <t>indeed</t>
        </is>
      </c>
      <c r="E156" t="inlineStr"/>
      <c r="F156" t="inlineStr"/>
      <c r="G156" t="inlineStr">
        <is>
          <t>Seattle, WA, US</t>
        </is>
      </c>
      <c r="H156" s="2" t="n">
        <v>45844</v>
      </c>
      <c r="I15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in-b9e98b7b4b623c9e</t>
        </is>
      </c>
      <c r="B157" t="inlineStr">
        <is>
          <t>Principal Product Manager Tech - Devices, Fire TV Devices</t>
        </is>
      </c>
      <c r="C157" t="inlineStr">
        <is>
          <t>Amazon.com</t>
        </is>
      </c>
      <c r="D157" t="inlineStr">
        <is>
          <t>indeed</t>
        </is>
      </c>
      <c r="E157" t="inlineStr"/>
      <c r="F157" t="inlineStr"/>
      <c r="G157" t="inlineStr">
        <is>
          <t>Sunnyvale, CA, US</t>
        </is>
      </c>
      <c r="H157" s="2" t="n">
        <v>45844</v>
      </c>
      <c r="I157"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in-b33657b544d926c1</t>
        </is>
      </c>
      <c r="B158" t="inlineStr">
        <is>
          <t>Principal Product Manager-Technical, AGI, Artificial General Intellgence</t>
        </is>
      </c>
      <c r="C158" t="inlineStr">
        <is>
          <t>Amazon.com</t>
        </is>
      </c>
      <c r="D158" t="inlineStr">
        <is>
          <t>indeed</t>
        </is>
      </c>
      <c r="E158" t="inlineStr"/>
      <c r="F158" t="inlineStr"/>
      <c r="G158" t="inlineStr">
        <is>
          <t>Sunnyvale, CA, US</t>
        </is>
      </c>
      <c r="H158" s="2" t="n">
        <v>45824</v>
      </c>
      <c r="I15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in-b94d39b0be611d6c</t>
        </is>
      </c>
      <c r="B159" t="inlineStr">
        <is>
          <t>Principal Product Manager-Technical, AGI, Artificial General Intellgence</t>
        </is>
      </c>
      <c r="C159" t="inlineStr">
        <is>
          <t>Amazon.com</t>
        </is>
      </c>
      <c r="D159" t="inlineStr">
        <is>
          <t>indeed</t>
        </is>
      </c>
      <c r="E159" t="inlineStr"/>
      <c r="F159" t="inlineStr"/>
      <c r="G159" t="inlineStr">
        <is>
          <t>Bellevue, WA, US</t>
        </is>
      </c>
      <c r="H159" s="2" t="n">
        <v>45824</v>
      </c>
      <c r="I15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in-dd0a8aff60eabc61</t>
        </is>
      </c>
      <c r="B160" t="inlineStr">
        <is>
          <t>Principal Product Manager-Technical, AGI, Artificial General Intellgence</t>
        </is>
      </c>
      <c r="C160" t="inlineStr">
        <is>
          <t>Amazon.com</t>
        </is>
      </c>
      <c r="D160" t="inlineStr">
        <is>
          <t>indeed</t>
        </is>
      </c>
      <c r="E160" t="inlineStr"/>
      <c r="F160" t="inlineStr"/>
      <c r="G160" t="inlineStr">
        <is>
          <t>Boston, MA, US</t>
        </is>
      </c>
      <c r="H160" s="2" t="n">
        <v>45824</v>
      </c>
      <c r="I16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in-b54627361eb4bc58</t>
        </is>
      </c>
      <c r="B161" t="inlineStr">
        <is>
          <t>Principal Product Manager - Application AI</t>
        </is>
      </c>
      <c r="C161" t="inlineStr">
        <is>
          <t>SAP</t>
        </is>
      </c>
      <c r="D161" t="inlineStr">
        <is>
          <t>indeed</t>
        </is>
      </c>
      <c r="E161" t="inlineStr"/>
      <c r="F161" t="inlineStr"/>
      <c r="G161" t="inlineStr">
        <is>
          <t>Palo Alto, CA, US</t>
        </is>
      </c>
      <c r="H161" s="2" t="n">
        <v>46053</v>
      </c>
      <c r="I16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**Your team:**
You will be part of the Application AI team at SAP. This team works with all other Application LOB Teams. Our team comprises of AI Product PM's, Engineers and Data Scientists. We are driven to curate and build AI first applications that create meaningful impact for our customers and their business. We partner with the various LOB's to analyze paint points and then work with customers to vet potential areas that can be scaled. This is a terrific and exciting team to be part of to solve legacy Enterprise issues using AI.
 **Role description:**
* Experience with various LLM architecture design using RAG, MCP and hybrid models
* Good understanding of choosing the right ML algorithms based on business problems
* Experience in prototyping AI solutions including having a good understanding of data vectorizations and or feature designs
* Collaborate with SAP external customers specifically Retail, Manufacturing.. to drive workshops and outline AI use\-cases. Develop PRD’s to clearly communicate requirements to the Engineering teams.
* Leverage AI to solve pressing business challenges for our enterprise customer
* Use the various AI Studios to quickly create a proposed prototype for both neural networks and Agentic AI use cases
* Partner with leadership, customers, and prospects to identify opportunities where AI can deliver value at scale for multiple SAP customers to build end to end processes using AI
* Define and track key business metrics that demonstrate the business impact
* Collaborate with our engineering and development teams working on AI technologies, UX designers and GTM teams to accelerate bringing products to the market.
* Develop customer facing multi\-modal Generative AI demos specific to use cases and document the script, set\-up environment for partners and solution architects to leverage.
* Conduct hands\-on market research to validate requirements and ensure we're building solutions that address real customer needs and market opportunities
* Document what you know and guide others. This can vary from building targeted training for partners, Solutions Architects, and other internal stakeholders, to writing blogs, and to simply working through hard problems with a customer on a whiteboard
**Experience:**
* 8\+ years of product management expertise with a proven track record of shipping
* 3\+ years of and hands on building generative AI models and shipping at scale
* Experience building conversational tools and chatbot
* Experience in selecting the optimial algorithms and prototyping neural networks
* Experience working with customers and building long\-term strong relationships
* Strong time\-management and organization skills for coordinating multiple initiatives, priorities and implementations of new technology and products into complex projects.
* Strong analytical and problem\-solving skills
* Experience successfully partnering with Data Science teams
* Passion for directly engaging with customers—from requirements gathering to demos and sales support
* Experience working and guiding product and engineering teams distributed globally
\#SAPAICareers \#SAPAIAPP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192,500 \- 420000(USD)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439372 \| Work Area: Solution and Product Management \| Expected Travel: 0 \- 10% \| Career Status: Professional \| Employment Type: Regular Full Time \| Additional Locations: \#LI\-Hybrid</t>
        </is>
      </c>
    </row>
    <row r="162">
      <c r="A162" t="inlineStr">
        <is>
          <t>in-7a1863c45bd4d7c2</t>
        </is>
      </c>
      <c r="B162" t="inlineStr">
        <is>
          <t>Senior Product Manager (Viral Delivery)</t>
        </is>
      </c>
      <c r="C162" t="inlineStr">
        <is>
          <t>Takara Bio USA</t>
        </is>
      </c>
      <c r="D162" t="inlineStr">
        <is>
          <t>indeed</t>
        </is>
      </c>
      <c r="E162" t="inlineStr"/>
      <c r="F162" t="inlineStr"/>
      <c r="G162" t="inlineStr">
        <is>
          <t>San Jose, CA, US</t>
        </is>
      </c>
      <c r="H162" s="2" t="n">
        <v>46053</v>
      </c>
      <c r="I162" t="inlineStr">
        <is>
          <t>**Job Title: Senior Product Manager (Viral Delivery)**
Reports to: Director, Product and Market Strategy – Molecular \&amp; Cellular Biology Solutions
FLSA Class: Exempt  
**Learn more about our company and how we support you:**
Takara Bio USA (TBUSA) empowers life science discovery. We bring innovation and inspiration to every scientist \- promoting discoveries that improve health and the environment. We hold values that all employees and prospective candidates should demonstrate: Innovation, Teamwork, Integrity, Respect, Growth, Diversity and Quality. We value helping employees develop their skills and you will be part of this journey!
At Takara Bio, we know that every experimental decision has an impact. Choices matter, from design to data analysis. We create best\-in\-class products that get the job done. In your hands, what do those research reagents and kits create? Something powerful: knowledge, understanding, and—often—hope! Together we can improve the human condition through biotechnology…and That's Good Science!  
**How this role drives the company forward:**
The Senior Product Manager is a skilled technical leader responsible for guiding and managing a product portfolio throughout its life cycle. They drive successful product launches, develop effective go\-to\-market strategies, design and implement promotional activities to drive sales growth, and equip the global sales team with the training they need to succeed. The Senior Product Manager makes informed decisions on product direction, market positioning, and pricing, while creating clear, impactful marketing content for use across multiple channels. They also prepare presentations and reports that keep stakeholders aligned on the progress of both new and existing products. Success in this role requires curiosity, strong technical understanding, clear communication, and strong writing skills. The Senior Product Manager brings clarity, structure, and momentum to a strategically important product area that shapes our business.
The Senior Product Manager role is office\-based.
Approximately 15% travel may be required.  
**How you will make an impact:**
We are seeking a highly motivated and experienced Senior Product Manager to join our growing Product Management team. In this role, you will be responsible for managing Takara Bio’s Viral Delivery portfolio, which includes retroviral, lentiviral, adenoviral, and adeno\-associated (AAV) tools and technologies and RetroNectin. The ideal candidate will have extensive technical knowledge and hands\-on experience with cell and gene therapy workflows and CAR\-T therapies. This includes performing these workflows during graduate and/or postdoctoral training and having prior product management experience at a life science company focused on cell and gene therapy applications. In this role, you will demonstrate a creative approach to drive results and build relationships with colleagues in operations, R\&amp;D, sales, and marketing. Ideally, this candidate will also have experience managing and mentoring junior team members. In summary, this is an ideal role for someone with substantial product management experience to take ownership of a highly innovative, strategically important product portfolio with immense growth potential and deliver high\-quality results to drive the business's success.  
**What will you do:**
* Manage a portfolio of viral delivery products and ensure their commercial success.
* Develop and implement the annual tactical marketing plan to grow sales.
* Conduct outbound marketing activities to advertise our product portfolio and expertise to target customers using a combination of email, search engine, and social media marketing platforms.
* Plan and run integrated marketing campaigns, analyze their effectiveness, and present conclusions to stakeholders.
* Partner with the R\&amp;D team on key product life cycle decisions, including new product launches, discontinuations, or product improvements.
* Independently develop a portfolio of sales support tools that includes, but is not limited to, customer\-facing presentations, battle and cue cards, testimonials, and citations.
* Gain voice of customer information from surveys and customer discovery calls.
* Use voice of customer data from the strategy team to develop web content and other tools that communicate the value proposition directly to customers.
* Work closely with Sales to fill the sales funnel and get regular and complete feedback from customers.
* Organize and lead regular tactical marketing meetings to track sales and deliver against product budget.
* Train junior members on the essential functions of product management.
* May have supervisory responsibilities for junior members of the Product Management team.
**How will you get here?**
* Requires a Ph.D. in biological sciences or related discipline; M.S. will be considered.
* Requires a minimum of 3 years postgraduate laboratory experience.
* A minimum of 6 years of Product Management experience.
* Advanced knowledge of Product Management functions, with hands\-on experience managing viral delivery products.
* Advanced proficiency in presenting, written, and verbal communication skills is required.
* Advanced experience with Microsoft Office.
* Must be detail\-oriented and have strong organizational and time management skills.
* Demonstrated ability to work as part of a team is required.
* Independence to manage work and lead projects.
* Ability to assist and train junior members of the team.
**AAP/EEO Statement:**
Takara Bio USA, Inc.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  
**Additional Information about the role:**
Please note this job description may not cover or contain a comprehensive listing of activities, duties or responsibilities that are required of the employee for this job. Duties, responsibilities and activities may change at any time with or without notice. The US base salary range for this full\-time position, expected to be located in San Jose, CA, is $170,000 \- $185,000 USD. This range may be modified at any time at our sole discretion. This base salary does not include additional bonus compensation and benefits. Learn more about benefits at https://www.takarabio.com/about/careers/company\-benefits. **Individual compensation packages are based on factors unique to each candidate, including job\-related skills, training, experience, qualifications, work location, and market conditions.**</t>
        </is>
      </c>
    </row>
    <row r="163">
      <c r="A163" t="inlineStr">
        <is>
          <t>in-d69f96de018e1ec6</t>
        </is>
      </c>
      <c r="B163" t="inlineStr">
        <is>
          <t>Product Manager</t>
        </is>
      </c>
      <c r="C163" t="inlineStr">
        <is>
          <t>OrderlyMeds</t>
        </is>
      </c>
      <c r="D163" t="inlineStr">
        <is>
          <t>indeed</t>
        </is>
      </c>
      <c r="E163" t="inlineStr"/>
      <c r="F163" t="inlineStr"/>
      <c r="G163" t="inlineStr">
        <is>
          <t>Remote, US</t>
        </is>
      </c>
      <c r="H163" s="2" t="n">
        <v>46054</v>
      </c>
      <c r="I163" t="inlineStr">
        <is>
          <t>**About Orderly Wellness**
 **OrderlyMeds** is a leading telehealth company building a better, more supportive healthcare experience—one that’s fast, reliable, and designed with people in mind. Through thoughtful technology and a patient‑centric approach, we make it easier for people to access the care and medication they need, without the hassle.
As a fully remote organization, we’ve grown quickly by combining innovative digital solutions with compassionate service. Our collaborative, mission‑driven team works across the U.S. (and beyond) to improve access to care at scale. With over 100 customer support agents, six pharmacy partners, and a 50‑state clinical network, OrderlyMeds is expanding rapidly—and we’re looking for curious, kind, and solutions‑oriented people to grow with us as we continue building the future of telehealth.
 **About the role**
You will work closely alongside Designers, Marketing, Sales, Operations, Product Management and Engineering to build a best\-in\-class telemedicine platform with varying complexity across multiple product categories and touchpoints. You should be a user\-centric product manager and problem solver, who is also excited to find simple, elegant solutions to meet our business goals. You are motivated and ego\-free, and are constantly looking to improve, ideate and refine design.
This role will require a hands\-on product manager who is detail oriented and driven to provide intuitive user\-focused products and product features. You must feel comfortable being able to flex between being strategic and executional, in addition to working in a fast\-paced, startup\-like environment. You are comfortable at defining problems, ideating concepts and synthesizing data, with the ability to translate dense, complex information into clear feature requirements.
 **Key Responsibilities**
* Contribute to the execution of a comprehensive product strategy aligned with our company's vision and goals for our telehealth platform
* Collaborate on the development and management of a dynamic product roadmap that aligns with business priorities, integrating user feedback, market trends, and competitive analysis. Use customer insights to shape the direction of the product and prioritize features that deliver value to users
* Collaborate closely with cross\-functional teams, including engineering, design, marketing, and customer support, to conceptualize, prioritize, and implement new features
* Collaborate with stakeholders such as the Clinical team, the Operations team, Engineering, and Leadership to gather insights, address concerns, and maintain alignment between business objectives and product development
* Participate in data analysis to evaluate product performance, identify areas for enhancement, and contribute to data\-driven decisions
* Promote excellent user experiences by participating in user\-centered design principles, contributing to usability testing, and providing input on product design iterations for improved usability and user satisfaction
* Stay informed about the evolving telehealth landscape, industry best practices, emerging technologies, and regulatory requirements relevant to healthcare software
**Required Qualifications**
* 4\-year degree in relevant field required
* 4\+ years of modern product management practices
* A proven track record of driving innovation and delivering to stated business goals
* A holistic approach to product management, from high\-level strategy to small feature details
* You’re a self\-starter who is solution oriented, and you’re comfortable with defining, scoping and designing for new opportunities with and without the input of others
* Excellent communication skills and ability to present your decisions and processes clearly and confidently
* Enthusiasm for growth and improvement, openness to feedback, and ability to work well with other product managers of all levels
* Adaptability and excitement for working in a fast\-paced environment
* Demonstrated success at building and launching product initiatives that have a significant positive impact on the business and the user
* Experience working with both Engineering and Business Stakeholders as a Product Manager
* Strong aptitude for critical thinking and understanding business needs, with the ability to translate user insights and data into actionable product strategies
* Proficient at working with excel or similar tools to analyze and visualize data
* Excellent communication skills and ability to explain learnings to both technical and nontechnical partners
* A team player who’s able to partner with cross\-functional teams to quickly turn insights into actions
* Comfortable making considerations for data privacy and regulatory compliance considerations in a high\-compliance industry like healthcare or financial services
* Very comfortable adapting on the fly and working outside your comfort zone in a fast\-paced startup environment
**Nice to Have**
* Previous experience building products in a startup environment
* Previous experience in telehealth, pharma, or healthcare
* Proficiency in using tools like Google Analytics and tools for data analysis and visualization
* Deep understanding and experience with Agile methodologies
* Overall understanding of technologies used in the product
**Benefits**
* Competitive salary and performance\-based incentives
* Health, dental, and vision benefits
* 401K
* Opportunities for professional growth in a rapidly expanding health tech company</t>
        </is>
      </c>
    </row>
    <row r="164">
      <c r="A164" t="inlineStr">
        <is>
          <t>in-d8fe3c8740971eb5</t>
        </is>
      </c>
      <c r="B164" t="inlineStr">
        <is>
          <t>Product Manager</t>
        </is>
      </c>
      <c r="C164" t="inlineStr"/>
      <c r="D164" t="inlineStr">
        <is>
          <t>indeed</t>
        </is>
      </c>
      <c r="E164" t="inlineStr"/>
      <c r="F164" t="inlineStr"/>
      <c r="G164" t="inlineStr">
        <is>
          <t>Lenexa, KS, US</t>
        </is>
      </c>
      <c r="H164" s="2" t="n">
        <v>46053</v>
      </c>
      <c r="I164" t="inlineStr">
        <is>
          <t>At Systemair, we have a passion for indoor air quality. We are constantly striving to provide ventilation solutions that improve health and productivity in an energy\-efficient and sustainable manner. Entrepreneurship is in our DNA, and we continue to grow in terms of capabilities, product range, size, sales volume, and market share. We employ and empower people to take initiative and make decisions with the best interests of our customers and team at heart by achieving our goals to be an Employer, Brand, Investment, and Neighbor of Choice. Simply put, we prioritize, simplify, and trust, while committing to accountable behavior and personal responsibility at work and with our neighbors.
Under the direction of the Regional Director of Product Strategy \&amp; Market Development, you will play a critical role in defining and executing our product strategy, driving innovation, and delivering world\-class products to our customers. You will serve as the product champion, ensuring that the operational and sales efforts are aligned to the business strategy. As a part of our Product Management team, you will effectively communicate and collaborate closely with sales, engineering, marketing, and group Product Area Directors (PADs) to deliver on customers’ expectations according to our North American strategy.
With our continued growth, we are searching for a motivated individual who is aligned with our culture and has the essential skills and experience described below to take on this career opportunity.
**Essential Duties and Responsibilities:**
* Define and communicate product vision, strategy, and roadmaps aligned with company goals.
* Conduct market research, competitive analysis, and gather customer insights.
* Manage pricing strategies using market, cost, and sales data.
* Build business cases for new products, redesigns, cost reductions, and obsolescence.
* Collaborate with engineering, design, marketing, and sales for successful development and launches.
* Define product requirements, user stories, and acceptance criteria.
* Adhere to safety protocols and guidelines to prevent accidents or injuries and report any safety concerns or incidents immediately.
* Champion user\-focused design through testing, feedback, and iteration.
* Track KPIs to measure success and drive data\-based decisions.
* Lead product launches, including marketing and sales enablement.
* Manage full product lifecycle to maintain competitiveness and relevance.
**Product Manager Education \&amp; Experience:**
* Education in Engineering, Business, Project management, Marketing or Statistical Analysis, or related field preferred.
* Previous experience in a product management or similar role preferred.
* Familiarity with product launches, promotions, and profit analysis, HVAC industry preferred.
* Familiarity with product management tools, systems, and methodologies.
* Analytical, problem\-solving, and decision\-making skills required.
* Negotiation, communication, and interpersonal skills required.
* Organizational and time management skills required.
* Previous experience with quality control and process improvement preferred.
* Technical skills required for computers and tablets.
* Able to work proficiently in a team\-oriented setting, as well as independently.
* Familiarity with Health and Safety guidelines.
**Job Conditions:**
**Physical Demands:**
* Light physical effort – able to lift between 20lbs.
* Sitting, lifting, squatting, pushing, pulling, or reaching for intermittent or extended periods.
* Prolonged periods of sitting as a desk and looking at a computer.
* Must be able to travel a minimum of 25% to meet to meet regional needs.
**Work Environment:**
* Factory, Warehouse, Distribution Center, Office
* May be exposed to loud, repetitive sounds from machinery or equipment
* May use chemicals or other in accordance with MSDS
* May operate machinery in close proximity or with objects exposed to eyes or face</t>
        </is>
      </c>
    </row>
    <row r="165">
      <c r="A165" t="inlineStr">
        <is>
          <t>in-b79ad2bf324ea7bc</t>
        </is>
      </c>
      <c r="B165" t="inlineStr">
        <is>
          <t>Summer Camp Program Manager - Camp WaBak</t>
        </is>
      </c>
      <c r="C165" t="inlineStr">
        <is>
          <t>Girl Scouts of South Carolina Mountains to Midland</t>
        </is>
      </c>
      <c r="D165" t="inlineStr">
        <is>
          <t>indeed</t>
        </is>
      </c>
      <c r="E165" t="inlineStr"/>
      <c r="F165" t="inlineStr"/>
      <c r="G165" t="inlineStr">
        <is>
          <t>Greenville, SC, US</t>
        </is>
      </c>
      <c r="H165" s="2" t="n">
        <v>46053</v>
      </c>
      <c r="I165" t="inlineStr">
        <is>
          <t>Description:
Offering unique, active outdoor experiences in the Blue Ridge Mountains (Travelers Rest, SC), Girl Scouts of South Carolina – Mountains to Midlands Camp WaBak is nestled on 135 acres of forest, trails, lakefront, creek with waterfall, and cabins—an ideal natural setting for all to enjoy canoeing, hiking, archery, environmental education, and team challenges. We are seeking an enthusiastic **Summer Camp Program Manager** who loves the outdoors and is dedicated to delivering inclusive, activity\-driven experiences for girls. This position requires female staff in accordance with privacy and supervision standards under the Bona Fide Occupational Qualification (BFOQ) exception for youth in single\-gender cabin and restroom settings.
Seasonal staff compensation includes weekly pay rate, room, board, and comprehensive training within a supportive camp community that prioritizes safety, growth, and fun. Serves as the manager of programs, leading the coordination and implementation all camp programming sessions for girls.
The **Program Manager** provides hands\-on, interactive activities such as crafting, science experiments, and theme\-based activities, delegating tasks while providing program guidance, support, and advice when necessary.
* Serve as the lead program coordinator, working with leadership and camp counselors in executing all camp activities including opening and closing ceremonies, engaging camp activities, evening programs, choice activities, camp events, themed meals, and off\-site trip programs.
* Develop weekly program kits for each camper session and work with leadership and camp counselors to prepare for program delivery each session; may be required to assist in delivering programs.
* Assist as a camp activity leader in a variety of program areas as needed (for example, weird science, drama, sports, archery, arts \&amp; crafts, outdoor cooking, etc.).
* Affirm that program objectives are met for each session, evaluating effectiveness and recommending any changes.
* Ensure program site and supplies are properly maintained; assist with cleaning, sanitation, and care of supplies and equipment.
* Assist in leading all\-camp activities, and other general camp counselor duties as assigned, supporting an engaging environment.
* Assist with development, implementation, and evaluation of staff training; evaluate staff effectiveness throughout the summer and conduct additional in\-service staffing trainings as needed.
* Serve as a role model to guide campers in appropriate behaviors, language, attitudes, and activities to help girls develop individual responsibility.
* Responsible for timely and effective communication, providing, conflict resolution and problem solving as needed in support of an inclusive environment for all.
* Serve as a role model to campers through relationship development, respect for diversity, and empowerment of youth.
* Incumbent will sleep in a girl unit (sometimes in a separate counselor cabin, and sometimes in an attached but separate room) and is expected to help with nighttime supervision and morning routines.
Requirements:
**Your background and outdoor leadership passion includes…**
* This position requires female staff in accordance with privacy and supervision standards under the Bona Fide Occupational Qualification (BFOQ) exception for youth in single\-gender cabin and restroom settings.
* No prior Girl Scout experience required; must be at least 21 years old.
* HS Diploma or equivalent required (advanced education or college preferred).
* At least two years of relevant youth program experience with the ability to collaborate, guide, coach and manage on\-site and trip program responsibilities.
* Must have personal transportation and the ability to drive; possess a valid driver’s license, maintain personal auto insurance which meets the council insurance company’s requirement for coverage.
* Bilingual (Spanish fluency, conversation and written communications) highly desired.
* First Aid and CPR certification required (available during camp staff training if needed).
* Active membership in the Girl Scout organization is required and may be obtained upon hire, upholding the values of the Girl Scout Promise and Law.
**Physical requirements are…**
* Must be capable of being very active outdoors in various weather conditions with exposure to summer sun, heat, inclement weather, and natural wildlife habitats, including animals and/or insects for extended periods of time.
* Ability to be on “camper level” which may include the ability to stoop, kneel, bend, reach, stand, walk, push, pull, lift, work with fingers, grasp, feel, talk, hear, and perform repetitive motions.
* Ability to perform light work exerting up to 40 pounds of force occasionally, and/or a negligible amount of force constantly to move objects.
* Ability to practice self\-care by staying hydrated, getting enough rest, and asking for help if you need it.
**Your Seasonal Benefits:**
* An interactive summer learning cool new activities and skills to teach others.
* All meals provided, housing provided in camp cabins, access to staff lounge with washer, dryer, kitchen, and internet
* Optional informal time\-off adventures.
* Leadership, human behavior, and conflict resolution training to build meaningful job preparation skills.
* An unforgettable summer, the chance to make lifelong friends and to positively impact your camper’s lives.
**Compensation/Benefits package includes...**
Summer seasonal employment is a unique experience and falls under the seasonal exemption standard categorized as “seasonal amusement or recreational establishment” by the Fair Labor Standards Act (FLSA), the Department of Labor (DOL). This exempts the position from federal minimum and overtime wage requirements as we compensate a daily rate plus. **The potential weekly earnings for this position are between $450\-500 depending on availability, scheduling, experience and any related certifications.**
While health insurance benefits are not offered to seasonal staff, all meals, housing in camp cabins, access to staff lounge with washer, dryer, kitchen, and wifi are provided. Plus,
* An interactive summer learning cool new activities and skills to teach others
* Optional informal time\-off adventures.
* Leadership, human behavior, and conflict resolution training to build meaningful job preparation skills.
* An unforgettable, active and engaging summer with the chance to make lifelong friends and to positively impact camper’s lives.
**Summer Camp Schedule:**
The 2026 camp season begins with paid staff orientation/training starting on May 26th with camp running through Saturday, July 25th. There are 5 weekly sessions, 2 half week sessions of camp plus 1 weekend session requiring overnight stay. Summer staff, with the exception of the one overnight weekend stay, are to report to work on Sundays by 12 pm. Once camp is cleaned and cleared on Friday, summer staff often leave around 4 pm.
**Equal Opportunity Employer (E.O.E.)**
Girl Scouts of South Carolina \- Mountains to Midlands (GSSC\-MM)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GSSC\-MM, please contact Human Resources at humanresources@gssc\-mm.org . GSSC\-MM reserves the right to defer or close a vacancy at any time.</t>
        </is>
      </c>
    </row>
    <row r="166">
      <c r="A166" t="inlineStr">
        <is>
          <t>in-22bb1e510cff9334</t>
        </is>
      </c>
      <c r="B166" t="inlineStr">
        <is>
          <t>Equestrian Program Manager</t>
        </is>
      </c>
      <c r="C166" t="inlineStr">
        <is>
          <t>National Ability Center</t>
        </is>
      </c>
      <c r="D166" t="inlineStr">
        <is>
          <t>indeed</t>
        </is>
      </c>
      <c r="E166" t="inlineStr"/>
      <c r="F166" t="inlineStr"/>
      <c r="G166" t="inlineStr">
        <is>
          <t>Park City, UT, US</t>
        </is>
      </c>
      <c r="H166" s="2" t="n">
        <v>46053</v>
      </c>
      <c r="I166" t="inlineStr">
        <is>
          <t>Description:
**Join Our Team:**
For more than 40 years, the National Ability Center has been breaking barriers and transforming lives through adaptive sports and recreation—creating opportunities for people with disabilities to experience adventure, independence, and community.
Are you passionate about horses and inspired by the life\-changing impact of therapeutic and adaptive riding? The National Ability Center is seeking a motivated and experienced Equestrian Program Manager to help lead our nationally recognized Equestrian program in beautiful Park City, Utah. In this full\-time, year\-round leadership role, you will support program development and daily operations, mentor and supervise instructors, collaborate with volunteers and families, and help deliver safe, inclusive, and empowering riding experiences for participants with disabilities. If you thrive in a mission\-driven environment and bring a strong background in equestrian instruction, team leadership, and adaptive programming, we invite you to join a program where your work truly makes a difference.
**Job Summary:**
The Equestrian Program Manager supports the Senior Manager in the development, coordination, and administration of the therapeutic recreation and adaptive sports equestrian program. This role is crucial for ensuring smooth daily operations, assisting in program delivery, and managing various aspects of program administration. The Program Manager will work closely with staff, volunteers, and participants to enhance the overall effectiveness and impact of the program. This position is a full\-time, year\-round position with benefits, and it requires weekend and after\-hours work, as needed.
**Essential Duties:**
* Assists in the planning, implementation, and evaluation of therapeutic and adaptive equestrian activities and events.
* Serves as an instructor as needed for mounted riding lessons and unmounted riding programs, adhering to the curriculum and rider progression guidelines established by the Senior Manager.
* Supervises, trains, mentors, and evaluates part\-time Equestrian Instructors including supporting the development of annual goals, prioritizing needs, providing resources, and providing regular feedback.
* Coordinates daily program schedules, including sessions, appointments, and activities.
* Facilitates effective communication between participants, families, and program staff and serves as a point of contact for participants and their families to address questions, concerns, and feedback regarding the riding instruction and participant experiences.
* Ensures that all program materials, equipment, and resources are prepared and available.
* Works directly with the Equestrian Volunteer Coordinator to ensure that all scheduling needs are filled by trained and qualified volunteers.
* Assists with summer camps, trail rides, and special groups.
* Assists in organizing and promoting community outreach and engagement activities.
* Maintains accurate and up\-to\-date records related to program participants, attendance records, lesson experiences, and rider progress notes.
* Ensures adherence to safety protocols and regulatory requirements in all program activities.
* Conducts regular safety checks of equipment, facilities, and program practices to ensure the highest level of safety for all aspects of mounted and unmounted programs.
* Monitors and enforces compliance with organizational policies and industry standards, specifically all standards and requirements for PATH accreditation.
* Assists with daily care of horses and barn chores as assigned.
* Collects and analyzes feedback from participants, families, and staff to assess the program and riding instruction effectiveness.
* Contributes to and makes recommendations to the Senior Manager for the development and implementation of strategies for program improvement and growth.
* Supports program evaluations and assists in reporting on program outcomes, participant experiences, and impact.
* Supports with “Emergency Horse Transport – On Call” within the equestrian department as assigned.
* Delivers a positive, fun, and collaborative team working environment experience.
* Assists in organizing and executing special events, demonstrations, and fundraisers related to the equestrian program, specifically Barn Party every summer.
Requirements:  
**Minimum Qualifications:**
* 3 years of experience working in equestrian riding instruction and basic horsemanship.
* Work experience in Therapeutic Recreation, Sports Management, a related field.
* 1 year of supervisory experience in an equestrian program, or a related field.
* Ability to ride and school a wide variety of horses (i.e. English, Western, bareback, etc.); riding skill proficiency demonstration at a minimum: walk, trot/jog \&amp; canter/lope on a variety of horses and disciplines.
* Knowledge of PATH and ability to obtain industry certification(s).
* Current First Aid and CPR certification, or the ability to obtain (NAC will provide a free on\-site course, if needed).
* Valid Driver’s License.
* Be able to maintain a Utah Department of Transportation (UDOT) physical.
* Must pass a pre\-employment background check.
* Must be legally authorized to work in the United States. We do not sponsor employment visas or other immigration processes to attain or maintain employment eligibility.
**Preferred Qualifications:**
* Bachelor’s degree in Equine Science, Therapeutic Recreation, Sports Management, a related field.
* Certification in Therapeutic Riding Instructor (PATH Intl.) or equivalent.
* Experience working with a non\-profit organization.
* Experience in therapeutic recreation or experience working with people with various disabilities.
* Experience recruiting and managing volunteers.
**Knowledge, Skills, and Abilities:**
* Strong work ethic and an entrepreneurial spirit to accommodate multiple responsibilities and shifting priorities in a quick\-paced environment.
* Ability to prioritize work effectively and efficiently under pressure.
* Demonstrated leadership experience to be able to lead by example, motivate a team, delegate tasks, and to teach, coach, and mentor the part\-time Equestrian Instructors at varying levels of proficiency and experience.
* Ability to work cooperatively and independently, showing creativity and innovation.
* Excellent organizational and problem\-solving skills.
* High level of proficiency using MS Office.
* Exceptional communication and interpersonal skills and outgoing personality to engage with the participants, families, visitors, co\-workers, and donors.
* Demonstrated ability to work productively and collaboratively within a team.
* Commitment to a positive, fun and team\-oriented working environment.
**Working Conditions:**
* Ability to lift and maneuver equipment weighing up to 75 lbs. while working around the barn and with the horses.
* Ability to stand for up to 6 hours, walk, and run on uneven surfaces to up to 2 or more consecutive hours including stooping, bending, and crouching with repetitive hand motions while providing riding instruction and facilitating other equestrian programs.
* Ability to work indoors and outdoors while interacting with the horses in various weather conditions, including extreme weather conditions.
* Ability to work occasional weekends and after\-hours work when required for special fundraising events, routine horse care, or emergency response.
**Benefits:**
* Health Insurance with Health Savings Account
* Employer Contribution to HSA
* Dental Insurance
* Vision Insurance
* Long\-term Disability
* Life Insurance
* Voluntary Accident and Hospital Plans
* Paid Time Off (PTO) annually
* 11 Paid Holidays \+ 2 Paid Personal Days Annually (including a paid day off on your birthday)
* 403(b) Plan with Employer Match
* Parental Leave
* Pet Insurance
* Pro Deals with gear companies</t>
        </is>
      </c>
    </row>
    <row r="167">
      <c r="A167" t="inlineStr">
        <is>
          <t>in-698aa03729a758f8</t>
        </is>
      </c>
      <c r="B167" t="inlineStr">
        <is>
          <t>Project/Program Manager</t>
        </is>
      </c>
      <c r="C167" t="inlineStr"/>
      <c r="D167" t="inlineStr">
        <is>
          <t>indeed</t>
        </is>
      </c>
      <c r="E167" t="inlineStr"/>
      <c r="F167" t="inlineStr"/>
      <c r="G167" t="inlineStr">
        <is>
          <t>Township of Wall, NJ, US</t>
        </is>
      </c>
      <c r="H167" s="2" t="n">
        <v>46053</v>
      </c>
      <c r="I167" t="inlineStr">
        <is>
          <t>* Job ID:
J53149
* Job Title:
Project/Program Manager
* Location:
Wall Township,, NJ
* Duration:
12 Months \+ Extension
* Hourly Rate:
Depending on Experience (DOE)
* Work Authorization:
US Citizen, Green Card, OPT\-EAD, CPT, H\-1B,  
H4\-EAD, L2\-EAD, GC\-EAD
* Client:
To Be Discussed Later
* Employment Type:
W\-2, 1099, C2C
Description
* We are seeking a highly skilled and experienced Senior Program/Project Manager to lead the implementation of a Human Capital Management (HCM) system, inclusive of payroll services. This role will be responsible for managing all phases of the project lifecycle. The successful candidate will bring expertise in HCM technologies, exceptional project management skills, and strong collaboration capabilities to ensure delivery within scope, timeline, and budget. Responsibilities include partnering with business stakeholders, IT teams, and vendors to deliver an innovative solution aligned with organizational goals, compliance standards, and emerging industry trends.
**Major Responsibilities:**
* Partner with Procurement in the RFP and/or competitive bid processes.
* Collaborate with Legal, Procurement and other key stakeholders to navigate negotiations and ensure compliance with the client policies.
* Development of a comprehensive HCM business case, outlining strategic objectives, benefits, measurable outcomes, and cost analysis to support executive decision\-making.
* Optimize resource allocation and develop detailed project plans to track and report progress.
* Coordinate internal and external vendors to ensure seamless project execution.
* Prepare executive\-level reports and provide regular updates to the steering committee.
* Monitor and measure project performance using appropriate systems, tools, and methodologies.
* Implement risk management techniques to mitigate project risks, escalating issues when necessary.
* Establish and maintain strong relationships with vendors and third\-party stakeholders throughout the project lifecycle.
* Develop and maintain comprehensive project documentation aligned with IT Project Management Office standards. Basic Required
**Qualifications:**
* Education: Bachelor's degree in business, computer science, information systems, engineering, or a related field required.
* 10–15 years of experience implementing HCM solutions with a focus on large\-scale, complex projects involving multiple integrations.
* Comprehensive knowledge of HCM platforms (e.g. Dayforce, Oracle Cloud, Workday and SAP SuccessFactors) and related integration technologies, with a strong understanding of enterprise systems.
* Project Leadership: Demonstrated expertise in leading complex, enterprise\-level projects with a focus on delivering seamless integration and flawless execution.
* Strategic Thinking: Strong analytical and decision\-making skills with the ability to identify issues, evaluate options, and implement effective solutions.
* Cross\-Functional Collaboration: Experience working as an IT program/project manager in a matrix environment, partnering with internal teams and third\-party stakeholders.
* Business \&amp; Technical Acumen: Expertise in business analysis, infrastructure, enterprise architecture, application development, and validation.
* Project Execution: Extensive experience in managing the full project lifecycle, leading cross functional internal teams, contractors, and vendors to ensure successful delivery in accordance with PMO governance and standards. Possesses strong expertise in the Software Development Life Cycle (SDLC).
* Communication \&amp; Leadership: Excellent written and verbal communication skills with the ability to engage and influence stakeholders at all levels of the organization.
* Financial \&amp; Business Management: Proficient in estimating, forecasting, financial management, and business case development.
* Leadership \&amp; Inclusion: Strong consultative leadership skills, fostering a collaborative and inclusive work environment that values diverse perspectives. Desired Skills, Competencies, Education or
Experience:
* Graduate degree and/or PMP certification are strongly preferred. Other recognized credentials or certifications will be considered favorably.
* Experience with AI\-driven tools and automation in HR is highly desirable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168">
      <c r="A168" t="inlineStr">
        <is>
          <t>in-aa14c1573a3083cb</t>
        </is>
      </c>
      <c r="B168" t="inlineStr">
        <is>
          <t>Product Owner</t>
        </is>
      </c>
      <c r="C168" t="inlineStr">
        <is>
          <t>TheIncLab</t>
        </is>
      </c>
      <c r="D168" t="inlineStr">
        <is>
          <t>indeed</t>
        </is>
      </c>
      <c r="E168" t="inlineStr"/>
      <c r="F168" t="inlineStr"/>
      <c r="G168" t="inlineStr">
        <is>
          <t>Hurlburt Field, FL, US</t>
        </is>
      </c>
      <c r="H168" s="2" t="n">
        <v>46053</v>
      </c>
      <c r="I168" t="inlineStr">
        <is>
          <t>**Description**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Product Owner to play a key role in driving the success of our products by acting as the bridge between stakeholders, users, and the development team. We encourage you to apply and take the first step in joining our dynamic and impactful company.
**Your Mission, Should You Choose to Accept**
As a Product Owner you will play a key role in driving the success of our products by acting as the bridge between stakeholders, users, and the development team. You will be responsible for defining and prioritizing the product backlog, ensuring alignment with the product vision and organizational goals. This role requires a strong understanding of user\-centered design (UCD) principles, agile methodologies, and the ability to translate business needs into actionable requirements. The ideal candidate will also bring experience or familiarity with aviation platforms and/or Department of Defense (DoD) projects. Knowledge of DoD processes, acquisition frameworks, and aviation\-related domains is a nice\-to\-have and will be highly valued. By collaborating with cross\-functional teams, you will ensure the delivery of products that are innovative, user\-focused, and aligned with business objectives.
**What will you do?**
* Define and communicate the product vision and goals to stakeholders and team members.
* Develop and maintain the product backlog, prioritizing features based on business value and user needs.
* Collaborate with UX researchers and designers to gather user insights and translate them into actionable requirements.
* Act as the primary point of contact for stakeholders, ensuring alignment between business needs and technical capabilities.
* Facilitate sprint planning, backlog grooming, and other agile ceremonies to ensure effective team collaboration.
* Work closely with the development team to clarify requirements and address questions throughout the development process.
* Monitor and measure product performance, using data\-driven insights to inform backlog prioritization.
* Communicate progress, risks, and updates to stakeholders and leadership.
* Ensure product deliverables meet quality standards and user expectations.
* Stay up to date with industry trends and best practices to inform product strategy and innovation.
* Leverage familiarity with aviation or DoD\-related workflows, processes, or systems to inform product development.
* Work closely with the development team to deliver assets needed for implementation.
* Complete tasks within budgeted time and work with management to escalate any project and/or task issues.
* Be resourceful with the ability to learn and adapt quickly to project issues, changes, or updates.
* Ability to travel up to 30%.
* Other responsibilities as assigned.
**Requirements**
**Capabilities that will enable your success**
* A bachelor’s degree in Product Design, Systems Engineering, Computer Science, Data Science, or equivalent practical experience.
* 3\+ years of Product Development experience or equivalent experience.
* Proficient with design tools such as Figma and Adobe Creative Cloud (Adobe XD, Illustrator, and Photoshop).
* Demonstrated experience in designing and developing for a variety of platforms (desktop, mobile, web).
* Demonstrated experience working in product teams.
* Demonstrated critical thinking, problem\-solving, and decision\-making skills.
* Knowledge of design in web development (HTML, CSS3, JavaScript, React) is a plus.
* Knowledge of 3D tools and workflows such as Blender, C4D, and Maya is a plus.
* Familiarity with agile methodologies and tools such as Jira or Confluence
**Clearance Requirements**
*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**\*\*Salary range guidance provided is not a guarantee of compensation. Offers of employment may be at a salary range that is outside of this range and will be based on qualifications, experience, and possible contractual requirements.**
**\*\*This is a direct hire position, and we do not accept resumes from third\-party recruiters or agencies.**</t>
        </is>
      </c>
    </row>
    <row r="169">
      <c r="A169" t="inlineStr">
        <is>
          <t>in-3229854951fffcae</t>
        </is>
      </c>
      <c r="B169" t="inlineStr">
        <is>
          <t>Sr Sales Enablement Program Manager</t>
        </is>
      </c>
      <c r="C169" t="inlineStr">
        <is>
          <t>ACI Worldwide</t>
        </is>
      </c>
      <c r="D169" t="inlineStr">
        <is>
          <t>indeed</t>
        </is>
      </c>
      <c r="E169" t="inlineStr"/>
      <c r="F169" t="inlineStr"/>
      <c r="G169" t="inlineStr">
        <is>
          <t>Trenton, NJ, US</t>
        </is>
      </c>
      <c r="H169" s="2" t="n">
        <v>46053</v>
      </c>
      <c r="I169" t="inlineStr">
        <is>
          <t>**Sr. Sales Enablement Program Manager****Job Summary**The Sr. Sales Enablement Program Manager drives cross‑functional programs that improve the effectiveness, efficiency, and consistency of our Sales and Customer Success organizations. This role leads strategic initiatives that simplify processes, improve productivity, and ensure our teams are equipped with the tools, resources, and insights needed to achieve revenue and retention goals.  
You will manage complex, cross‑functional enablement programs from concept to execution \- aligning business objectives with technology solutions, optimizing workflows, and creating scalable processes. The ideal candidate brings strong program management experience, a deep understanding of the sales process, outstanding communication skills, and hands‑on proficiency with Salesforce, Jira, and core productivity tools.  
This role is critical in accelerating our go‑to‑market performance and maintaining a continuous improvement mindset across Sales and CSM teams.  
**Key Responsibilities****Program Leadership \&amp; Execution*** Lead large, cross‑functional enablement programs supporting Sales and CSM productivity, including process optimization, tooling improvements, onboarding enhancements, and field readiness initiatives.
* Translate business goals into clear, scalable program plans with requirements, success measures, and timelines.
Manage program scope, ensuring alignment across Sales, CSM, Operations, Product, Marketing, and Technology stakeholders.  
* 
**Process Improvement \&amp; Operational Excellence*** Identify inefficiencies and bottlenecks across Sales and CSM processes; develop simplified, repeatable workflows that improve speed and consistency.
* Use data‑driven insights to recommend process improvements and drive adoption across teams.
Maintain an enablement roadmap aligned to business priorities, ensuring operational rigor and continuous improvement.  
* 
**Cross\-Functional Collaboration*** Partner closely with Sales Leadership, CSM Leadership, Product, Sales Operations, and Marketing to ensure alignment on objectives and outcomes.
* Facilitate discussions to remove barriers, resolve resource constraints, and drive consensus around project needs.
Build strong relationships across the organization to unlock stakeholder engagement and accelerate program execution.  
* 
**Tools \&amp; Systems*** Drive optimization and effective usage of key GTM tools including Salesforce, Jira, and productivity platforms (Excel, Word, PowerPoint).
* Collaborate with systems teams to improve workflows, automate reporting, and enhance user experiences.
Ensure enablement programs incorporate best‑practice use of technology, analytics, and field‑facing content.  
* 
**Communication \&amp; Reporting*** Provide transparent, concise communication tailored to executive leadership and frontline teams.
* Create and manage program dashboards, progress updates, risk logs, and leadership briefs.
Clearly articulate program goals, status, and outcomes, ensuring broad visibility and alignment.  
* 
**Enablement Strategy \&amp; Coaching*** Mentor team members and partners on effective program management practices.
* Share best practices across the GTM organization to strengthen program execution maturity.
Champion a “simple is better” approach that reduces complexity and accelerates time‑to‑value.  
* 
**Required Skills \&amp; Experience*** Bachelor’s degree or equivalent experience.
* 5\+ years of program or project management experience supporting Sales, Customer Success, or GTM operations.
* Demonstrated success delivering cross‑functional, high‑impact programs.
* Strong understanding of the B2B sales process and customer lifecycle.
* Hands‑on experience with **Salesforce** and **Jira** is required.
* Advanced proficiency with **Excel, PowerPoint, and Word** .
* Excellent written and verbal communication skills.
* Strong financial and business acumen with the ability to evaluate ROI and articulate value.
Comfortable working in fast‑moving environments and operating with ambiguity.  
* 
**Preferred Skills*** Experience supporting enterprise software or payments technology organizations.
* Ability to communicate effectively with VP‑level and C‑suite stakeholders.
Proven ability to simplify complex problems and drive clarity in ambiguous situations.  
* 
**Work Environment*** Standard office environment.
* Majority of time spent working on a PC.
Domestic or international travel may be required.  
*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**careers.aciworldwide.com** job requisition \#18530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*\#LI\-LL1*
*\#LI\-Remote*</t>
        </is>
      </c>
    </row>
    <row r="170">
      <c r="A170" t="inlineStr">
        <is>
          <t>in-6ad0decb70df6e4c</t>
        </is>
      </c>
      <c r="B170" t="inlineStr">
        <is>
          <t>Product Manager-Annuities WMS</t>
        </is>
      </c>
      <c r="C170" t="inlineStr">
        <is>
          <t>Ameriprise Financial</t>
        </is>
      </c>
      <c r="D170" t="inlineStr">
        <is>
          <t>indeed</t>
        </is>
      </c>
      <c r="E170" t="inlineStr"/>
      <c r="F170" t="inlineStr"/>
      <c r="G170" t="inlineStr">
        <is>
          <t>Minneapolis, MN, US</t>
        </is>
      </c>
      <c r="H170" s="2" t="n">
        <v>46041</v>
      </c>
      <c r="I170"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71">
      <c r="A171" t="inlineStr">
        <is>
          <t>in-52330ab898d6c5d7</t>
        </is>
      </c>
      <c r="B171" t="inlineStr">
        <is>
          <t>Product Manager Wealth Management</t>
        </is>
      </c>
      <c r="C171" t="inlineStr">
        <is>
          <t>Ameriprise Financial</t>
        </is>
      </c>
      <c r="D171" t="inlineStr">
        <is>
          <t>indeed</t>
        </is>
      </c>
      <c r="E171" t="inlineStr"/>
      <c r="F171" t="inlineStr"/>
      <c r="G171" t="inlineStr">
        <is>
          <t>Charlotte, NC, US</t>
        </is>
      </c>
      <c r="H171" s="2" t="n">
        <v>46027</v>
      </c>
      <c r="I171"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72">
      <c r="A172" t="inlineStr">
        <is>
          <t>in-de069f0e58f093d7</t>
        </is>
      </c>
      <c r="B172" t="inlineStr">
        <is>
          <t>Sr. Product Manager Technical, Deal Tooling &amp; Insights, Strategic Customer Engagements</t>
        </is>
      </c>
      <c r="C172" t="inlineStr">
        <is>
          <t>Amazon Web Services</t>
        </is>
      </c>
      <c r="D172" t="inlineStr">
        <is>
          <t>indeed</t>
        </is>
      </c>
      <c r="E172" t="inlineStr"/>
      <c r="F172" t="inlineStr"/>
      <c r="G172" t="inlineStr">
        <is>
          <t>Seattle, WA, US</t>
        </is>
      </c>
      <c r="H172" s="2" t="n">
        <v>45994</v>
      </c>
      <c r="I17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3">
      <c r="A173" t="inlineStr">
        <is>
          <t>in-e5726f930dda887c</t>
        </is>
      </c>
      <c r="B173" t="inlineStr">
        <is>
          <t>Sr. Product Manager Technical, Deal Tooling &amp; Insights, Strategic Customer Engagements</t>
        </is>
      </c>
      <c r="C173" t="inlineStr">
        <is>
          <t>Amazon Web Services</t>
        </is>
      </c>
      <c r="D173" t="inlineStr">
        <is>
          <t>indeed</t>
        </is>
      </c>
      <c r="E173" t="inlineStr"/>
      <c r="F173" t="inlineStr"/>
      <c r="G173" t="inlineStr">
        <is>
          <t>Herndon, VA, US</t>
        </is>
      </c>
      <c r="H173" s="2" t="n">
        <v>45994</v>
      </c>
      <c r="I1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4">
      <c r="A174" t="inlineStr">
        <is>
          <t>in-b09442da19e1050e</t>
        </is>
      </c>
      <c r="B174" t="inlineStr">
        <is>
          <t>Sr. Product Manager Technical, Deal Tooling &amp; Insights, Strategic Customer Engagements</t>
        </is>
      </c>
      <c r="C174" t="inlineStr">
        <is>
          <t>Amazon Web Services</t>
        </is>
      </c>
      <c r="D174" t="inlineStr">
        <is>
          <t>indeed</t>
        </is>
      </c>
      <c r="E174" t="inlineStr"/>
      <c r="F174" t="inlineStr"/>
      <c r="G174" t="inlineStr">
        <is>
          <t>Arlington, VA, US</t>
        </is>
      </c>
      <c r="H174" s="2" t="n">
        <v>45994</v>
      </c>
      <c r="I1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5">
      <c r="A175" t="inlineStr">
        <is>
          <t>in-fb51db4c62b57d0c</t>
        </is>
      </c>
      <c r="B175" t="inlineStr">
        <is>
          <t>Sr. Product Manager Technical, Deal Tooling &amp; Insights, Strategic Customer Engagements</t>
        </is>
      </c>
      <c r="C175" t="inlineStr">
        <is>
          <t>Amazon Web Services</t>
        </is>
      </c>
      <c r="D175" t="inlineStr">
        <is>
          <t>indeed</t>
        </is>
      </c>
      <c r="E175" t="inlineStr"/>
      <c r="F175" t="inlineStr"/>
      <c r="G175" t="inlineStr">
        <is>
          <t>Austin, TX, US</t>
        </is>
      </c>
      <c r="H175" s="2" t="n">
        <v>45994</v>
      </c>
      <c r="I1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6">
      <c r="A176" t="inlineStr">
        <is>
          <t>in-0cc0744affde2ad8</t>
        </is>
      </c>
      <c r="B176" t="inlineStr">
        <is>
          <t>Sr. Product Manager Technical, Deal Tooling &amp; Insights, Strategic Customer Engagements</t>
        </is>
      </c>
      <c r="C176" t="inlineStr">
        <is>
          <t>Amazon Web Services</t>
        </is>
      </c>
      <c r="D176" t="inlineStr">
        <is>
          <t>indeed</t>
        </is>
      </c>
      <c r="E176" t="inlineStr"/>
      <c r="F176" t="inlineStr"/>
      <c r="G176" t="inlineStr">
        <is>
          <t>Dallas, TX, US</t>
        </is>
      </c>
      <c r="H176" s="2" t="n">
        <v>45994</v>
      </c>
      <c r="I1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7">
      <c r="A177" t="inlineStr">
        <is>
          <t>in-8d7cb850c52a70a1</t>
        </is>
      </c>
      <c r="B177" t="inlineStr">
        <is>
          <t>Sr. Product Manager Technical, Deal Tooling &amp; Insights, Strategic Customer Engagements</t>
        </is>
      </c>
      <c r="C177" t="inlineStr">
        <is>
          <t>Amazon Web Services</t>
        </is>
      </c>
      <c r="D177" t="inlineStr">
        <is>
          <t>indeed</t>
        </is>
      </c>
      <c r="E177" t="inlineStr"/>
      <c r="F177" t="inlineStr"/>
      <c r="G177" t="inlineStr">
        <is>
          <t>New York, NY, US</t>
        </is>
      </c>
      <c r="H177" s="2" t="n">
        <v>45994</v>
      </c>
      <c r="I1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8">
      <c r="A178" t="inlineStr">
        <is>
          <t>in-e9a586b2de55bb8b</t>
        </is>
      </c>
      <c r="B178" t="inlineStr">
        <is>
          <t>Sr. Product Manager - Tech, WHS Data-Tech</t>
        </is>
      </c>
      <c r="C178" t="inlineStr">
        <is>
          <t>Amazon.com</t>
        </is>
      </c>
      <c r="D178" t="inlineStr">
        <is>
          <t>indeed</t>
        </is>
      </c>
      <c r="E178" t="inlineStr"/>
      <c r="F178" t="inlineStr"/>
      <c r="G178" t="inlineStr">
        <is>
          <t>Nashville, TN, US</t>
        </is>
      </c>
      <c r="H178" s="2" t="n">
        <v>45836</v>
      </c>
      <c r="I17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79">
      <c r="A179" t="inlineStr">
        <is>
          <t>in-17c486a63aead877</t>
        </is>
      </c>
      <c r="B179" t="inlineStr">
        <is>
          <t>Sr. Product Manager - Tech, WHS Data-Tech</t>
        </is>
      </c>
      <c r="C179" t="inlineStr">
        <is>
          <t>Amazon.com</t>
        </is>
      </c>
      <c r="D179" t="inlineStr">
        <is>
          <t>indeed</t>
        </is>
      </c>
      <c r="E179" t="inlineStr"/>
      <c r="F179" t="inlineStr"/>
      <c r="G179" t="inlineStr">
        <is>
          <t>Arlington, VA, US</t>
        </is>
      </c>
      <c r="H179" s="2" t="n">
        <v>45836</v>
      </c>
      <c r="I17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80">
      <c r="A180" t="inlineStr">
        <is>
          <t>in-109a4dd177c58202</t>
        </is>
      </c>
      <c r="B180" t="inlineStr">
        <is>
          <t>Sr. Product Manager - Tech, WHS Data-Tech</t>
        </is>
      </c>
      <c r="C180" t="inlineStr">
        <is>
          <t>Amazon.com</t>
        </is>
      </c>
      <c r="D180" t="inlineStr">
        <is>
          <t>indeed</t>
        </is>
      </c>
      <c r="E180" t="inlineStr"/>
      <c r="F180" t="inlineStr"/>
      <c r="G180" t="inlineStr">
        <is>
          <t>Bellevue, WA, US</t>
        </is>
      </c>
      <c r="H180" s="2" t="n">
        <v>45836</v>
      </c>
      <c r="I18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81">
      <c r="A181" t="inlineStr">
        <is>
          <t>in-b37eb05cd3c7a4ba</t>
        </is>
      </c>
      <c r="B181" t="inlineStr">
        <is>
          <t>Principal Product Manager - Tech, Recommender Systems, Prime Video Personalization &amp; Discovery</t>
        </is>
      </c>
      <c r="C181" t="inlineStr">
        <is>
          <t>Amazon.com</t>
        </is>
      </c>
      <c r="D181" t="inlineStr">
        <is>
          <t>indeed</t>
        </is>
      </c>
      <c r="E181" t="inlineStr"/>
      <c r="F181" t="inlineStr"/>
      <c r="G181" t="inlineStr">
        <is>
          <t>Washington, DC, US</t>
        </is>
      </c>
      <c r="H181" s="2" t="n">
        <v>45753</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in-7b1307bf8821c57b</t>
        </is>
      </c>
      <c r="B182" t="inlineStr">
        <is>
          <t>Principal Product Manager - Tech, Recommender Systems, Prime Video Personalization &amp; Discovery</t>
        </is>
      </c>
      <c r="C182" t="inlineStr">
        <is>
          <t>Amazon.com</t>
        </is>
      </c>
      <c r="D182" t="inlineStr">
        <is>
          <t>indeed</t>
        </is>
      </c>
      <c r="E182" t="inlineStr"/>
      <c r="F182" t="inlineStr"/>
      <c r="G182" t="inlineStr">
        <is>
          <t>Seattle, WA, US</t>
        </is>
      </c>
      <c r="H182" s="2" t="n">
        <v>45753</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in-9aa770d5f5c8b711</t>
        </is>
      </c>
      <c r="B183" t="inlineStr">
        <is>
          <t>Program Manager, Relo Ops Excellence, Relo Ops Integration</t>
        </is>
      </c>
      <c r="C183" t="inlineStr">
        <is>
          <t>Amazon.com</t>
        </is>
      </c>
      <c r="D183" t="inlineStr">
        <is>
          <t>indeed</t>
        </is>
      </c>
      <c r="E183" t="inlineStr"/>
      <c r="F183" t="inlineStr"/>
      <c r="G183" t="inlineStr">
        <is>
          <t>Dallas, TX, US</t>
        </is>
      </c>
      <c r="H183" s="2" t="n">
        <v>46020</v>
      </c>
      <c r="I18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4">
      <c r="A184" t="inlineStr">
        <is>
          <t>in-37944591fcb105e9</t>
        </is>
      </c>
      <c r="B184" t="inlineStr">
        <is>
          <t>Program Manager, Relo Ops Excellence, Relo Ops Integration</t>
        </is>
      </c>
      <c r="C184" t="inlineStr">
        <is>
          <t>Amazon.com</t>
        </is>
      </c>
      <c r="D184" t="inlineStr">
        <is>
          <t>indeed</t>
        </is>
      </c>
      <c r="E184" t="inlineStr"/>
      <c r="F184" t="inlineStr"/>
      <c r="G184" t="inlineStr">
        <is>
          <t>Bellevue, WA, US</t>
        </is>
      </c>
      <c r="H184" s="2" t="n">
        <v>46020</v>
      </c>
      <c r="I18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5">
      <c r="A185" t="inlineStr">
        <is>
          <t>in-feeb4cb6c0a499a4</t>
        </is>
      </c>
      <c r="B185" t="inlineStr">
        <is>
          <t>Program Manager, Relo Ops Excellence, Relo Ops Integration</t>
        </is>
      </c>
      <c r="C185" t="inlineStr">
        <is>
          <t>Amazon.com</t>
        </is>
      </c>
      <c r="D185" t="inlineStr">
        <is>
          <t>indeed</t>
        </is>
      </c>
      <c r="E185" t="inlineStr"/>
      <c r="F185" t="inlineStr"/>
      <c r="G185" t="inlineStr">
        <is>
          <t>Phoenix, AZ, US</t>
        </is>
      </c>
      <c r="H185" s="2" t="n">
        <v>46020</v>
      </c>
      <c r="I18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6">
      <c r="A186" t="inlineStr">
        <is>
          <t>in-f33a6f28caa68164</t>
        </is>
      </c>
      <c r="B186" t="inlineStr">
        <is>
          <t>Program Manager, Relo Ops Excellence, Relo Ops Integration</t>
        </is>
      </c>
      <c r="C186" t="inlineStr">
        <is>
          <t>Amazon.com</t>
        </is>
      </c>
      <c r="D186" t="inlineStr">
        <is>
          <t>indeed</t>
        </is>
      </c>
      <c r="E186" t="inlineStr"/>
      <c r="F186" t="inlineStr"/>
      <c r="G186" t="inlineStr">
        <is>
          <t>Phoenix, AZ, US</t>
        </is>
      </c>
      <c r="H186" s="2" t="n">
        <v>46020</v>
      </c>
      <c r="I18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7">
      <c r="A187" t="inlineStr">
        <is>
          <t>in-9b52b6d92092fc5b</t>
        </is>
      </c>
      <c r="B187" t="inlineStr">
        <is>
          <t>Program Manager, Relo Ops Excellence, Relo Ops Integration</t>
        </is>
      </c>
      <c r="C187" t="inlineStr">
        <is>
          <t>Amazon.com</t>
        </is>
      </c>
      <c r="D187" t="inlineStr">
        <is>
          <t>indeed</t>
        </is>
      </c>
      <c r="E187" t="inlineStr"/>
      <c r="F187" t="inlineStr"/>
      <c r="G187" t="inlineStr">
        <is>
          <t>Nashville, TN, US</t>
        </is>
      </c>
      <c r="H187" s="2" t="n">
        <v>46020</v>
      </c>
      <c r="I18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8">
      <c r="A188" t="inlineStr">
        <is>
          <t>in-adac27373c5fa19c</t>
        </is>
      </c>
      <c r="B188" t="inlineStr">
        <is>
          <t>Program Manager, Relo Ops Excellence, Relo Ops Integration</t>
        </is>
      </c>
      <c r="C188" t="inlineStr">
        <is>
          <t>Amazon.com</t>
        </is>
      </c>
      <c r="D188" t="inlineStr">
        <is>
          <t>indeed</t>
        </is>
      </c>
      <c r="E188" t="inlineStr"/>
      <c r="F188" t="inlineStr"/>
      <c r="G188" t="inlineStr">
        <is>
          <t>Dallas, TX, US</t>
        </is>
      </c>
      <c r="H188" s="2" t="n">
        <v>46020</v>
      </c>
      <c r="I18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89">
      <c r="A189" t="inlineStr">
        <is>
          <t>in-5889670bda0598aa</t>
        </is>
      </c>
      <c r="B189" t="inlineStr">
        <is>
          <t>Program Manager, Relo Ops Excellence, Relo Ops Integration</t>
        </is>
      </c>
      <c r="C189" t="inlineStr">
        <is>
          <t>Amazon.com</t>
        </is>
      </c>
      <c r="D189" t="inlineStr">
        <is>
          <t>indeed</t>
        </is>
      </c>
      <c r="E189" t="inlineStr"/>
      <c r="F189" t="inlineStr"/>
      <c r="G189" t="inlineStr">
        <is>
          <t>Nashville, TN, US</t>
        </is>
      </c>
      <c r="H189" s="2" t="n">
        <v>46020</v>
      </c>
      <c r="I18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90">
      <c r="A190" t="inlineStr">
        <is>
          <t>in-bd8f75d1d36bd0f4</t>
        </is>
      </c>
      <c r="B190" t="inlineStr">
        <is>
          <t>Program Manager, Relo Ops Excellence, Relo Ops Integration</t>
        </is>
      </c>
      <c r="C190" t="inlineStr">
        <is>
          <t>Amazon.com</t>
        </is>
      </c>
      <c r="D190" t="inlineStr">
        <is>
          <t>indeed</t>
        </is>
      </c>
      <c r="E190" t="inlineStr"/>
      <c r="F190" t="inlineStr"/>
      <c r="G190" t="inlineStr">
        <is>
          <t>Bellevue, WA, US</t>
        </is>
      </c>
      <c r="H190" s="2" t="n">
        <v>46020</v>
      </c>
      <c r="I19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91">
      <c r="A191" t="inlineStr">
        <is>
          <t>in-cfd51989dc8e3591</t>
        </is>
      </c>
      <c r="B191" t="inlineStr">
        <is>
          <t>Principal Product Manager Technical, Creative X - RAPID</t>
        </is>
      </c>
      <c r="C191" t="inlineStr">
        <is>
          <t>Amazon.com</t>
        </is>
      </c>
      <c r="D191" t="inlineStr">
        <is>
          <t>indeed</t>
        </is>
      </c>
      <c r="E191" t="inlineStr"/>
      <c r="F191" t="inlineStr"/>
      <c r="G191" t="inlineStr">
        <is>
          <t>New York, NY, US</t>
        </is>
      </c>
      <c r="H191" s="2" t="n">
        <v>45939</v>
      </c>
      <c r="I19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92">
      <c r="A192" t="inlineStr">
        <is>
          <t>in-f554452e7744b8cd</t>
        </is>
      </c>
      <c r="B192" t="inlineStr">
        <is>
          <t>Principal Product Manager Technical, Creative X - RAPID</t>
        </is>
      </c>
      <c r="C192" t="inlineStr">
        <is>
          <t>Amazon.com</t>
        </is>
      </c>
      <c r="D192" t="inlineStr">
        <is>
          <t>indeed</t>
        </is>
      </c>
      <c r="E192" t="inlineStr"/>
      <c r="F192" t="inlineStr"/>
      <c r="G192" t="inlineStr">
        <is>
          <t>Seattle, WA, US</t>
        </is>
      </c>
      <c r="H192" s="2" t="n">
        <v>45939</v>
      </c>
      <c r="I19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93">
      <c r="A193" t="inlineStr">
        <is>
          <t>in-7dfb0c3a22b7b03f</t>
        </is>
      </c>
      <c r="B193" t="inlineStr">
        <is>
          <t>Product Manager (multiple levels) - Consumer Products</t>
        </is>
      </c>
      <c r="C193" t="inlineStr">
        <is>
          <t>Dart Container</t>
        </is>
      </c>
      <c r="D193" t="inlineStr">
        <is>
          <t>indeed</t>
        </is>
      </c>
      <c r="E193">
        <f>HYPERLINK("https://www.indeed.com/viewjob?jk=7dfb0c3a22b7b03f", "https://www.indeed.com/viewjob?jk=7dfb0c3a22b7b03f")</f>
        <v/>
      </c>
      <c r="F193">
        <f>HYPERLINK("https://jobs.dart.biz/job/Mason-Product-Manager-%28multiple-levels%29-Consumer-Products-MI/1352979800/?feedId=197600&amp;utm_source=Indeed&amp;utm_campaign=Dart_Indeed", "https://jobs.dart.biz/job/Mason-Product-Manager-%28multiple-levels%29-Consumer-Products-MI/1352979800/?feedId=197600&amp;utm_source=Indeed&amp;utm_campaign=Dart_Indeed")</f>
        <v/>
      </c>
      <c r="G193" t="inlineStr">
        <is>
          <t>Mason, MI, US</t>
        </is>
      </c>
      <c r="H193" s="3" t="n">
        <v>46053</v>
      </c>
      <c r="I193" t="inlineStr">
        <is>
          <t>**Product Manager**
The Product Manager – Consumer Products, manages specific product lines within the Consumer Products Business Team, driving business and product strategy, execution, and results in a manner that maximizes long\-term profitability. The incumbent in this role will deliver P\&amp;L results and is responsible for the health of an assigned product portfolio for the U.S. Consumer Products (CP) Business.
**Sr Product Manager**
The Senior Product Manager strategically leads and grows a product portfolio within the Consumer Products channels by driving innovation, optimizing product lifecycle management, and delivering strong financial performance. Through cross\-functional collaboration, customer and market insights, and data\-driven decision\-making, this role champions long\-term profitability, manufacturing excellence, and brand impact – ensuring every product delivers value to both the business and the customer.
Day\-to\-Day Role:
**Product Manager**
* Proactively manage a portfolio of products, and plan and drive growth through revenue and profit building blocks.
* Assist his/her leadership to develop and implement multi\-year and annual strategies for the assigned product lines through close collaboration with other functions.
* Collaborate with his/her leadership and Commercial Finance to create annual financial goals and budgets including revenue, gross margin, COGS, price and portfolio mix aligned to strategic priorities.
* Support his/her leadership in developing and implementing pricing strategy for the assigned product lines and recommend/participate in pricing decisions.
* Assist and potentially lead (assuming project Sponsor role) cross\-functional efforts to discover and execute cost\-reduction initiatives that do not negatively impact the customer/consumer experience.
* Lead all aspects of product life\-cycle management for assigned products including the product portfolio strategy, product management, pricing guidelines, product development, product enhancements, and SKU optimization.
* Identify and then champion and commercialize, through collaboration with other functions, new product development and innovation projects. As needed, assume Sponsor role to ensure projects deliver the predicted business benefits.
* Develop a deep understanding of our customers and markets, and use these insights to develop, and drive successful implementation of strategies.
* In collaboration with his/her PLM/Director/VP, partner with Sales to drive relationships with key customers and provide direction on product line focus areas to maximize sales and profitability.
* Collaborate with Marketing and Sales on product\-line marketing including brand strategy, brand standards, channel marketing messaging, and brand activation to achieve desired customer outcomes and financial results.
* Collaborate closely with Sales and Supply Chain Management on demand planning and forecasting to achieve desired financial and customer outcomes (e.g. minimize excess inventory and maximize fill rates for key product lines).
* Assist Business Team leadership in building a robust business case to support innovation and capacity expansion efforts within assigned product lines.
* Collaborate with other business units where needed to ensure the best overall outcome for the business.
* Continually challenge team to make logical, data\-driven decisions incorporating company policies, procedures and philosophies
* Model/promote a culture of accountability within the Business team and throughout the organization
**Sr Product Manager**
* Work cross\-functionally to develop and execute annual and multi\-year product strategies across assigned product portfolio, resulting in year\-over\-year margin\-enhancing revenue growth and cost improvements, while supporting excellent service and quality. Strategies should balance long\- and short\-term goals to drive results and maximize impact
* Assume P\&amp;L ownership for assigned product lines and proactively monitor revenue, cost, and profitability metrics to identify opportunities and address risks early
* Collaborate with leadership and Finance to develop annual financial goals and deliver results which drive sustainable business growth
* Develop and execute pricing strategy and participate in key customer\-specific pricing decisions which lead to profitable and expanded market share growth
* Align COGS and portfolio mix to strategic priorities, contributing to a reduction in operating costs, by supporting and potentially leading cross\-functional efforts to discover and execute cost\-reduction initiatives that do not negatively impact the customer/consumer experience
* Proactively lead all aspects of product life\-cycle management for assigned products, including the product portfolio strategy, product management, pricing guidelines, product development, product enhancements, SKU optimization, and obsolescence
* Develop, prioritize, and maintain a robust new product pipeline for assigned product lines to ensure future success and our continuing ability to meet evolving customer needs
* Build robust business cases to support efforts, and then champion and commercialize, through collaboration with other functions, these new products. Assume Sponsor role to ensure projects deliver the predicted business benefits, on time and within budget
* Develop a deep understanding of our customers, competitors, and markets by diligently listening to customer needs and gathering comprehensive market insights and competitive product knowledge, and use these insights to develop successful strategies to grow the business profitably
* Develop a deep understanding of the manufacturing processes and specific manufacturing locations applicable to assigned product lines
* Proactively monitor and manage service levels for assigned product lines and, where applicable, urgently address issues to minimize customer impact. Collaborate with cross\-functional teams to identify root causes, implement corrective actions, and communicate details to manage customer expectations
* Partner with Sales to build and drive relationships with large customers and provide direction on product line focus areas to maximize sales and profitability. Engage directly with large customers to understand their business needs and align Dart’s product strategy/roadmap with customer objectives to drive profitable growth
* Ensure product quality meets or exceeds customer expectations for assigned product lines by proactively monitoring trends, supporting specification development and adjustment, working cross\-functionally to address large customer and/or market\-wide quality issues, and using insights to make product changes to drive profitable growth and/or reduce cost
* Collaborate with Marketing and Sales on product\-line marketing including brand strategy, brand standards, channel marketing messaging, and brand activation to achieve desired customer outcomes and financial results
* Collaborate closely with Sales and Supply Chain Management on demand planning and forecasting to achieve desired financial and customer outcomes (e.g. minimize excess inventory and maximize fill rates for key product lines). Further, proactively monitor capacity utilization and asset health and anticipate future demand for assigned product lines to make data\-driven capacity expansion recommendations where applicable
Core Skills and Qualifications:  
The ideal candidate must possess all of the following:
**Product Manager**
* Bachelor’s Degree in Business or related field of study
* Requires one of the following:  
	+ Two (2\) years of experience in a general business role supporting decision making in marketing or product management, or
	+ Experience successfully meeting performance expectations consistently in all job responsibilities and functions in an Associate Product Manager position.
* Strong analytical, critical thinking, and problem\-solving skills
* Ability to blend creative problem solving with data driven, analytical, financial (e.g. NPV, financial statements, DCF), and quantitative skills with a demonstrated ability to analyze complex problems with data, assumptions, and judgment using best practices and analysis to formulate solutions
* Proven ability to drive change including the ability to influence all levels, streamline processes, integrate, and associate pieces of information gathered from multiple sources
* Ability to recognize and solve challenges and implement solutions
* Ability to operate with sense of urgency and focus on providing exceptionally reliable customer service
* Organizational skills including the ability to prioritize workload to meet deadlines
* Solid knowledge of and experience working with financial concepts such as ROI, net present value, and other related analysis methods
* Ability to be composed, adapt, and effectively manage tasks and projects in a dynamic, fast\-paced, customer\-focused work environment characterized by rapid change, minimal lead times, and multiple competing priorities while meeting all assigned deadlines
* Excellent verbal and written communication skills in order to clearly communicate intricate job\-related processes that ultimately affect decision making
* Strong attention to detail and accuracy
* Ability to be assertive, show initiative, demonstrate personal accountability, take ownership of work, and apply learned concepts
* Ability to tactfully resolve problems and provide feedback
* Ability to think strategically and for the long term
* Experience using Microsoft Office, including the ability to create reports, documents, presentations and spreadsheets, in MS Word, MS Excel, and MS PowerPoint
* Ability to maintain confidentiality on sensitive issues
Preferred Skills and Qualifications:
* SAP experience
* Experience in the foodservice packaging or consumer packaged goods industries
**Sr Product Manager**
* Bachelor’s degree with an emphasis in business, engineering, packaging, or related field of study
* Requires one of the following:
	+ Five (5\) years of experience in product management or a closely related role, or
	+ Experience successfully meeting performance expectations consistently in all job responsibilities and functions in a Dart Product Manager position
* Demonstrated experience managing product lines and delivering results by proactively driving year over year, top and bottom\-line growth
* Experience in applying a strategic mindset to P\&amp;L ownership, product roadmap development, innovation, portfolio optimization, and all aspects of product lifecycle management
* Experience as a successful champion of customer satisfaction through aligning product development, pricing, and portfolio decisions with market needs
* Ability to maintain a strong focus on delivering value through reliable service, quality standards, and responsiveness to evolving customer expectations to enhance outcomes
* Strong strategic and critical thinking along with the ability to blend creative problem solving with data driven, analytical, financial, and quantitative skills to analyze complex challenges, synthesize insights from multiple sources, and implement effective long\-term solutions
* Proven ability to achieve results by fostering strong cross\-functional collaboration and creating a motivational environment which encourages ownership.
* Ability to build trust and alignment across internal teams and external partners, influencing decision\-making and driving consensus, accountability, and continuous improvement at all organizational levels
* Ability to operate with a strong sense of urgency and focus on providing exceptionally reliable customer service
* Skilled in the interpretation of financial models and analysis (NPV, ROI, DCF), budgets, and financial statements to support data\-driven decision\-making
* Ability to be composed, adapt, and effectively manage tasks and projects in a dynamic, fast\-paced, customer\-focused work environment characterized by rapid change, minimal lead times, and multiple competing priorities while consistently meeting deadlines and delivering reliable results
* Ability to communicate complex product strategies and financial insights with clarity and confidence
* Ability to maintain confidentiality on sensitive issues
Preferred Skills and Qualifications:
* SAP experience
* Experience in the foodservice packaging industry
\#LI\-AD2
***Overview:*** *Dart makes everyday products that give people the freedom to enjoy the food \&amp; drinks they love, wherever they are. From to\-go containers and dinnerware to tamper\-evident food packaging and even the red SOLO cup, Dart products have been keeping people on the go and having fun for 65 years. We’re a family\-owned, family\-focused company of 12,000 employees united by a shared set of values and dedicated to providing exceptional customer service. Headquartered in Mason, MI, with 30 locations in three countries, we’re proud of our ability to innovate, manufacture and lead the way with each new generation of quality products.*
***Benefits:*** *Dart Container full\-time employees enjoy great benefits, including medical, dental, vision, life insurance, 401(k) with company matching contributions, paid vacation, paid holidays, short\-term disability, tuition assistance, product discounts and more.*
Dart Container is a drug\-free workplace. Candidates are subject to a drug test (excluding THC\*/marijuana/cannabis) and background check at the time of offer.
* THC testing ONLY when such testing is required by law.
Dart Container is an equal opportunity employer and will consider all candidates for employment without regard to race, color, religion, sex, national origin, age, sexual orientation, gender identity, disability status, protected veteran status, or any other characteristic protected by law.
https://www.dartcontainer.com/eeoaa/
If you have a disability and need an accommodation to access this website or for the application process, you should call Dart at (800\) 545\-3278 Ext 3370 or email us at ADArequests@dart.biz. Relay calls can be made by dialing 711 or the relay number for your state.
If you experience difficulty applying online, you may call (800\) 545\-3278 Ext 3390 or email us at applicationassistance@dart.biz for assistance.</t>
        </is>
      </c>
    </row>
    <row r="194">
      <c r="A194" t="inlineStr">
        <is>
          <t>in-28029b7ff2bd9cbf</t>
        </is>
      </c>
      <c r="B194" t="inlineStr">
        <is>
          <t>Lead Product Manager</t>
        </is>
      </c>
      <c r="C194" t="inlineStr">
        <is>
          <t>Vanta</t>
        </is>
      </c>
      <c r="D194" t="inlineStr">
        <is>
          <t>indeed</t>
        </is>
      </c>
      <c r="E194">
        <f>HYPERLINK("https://www.indeed.com/viewjob?jk=28029b7ff2bd9cbf", "https://www.indeed.com/viewjob?jk=28029b7ff2bd9cbf")</f>
        <v/>
      </c>
      <c r="F194">
        <f>HYPERLINK("https://jobs.ashbyhq.com/vanta/0d16a082-0962-485a-93eb-6fadd5f71241", "https://jobs.ashbyhq.com/vanta/0d16a082-0962-485a-93eb-6fadd5f71241")</f>
        <v/>
      </c>
      <c r="G194" t="inlineStr">
        <is>
          <t>Remote, US</t>
        </is>
      </c>
      <c r="H194" s="3" t="n">
        <v>46053</v>
      </c>
      <c r="I194" t="inlineStr">
        <is>
          <t>Location
Remote U.S.
Employment Type
Full time
Location Type
Remote
Department
GTM Operations
Compensation
Cash Range $152K – $179K • Offers Equity • This role is also eligible for medical benefits, 401(k) plan, and other company perk programs.
At Vanta, our mission is to help businesses earn and prove trust.We believe that security should be monitored and verified continuously, and we empower companies to practice better security and prove it with ease. Vanta has a kind and talented team, and while some have prior security experience, many have been successful at Vanta without it.
As the Lead Product Manager/Product Owner for Business Systems at Vanta, you are the critical owner of the Salesforce and Go\-to\-Market (GTM) ecosystem. This role serves as the essential bridge between core stakeholders—including Revenue Operations, Finance, Deal Desk, Product, Sales, Marketing, and Legal—and the technology that powers our GTM motion.
You will define and execute the product strategy, ensuring we are building, maintaining, and continually optimizing the products and processes required for Vanta's effective and scalable growth. Your focus is on maximizing business impact through clear requirements gathering, strategic prioritization, effective resource planning, and clear communication.
This role will report into the Head of GTM Systems \&amp; Analytics and work closely with our Salesforce Admin \&amp; Developer teams.
**What you’ll do as a Lead Product Manager at Vanta:**
* **Lead, Manage, and Develop Your Team**: Lead, manage, and coach a team of 3\-5 Product Managers and Business Systems Analysts, driving high\-performance, career development, and strategic hiring to scale the team. Foster a culture of excellence, accountability, and continuous improvement.
* **Strategic Roadmap \&amp; Prioritization**: Define, own, and communicate the multi\-quarter Business Systems roadmap, focusing on the Salesforce and GTM ecosystem. Continuously assess opportunities, technical feasibility, and business impact to strategically prioritize and sequence the highest\-value work across Sales Cloud, Service Cloud, CPQ, and integrated GTM tools.
* **Requirements Gathering \&amp; Solution Design**: Serve as the primary product expert, partnering with stakeholders (RevOps, Finance, Deal Desk, etc.) to gather and translate business needs into clear, actionable product requirements and process designs. Proactively identify risks and areas for improvement, driving solutions rather than simply fulfilling requests.
* **Delivery Oversight \&amp; Resource Planning**: Act as the Scrum Master, leading agile ceremonies (sprint planning, refinement, retrospectives) to maintain a steady delivery cadence. Coordinate and allocate team resources based on capacity and roadmap priorities to ensure successful execution.
* **Stakeholder Communication \&amp; Executive Reporting**: Ensure absolute clarity on all initiatives by communicating the strategy, value proposition, progress, and impact of Business Systems work to executive stakeholders and cross\-functional partners. Report on system performance, utilization metrics, ROI, and business impact on a regular cadence.
* **Platform Ownership \&amp; Governance**: Oversee the entire product and process lifecycle within the Salesforce ecosystem, ensuring long\-term maintainability, scalability, and optimal user experience. Establish and maintain system governance frameworks, including security roles, permissions, compliance standards, and data quality protocols.
* **Change Management \&amp; User Adoption**: Drive change management initiatives to ensure high user adoption, satisfaction, and effective training programs. Partner with enablement teams to deliver comprehensive onboarding and ongoing support.
* **Integration \&amp; Technical Excellence**: Oversee integrations between Salesforce and the broader GTM tech stack (Outreach, LeanData, Gong, Clari, HubSpot, Catalyst, etc.), ensuring seamless data flow, API management, and system reliability.
* **Data \&amp; Metrics Leadership**: Establish and track KPIs and metrics that measure system performance, business impact, and team effectiveness. Use data analysis and reporting to back up assumptions, recommendations, and drive strategic actions.
**How to be successful in this role:**
* **Experience**: 5\+ years of experience in product management, business systems, or revenue operations, with a proven track record in B2B SaaS environments.
* **People Leadership**: 2\+ years of people management experience leading product managers or business systems analysts, including direct experience hiring, developing talent, and managing team performance.
* **Salesforce Expertise**: Deep hands\-on experience with Salesforce platform and GTM tools, including core concepts such as flows, validation rules, custom objects, process automation, and data modeling. Salesforce certifications (Admin, Platform App Builder, or equivalent) strongly preferred.
* **Product \&amp; Technical Knowledge**: Strong understanding of Salesforce modules (Sales Cloud, CPQ) and experience with Quote\-to\-Cash, Contract Lifecycle Management, Entitlement Management, and SaaS/Subscription business models.
* **Roadmap \&amp; Strategy**: Strong experience owning and communicating multi\-quarter product roadmaps to senior stakeholders and executive leadership.
* **Agile Leadership**: Hands\-on experience leading agile teams, including sprint planning, backlog refinement, and retrospectives.
* **GTM Technology Stack**: Proven experience with modern GTM tools and platforms (e.g., Outreach, LeanData, Gong, Clari, HubSpot, Marketo, Gainsight, etc.) and managing complex integrations across these systems.
* **Data \&amp; Analytics**: Strong data and analytics skills, with the ability to establish KPIs, create meaningful reports, and use metrics to drive decision\-making and business outcomes.
* **Stakeholder Management**: Proven ability to balance competing priorities, make trade\-offs, and drive alignment across cross\-functional teams at all levels of the organization.
* **Communication**: Excellent written and verbal communication skills, with the ability to translate complex system work into clear business outcomes and influence stakeholders without direct authority.
* **Change Management**: Demonstrated success driving change management initiatives and ensuring high user adoption of new systems and processes.
* **Emerging Technologies**: Familiarity with AI/automation technologies in the Salesforce ecosystem (Einstein, agentic AI, workflow automation) is a plus.
* **Education**: Bachelor's degree in Business, Computer Science, or related field, or equivalent practical experience.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195">
      <c r="A195" t="inlineStr">
        <is>
          <t>in-c26a8346c25d1e0a</t>
        </is>
      </c>
      <c r="B195" t="inlineStr">
        <is>
          <t>Global Signage &amp; Wayfinding Designer Program Manager, Workplace Design &amp; Construction (WD&amp;C)</t>
        </is>
      </c>
      <c r="C195" t="inlineStr">
        <is>
          <t>Amazon.com</t>
        </is>
      </c>
      <c r="D195" t="inlineStr">
        <is>
          <t>indeed</t>
        </is>
      </c>
      <c r="E195">
        <f>HYPERLINK("https://www.indeed.com/viewjob?jk=c26a8346c25d1e0a", "https://www.indeed.com/viewjob?jk=c26a8346c25d1e0a")</f>
        <v/>
      </c>
      <c r="F195">
        <f>HYPERLINK("https://www.amazon.jobs/jobs/3139013/global-signage--wayfinding-designer-program-manager-workplace-design--construction-wdc?cmpid=DA_INAD200785B", "https://www.amazon.jobs/jobs/3139013/global-signage--wayfinding-designer-program-manager-workplace-design--construction-wdc?cmpid=DA_INAD200785B")</f>
        <v/>
      </c>
      <c r="G195" t="inlineStr">
        <is>
          <t>Seattle, WA, US</t>
        </is>
      </c>
      <c r="H195" s="3" t="n">
        <v>45998</v>
      </c>
      <c r="I195"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in-3eb151a8482327c2</t>
        </is>
      </c>
      <c r="B196" t="inlineStr">
        <is>
          <t>Global Signage &amp; Wayfinding Designer Program Manager, Workplace Design &amp; Construction (WD&amp;C)</t>
        </is>
      </c>
      <c r="C196" t="inlineStr">
        <is>
          <t>Amazon.com</t>
        </is>
      </c>
      <c r="D196" t="inlineStr">
        <is>
          <t>indeed</t>
        </is>
      </c>
      <c r="E196">
        <f>HYPERLINK("https://www.indeed.com/viewjob?jk=3eb151a8482327c2", "https://www.indeed.com/viewjob?jk=3eb151a8482327c2")</f>
        <v/>
      </c>
      <c r="F196">
        <f>HYPERLINK("https://www.amazon.jobs/jobs/3139013/global-signage--wayfinding-designer-program-manager-workplace-design--construction-wdc?cmpid=DA_INAD200785B", "https://www.amazon.jobs/jobs/3139013/global-signage--wayfinding-designer-program-manager-workplace-design--construction-wdc?cmpid=DA_INAD200785B")</f>
        <v/>
      </c>
      <c r="G196" t="inlineStr">
        <is>
          <t>Arlington, VA, US</t>
        </is>
      </c>
      <c r="H196" s="3" t="n">
        <v>45998</v>
      </c>
      <c r="I196"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in-fce0075095226633</t>
        </is>
      </c>
      <c r="B197" t="inlineStr">
        <is>
          <t>Sr. Product Manager, Tech, Stores Privacy</t>
        </is>
      </c>
      <c r="C197" t="inlineStr">
        <is>
          <t>Amazon.com</t>
        </is>
      </c>
      <c r="D197" t="inlineStr">
        <is>
          <t>indeed</t>
        </is>
      </c>
      <c r="E197">
        <f>HYPERLINK("https://www.indeed.com/viewjob?jk=fce0075095226633", "https://www.indeed.com/viewjob?jk=fce0075095226633")</f>
        <v/>
      </c>
      <c r="F197">
        <f>HYPERLINK("https://www.amazon.jobs/jobs/3140813/sr-product-manager-tech-stores-privacy-?cmpid=DA_INAD200785B", "https://www.amazon.jobs/jobs/3140813/sr-product-manager-tech-stores-privacy-?cmpid=DA_INAD200785B")</f>
        <v/>
      </c>
      <c r="G197" t="inlineStr">
        <is>
          <t>Seattle, WA, US</t>
        </is>
      </c>
      <c r="H197" s="3" t="n">
        <v>45995</v>
      </c>
      <c r="I197"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in-aff0ae63a0be4f49</t>
        </is>
      </c>
      <c r="B198" t="inlineStr">
        <is>
          <t>Sr. Product Manager, Tech, Stores Privacy</t>
        </is>
      </c>
      <c r="C198" t="inlineStr">
        <is>
          <t>Amazon.com</t>
        </is>
      </c>
      <c r="D198" t="inlineStr">
        <is>
          <t>indeed</t>
        </is>
      </c>
      <c r="E198">
        <f>HYPERLINK("https://www.indeed.com/viewjob?jk=aff0ae63a0be4f49", "https://www.indeed.com/viewjob?jk=aff0ae63a0be4f49")</f>
        <v/>
      </c>
      <c r="F198">
        <f>HYPERLINK("https://www.amazon.jobs/jobs/3140813/sr-product-manager-tech-stores-privacy-?cmpid=DA_INAD200785B", "https://www.amazon.jobs/jobs/3140813/sr-product-manager-tech-stores-privacy-?cmpid=DA_INAD200785B")</f>
        <v/>
      </c>
      <c r="G198" t="inlineStr">
        <is>
          <t>Austin, TX, US</t>
        </is>
      </c>
      <c r="H198" s="3" t="n">
        <v>45995</v>
      </c>
      <c r="I198"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in-0af52228ba8c6988</t>
        </is>
      </c>
      <c r="B199" t="inlineStr">
        <is>
          <t>Sr. Product Manager, Tech, Stores Privacy</t>
        </is>
      </c>
      <c r="C199" t="inlineStr">
        <is>
          <t>Amazon.com</t>
        </is>
      </c>
      <c r="D199" t="inlineStr">
        <is>
          <t>indeed</t>
        </is>
      </c>
      <c r="E199">
        <f>HYPERLINK("https://www.indeed.com/viewjob?jk=0af52228ba8c6988", "https://www.indeed.com/viewjob?jk=0af52228ba8c6988")</f>
        <v/>
      </c>
      <c r="F199">
        <f>HYPERLINK("https://www.amazon.jobs/jobs/3140813/sr-product-manager-tech-stores-privacy-?cmpid=DA_INAD200785B", "https://www.amazon.jobs/jobs/3140813/sr-product-manager-tech-stores-privacy-?cmpid=DA_INAD200785B")</f>
        <v/>
      </c>
      <c r="G199" t="inlineStr">
        <is>
          <t>Arlington, VA, US</t>
        </is>
      </c>
      <c r="H199" s="3" t="n">
        <v>45995</v>
      </c>
      <c r="I199" t="inlineStr">
        <is>
          <t>**DESCRIPTION**
---------------
Are you interested in defining and re\-imagining Amazon's privacy experiences across multiple businesses? If yes, you may have found the perfect role!  
The central Privacy team at Amazon owns customer choices and controls for businesses across Amazon such as data access and data deletion requests. We are looking for an experienced product leader to own the company\-wide roadmap for enhancing customer choices and help us innovate on behalf of our customers around the world.
The successful candidate will be able to think through business and technical integration challenges and drive product strategies and features to solve for them. A demonstrated ability to think strategically and analytically about business and product, with the ability to build and convey compelling value propositions, and work cross\-organizationally to build consensus is critical to this role.  
Key job responsibilities  
* Product strategy and direction: Continually assess the needs of our customers and partners in defining and evolving the product and business strategy.
* Roadmap Planning: Deliver innovative new features, usability and product performance in a consistent cadence of releases. Be the internal and external authority and advocate for your program.
* Ensure consistent execution of product lifecycle processes from concept to launch, driving value\-based prioritization of product development initiatives.
* Requirements Definition: Develop comprehensive product plans incorporating customer needs, defining the competitive arena, and establishing the objectives, strategies, and actions required to achieve business goals. Produce high\-quality requirements docs and effectively prioritize and manage the scope of each product launch to deliver key capabilities on time and on budget.
* Work with tech teams in your organization and others to craft business requirement documents and align on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 5\+ years of technical product or program management experience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in-e09d6f039a3eaf0c</t>
        </is>
      </c>
      <c r="B200" t="inlineStr">
        <is>
          <t>Senior Product Manager, Ads</t>
        </is>
      </c>
      <c r="C200" t="inlineStr">
        <is>
          <t>Amazon.com</t>
        </is>
      </c>
      <c r="D200" t="inlineStr">
        <is>
          <t>indeed</t>
        </is>
      </c>
      <c r="E200">
        <f>HYPERLINK("https://www.indeed.com/viewjob?jk=e09d6f039a3eaf0c", "https://www.indeed.com/viewjob?jk=e09d6f039a3eaf0c")</f>
        <v/>
      </c>
      <c r="F200">
        <f>HYPERLINK("https://www.amazon.jobs/jobs/3137568/senior-product-manager-ads?cmpid=DA_INAD200785B", "https://www.amazon.jobs/jobs/3137568/senior-product-manager-ads?cmpid=DA_INAD200785B")</f>
        <v/>
      </c>
      <c r="G200" t="inlineStr">
        <is>
          <t>San Francisco, CA, US</t>
        </is>
      </c>
      <c r="H200" s="3" t="n">
        <v>45994</v>
      </c>
      <c r="I2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in-0e4c56dcd30b1701</t>
        </is>
      </c>
      <c r="B201" t="inlineStr">
        <is>
          <t>Senior Product Manager, Ads</t>
        </is>
      </c>
      <c r="C201" t="inlineStr">
        <is>
          <t>Amazon.com</t>
        </is>
      </c>
      <c r="D201" t="inlineStr">
        <is>
          <t>indeed</t>
        </is>
      </c>
      <c r="E201">
        <f>HYPERLINK("https://www.indeed.com/viewjob?jk=0e4c56dcd30b1701", "https://www.indeed.com/viewjob?jk=0e4c56dcd30b1701")</f>
        <v/>
      </c>
      <c r="F201">
        <f>HYPERLINK("https://www.amazon.jobs/jobs/3137568/senior-product-manager-ads?cmpid=DA_INAD200785B", "https://www.amazon.jobs/jobs/3137568/senior-product-manager-ads?cmpid=DA_INAD200785B")</f>
        <v/>
      </c>
      <c r="G201" t="inlineStr">
        <is>
          <t>New York, NY, US</t>
        </is>
      </c>
      <c r="H201" s="3" t="n">
        <v>45994</v>
      </c>
      <c r="I2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in-2a5b7a2136597a77</t>
        </is>
      </c>
      <c r="B202" t="inlineStr">
        <is>
          <t>Senior Product Manager, Ads</t>
        </is>
      </c>
      <c r="C202" t="inlineStr">
        <is>
          <t>Amazon.com</t>
        </is>
      </c>
      <c r="D202" t="inlineStr">
        <is>
          <t>indeed</t>
        </is>
      </c>
      <c r="E202">
        <f>HYPERLINK("https://www.indeed.com/viewjob?jk=2a5b7a2136597a77", "https://www.indeed.com/viewjob?jk=2a5b7a2136597a77")</f>
        <v/>
      </c>
      <c r="F202">
        <f>HYPERLINK("https://www.amazon.jobs/jobs/3137569/senior-product-manager-ads?cmpid=DA_INAD200785B", "https://www.amazon.jobs/jobs/3137569/senior-product-manager-ads?cmpid=DA_INAD200785B")</f>
        <v/>
      </c>
      <c r="G202" t="inlineStr">
        <is>
          <t>San Francisco, CA, US</t>
        </is>
      </c>
      <c r="H202" s="3" t="n">
        <v>45994</v>
      </c>
      <c r="I2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in-4f29b8c381d8fed2</t>
        </is>
      </c>
      <c r="B203" t="inlineStr">
        <is>
          <t>Senior Product Manager, Ads</t>
        </is>
      </c>
      <c r="C203" t="inlineStr">
        <is>
          <t>Amazon.com</t>
        </is>
      </c>
      <c r="D203" t="inlineStr">
        <is>
          <t>indeed</t>
        </is>
      </c>
      <c r="E203">
        <f>HYPERLINK("https://www.indeed.com/viewjob?jk=4f29b8c381d8fed2", "https://www.indeed.com/viewjob?jk=4f29b8c381d8fed2")</f>
        <v/>
      </c>
      <c r="F203">
        <f>HYPERLINK("https://www.amazon.jobs/jobs/3137568/senior-product-manager-ads?cmpid=DA_INAD200785B", "https://www.amazon.jobs/jobs/3137568/senior-product-manager-ads?cmpid=DA_INAD200785B")</f>
        <v/>
      </c>
      <c r="G203" t="inlineStr">
        <is>
          <t>Los Angeles, CA, US</t>
        </is>
      </c>
      <c r="H203" s="3" t="n">
        <v>45994</v>
      </c>
      <c r="I2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in-67cf02f55324086d</t>
        </is>
      </c>
      <c r="B204" t="inlineStr">
        <is>
          <t>Senior Product Manager, Ads</t>
        </is>
      </c>
      <c r="C204" t="inlineStr">
        <is>
          <t>Amazon.com</t>
        </is>
      </c>
      <c r="D204" t="inlineStr">
        <is>
          <t>indeed</t>
        </is>
      </c>
      <c r="E204">
        <f>HYPERLINK("https://www.indeed.com/viewjob?jk=67cf02f55324086d", "https://www.indeed.com/viewjob?jk=67cf02f55324086d")</f>
        <v/>
      </c>
      <c r="F204">
        <f>HYPERLINK("https://www.amazon.jobs/jobs/3137569/senior-product-manager-ads?cmpid=DA_INAD200785B", "https://www.amazon.jobs/jobs/3137569/senior-product-manager-ads?cmpid=DA_INAD200785B")</f>
        <v/>
      </c>
      <c r="G204" t="inlineStr">
        <is>
          <t>New York, NY, US</t>
        </is>
      </c>
      <c r="H204" s="3" t="n">
        <v>45994</v>
      </c>
      <c r="I2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in-8261f824e92d6f56</t>
        </is>
      </c>
      <c r="B205" t="inlineStr">
        <is>
          <t>Senior Product Manager, Ads</t>
        </is>
      </c>
      <c r="C205" t="inlineStr">
        <is>
          <t>Amazon.com</t>
        </is>
      </c>
      <c r="D205" t="inlineStr">
        <is>
          <t>indeed</t>
        </is>
      </c>
      <c r="E205">
        <f>HYPERLINK("https://www.indeed.com/viewjob?jk=8261f824e92d6f56", "https://www.indeed.com/viewjob?jk=8261f824e92d6f56")</f>
        <v/>
      </c>
      <c r="F205">
        <f>HYPERLINK("https://www.amazon.jobs/jobs/3137569/senior-product-manager-ads?cmpid=DA_INAD200785B", "https://www.amazon.jobs/jobs/3137569/senior-product-manager-ads?cmpid=DA_INAD200785B")</f>
        <v/>
      </c>
      <c r="G205" t="inlineStr">
        <is>
          <t>Los Angeles, CA, US</t>
        </is>
      </c>
      <c r="H205" s="3" t="n">
        <v>45994</v>
      </c>
      <c r="I2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in-7b977ba92eedf5a9</t>
        </is>
      </c>
      <c r="B206" t="inlineStr">
        <is>
          <t>Senior Product Manager, Ads</t>
        </is>
      </c>
      <c r="C206" t="inlineStr">
        <is>
          <t>Amazon.com</t>
        </is>
      </c>
      <c r="D206" t="inlineStr">
        <is>
          <t>indeed</t>
        </is>
      </c>
      <c r="E206">
        <f>HYPERLINK("https://www.indeed.com/viewjob?jk=7b977ba92eedf5a9", "https://www.indeed.com/viewjob?jk=7b977ba92eedf5a9")</f>
        <v/>
      </c>
      <c r="F206">
        <f>HYPERLINK("https://www.amazon.jobs/jobs/3137568/senior-product-manager-ads?cmpid=DA_INAD200785B", "https://www.amazon.jobs/jobs/3137568/senior-product-manager-ads?cmpid=DA_INAD200785B")</f>
        <v/>
      </c>
      <c r="G206" t="inlineStr">
        <is>
          <t>Irvine, CA, US</t>
        </is>
      </c>
      <c r="H206" s="3" t="n">
        <v>45994</v>
      </c>
      <c r="I2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in-4dec1c0bf88ec996</t>
        </is>
      </c>
      <c r="B207" t="inlineStr">
        <is>
          <t>Senior Product Manager, Ads</t>
        </is>
      </c>
      <c r="C207" t="inlineStr">
        <is>
          <t>Amazon.com</t>
        </is>
      </c>
      <c r="D207" t="inlineStr">
        <is>
          <t>indeed</t>
        </is>
      </c>
      <c r="E207">
        <f>HYPERLINK("https://www.indeed.com/viewjob?jk=4dec1c0bf88ec996", "https://www.indeed.com/viewjob?jk=4dec1c0bf88ec996")</f>
        <v/>
      </c>
      <c r="F207">
        <f>HYPERLINK("https://www.amazon.jobs/jobs/3137569/senior-product-manager-ads?cmpid=DA_INAD200785B", "https://www.amazon.jobs/jobs/3137569/senior-product-manager-ads?cmpid=DA_INAD200785B")</f>
        <v/>
      </c>
      <c r="G207" t="inlineStr">
        <is>
          <t>Seattle, WA, US</t>
        </is>
      </c>
      <c r="H207" s="3" t="n">
        <v>45994</v>
      </c>
      <c r="I2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in-f2b0df93b540d75d</t>
        </is>
      </c>
      <c r="B208" t="inlineStr">
        <is>
          <t>Senior Product Manager, Ads</t>
        </is>
      </c>
      <c r="C208" t="inlineStr">
        <is>
          <t>Amazon.com</t>
        </is>
      </c>
      <c r="D208" t="inlineStr">
        <is>
          <t>indeed</t>
        </is>
      </c>
      <c r="E208">
        <f>HYPERLINK("https://www.indeed.com/viewjob?jk=f2b0df93b540d75d", "https://www.indeed.com/viewjob?jk=f2b0df93b540d75d")</f>
        <v/>
      </c>
      <c r="F208">
        <f>HYPERLINK("https://www.amazon.jobs/jobs/3137568/senior-product-manager-ads?cmpid=DA_INAD200785B", "https://www.amazon.jobs/jobs/3137568/senior-product-manager-ads?cmpid=DA_INAD200785B")</f>
        <v/>
      </c>
      <c r="G208" t="inlineStr">
        <is>
          <t>Seattle, WA, US</t>
        </is>
      </c>
      <c r="H208" s="3" t="n">
        <v>45994</v>
      </c>
      <c r="I2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in-c3b6cd19cde2065b</t>
        </is>
      </c>
      <c r="B209" t="inlineStr">
        <is>
          <t>Senior Product Manager, Ads</t>
        </is>
      </c>
      <c r="C209" t="inlineStr">
        <is>
          <t>Amazon.com</t>
        </is>
      </c>
      <c r="D209" t="inlineStr">
        <is>
          <t>indeed</t>
        </is>
      </c>
      <c r="E209">
        <f>HYPERLINK("https://www.indeed.com/viewjob?jk=c3b6cd19cde2065b", "https://www.indeed.com/viewjob?jk=c3b6cd19cde2065b")</f>
        <v/>
      </c>
      <c r="F209">
        <f>HYPERLINK("https://www.amazon.jobs/jobs/3137569/senior-product-manager-ads?cmpid=DA_INAD200785B", "https://www.amazon.jobs/jobs/3137569/senior-product-manager-ads?cmpid=DA_INAD200785B")</f>
        <v/>
      </c>
      <c r="G209" t="inlineStr">
        <is>
          <t>Irvine, CA, US</t>
        </is>
      </c>
      <c r="H209" s="3" t="n">
        <v>45994</v>
      </c>
      <c r="I2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in-59a6a369c620cfec</t>
        </is>
      </c>
      <c r="B210" t="inlineStr">
        <is>
          <t>Sr. Product Manager</t>
        </is>
      </c>
      <c r="C210" t="inlineStr">
        <is>
          <t>Amazon.com</t>
        </is>
      </c>
      <c r="D210" t="inlineStr">
        <is>
          <t>indeed</t>
        </is>
      </c>
      <c r="E210">
        <f>HYPERLINK("https://www.indeed.com/viewjob?jk=59a6a369c620cfec", "https://www.indeed.com/viewjob?jk=59a6a369c620cfec")</f>
        <v/>
      </c>
      <c r="F210">
        <f>HYPERLINK("https://www.amazon.jobs/jobs/3129468/sr-product-manager?cmpid=DA_INAD200785B", "https://www.amazon.jobs/jobs/3129468/sr-product-manager?cmpid=DA_INAD200785B")</f>
        <v/>
      </c>
      <c r="G210" t="inlineStr">
        <is>
          <t>Seattle, WA, US</t>
        </is>
      </c>
      <c r="H210" s="3" t="n">
        <v>45979</v>
      </c>
      <c r="I2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in-4ba0d10de2ab8bc1</t>
        </is>
      </c>
      <c r="B211" t="inlineStr">
        <is>
          <t>Sr. Product Manager</t>
        </is>
      </c>
      <c r="C211" t="inlineStr">
        <is>
          <t>Amazon.com</t>
        </is>
      </c>
      <c r="D211" t="inlineStr">
        <is>
          <t>indeed</t>
        </is>
      </c>
      <c r="E211">
        <f>HYPERLINK("https://www.indeed.com/viewjob?jk=4ba0d10de2ab8bc1", "https://www.indeed.com/viewjob?jk=4ba0d10de2ab8bc1")</f>
        <v/>
      </c>
      <c r="F211">
        <f>HYPERLINK("https://www.amazon.jobs/jobs/3129468/sr-product-manager?cmpid=DA_INAD200785B", "https://www.amazon.jobs/jobs/3129468/sr-product-manager?cmpid=DA_INAD200785B")</f>
        <v/>
      </c>
      <c r="G211" t="inlineStr">
        <is>
          <t>New York, NY, US</t>
        </is>
      </c>
      <c r="H211" s="3" t="n">
        <v>45979</v>
      </c>
      <c r="I2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in-ad485c092bec8efb</t>
        </is>
      </c>
      <c r="B212" t="inlineStr">
        <is>
          <t>Sr. Product Manager</t>
        </is>
      </c>
      <c r="C212" t="inlineStr">
        <is>
          <t>Amazon.com</t>
        </is>
      </c>
      <c r="D212" t="inlineStr">
        <is>
          <t>indeed</t>
        </is>
      </c>
      <c r="E212">
        <f>HYPERLINK("https://www.indeed.com/viewjob?jk=ad485c092bec8efb", "https://www.indeed.com/viewjob?jk=ad485c092bec8efb")</f>
        <v/>
      </c>
      <c r="F212">
        <f>HYPERLINK("https://www.amazon.jobs/jobs/3129468/sr-product-manager?cmpid=DA_INAD200785B", "https://www.amazon.jobs/jobs/3129468/sr-product-manager?cmpid=DA_INAD200785B")</f>
        <v/>
      </c>
      <c r="G212" t="inlineStr">
        <is>
          <t>Los Angeles, CA, US</t>
        </is>
      </c>
      <c r="H212" s="3" t="n">
        <v>45979</v>
      </c>
      <c r="I2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in-7bb2d16b85067c83</t>
        </is>
      </c>
      <c r="B213" t="inlineStr">
        <is>
          <t>Sr. Product Manager</t>
        </is>
      </c>
      <c r="C213" t="inlineStr">
        <is>
          <t>Amazon.com</t>
        </is>
      </c>
      <c r="D213" t="inlineStr">
        <is>
          <t>indeed</t>
        </is>
      </c>
      <c r="E213">
        <f>HYPERLINK("https://www.indeed.com/viewjob?jk=7bb2d16b85067c83", "https://www.indeed.com/viewjob?jk=7bb2d16b85067c83")</f>
        <v/>
      </c>
      <c r="F213">
        <f>HYPERLINK("https://www.amazon.jobs/jobs/3129468/sr-product-manager?cmpid=DA_INAD200785B", "https://www.amazon.jobs/jobs/3129468/sr-product-manager?cmpid=DA_INAD200785B")</f>
        <v/>
      </c>
      <c r="G213" t="inlineStr">
        <is>
          <t>San Francisco, CA, US</t>
        </is>
      </c>
      <c r="H213" s="3" t="n">
        <v>45979</v>
      </c>
      <c r="I2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in-56ed78b9782116ad</t>
        </is>
      </c>
      <c r="B214" t="inlineStr">
        <is>
          <t>Sr. Product Manager</t>
        </is>
      </c>
      <c r="C214" t="inlineStr">
        <is>
          <t>Amazon.com</t>
        </is>
      </c>
      <c r="D214" t="inlineStr">
        <is>
          <t>indeed</t>
        </is>
      </c>
      <c r="E214">
        <f>HYPERLINK("https://www.indeed.com/viewjob?jk=56ed78b9782116ad", "https://www.indeed.com/viewjob?jk=56ed78b9782116ad")</f>
        <v/>
      </c>
      <c r="F214">
        <f>HYPERLINK("https://www.amazon.jobs/jobs/3129468/sr-product-manager?cmpid=DA_INAD200785B", "https://www.amazon.jobs/jobs/3129468/sr-product-manager?cmpid=DA_INAD200785B")</f>
        <v/>
      </c>
      <c r="G214" t="inlineStr">
        <is>
          <t>Irvine, CA, US</t>
        </is>
      </c>
      <c r="H214" s="3" t="n">
        <v>45979</v>
      </c>
      <c r="I2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in-f85c0cb17ef04baf</t>
        </is>
      </c>
      <c r="B215" t="inlineStr">
        <is>
          <t>Program Manager, Executive Content and Programs, Global Executive Marketing</t>
        </is>
      </c>
      <c r="C215" t="inlineStr">
        <is>
          <t>Amazon Web Services</t>
        </is>
      </c>
      <c r="D215" t="inlineStr">
        <is>
          <t>indeed</t>
        </is>
      </c>
      <c r="E215">
        <f>HYPERLINK("https://www.indeed.com/viewjob?jk=f85c0cb17ef04baf", "https://www.indeed.com/viewjob?jk=f85c0cb17ef04baf")</f>
        <v/>
      </c>
      <c r="F215">
        <f>HYPERLINK("https://www.amazon.jobs/jobs/3125520/program-manager-executive-content-and-programs-global-executive-marketing?cmpid=DA_INAD200785B", "https://www.amazon.jobs/jobs/3125520/program-manager-executive-content-and-programs-global-executive-marketing?cmpid=DA_INAD200785B")</f>
        <v/>
      </c>
      <c r="G215" t="inlineStr">
        <is>
          <t>Arlington, VA, US</t>
        </is>
      </c>
      <c r="H215" s="3" t="n">
        <v>45970</v>
      </c>
      <c r="I21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in-a495b1d1ab3f4ec7</t>
        </is>
      </c>
      <c r="B216" t="inlineStr">
        <is>
          <t>Program Manager, Executive Content and Programs, Global Executive Marketing</t>
        </is>
      </c>
      <c r="C216" t="inlineStr">
        <is>
          <t>Amazon Web Services</t>
        </is>
      </c>
      <c r="D216" t="inlineStr">
        <is>
          <t>indeed</t>
        </is>
      </c>
      <c r="E216">
        <f>HYPERLINK("https://www.indeed.com/viewjob?jk=a495b1d1ab3f4ec7", "https://www.indeed.com/viewjob?jk=a495b1d1ab3f4ec7")</f>
        <v/>
      </c>
      <c r="F216">
        <f>HYPERLINK("https://www.amazon.jobs/jobs/3125520/program-manager-executive-content-and-programs-global-executive-marketing?cmpid=DA_INAD200785B", "https://www.amazon.jobs/jobs/3125520/program-manager-executive-content-and-programs-global-executive-marketing?cmpid=DA_INAD200785B")</f>
        <v/>
      </c>
      <c r="G216" t="inlineStr">
        <is>
          <t>Seattle, WA, US</t>
        </is>
      </c>
      <c r="H216" s="3" t="n">
        <v>45970</v>
      </c>
      <c r="I21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in-aebb5239645709b8</t>
        </is>
      </c>
      <c r="B217" t="inlineStr">
        <is>
          <t>Senior Product Manager, Sub Same Day</t>
        </is>
      </c>
      <c r="C217" t="inlineStr">
        <is>
          <t>Amazon.com</t>
        </is>
      </c>
      <c r="D217" t="inlineStr">
        <is>
          <t>indeed</t>
        </is>
      </c>
      <c r="E217">
        <f>HYPERLINK("https://www.indeed.com/viewjob?jk=aebb5239645709b8", "https://www.indeed.com/viewjob?jk=aebb5239645709b8")</f>
        <v/>
      </c>
      <c r="F217">
        <f>HYPERLINK("https://www.amazon.jobs/jobs/3122677/senior-product-manager-sub-same-day?cmpid=DA_INAD200785B", "https://www.amazon.jobs/jobs/3122677/senior-product-manager-sub-same-day?cmpid=DA_INAD200785B")</f>
        <v/>
      </c>
      <c r="G217" t="inlineStr">
        <is>
          <t>Bellevue, WA, US</t>
        </is>
      </c>
      <c r="H217" s="3" t="n">
        <v>45957</v>
      </c>
      <c r="I217"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in-d61762c97b5c5c07</t>
        </is>
      </c>
      <c r="B218" t="inlineStr">
        <is>
          <t>Senior Product Manager, Sub Same Day</t>
        </is>
      </c>
      <c r="C218" t="inlineStr">
        <is>
          <t>Amazon.com</t>
        </is>
      </c>
      <c r="D218" t="inlineStr">
        <is>
          <t>indeed</t>
        </is>
      </c>
      <c r="E218">
        <f>HYPERLINK("https://www.indeed.com/viewjob?jk=d61762c97b5c5c07", "https://www.indeed.com/viewjob?jk=d61762c97b5c5c07")</f>
        <v/>
      </c>
      <c r="F218">
        <f>HYPERLINK("https://www.amazon.jobs/jobs/3122677/senior-product-manager-sub-same-day?cmpid=DA_INAD200785B", "https://www.amazon.jobs/jobs/3122677/senior-product-manager-sub-same-day?cmpid=DA_INAD200785B")</f>
        <v/>
      </c>
      <c r="G218" t="inlineStr">
        <is>
          <t>New York, NY, US</t>
        </is>
      </c>
      <c r="H218" s="3" t="n">
        <v>45957</v>
      </c>
      <c r="I218"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in-ace02bfe3eb122ba</t>
        </is>
      </c>
      <c r="B219" t="inlineStr">
        <is>
          <t>Senior Product Manager, Sub Same Day</t>
        </is>
      </c>
      <c r="C219" t="inlineStr">
        <is>
          <t>Amazon.com</t>
        </is>
      </c>
      <c r="D219" t="inlineStr">
        <is>
          <t>indeed</t>
        </is>
      </c>
      <c r="E219">
        <f>HYPERLINK("https://www.indeed.com/viewjob?jk=ace02bfe3eb122ba", "https://www.indeed.com/viewjob?jk=ace02bfe3eb122ba")</f>
        <v/>
      </c>
      <c r="F219">
        <f>HYPERLINK("https://www.amazon.jobs/jobs/3122677/senior-product-manager-sub-same-day?cmpid=DA_INAD200785B", "https://www.amazon.jobs/jobs/3122677/senior-product-manager-sub-same-day?cmpid=DA_INAD200785B")</f>
        <v/>
      </c>
      <c r="G219" t="inlineStr">
        <is>
          <t>Nashville, TN, US</t>
        </is>
      </c>
      <c r="H219" s="3" t="n">
        <v>45957</v>
      </c>
      <c r="I219" t="inlineStr">
        <is>
          <t>**DESCRIPTION**
---------------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infrastructure.**BASIC QUALIFICATIONS**
------------------------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in-0f75ff7177dbb880</t>
        </is>
      </c>
      <c r="B220" t="inlineStr">
        <is>
          <t>Sr. Program Manager, Planning &amp; Automation, Global Fleet and Products Electrification and Infrastructure</t>
        </is>
      </c>
      <c r="C220" t="inlineStr">
        <is>
          <t>Amazon.com</t>
        </is>
      </c>
      <c r="D220" t="inlineStr">
        <is>
          <t>indeed</t>
        </is>
      </c>
      <c r="E220">
        <f>HYPERLINK("https://www.indeed.com/viewjob?jk=0f75ff7177dbb880", "https://www.indeed.com/viewjob?jk=0f75ff7177dbb880")</f>
        <v/>
      </c>
      <c r="F220">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20" t="inlineStr">
        <is>
          <t>San Francisco, CA, US</t>
        </is>
      </c>
      <c r="H220" s="3" t="n">
        <v>45949</v>
      </c>
      <c r="I220"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in-2c68b92cac8fd64b</t>
        </is>
      </c>
      <c r="B221" t="inlineStr">
        <is>
          <t>Sr. Program Manager, Planning &amp; Automation, Global Fleet and Products Electrification and Infrastructure</t>
        </is>
      </c>
      <c r="C221" t="inlineStr">
        <is>
          <t>Amazon.com</t>
        </is>
      </c>
      <c r="D221" t="inlineStr">
        <is>
          <t>indeed</t>
        </is>
      </c>
      <c r="E221">
        <f>HYPERLINK("https://www.indeed.com/viewjob?jk=2c68b92cac8fd64b", "https://www.indeed.com/viewjob?jk=2c68b92cac8fd64b")</f>
        <v/>
      </c>
      <c r="F221">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21" t="inlineStr">
        <is>
          <t>Nashville, TN, US</t>
        </is>
      </c>
      <c r="H221" s="3" t="n">
        <v>45949</v>
      </c>
      <c r="I22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in-eaeac9d981995f3d</t>
        </is>
      </c>
      <c r="B222" t="inlineStr">
        <is>
          <t>Sr. Program Manager, Planning &amp; Automation, Global Fleet and Products Electrification and Infrastructure</t>
        </is>
      </c>
      <c r="C222" t="inlineStr">
        <is>
          <t>Amazon.com</t>
        </is>
      </c>
      <c r="D222" t="inlineStr">
        <is>
          <t>indeed</t>
        </is>
      </c>
      <c r="E222">
        <f>HYPERLINK("https://www.indeed.com/viewjob?jk=eaeac9d981995f3d", "https://www.indeed.com/viewjob?jk=eaeac9d981995f3d")</f>
        <v/>
      </c>
      <c r="F222">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222" t="inlineStr">
        <is>
          <t>Bellevue, WA, US</t>
        </is>
      </c>
      <c r="H222" s="3" t="n">
        <v>45949</v>
      </c>
      <c r="I22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in-287162dee2bc1536</t>
        </is>
      </c>
      <c r="B223" t="inlineStr">
        <is>
          <t>Sr Program Manager, Procurement Operations, SSD OI</t>
        </is>
      </c>
      <c r="C223" t="inlineStr">
        <is>
          <t>Amazon.com</t>
        </is>
      </c>
      <c r="D223" t="inlineStr">
        <is>
          <t>indeed</t>
        </is>
      </c>
      <c r="E223">
        <f>HYPERLINK("https://www.indeed.com/viewjob?jk=287162dee2bc1536", "https://www.indeed.com/viewjob?jk=287162dee2bc1536")</f>
        <v/>
      </c>
      <c r="F223">
        <f>HYPERLINK("https://www.amazon.jobs/jobs/3120809/sr-program-manager-procurement-operations-ssd-oi-?cmpid=DA_INAD200785B", "https://www.amazon.jobs/jobs/3120809/sr-program-manager-procurement-operations-ssd-oi-?cmpid=DA_INAD200785B")</f>
        <v/>
      </c>
      <c r="G223" t="inlineStr">
        <is>
          <t>Nashville, TN, US</t>
        </is>
      </c>
      <c r="H223" s="3" t="n">
        <v>45938</v>
      </c>
      <c r="I223"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in-ddfce4ad3e06bc60</t>
        </is>
      </c>
      <c r="B224" t="inlineStr">
        <is>
          <t>Sr Program Manager, Procurement Operations, SSD OI</t>
        </is>
      </c>
      <c r="C224" t="inlineStr">
        <is>
          <t>Amazon.com</t>
        </is>
      </c>
      <c r="D224" t="inlineStr">
        <is>
          <t>indeed</t>
        </is>
      </c>
      <c r="E224">
        <f>HYPERLINK("https://www.indeed.com/viewjob?jk=ddfce4ad3e06bc60", "https://www.indeed.com/viewjob?jk=ddfce4ad3e06bc60")</f>
        <v/>
      </c>
      <c r="F224">
        <f>HYPERLINK("https://www.amazon.jobs/jobs/3120809/sr-program-manager-procurement-operations-ssd-oi-?cmpid=DA_INAD200785B", "https://www.amazon.jobs/jobs/3120809/sr-program-manager-procurement-operations-ssd-oi-?cmpid=DA_INAD200785B")</f>
        <v/>
      </c>
      <c r="G224" t="inlineStr">
        <is>
          <t>Bellevue, WA, US</t>
        </is>
      </c>
      <c r="H224" s="3" t="n">
        <v>45938</v>
      </c>
      <c r="I224"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in-c93b11fb5d282c13</t>
        </is>
      </c>
      <c r="B225" t="inlineStr">
        <is>
          <t>Sr Program Manager, Procurement Operations, SSD OI</t>
        </is>
      </c>
      <c r="C225" t="inlineStr">
        <is>
          <t>Amazon.com</t>
        </is>
      </c>
      <c r="D225" t="inlineStr">
        <is>
          <t>indeed</t>
        </is>
      </c>
      <c r="E225">
        <f>HYPERLINK("https://www.indeed.com/viewjob?jk=c93b11fb5d282c13", "https://www.indeed.com/viewjob?jk=c93b11fb5d282c13")</f>
        <v/>
      </c>
      <c r="F225">
        <f>HYPERLINK("https://www.amazon.jobs/jobs/3120809/sr-program-manager-procurement-operations-ssd-oi-?cmpid=DA_INAD200785B", "https://www.amazon.jobs/jobs/3120809/sr-program-manager-procurement-operations-ssd-oi-?cmpid=DA_INAD200785B")</f>
        <v/>
      </c>
      <c r="G225" t="inlineStr">
        <is>
          <t>New York, NY, US</t>
        </is>
      </c>
      <c r="H225" s="3" t="n">
        <v>45938</v>
      </c>
      <c r="I225" t="inlineStr">
        <is>
          <t>**DESCRIPTION**
---------------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life**BASIC QUALIFICATIONS**
------------------------
* Bachelor's degree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in-16aa20fa0c3c34ef</t>
        </is>
      </c>
      <c r="B226" t="inlineStr">
        <is>
          <t>Sr. Supply Chain Product Manager, Amazon Custom Modules</t>
        </is>
      </c>
      <c r="C226" t="inlineStr">
        <is>
          <t>Amazon.com</t>
        </is>
      </c>
      <c r="D226" t="inlineStr">
        <is>
          <t>indeed</t>
        </is>
      </c>
      <c r="E226">
        <f>HYPERLINK("https://www.indeed.com/viewjob?jk=16aa20fa0c3c34ef", "https://www.indeed.com/viewjob?jk=16aa20fa0c3c34ef")</f>
        <v/>
      </c>
      <c r="F226">
        <f>HYPERLINK("https://www.amazon.jobs/jobs/3109372/sr-supply-chain-product-manager-amazon-custom-modules?cmpid=DA_INAD200785B", "https://www.amazon.jobs/jobs/3109372/sr-supply-chain-product-manager-amazon-custom-modules?cmpid=DA_INAD200785B")</f>
        <v/>
      </c>
      <c r="G226" t="inlineStr">
        <is>
          <t>Austin, TX, US</t>
        </is>
      </c>
      <c r="H226" s="3" t="n">
        <v>45935</v>
      </c>
      <c r="I22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in-1c6ab0268f42d85b</t>
        </is>
      </c>
      <c r="B227" t="inlineStr">
        <is>
          <t>Sr. Supply Chain Product Manager, Amazon Custom Modules</t>
        </is>
      </c>
      <c r="C227" t="inlineStr">
        <is>
          <t>Amazon.com</t>
        </is>
      </c>
      <c r="D227" t="inlineStr">
        <is>
          <t>indeed</t>
        </is>
      </c>
      <c r="E227">
        <f>HYPERLINK("https://www.indeed.com/viewjob?jk=1c6ab0268f42d85b", "https://www.indeed.com/viewjob?jk=1c6ab0268f42d85b")</f>
        <v/>
      </c>
      <c r="F227">
        <f>HYPERLINK("https://www.amazon.jobs/jobs/3109372/sr-supply-chain-product-manager-amazon-custom-modules?cmpid=DA_INAD200785B", "https://www.amazon.jobs/jobs/3109372/sr-supply-chain-product-manager-amazon-custom-modules?cmpid=DA_INAD200785B")</f>
        <v/>
      </c>
      <c r="G227" t="inlineStr">
        <is>
          <t>Seattle, WA, US</t>
        </is>
      </c>
      <c r="H227" s="3" t="n">
        <v>45935</v>
      </c>
      <c r="I2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in-ff64f9f4c447f924</t>
        </is>
      </c>
      <c r="B228" t="inlineStr">
        <is>
          <t>Sr. Supply Chain Product Manager, Amazon Custom Modules</t>
        </is>
      </c>
      <c r="C228" t="inlineStr">
        <is>
          <t>Amazon.com</t>
        </is>
      </c>
      <c r="D228" t="inlineStr">
        <is>
          <t>indeed</t>
        </is>
      </c>
      <c r="E228">
        <f>HYPERLINK("https://www.indeed.com/viewjob?jk=ff64f9f4c447f924", "https://www.indeed.com/viewjob?jk=ff64f9f4c447f924")</f>
        <v/>
      </c>
      <c r="F228">
        <f>HYPERLINK("https://www.amazon.jobs/jobs/3109372/sr-supply-chain-product-manager-amazon-custom-modules?cmpid=DA_INAD200785B", "https://www.amazon.jobs/jobs/3109372/sr-supply-chain-product-manager-amazon-custom-modules?cmpid=DA_INAD200785B")</f>
        <v/>
      </c>
      <c r="G228" t="inlineStr">
        <is>
          <t>Cupertino, CA, US</t>
        </is>
      </c>
      <c r="H228" s="3" t="n">
        <v>45935</v>
      </c>
      <c r="I2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in-1bc8c19a776788c2</t>
        </is>
      </c>
      <c r="B229" t="inlineStr">
        <is>
          <t>Sr. Program Manager, Same Day Programs</t>
        </is>
      </c>
      <c r="C229" t="inlineStr">
        <is>
          <t>Amazon.com</t>
        </is>
      </c>
      <c r="D229" t="inlineStr">
        <is>
          <t>indeed</t>
        </is>
      </c>
      <c r="E229">
        <f>HYPERLINK("https://www.indeed.com/viewjob?jk=1bc8c19a776788c2", "https://www.indeed.com/viewjob?jk=1bc8c19a776788c2")</f>
        <v/>
      </c>
      <c r="F229">
        <f>HYPERLINK("https://www.amazon.jobs/jobs/3106355/sr-program-manager-same-day-programs?cmpid=DA_INAD200785B", "https://www.amazon.jobs/jobs/3106355/sr-program-manager-same-day-programs?cmpid=DA_INAD200785B")</f>
        <v/>
      </c>
      <c r="G229" t="inlineStr">
        <is>
          <t>Nashville, TN, US</t>
        </is>
      </c>
      <c r="H229" s="3" t="n">
        <v>45931</v>
      </c>
      <c r="I2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in-e5aae1e2ac71e772</t>
        </is>
      </c>
      <c r="B230" t="inlineStr">
        <is>
          <t>Sr. Program Manager, Same Day Programs,</t>
        </is>
      </c>
      <c r="C230" t="inlineStr">
        <is>
          <t>Amazon.com</t>
        </is>
      </c>
      <c r="D230" t="inlineStr">
        <is>
          <t>indeed</t>
        </is>
      </c>
      <c r="E230">
        <f>HYPERLINK("https://www.indeed.com/viewjob?jk=e5aae1e2ac71e772", "https://www.indeed.com/viewjob?jk=e5aae1e2ac71e772")</f>
        <v/>
      </c>
      <c r="F230">
        <f>HYPERLINK("https://www.amazon.jobs/jobs/3106368/sr-program-manager-same-day-programs--?cmpid=DA_INAD200785B", "https://www.amazon.jobs/jobs/3106368/sr-program-manager-same-day-programs--?cmpid=DA_INAD200785B")</f>
        <v/>
      </c>
      <c r="G230" t="inlineStr">
        <is>
          <t>Nashville, TN, US</t>
        </is>
      </c>
      <c r="H230" s="3" t="n">
        <v>45931</v>
      </c>
      <c r="I2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in-7c5211f6a2e99464</t>
        </is>
      </c>
      <c r="B231" t="inlineStr">
        <is>
          <t>Sr. Program Manager, Same Day Programs,</t>
        </is>
      </c>
      <c r="C231" t="inlineStr">
        <is>
          <t>Amazon.com</t>
        </is>
      </c>
      <c r="D231" t="inlineStr">
        <is>
          <t>indeed</t>
        </is>
      </c>
      <c r="E231">
        <f>HYPERLINK("https://www.indeed.com/viewjob?jk=7c5211f6a2e99464", "https://www.indeed.com/viewjob?jk=7c5211f6a2e99464")</f>
        <v/>
      </c>
      <c r="F231">
        <f>HYPERLINK("https://www.amazon.jobs/jobs/3106368/sr-program-manager-same-day-programs--?cmpid=DA_INAD200785B", "https://www.amazon.jobs/jobs/3106368/sr-program-manager-same-day-programs--?cmpid=DA_INAD200785B")</f>
        <v/>
      </c>
      <c r="G231" t="inlineStr">
        <is>
          <t>Bellevue, WA, US</t>
        </is>
      </c>
      <c r="H231" s="3" t="n">
        <v>45931</v>
      </c>
      <c r="I2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in-225714cd42a7f94e</t>
        </is>
      </c>
      <c r="B232" t="inlineStr">
        <is>
          <t>Sr. Program Manager, Same Day Programs</t>
        </is>
      </c>
      <c r="C232" t="inlineStr">
        <is>
          <t>Amazon.com</t>
        </is>
      </c>
      <c r="D232" t="inlineStr">
        <is>
          <t>indeed</t>
        </is>
      </c>
      <c r="E232">
        <f>HYPERLINK("https://www.indeed.com/viewjob?jk=225714cd42a7f94e", "https://www.indeed.com/viewjob?jk=225714cd42a7f94e")</f>
        <v/>
      </c>
      <c r="F232">
        <f>HYPERLINK("https://www.amazon.jobs/jobs/3106355/sr-program-manager-same-day-programs?cmpid=DA_INAD200785B", "https://www.amazon.jobs/jobs/3106355/sr-program-manager-same-day-programs?cmpid=DA_INAD200785B")</f>
        <v/>
      </c>
      <c r="G232" t="inlineStr">
        <is>
          <t>Bellevue, WA, US</t>
        </is>
      </c>
      <c r="H232" s="3" t="n">
        <v>45931</v>
      </c>
      <c r="I23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in-15e641f89d828c75</t>
        </is>
      </c>
      <c r="B233" t="inlineStr">
        <is>
          <t>Tech Infrastructure Program Manager - AV , IT Services - CIS</t>
        </is>
      </c>
      <c r="C233" t="inlineStr">
        <is>
          <t>Amazon.com</t>
        </is>
      </c>
      <c r="D233" t="inlineStr">
        <is>
          <t>indeed</t>
        </is>
      </c>
      <c r="E233">
        <f>HYPERLINK("https://www.indeed.com/viewjob?jk=15e641f89d828c75", "https://www.indeed.com/viewjob?jk=15e641f89d828c75")</f>
        <v/>
      </c>
      <c r="F233">
        <f>HYPERLINK("https://www.amazon.jobs/jobs/3114622/tech-infrastructure-program-manager--av--it-services--cis?cmpid=DA_INAD200785B", "https://www.amazon.jobs/jobs/3114622/tech-infrastructure-program-manager--av--it-services--cis?cmpid=DA_INAD200785B")</f>
        <v/>
      </c>
      <c r="G233" t="inlineStr">
        <is>
          <t>Arlington, VA, US</t>
        </is>
      </c>
      <c r="H233" s="3" t="n">
        <v>45923</v>
      </c>
      <c r="I233"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in-1f6469653ffe9f98</t>
        </is>
      </c>
      <c r="B234" t="inlineStr">
        <is>
          <t>Tech Infrastructure Program Manager - AV , IT Services - CIS</t>
        </is>
      </c>
      <c r="C234" t="inlineStr">
        <is>
          <t>Amazon.com</t>
        </is>
      </c>
      <c r="D234" t="inlineStr">
        <is>
          <t>indeed</t>
        </is>
      </c>
      <c r="E234">
        <f>HYPERLINK("https://www.indeed.com/viewjob?jk=1f6469653ffe9f98", "https://www.indeed.com/viewjob?jk=1f6469653ffe9f98")</f>
        <v/>
      </c>
      <c r="F234">
        <f>HYPERLINK("https://www.amazon.jobs/jobs/3114622/tech-infrastructure-program-manager--av--it-services--cis?cmpid=DA_INAD200785B", "https://www.amazon.jobs/jobs/3114622/tech-infrastructure-program-manager--av--it-services--cis?cmpid=DA_INAD200785B")</f>
        <v/>
      </c>
      <c r="G234" t="inlineStr">
        <is>
          <t>Seattle, WA, US</t>
        </is>
      </c>
      <c r="H234" s="3" t="n">
        <v>45923</v>
      </c>
      <c r="I234"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in-0aebb42dd3b70517</t>
        </is>
      </c>
      <c r="B235" t="inlineStr">
        <is>
          <t>Tech Infrastructure Program Manager - AV , IT Services - CIS</t>
        </is>
      </c>
      <c r="C235" t="inlineStr">
        <is>
          <t>Amazon.com</t>
        </is>
      </c>
      <c r="D235" t="inlineStr">
        <is>
          <t>indeed</t>
        </is>
      </c>
      <c r="E235">
        <f>HYPERLINK("https://www.indeed.com/viewjob?jk=0aebb42dd3b70517", "https://www.indeed.com/viewjob?jk=0aebb42dd3b70517")</f>
        <v/>
      </c>
      <c r="F235">
        <f>HYPERLINK("https://www.amazon.jobs/jobs/3114622/tech-infrastructure-program-manager--av--it-services--cis?cmpid=DA_INAD200785B", "https://www.amazon.jobs/jobs/3114622/tech-infrastructure-program-manager--av--it-services--cis?cmpid=DA_INAD200785B")</f>
        <v/>
      </c>
      <c r="G235" t="inlineStr">
        <is>
          <t>Austin, TX, US</t>
        </is>
      </c>
      <c r="H235" s="3" t="n">
        <v>45923</v>
      </c>
      <c r="I235"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in-9d2ab1f5d1de245d</t>
        </is>
      </c>
      <c r="B236" t="inlineStr">
        <is>
          <t>Tech Infrastructure Program Manager - AV , IT Services - CIS</t>
        </is>
      </c>
      <c r="C236" t="inlineStr">
        <is>
          <t>Amazon.com</t>
        </is>
      </c>
      <c r="D236" t="inlineStr">
        <is>
          <t>indeed</t>
        </is>
      </c>
      <c r="E236">
        <f>HYPERLINK("https://www.indeed.com/viewjob?jk=9d2ab1f5d1de245d", "https://www.indeed.com/viewjob?jk=9d2ab1f5d1de245d")</f>
        <v/>
      </c>
      <c r="F236">
        <f>HYPERLINK("https://www.amazon.jobs/jobs/3114622/tech-infrastructure-program-manager--av--it-services--cis?cmpid=DA_INAD200785B", "https://www.amazon.jobs/jobs/3114622/tech-infrastructure-program-manager--av--it-services--cis?cmpid=DA_INAD200785B")</f>
        <v/>
      </c>
      <c r="G236" t="inlineStr">
        <is>
          <t>Sunnyvale, CA, US</t>
        </is>
      </c>
      <c r="H236" s="3" t="n">
        <v>45923</v>
      </c>
      <c r="I236" t="inlineStr">
        <is>
          <t>**DESCRIPTION**
---------------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in-5d1c90664b1f5883</t>
        </is>
      </c>
      <c r="B237" t="inlineStr">
        <is>
          <t>Amazon Last Mile Fleet Program Manager, In Life Services-Recalls, Retrofits, and Tires</t>
        </is>
      </c>
      <c r="C237" t="inlineStr">
        <is>
          <t>Amazon.com</t>
        </is>
      </c>
      <c r="D237" t="inlineStr">
        <is>
          <t>indeed</t>
        </is>
      </c>
      <c r="E237">
        <f>HYPERLINK("https://www.indeed.com/viewjob?jk=5d1c90664b1f5883", "https://www.indeed.com/viewjob?jk=5d1c90664b1f5883")</f>
        <v/>
      </c>
      <c r="F237">
        <f>HYPERLINK("https://www.amazon.jobs/jobs/3083275/amazon-last-mile-fleet-program-manager-in-life-servicesrecalls-retrofits-and-tires?cmpid=DA_INAD200785B", "https://www.amazon.jobs/jobs/3083275/amazon-last-mile-fleet-program-manager-in-life-servicesrecalls-retrofits-and-tires?cmpid=DA_INAD200785B")</f>
        <v/>
      </c>
      <c r="G237" t="inlineStr">
        <is>
          <t>Arlington, VA, US</t>
        </is>
      </c>
      <c r="H237" s="3" t="n">
        <v>45911</v>
      </c>
      <c r="I237"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in-517c14eecb0f6ab9</t>
        </is>
      </c>
      <c r="B238" t="inlineStr">
        <is>
          <t>Amazon Last Mile Fleet Program Manager, In Life Services-Recalls, Retrofits, and Tires</t>
        </is>
      </c>
      <c r="C238" t="inlineStr">
        <is>
          <t>Amazon.com</t>
        </is>
      </c>
      <c r="D238" t="inlineStr">
        <is>
          <t>indeed</t>
        </is>
      </c>
      <c r="E238">
        <f>HYPERLINK("https://www.indeed.com/viewjob?jk=517c14eecb0f6ab9", "https://www.indeed.com/viewjob?jk=517c14eecb0f6ab9")</f>
        <v/>
      </c>
      <c r="F238">
        <f>HYPERLINK("https://www.amazon.jobs/jobs/3083275/amazon-last-mile-fleet-program-manager-in-life-servicesrecalls-retrofits-and-tires?cmpid=DA_INAD200785B", "https://www.amazon.jobs/jobs/3083275/amazon-last-mile-fleet-program-manager-in-life-servicesrecalls-retrofits-and-tires?cmpid=DA_INAD200785B")</f>
        <v/>
      </c>
      <c r="G238" t="inlineStr">
        <is>
          <t>Nashville, TN, US</t>
        </is>
      </c>
      <c r="H238" s="3" t="n">
        <v>45911</v>
      </c>
      <c r="I23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in-52aa0bc3dfa40c06</t>
        </is>
      </c>
      <c r="B239" t="inlineStr">
        <is>
          <t>Amazon Last Mile Fleet Program Manager, In Life Services-Recalls, Retrofits, and Tires</t>
        </is>
      </c>
      <c r="C239" t="inlineStr">
        <is>
          <t>Amazon.com</t>
        </is>
      </c>
      <c r="D239" t="inlineStr">
        <is>
          <t>indeed</t>
        </is>
      </c>
      <c r="E239">
        <f>HYPERLINK("https://www.indeed.com/viewjob?jk=52aa0bc3dfa40c06", "https://www.indeed.com/viewjob?jk=52aa0bc3dfa40c06")</f>
        <v/>
      </c>
      <c r="F239">
        <f>HYPERLINK("https://www.amazon.jobs/jobs/3083275/amazon-last-mile-fleet-program-manager-in-life-servicesrecalls-retrofits-and-tires?cmpid=DA_INAD200785B", "https://www.amazon.jobs/jobs/3083275/amazon-last-mile-fleet-program-manager-in-life-servicesrecalls-retrofits-and-tires?cmpid=DA_INAD200785B")</f>
        <v/>
      </c>
      <c r="G239" t="inlineStr">
        <is>
          <t>Bellevue, WA, US</t>
        </is>
      </c>
      <c r="H239" s="3" t="n">
        <v>45911</v>
      </c>
      <c r="I23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in-d645ff4978789b28</t>
        </is>
      </c>
      <c r="B240" t="inlineStr">
        <is>
          <t>Sr. EHS Program Manager, Safety Learning and Development</t>
        </is>
      </c>
      <c r="C240" t="inlineStr">
        <is>
          <t>Amazon.com</t>
        </is>
      </c>
      <c r="D240" t="inlineStr">
        <is>
          <t>indeed</t>
        </is>
      </c>
      <c r="E240">
        <f>HYPERLINK("https://www.indeed.com/viewjob?jk=d645ff4978789b28", "https://www.indeed.com/viewjob?jk=d645ff4978789b28")</f>
        <v/>
      </c>
      <c r="F240">
        <f>HYPERLINK("https://www.amazon.jobs/jobs/3124450/sr-ehs-program-manager-safety-learning-and-development?cmpid=DA_INAD200785B", "https://www.amazon.jobs/jobs/3124450/sr-ehs-program-manager-safety-learning-and-development?cmpid=DA_INAD200785B")</f>
        <v/>
      </c>
      <c r="G240" t="inlineStr">
        <is>
          <t>Nashville, TN, US</t>
        </is>
      </c>
      <c r="H240" s="3" t="n">
        <v>45910</v>
      </c>
      <c r="I240"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in-4ef63fb5cf4138ec</t>
        </is>
      </c>
      <c r="B241" t="inlineStr">
        <is>
          <t>Sr. EHS Program Manager, Safety Learning and Development</t>
        </is>
      </c>
      <c r="C241" t="inlineStr">
        <is>
          <t>Amazon.com</t>
        </is>
      </c>
      <c r="D241" t="inlineStr">
        <is>
          <t>indeed</t>
        </is>
      </c>
      <c r="E241">
        <f>HYPERLINK("https://www.indeed.com/viewjob?jk=4ef63fb5cf4138ec", "https://www.indeed.com/viewjob?jk=4ef63fb5cf4138ec")</f>
        <v/>
      </c>
      <c r="F241">
        <f>HYPERLINK("https://www.amazon.jobs/jobs/3124450/sr-ehs-program-manager-safety-learning-and-development?cmpid=DA_INAD200785B", "https://www.amazon.jobs/jobs/3124450/sr-ehs-program-manager-safety-learning-and-development?cmpid=DA_INAD200785B")</f>
        <v/>
      </c>
      <c r="G241" t="inlineStr">
        <is>
          <t>Bellevue, WA, US</t>
        </is>
      </c>
      <c r="H241" s="3" t="n">
        <v>45910</v>
      </c>
      <c r="I241"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in-b7b191bf8b908508</t>
        </is>
      </c>
      <c r="B242" t="inlineStr">
        <is>
          <t>Sr. Product Manager, Sub-Same Day (SSD) - DOT, SSD Delivery Ops Tech</t>
        </is>
      </c>
      <c r="C242" t="inlineStr">
        <is>
          <t>Amazon.com</t>
        </is>
      </c>
      <c r="D242" t="inlineStr">
        <is>
          <t>indeed</t>
        </is>
      </c>
      <c r="E242">
        <f>HYPERLINK("https://www.indeed.com/viewjob?jk=b7b191bf8b908508", "https://www.indeed.com/viewjob?jk=b7b191bf8b908508")</f>
        <v/>
      </c>
      <c r="F242">
        <f>HYPERLINK("https://www.amazon.jobs/jobs/3063966/sr-product-manager-subsame-day-ssd--dot-ssd-delivery-ops-tech?cmpid=DA_INAD200785B", "https://www.amazon.jobs/jobs/3063966/sr-product-manager-subsame-day-ssd--dot-ssd-delivery-ops-tech?cmpid=DA_INAD200785B")</f>
        <v/>
      </c>
      <c r="G242" t="inlineStr">
        <is>
          <t>New York, NY, US</t>
        </is>
      </c>
      <c r="H242" s="3" t="n">
        <v>45876</v>
      </c>
      <c r="I242"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in-d2300e3755277c36</t>
        </is>
      </c>
      <c r="B243" t="inlineStr">
        <is>
          <t>Sr. Product Manager, Sub-Same Day (SSD) - DOT, SSD Delivery Ops Tech</t>
        </is>
      </c>
      <c r="C243" t="inlineStr">
        <is>
          <t>Amazon.com</t>
        </is>
      </c>
      <c r="D243" t="inlineStr">
        <is>
          <t>indeed</t>
        </is>
      </c>
      <c r="E243">
        <f>HYPERLINK("https://www.indeed.com/viewjob?jk=d2300e3755277c36", "https://www.indeed.com/viewjob?jk=d2300e3755277c36")</f>
        <v/>
      </c>
      <c r="F243">
        <f>HYPERLINK("https://www.amazon.jobs/jobs/3063966/sr-product-manager-subsame-day-ssd--dot-ssd-delivery-ops-tech?cmpid=DA_INAD200785B", "https://www.amazon.jobs/jobs/3063966/sr-product-manager-subsame-day-ssd--dot-ssd-delivery-ops-tech?cmpid=DA_INAD200785B")</f>
        <v/>
      </c>
      <c r="G243" t="inlineStr">
        <is>
          <t>Bellevue, WA, US</t>
        </is>
      </c>
      <c r="H243" s="3" t="n">
        <v>45876</v>
      </c>
      <c r="I243"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in-34115671f1eaad48</t>
        </is>
      </c>
      <c r="B244" t="inlineStr">
        <is>
          <t>Sr. Product Manager, Sub-Same Day (SSD) - DOT, SSD Delivery Ops Tech</t>
        </is>
      </c>
      <c r="C244" t="inlineStr">
        <is>
          <t>Amazon.com</t>
        </is>
      </c>
      <c r="D244" t="inlineStr">
        <is>
          <t>indeed</t>
        </is>
      </c>
      <c r="E244">
        <f>HYPERLINK("https://www.indeed.com/viewjob?jk=34115671f1eaad48", "https://www.indeed.com/viewjob?jk=34115671f1eaad48")</f>
        <v/>
      </c>
      <c r="F244">
        <f>HYPERLINK("https://www.amazon.jobs/jobs/3063966/sr-product-manager-subsame-day-ssd--dot-ssd-delivery-ops-tech?cmpid=DA_INAD200785B", "https://www.amazon.jobs/jobs/3063966/sr-product-manager-subsame-day-ssd--dot-ssd-delivery-ops-tech?cmpid=DA_INAD200785B")</f>
        <v/>
      </c>
      <c r="G244" t="inlineStr">
        <is>
          <t>Nashville, TN, US</t>
        </is>
      </c>
      <c r="H244" s="3" t="n">
        <v>45876</v>
      </c>
      <c r="I244"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in-c3956efc0b311486</t>
        </is>
      </c>
      <c r="B245" t="inlineStr">
        <is>
          <t>Principal Product Manager - External Services, End User Computing</t>
        </is>
      </c>
      <c r="C245" t="inlineStr">
        <is>
          <t>Amazon Web Services</t>
        </is>
      </c>
      <c r="D245" t="inlineStr">
        <is>
          <t>indeed</t>
        </is>
      </c>
      <c r="E245">
        <f>HYPERLINK("https://www.indeed.com/viewjob?jk=c3956efc0b311486", "https://www.indeed.com/viewjob?jk=c3956efc0b311486")</f>
        <v/>
      </c>
      <c r="F245">
        <f>HYPERLINK("https://www.amazon.jobs/jobs/3055181/principal-product-manager--external-services-end-user-computing?cmpid=DA_INAD200785B", "https://www.amazon.jobs/jobs/3055181/principal-product-manager--external-services-end-user-computing?cmpid=DA_INAD200785B")</f>
        <v/>
      </c>
      <c r="G245" t="inlineStr">
        <is>
          <t>Sunnyvale, CA, US</t>
        </is>
      </c>
      <c r="H245" s="3" t="n">
        <v>45876</v>
      </c>
      <c r="I245"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in-c370f9ee9ad350c7</t>
        </is>
      </c>
      <c r="B246" t="inlineStr">
        <is>
          <t>Principal Product Manager - External Services, End User Computing</t>
        </is>
      </c>
      <c r="C246" t="inlineStr">
        <is>
          <t>Amazon Web Services</t>
        </is>
      </c>
      <c r="D246" t="inlineStr">
        <is>
          <t>indeed</t>
        </is>
      </c>
      <c r="E246">
        <f>HYPERLINK("https://www.indeed.com/viewjob?jk=c370f9ee9ad350c7", "https://www.indeed.com/viewjob?jk=c370f9ee9ad350c7")</f>
        <v/>
      </c>
      <c r="F246">
        <f>HYPERLINK("https://www.amazon.jobs/jobs/3055181/principal-product-manager--external-services-end-user-computing?cmpid=DA_INAD200785B", "https://www.amazon.jobs/jobs/3055181/principal-product-manager--external-services-end-user-computing?cmpid=DA_INAD200785B")</f>
        <v/>
      </c>
      <c r="G246" t="inlineStr">
        <is>
          <t>Seattle, WA, US</t>
        </is>
      </c>
      <c r="H246" s="3" t="n">
        <v>45876</v>
      </c>
      <c r="I246" t="inlineStr">
        <is>
          <t>**DESCRIPTION**
---------------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way the world works has changed with the workforce highly distributed and moving between home and office. It is important that corporate data remains secure no matter where it is accessed, which is a key reason we built Amazon Web Services End User Computing (EUC) so employees and contractors can securely access desktops, data, and application from anywhere on any device. Our business is growing immensely, and we are looking for product leaders to help us achieve the next level of scale. More information about Amazon End\- User Computing can be found here: https://aws.amazon.com/products/end\-user\-computing/.  
We are looking for a Principal Product Manager with the ability to think big and look around corners to build the functionality customers need to secure their websites and web\-based applications. the next generation of end\-user productivity products capitalizing on our desktop and application virtualization products. . You have a strong mix of product management, technology, and customer experience expertise, coupled with strategic vision, clarity of communication and proven execution of products from early concept through scaled growth. As the principal product manager, you will define will define product strategy, drive industry and customer research to deeply understand your customers to define differentiated functionality, and drive execution to meet those customer needs. You will work with an interdisciplinary team to drive key aspects of product definition, design, execution and delivery. We are looking for strong business owners who are comfortable sharing their vision with AWS senior leadership, but also working closely with engineering teams to dive deep into details to make ideas into reality. You should have demonstrated success in building strong business cases, managing high\-growth enterprise products, and driving customer success.  
This team is a good fit for you if:  
* You are sensitive to customer needs and interested in having a firsthand impact on Amazon’s global customer base
* You truly care about the business results of what you build, not just the elegance of the technology
* You care about data security and how you can reduce the chance of exfiltration
* You like to solve interesting technology problems
* You enjoy collaborating in a diverse team environment
* You are a passionate learner and motivated to take on new challenges.
* You want to have fun; surround yourself with a highly talented pool of engineers that like to solve complex problems, but also enjoy work life balance.
Key job responsibilities  
Create the product vision and strategy and align with key stakeholders.  
Serve as the voice of the customer to prioritize features based on solving the largest customer needs.  
Manage the entire product life cycle from strategic planning to tactical execution.  
Partner with engineering teams to deliver on the product roadmap.  
Establish goals and review metrics to measure the success and identify areas of improvement.  
Define and maintain a product roadmap with inputs from all stakeholders.  
Provide effective, executive\-level written documents for new features that work backwards from the customer.  
Advocate and execute pricing models and naming for new products or features.**BASIC QUALIFICATIONS**
------------------------
* 7\+ years of working as a Technical Product Manager experience
* 7\+ years of technical (software development, network development, IT, other related) experience
**PREFERRED QUALIFICATIONS**
----------------------------
* Can dissect complicated problems, simplify experiences and innovate on behalf of our customers
* Have an entrepreneurial spirit and be able to work independently and effectively in a results\-oriented environment
* Excellent written communication skills
* Demonstrated history of successfully bringing novel products to market, such as those that integrate new technology, branch into new consumer segments or other market segments, or start new categories
* Demonstrated ability to champion the voice of other stakeholders in your products
* Strong team\-orientation with proven track record of taking ownership and delivering results
* Have the ability to communicate complex technical issues simply and convincingly to a wide range of audiences
* Demonstrated experience in go\-to\-market inclusive of pricing and packaging of solutions
* Strong analytic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$163,000/year in our lowest geographic market up to $281,800/year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in-ad446756b199a046</t>
        </is>
      </c>
      <c r="B247" t="inlineStr">
        <is>
          <t>Senior Product Manager - Tech, Fire TV</t>
        </is>
      </c>
      <c r="C247" t="inlineStr">
        <is>
          <t>Amazon.com</t>
        </is>
      </c>
      <c r="D247" t="inlineStr">
        <is>
          <t>indeed</t>
        </is>
      </c>
      <c r="E247">
        <f>HYPERLINK("https://www.indeed.com/viewjob?jk=ad446756b199a046", "https://www.indeed.com/viewjob?jk=ad446756b199a046")</f>
        <v/>
      </c>
      <c r="F247">
        <f>HYPERLINK("https://www.amazon.jobs/jobs/3058473/senior-product-manager--tech-fire-tv?cmpid=DA_INAD200785B", "https://www.amazon.jobs/jobs/3058473/senior-product-manager--tech-fire-tv?cmpid=DA_INAD200785B")</f>
        <v/>
      </c>
      <c r="G247" t="inlineStr">
        <is>
          <t>Seattle, WA, US</t>
        </is>
      </c>
      <c r="H247" s="3" t="n">
        <v>45855</v>
      </c>
      <c r="I24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in-8b8fdd7120e52512</t>
        </is>
      </c>
      <c r="B248" t="inlineStr">
        <is>
          <t>Senior Product Manager - Tech, Fire TV</t>
        </is>
      </c>
      <c r="C248" t="inlineStr">
        <is>
          <t>Amazon.com</t>
        </is>
      </c>
      <c r="D248" t="inlineStr">
        <is>
          <t>indeed</t>
        </is>
      </c>
      <c r="E248">
        <f>HYPERLINK("https://www.indeed.com/viewjob?jk=8b8fdd7120e52512", "https://www.indeed.com/viewjob?jk=8b8fdd7120e52512")</f>
        <v/>
      </c>
      <c r="F248">
        <f>HYPERLINK("https://www.amazon.jobs/jobs/3058473/senior-product-manager--tech-fire-tv?cmpid=DA_INAD200785B", "https://www.amazon.jobs/jobs/3058473/senior-product-manager--tech-fire-tv?cmpid=DA_INAD200785B")</f>
        <v/>
      </c>
      <c r="G248" t="inlineStr">
        <is>
          <t>Sunnyvale, CA, US</t>
        </is>
      </c>
      <c r="H248" s="3" t="n">
        <v>45855</v>
      </c>
      <c r="I24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in-f19ff74e4c6ec6a0</t>
        </is>
      </c>
      <c r="B249" t="inlineStr">
        <is>
          <t>Principal Product Manager Tech - Devices, Fire TV Devices</t>
        </is>
      </c>
      <c r="C249" t="inlineStr">
        <is>
          <t>Amazon.com</t>
        </is>
      </c>
      <c r="D249" t="inlineStr">
        <is>
          <t>indeed</t>
        </is>
      </c>
      <c r="E249">
        <f>HYPERLINK("https://www.indeed.com/viewjob?jk=f19ff74e4c6ec6a0", "https://www.indeed.com/viewjob?jk=f19ff74e4c6ec6a0")</f>
        <v/>
      </c>
      <c r="F249">
        <f>HYPERLINK("https://www.amazon.jobs/jobs/3029783/principal-product-manager-tech--devices-fire-tv-devices?cmpid=DA_INAD200785B", "https://www.amazon.jobs/jobs/3029783/principal-product-manager-tech--devices-fire-tv-devices?cmpid=DA_INAD200785B")</f>
        <v/>
      </c>
      <c r="G249" t="inlineStr">
        <is>
          <t>Sunnyvale, CA, US</t>
        </is>
      </c>
      <c r="H249" s="3" t="n">
        <v>45844</v>
      </c>
      <c r="I24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in-f6d084fd19696c54</t>
        </is>
      </c>
      <c r="B250" t="inlineStr">
        <is>
          <t>Principal Product Manager Tech - Devices, Fire TV Devices</t>
        </is>
      </c>
      <c r="C250" t="inlineStr">
        <is>
          <t>Amazon.com</t>
        </is>
      </c>
      <c r="D250" t="inlineStr">
        <is>
          <t>indeed</t>
        </is>
      </c>
      <c r="E250">
        <f>HYPERLINK("https://www.indeed.com/viewjob?jk=f6d084fd19696c54", "https://www.indeed.com/viewjob?jk=f6d084fd19696c54")</f>
        <v/>
      </c>
      <c r="F250">
        <f>HYPERLINK("https://www.amazon.jobs/jobs/3029783/principal-product-manager-tech--devices-fire-tv-devices?cmpid=DA_INAD200785B", "https://www.amazon.jobs/jobs/3029783/principal-product-manager-tech--devices-fire-tv-devices?cmpid=DA_INAD200785B")</f>
        <v/>
      </c>
      <c r="G250" t="inlineStr">
        <is>
          <t>Seattle, WA, US</t>
        </is>
      </c>
      <c r="H250" s="3" t="n">
        <v>45844</v>
      </c>
      <c r="I25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in-9d78dcf73391727f</t>
        </is>
      </c>
      <c r="B251" t="inlineStr">
        <is>
          <t>Principal Product Manager-Technical, AGI, Artificial General Intellgence</t>
        </is>
      </c>
      <c r="C251" t="inlineStr">
        <is>
          <t>Amazon.com</t>
        </is>
      </c>
      <c r="D251" t="inlineStr">
        <is>
          <t>indeed</t>
        </is>
      </c>
      <c r="E251">
        <f>HYPERLINK("https://www.indeed.com/viewjob?jk=9d78dcf73391727f", "https://www.indeed.com/viewjob?jk=9d78dcf73391727f")</f>
        <v/>
      </c>
      <c r="F251">
        <f>HYPERLINK("https://www.amazon.jobs/jobs/3017572/principal-product-managertechnical-agi-artificial-general-intellgence?cmpid=DA_INAD200785B", "https://www.amazon.jobs/jobs/3017572/principal-product-managertechnical-agi-artificial-general-intellgence?cmpid=DA_INAD200785B")</f>
        <v/>
      </c>
      <c r="G251" t="inlineStr">
        <is>
          <t>Sunnyvale, CA, US</t>
        </is>
      </c>
      <c r="H251" s="3" t="n">
        <v>45824</v>
      </c>
      <c r="I25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in-380e14c3f4987ca4</t>
        </is>
      </c>
      <c r="B252" t="inlineStr">
        <is>
          <t>Principal Product Manager-Technical, AGI, Artificial General Intellgence</t>
        </is>
      </c>
      <c r="C252" t="inlineStr">
        <is>
          <t>Amazon.com</t>
        </is>
      </c>
      <c r="D252" t="inlineStr">
        <is>
          <t>indeed</t>
        </is>
      </c>
      <c r="E252">
        <f>HYPERLINK("https://www.indeed.com/viewjob?jk=380e14c3f4987ca4", "https://www.indeed.com/viewjob?jk=380e14c3f4987ca4")</f>
        <v/>
      </c>
      <c r="F252">
        <f>HYPERLINK("https://www.amazon.jobs/jobs/3017572/principal-product-managertechnical-agi-artificial-general-intellgence?cmpid=DA_INAD200785B", "https://www.amazon.jobs/jobs/3017572/principal-product-managertechnical-agi-artificial-general-intellgence?cmpid=DA_INAD200785B")</f>
        <v/>
      </c>
      <c r="G252" t="inlineStr">
        <is>
          <t>Boston, MA, US</t>
        </is>
      </c>
      <c r="H252" s="3" t="n">
        <v>45824</v>
      </c>
      <c r="I25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in-9cd7f435fce40db0</t>
        </is>
      </c>
      <c r="B253" t="inlineStr">
        <is>
          <t>Principal Product Manager-Technical, AGI, Artificial General Intellgence</t>
        </is>
      </c>
      <c r="C253" t="inlineStr">
        <is>
          <t>Amazon.com</t>
        </is>
      </c>
      <c r="D253" t="inlineStr">
        <is>
          <t>indeed</t>
        </is>
      </c>
      <c r="E253">
        <f>HYPERLINK("https://www.indeed.com/viewjob?jk=9cd7f435fce40db0", "https://www.indeed.com/viewjob?jk=9cd7f435fce40db0")</f>
        <v/>
      </c>
      <c r="F253">
        <f>HYPERLINK("https://www.amazon.jobs/jobs/3017572/principal-product-managertechnical-agi-artificial-general-intellgence?cmpid=DA_INAD200785B", "https://www.amazon.jobs/jobs/3017572/principal-product-managertechnical-agi-artificial-general-intellgence?cmpid=DA_INAD200785B")</f>
        <v/>
      </c>
      <c r="G253" t="inlineStr">
        <is>
          <t>Bellevue, WA, US</t>
        </is>
      </c>
      <c r="H253" s="3" t="n">
        <v>45824</v>
      </c>
      <c r="I253"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in-de069f0e58f093d7</t>
        </is>
      </c>
      <c r="B254" t="inlineStr">
        <is>
          <t>Sr. Product Manager Technical, Deal Tooling &amp; Insights, Strategic Customer Engagements</t>
        </is>
      </c>
      <c r="C254" t="inlineStr">
        <is>
          <t>Amazon Web Services</t>
        </is>
      </c>
      <c r="D254" t="inlineStr">
        <is>
          <t>indeed</t>
        </is>
      </c>
      <c r="E254">
        <f>HYPERLINK("https://www.indeed.com/viewjob?jk=de069f0e58f093d7", "https://www.indeed.com/viewjob?jk=de069f0e58f093d7")</f>
        <v/>
      </c>
      <c r="F254">
        <f>HYPERLINK("https://www.amazon.jobs/jobs/3138889/sr-product-manager-technical-deal-tooling--insights-strategic-customer-engagements?cmpid=DA_INAD200785B", "https://www.amazon.jobs/jobs/3138889/sr-product-manager-technical-deal-tooling--insights-strategic-customer-engagements?cmpid=DA_INAD200785B")</f>
        <v/>
      </c>
      <c r="G254" t="inlineStr">
        <is>
          <t>Seattle, WA, US</t>
        </is>
      </c>
      <c r="H254" s="3" t="n">
        <v>45994</v>
      </c>
      <c r="I2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5">
      <c r="A255" t="inlineStr">
        <is>
          <t>in-e5726f930dda887c</t>
        </is>
      </c>
      <c r="B255" t="inlineStr">
        <is>
          <t>Sr. Product Manager Technical, Deal Tooling &amp; Insights, Strategic Customer Engagements</t>
        </is>
      </c>
      <c r="C255" t="inlineStr">
        <is>
          <t>Amazon Web Services</t>
        </is>
      </c>
      <c r="D255" t="inlineStr">
        <is>
          <t>indeed</t>
        </is>
      </c>
      <c r="E255">
        <f>HYPERLINK("https://www.indeed.com/viewjob?jk=e5726f930dda887c", "https://www.indeed.com/viewjob?jk=e5726f930dda887c")</f>
        <v/>
      </c>
      <c r="F255">
        <f>HYPERLINK("https://www.amazon.jobs/jobs/3138889/sr-product-manager-technical-deal-tooling--insights-strategic-customer-engagements?cmpid=DA_INAD200785B", "https://www.amazon.jobs/jobs/3138889/sr-product-manager-technical-deal-tooling--insights-strategic-customer-engagements?cmpid=DA_INAD200785B")</f>
        <v/>
      </c>
      <c r="G255" t="inlineStr">
        <is>
          <t>Herndon, VA, US</t>
        </is>
      </c>
      <c r="H255" s="3" t="n">
        <v>45994</v>
      </c>
      <c r="I2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6">
      <c r="A256" t="inlineStr">
        <is>
          <t>in-b09442da19e1050e</t>
        </is>
      </c>
      <c r="B256" t="inlineStr">
        <is>
          <t>Sr. Product Manager Technical, Deal Tooling &amp; Insights, Strategic Customer Engagements</t>
        </is>
      </c>
      <c r="C256" t="inlineStr">
        <is>
          <t>Amazon Web Services</t>
        </is>
      </c>
      <c r="D256" t="inlineStr">
        <is>
          <t>indeed</t>
        </is>
      </c>
      <c r="E256">
        <f>HYPERLINK("https://www.indeed.com/viewjob?jk=b09442da19e1050e", "https://www.indeed.com/viewjob?jk=b09442da19e1050e")</f>
        <v/>
      </c>
      <c r="F256">
        <f>HYPERLINK("https://www.amazon.jobs/jobs/3138889/sr-product-manager-technical-deal-tooling--insights-strategic-customer-engagements?cmpid=DA_INAD200785B", "https://www.amazon.jobs/jobs/3138889/sr-product-manager-technical-deal-tooling--insights-strategic-customer-engagements?cmpid=DA_INAD200785B")</f>
        <v/>
      </c>
      <c r="G256" t="inlineStr">
        <is>
          <t>Arlington, VA, US</t>
        </is>
      </c>
      <c r="H256" s="3" t="n">
        <v>45994</v>
      </c>
      <c r="I2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7">
      <c r="A257" t="inlineStr">
        <is>
          <t>in-fb51db4c62b57d0c</t>
        </is>
      </c>
      <c r="B257" t="inlineStr">
        <is>
          <t>Sr. Product Manager Technical, Deal Tooling &amp; Insights, Strategic Customer Engagements</t>
        </is>
      </c>
      <c r="C257" t="inlineStr">
        <is>
          <t>Amazon Web Services</t>
        </is>
      </c>
      <c r="D257" t="inlineStr">
        <is>
          <t>indeed</t>
        </is>
      </c>
      <c r="E257">
        <f>HYPERLINK("https://www.indeed.com/viewjob?jk=fb51db4c62b57d0c", "https://www.indeed.com/viewjob?jk=fb51db4c62b57d0c")</f>
        <v/>
      </c>
      <c r="F257">
        <f>HYPERLINK("https://www.amazon.jobs/jobs/3138889/sr-product-manager-technical-deal-tooling--insights-strategic-customer-engagements?cmpid=DA_INAD200785B", "https://www.amazon.jobs/jobs/3138889/sr-product-manager-technical-deal-tooling--insights-strategic-customer-engagements?cmpid=DA_INAD200785B")</f>
        <v/>
      </c>
      <c r="G257" t="inlineStr">
        <is>
          <t>Austin, TX, US</t>
        </is>
      </c>
      <c r="H257" s="3" t="n">
        <v>45994</v>
      </c>
      <c r="I2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8">
      <c r="A258" t="inlineStr">
        <is>
          <t>in-0cc0744affde2ad8</t>
        </is>
      </c>
      <c r="B258" t="inlineStr">
        <is>
          <t>Sr. Product Manager Technical, Deal Tooling &amp; Insights, Strategic Customer Engagements</t>
        </is>
      </c>
      <c r="C258" t="inlineStr">
        <is>
          <t>Amazon Web Services</t>
        </is>
      </c>
      <c r="D258" t="inlineStr">
        <is>
          <t>indeed</t>
        </is>
      </c>
      <c r="E258">
        <f>HYPERLINK("https://www.indeed.com/viewjob?jk=0cc0744affde2ad8", "https://www.indeed.com/viewjob?jk=0cc0744affde2ad8")</f>
        <v/>
      </c>
      <c r="F258">
        <f>HYPERLINK("https://www.amazon.jobs/jobs/3138889/sr-product-manager-technical-deal-tooling--insights-strategic-customer-engagements?cmpid=DA_INAD200785B", "https://www.amazon.jobs/jobs/3138889/sr-product-manager-technical-deal-tooling--insights-strategic-customer-engagements?cmpid=DA_INAD200785B")</f>
        <v/>
      </c>
      <c r="G258" t="inlineStr">
        <is>
          <t>Dallas, TX, US</t>
        </is>
      </c>
      <c r="H258" s="3" t="n">
        <v>45994</v>
      </c>
      <c r="I2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9">
      <c r="A259" t="inlineStr">
        <is>
          <t>in-8d7cb850c52a70a1</t>
        </is>
      </c>
      <c r="B259" t="inlineStr">
        <is>
          <t>Sr. Product Manager Technical, Deal Tooling &amp; Insights, Strategic Customer Engagements</t>
        </is>
      </c>
      <c r="C259" t="inlineStr">
        <is>
          <t>Amazon Web Services</t>
        </is>
      </c>
      <c r="D259" t="inlineStr">
        <is>
          <t>indeed</t>
        </is>
      </c>
      <c r="E259">
        <f>HYPERLINK("https://www.indeed.com/viewjob?jk=8d7cb850c52a70a1", "https://www.indeed.com/viewjob?jk=8d7cb850c52a70a1")</f>
        <v/>
      </c>
      <c r="F259">
        <f>HYPERLINK("https://www.amazon.jobs/jobs/3138889/sr-product-manager-technical-deal-tooling--insights-strategic-customer-engagements?cmpid=DA_INAD200785B", "https://www.amazon.jobs/jobs/3138889/sr-product-manager-technical-deal-tooling--insights-strategic-customer-engagements?cmpid=DA_INAD200785B")</f>
        <v/>
      </c>
      <c r="G259" t="inlineStr">
        <is>
          <t>New York, NY, US</t>
        </is>
      </c>
      <c r="H259" s="3" t="n">
        <v>45994</v>
      </c>
      <c r="I2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0">
      <c r="A260" t="inlineStr">
        <is>
          <t>in-e9a586b2de55bb8b</t>
        </is>
      </c>
      <c r="B260" t="inlineStr">
        <is>
          <t>Sr. Product Manager - Tech, WHS Data-Tech</t>
        </is>
      </c>
      <c r="C260" t="inlineStr">
        <is>
          <t>Amazon.com</t>
        </is>
      </c>
      <c r="D260" t="inlineStr">
        <is>
          <t>indeed</t>
        </is>
      </c>
      <c r="E260">
        <f>HYPERLINK("https://www.indeed.com/viewjob?jk=e9a586b2de55bb8b", "https://www.indeed.com/viewjob?jk=e9a586b2de55bb8b")</f>
        <v/>
      </c>
      <c r="F260">
        <f>HYPERLINK("https://www.amazon.jobs/jobs/3156736/sr-product-manager--tech-whs-datatech?cmpid=DA_INAD200785B", "https://www.amazon.jobs/jobs/3156736/sr-product-manager--tech-whs-datatech?cmpid=DA_INAD200785B")</f>
        <v/>
      </c>
      <c r="G260" t="inlineStr">
        <is>
          <t>Nashville, TN, US</t>
        </is>
      </c>
      <c r="H260" s="3" t="n">
        <v>45836</v>
      </c>
      <c r="I26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61">
      <c r="A261" t="inlineStr">
        <is>
          <t>in-17c486a63aead877</t>
        </is>
      </c>
      <c r="B261" t="inlineStr">
        <is>
          <t>Sr. Product Manager - Tech, WHS Data-Tech</t>
        </is>
      </c>
      <c r="C261" t="inlineStr">
        <is>
          <t>Amazon.com</t>
        </is>
      </c>
      <c r="D261" t="inlineStr">
        <is>
          <t>indeed</t>
        </is>
      </c>
      <c r="E261">
        <f>HYPERLINK("https://www.indeed.com/viewjob?jk=17c486a63aead877", "https://www.indeed.com/viewjob?jk=17c486a63aead877")</f>
        <v/>
      </c>
      <c r="F261">
        <f>HYPERLINK("https://www.amazon.jobs/jobs/3156736/sr-product-manager--tech-whs-datatech?cmpid=DA_INAD200785B", "https://www.amazon.jobs/jobs/3156736/sr-product-manager--tech-whs-datatech?cmpid=DA_INAD200785B")</f>
        <v/>
      </c>
      <c r="G261" t="inlineStr">
        <is>
          <t>Arlington, VA, US</t>
        </is>
      </c>
      <c r="H261" s="3" t="n">
        <v>45836</v>
      </c>
      <c r="I261"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62">
      <c r="A262" t="inlineStr">
        <is>
          <t>in-109a4dd177c58202</t>
        </is>
      </c>
      <c r="B262" t="inlineStr">
        <is>
          <t>Sr. Product Manager - Tech, WHS Data-Tech</t>
        </is>
      </c>
      <c r="C262" t="inlineStr">
        <is>
          <t>Amazon.com</t>
        </is>
      </c>
      <c r="D262" t="inlineStr">
        <is>
          <t>indeed</t>
        </is>
      </c>
      <c r="E262">
        <f>HYPERLINK("https://www.indeed.com/viewjob?jk=109a4dd177c58202", "https://www.indeed.com/viewjob?jk=109a4dd177c58202")</f>
        <v/>
      </c>
      <c r="F262">
        <f>HYPERLINK("https://www.amazon.jobs/jobs/3156736/sr-product-manager--tech-whs-datatech?cmpid=DA_INAD200785B", "https://www.amazon.jobs/jobs/3156736/sr-product-manager--tech-whs-datatech?cmpid=DA_INAD200785B")</f>
        <v/>
      </c>
      <c r="G262" t="inlineStr">
        <is>
          <t>Bellevue, WA, US</t>
        </is>
      </c>
      <c r="H262" s="3" t="n">
        <v>45836</v>
      </c>
      <c r="I262"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63">
      <c r="A263" t="inlineStr">
        <is>
          <t>in-b37eb05cd3c7a4ba</t>
        </is>
      </c>
      <c r="B263" t="inlineStr">
        <is>
          <t>Principal Product Manager - Tech, Recommender Systems, Prime Video Personalization &amp; Discovery</t>
        </is>
      </c>
      <c r="C263" t="inlineStr">
        <is>
          <t>Amazon.com</t>
        </is>
      </c>
      <c r="D263" t="inlineStr">
        <is>
          <t>indeed</t>
        </is>
      </c>
      <c r="E263">
        <f>HYPERLINK("https://www.indeed.com/viewjob?jk=b37eb05cd3c7a4ba", "https://www.indeed.com/viewjob?jk=b37eb05cd3c7a4ba")</f>
        <v/>
      </c>
      <c r="F263">
        <f>HYPERLINK("https://www.amazon.jobs/jobs/2956622/principal-product-manager--tech-recommender-systems-prime-video-personalization--discovery-?cmpid=DA_INAD200785B", "https://www.amazon.jobs/jobs/2956622/principal-product-manager--tech-recommender-systems-prime-video-personalization--discovery-?cmpid=DA_INAD200785B")</f>
        <v/>
      </c>
      <c r="G263" t="inlineStr">
        <is>
          <t>Washington, DC, US</t>
        </is>
      </c>
      <c r="H263" s="3" t="n">
        <v>45753</v>
      </c>
      <c r="I2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in-7b1307bf8821c57b</t>
        </is>
      </c>
      <c r="B264" t="inlineStr">
        <is>
          <t>Principal Product Manager - Tech, Recommender Systems, Prime Video Personalization &amp; Discovery</t>
        </is>
      </c>
      <c r="C264" t="inlineStr">
        <is>
          <t>Amazon.com</t>
        </is>
      </c>
      <c r="D264" t="inlineStr">
        <is>
          <t>indeed</t>
        </is>
      </c>
      <c r="E264">
        <f>HYPERLINK("https://www.indeed.com/viewjob?jk=7b1307bf8821c57b", "https://www.indeed.com/viewjob?jk=7b1307bf8821c57b")</f>
        <v/>
      </c>
      <c r="F264">
        <f>HYPERLINK("https://www.amazon.jobs/jobs/2956622/principal-product-manager--tech-recommender-systems-prime-video-personalization--discovery-?cmpid=DA_INAD200785B", "https://www.amazon.jobs/jobs/2956622/principal-product-manager--tech-recommender-systems-prime-video-personalization--discovery-?cmpid=DA_INAD200785B")</f>
        <v/>
      </c>
      <c r="G264" t="inlineStr">
        <is>
          <t>Seattle, WA, US</t>
        </is>
      </c>
      <c r="H264" s="3" t="n">
        <v>45753</v>
      </c>
      <c r="I2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in-9aa770d5f5c8b711</t>
        </is>
      </c>
      <c r="B265" t="inlineStr">
        <is>
          <t>Program Manager, Relo Ops Excellence, Relo Ops Integration</t>
        </is>
      </c>
      <c r="C265" t="inlineStr">
        <is>
          <t>Amazon.com</t>
        </is>
      </c>
      <c r="D265" t="inlineStr">
        <is>
          <t>indeed</t>
        </is>
      </c>
      <c r="E265">
        <f>HYPERLINK("https://www.indeed.com/viewjob?jk=9aa770d5f5c8b711", "https://www.indeed.com/viewjob?jk=9aa770d5f5c8b711")</f>
        <v/>
      </c>
      <c r="F265">
        <f>HYPERLINK("https://www.amazon.jobs/jobs/3158546/program-manager-relo-ops-excellence-relo-ops-integration?cmpid=DA_INAD200785B", "https://www.amazon.jobs/jobs/3158546/program-manager-relo-ops-excellence-relo-ops-integration?cmpid=DA_INAD200785B")</f>
        <v/>
      </c>
      <c r="G265" t="inlineStr">
        <is>
          <t>Dallas, TX, US</t>
        </is>
      </c>
      <c r="H265" s="3" t="n">
        <v>46020</v>
      </c>
      <c r="I2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66">
      <c r="A266" t="inlineStr">
        <is>
          <t>in-37944591fcb105e9</t>
        </is>
      </c>
      <c r="B266" t="inlineStr">
        <is>
          <t>Program Manager, Relo Ops Excellence, Relo Ops Integration</t>
        </is>
      </c>
      <c r="C266" t="inlineStr">
        <is>
          <t>Amazon.com</t>
        </is>
      </c>
      <c r="D266" t="inlineStr">
        <is>
          <t>indeed</t>
        </is>
      </c>
      <c r="E266">
        <f>HYPERLINK("https://www.indeed.com/viewjob?jk=37944591fcb105e9", "https://www.indeed.com/viewjob?jk=37944591fcb105e9")</f>
        <v/>
      </c>
      <c r="F266">
        <f>HYPERLINK("https://www.amazon.jobs/jobs/3158545/program-manager-relo-ops-excellence-relo-ops-integration?cmpid=DA_INAD200785B", "https://www.amazon.jobs/jobs/3158545/program-manager-relo-ops-excellence-relo-ops-integration?cmpid=DA_INAD200785B")</f>
        <v/>
      </c>
      <c r="G266" t="inlineStr">
        <is>
          <t>Bellevue, WA, US</t>
        </is>
      </c>
      <c r="H266" s="3" t="n">
        <v>46020</v>
      </c>
      <c r="I2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67">
      <c r="A267" t="inlineStr">
        <is>
          <t>in-feeb4cb6c0a499a4</t>
        </is>
      </c>
      <c r="B267" t="inlineStr">
        <is>
          <t>Program Manager, Relo Ops Excellence, Relo Ops Integration</t>
        </is>
      </c>
      <c r="C267" t="inlineStr">
        <is>
          <t>Amazon.com</t>
        </is>
      </c>
      <c r="D267" t="inlineStr">
        <is>
          <t>indeed</t>
        </is>
      </c>
      <c r="E267">
        <f>HYPERLINK("https://www.indeed.com/viewjob?jk=feeb4cb6c0a499a4", "https://www.indeed.com/viewjob?jk=feeb4cb6c0a499a4")</f>
        <v/>
      </c>
      <c r="F267">
        <f>HYPERLINK("https://www.amazon.jobs/jobs/3158545/program-manager-relo-ops-excellence-relo-ops-integration?cmpid=DA_INAD200785B", "https://www.amazon.jobs/jobs/3158545/program-manager-relo-ops-excellence-relo-ops-integration?cmpid=DA_INAD200785B")</f>
        <v/>
      </c>
      <c r="G267" t="inlineStr">
        <is>
          <t>Phoenix, AZ, US</t>
        </is>
      </c>
      <c r="H267" s="3" t="n">
        <v>46020</v>
      </c>
      <c r="I26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68">
      <c r="A268" t="inlineStr">
        <is>
          <t>in-f33a6f28caa68164</t>
        </is>
      </c>
      <c r="B268" t="inlineStr">
        <is>
          <t>Program Manager, Relo Ops Excellence, Relo Ops Integration</t>
        </is>
      </c>
      <c r="C268" t="inlineStr">
        <is>
          <t>Amazon.com</t>
        </is>
      </c>
      <c r="D268" t="inlineStr">
        <is>
          <t>indeed</t>
        </is>
      </c>
      <c r="E268">
        <f>HYPERLINK("https://www.indeed.com/viewjob?jk=f33a6f28caa68164", "https://www.indeed.com/viewjob?jk=f33a6f28caa68164")</f>
        <v/>
      </c>
      <c r="F268">
        <f>HYPERLINK("https://www.amazon.jobs/jobs/3158546/program-manager-relo-ops-excellence-relo-ops-integration?cmpid=DA_INAD200785B", "https://www.amazon.jobs/jobs/3158546/program-manager-relo-ops-excellence-relo-ops-integration?cmpid=DA_INAD200785B")</f>
        <v/>
      </c>
      <c r="G268" t="inlineStr">
        <is>
          <t>Phoenix, AZ, US</t>
        </is>
      </c>
      <c r="H268" s="3" t="n">
        <v>46020</v>
      </c>
      <c r="I26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69">
      <c r="A269" t="inlineStr">
        <is>
          <t>in-9b52b6d92092fc5b</t>
        </is>
      </c>
      <c r="B269" t="inlineStr">
        <is>
          <t>Program Manager, Relo Ops Excellence, Relo Ops Integration</t>
        </is>
      </c>
      <c r="C269" t="inlineStr">
        <is>
          <t>Amazon.com</t>
        </is>
      </c>
      <c r="D269" t="inlineStr">
        <is>
          <t>indeed</t>
        </is>
      </c>
      <c r="E269">
        <f>HYPERLINK("https://www.indeed.com/viewjob?jk=9b52b6d92092fc5b", "https://www.indeed.com/viewjob?jk=9b52b6d92092fc5b")</f>
        <v/>
      </c>
      <c r="F269">
        <f>HYPERLINK("https://www.amazon.jobs/jobs/3158546/program-manager-relo-ops-excellence-relo-ops-integration?cmpid=DA_INAD200785B", "https://www.amazon.jobs/jobs/3158546/program-manager-relo-ops-excellence-relo-ops-integration?cmpid=DA_INAD200785B")</f>
        <v/>
      </c>
      <c r="G269" t="inlineStr">
        <is>
          <t>Nashville, TN, US</t>
        </is>
      </c>
      <c r="H269" s="3" t="n">
        <v>46020</v>
      </c>
      <c r="I26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70">
      <c r="A270" t="inlineStr">
        <is>
          <t>in-adac27373c5fa19c</t>
        </is>
      </c>
      <c r="B270" t="inlineStr">
        <is>
          <t>Program Manager, Relo Ops Excellence, Relo Ops Integration</t>
        </is>
      </c>
      <c r="C270" t="inlineStr">
        <is>
          <t>Amazon.com</t>
        </is>
      </c>
      <c r="D270" t="inlineStr">
        <is>
          <t>indeed</t>
        </is>
      </c>
      <c r="E270">
        <f>HYPERLINK("https://www.indeed.com/viewjob?jk=adac27373c5fa19c", "https://www.indeed.com/viewjob?jk=adac27373c5fa19c")</f>
        <v/>
      </c>
      <c r="F270">
        <f>HYPERLINK("https://www.amazon.jobs/jobs/3158545/program-manager-relo-ops-excellence-relo-ops-integration?cmpid=DA_INAD200785B", "https://www.amazon.jobs/jobs/3158545/program-manager-relo-ops-excellence-relo-ops-integration?cmpid=DA_INAD200785B")</f>
        <v/>
      </c>
      <c r="G270" t="inlineStr">
        <is>
          <t>Dallas, TX, US</t>
        </is>
      </c>
      <c r="H270" s="3" t="n">
        <v>46020</v>
      </c>
      <c r="I27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71">
      <c r="A271" t="inlineStr">
        <is>
          <t>in-5889670bda0598aa</t>
        </is>
      </c>
      <c r="B271" t="inlineStr">
        <is>
          <t>Program Manager, Relo Ops Excellence, Relo Ops Integration</t>
        </is>
      </c>
      <c r="C271" t="inlineStr">
        <is>
          <t>Amazon.com</t>
        </is>
      </c>
      <c r="D271" t="inlineStr">
        <is>
          <t>indeed</t>
        </is>
      </c>
      <c r="E271">
        <f>HYPERLINK("https://www.indeed.com/viewjob?jk=5889670bda0598aa", "https://www.indeed.com/viewjob?jk=5889670bda0598aa")</f>
        <v/>
      </c>
      <c r="F271">
        <f>HYPERLINK("https://www.amazon.jobs/jobs/3158545/program-manager-relo-ops-excellence-relo-ops-integration?cmpid=DA_INAD200785B", "https://www.amazon.jobs/jobs/3158545/program-manager-relo-ops-excellence-relo-ops-integration?cmpid=DA_INAD200785B")</f>
        <v/>
      </c>
      <c r="G271" t="inlineStr">
        <is>
          <t>Nashville, TN, US</t>
        </is>
      </c>
      <c r="H271" s="3" t="n">
        <v>46020</v>
      </c>
      <c r="I27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72">
      <c r="A272" t="inlineStr">
        <is>
          <t>in-bd8f75d1d36bd0f4</t>
        </is>
      </c>
      <c r="B272" t="inlineStr">
        <is>
          <t>Program Manager, Relo Ops Excellence, Relo Ops Integration</t>
        </is>
      </c>
      <c r="C272" t="inlineStr">
        <is>
          <t>Amazon.com</t>
        </is>
      </c>
      <c r="D272" t="inlineStr">
        <is>
          <t>indeed</t>
        </is>
      </c>
      <c r="E272">
        <f>HYPERLINK("https://www.indeed.com/viewjob?jk=bd8f75d1d36bd0f4", "https://www.indeed.com/viewjob?jk=bd8f75d1d36bd0f4")</f>
        <v/>
      </c>
      <c r="F272">
        <f>HYPERLINK("https://www.amazon.jobs/jobs/3158546/program-manager-relo-ops-excellence-relo-ops-integration?cmpid=DA_INAD200785B", "https://www.amazon.jobs/jobs/3158546/program-manager-relo-ops-excellence-relo-ops-integration?cmpid=DA_INAD200785B")</f>
        <v/>
      </c>
      <c r="G272" t="inlineStr">
        <is>
          <t>Bellevue, WA, US</t>
        </is>
      </c>
      <c r="H272" s="3" t="n">
        <v>46020</v>
      </c>
      <c r="I27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273">
      <c r="A273" t="inlineStr">
        <is>
          <t>in-cfd51989dc8e3591</t>
        </is>
      </c>
      <c r="B273" t="inlineStr">
        <is>
          <t>Principal Product Manager Technical, Creative X - RAPID</t>
        </is>
      </c>
      <c r="C273" t="inlineStr">
        <is>
          <t>Amazon.com</t>
        </is>
      </c>
      <c r="D273" t="inlineStr">
        <is>
          <t>indeed</t>
        </is>
      </c>
      <c r="E273">
        <f>HYPERLINK("https://www.indeed.com/viewjob?jk=cfd51989dc8e3591", "https://www.indeed.com/viewjob?jk=cfd51989dc8e3591")</f>
        <v/>
      </c>
      <c r="F273">
        <f>HYPERLINK("https://www.amazon.jobs/jobs/3112224/principal-product-manager-technical-creative-x--rapid?cmpid=DA_INAD200785B", "https://www.amazon.jobs/jobs/3112224/principal-product-manager-technical-creative-x--rapid?cmpid=DA_INAD200785B")</f>
        <v/>
      </c>
      <c r="G273" t="inlineStr">
        <is>
          <t>New York, NY, US</t>
        </is>
      </c>
      <c r="H273" s="3" t="n">
        <v>45939</v>
      </c>
      <c r="I27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274">
      <c r="A274" t="inlineStr">
        <is>
          <t>in-f554452e7744b8cd</t>
        </is>
      </c>
      <c r="B274" t="inlineStr">
        <is>
          <t>Principal Product Manager Technical, Creative X - RAPID</t>
        </is>
      </c>
      <c r="C274" t="inlineStr">
        <is>
          <t>Amazon.com</t>
        </is>
      </c>
      <c r="D274" t="inlineStr">
        <is>
          <t>indeed</t>
        </is>
      </c>
      <c r="E274">
        <f>HYPERLINK("https://www.indeed.com/viewjob?jk=f554452e7744b8cd", "https://www.indeed.com/viewjob?jk=f554452e7744b8cd")</f>
        <v/>
      </c>
      <c r="F274">
        <f>HYPERLINK("https://www.amazon.jobs/jobs/3112224/principal-product-manager-technical-creative-x--rapid?cmpid=DA_INAD200785B", "https://www.amazon.jobs/jobs/3112224/principal-product-manager-technical-creative-x--rapid?cmpid=DA_INAD200785B")</f>
        <v/>
      </c>
      <c r="G274" t="inlineStr">
        <is>
          <t>Seattle, WA, US</t>
        </is>
      </c>
      <c r="H274" s="3" t="n">
        <v>45939</v>
      </c>
      <c r="I27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li-4359221613</t>
        </is>
      </c>
      <c r="B2" t="inlineStr">
        <is>
          <t>Product Manager</t>
        </is>
      </c>
      <c r="C2" t="inlineStr">
        <is>
          <t>Tessera Labs</t>
        </is>
      </c>
      <c r="D2" t="inlineStr">
        <is>
          <t>linkedin</t>
        </is>
      </c>
      <c r="E2" t="inlineStr"/>
      <c r="F2" t="inlineStr"/>
      <c r="G2" t="inlineStr">
        <is>
          <t>New York, NY</t>
        </is>
      </c>
      <c r="H2" t="inlineStr"/>
      <c r="I2"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 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3">
      <c r="A3" t="inlineStr">
        <is>
          <t>li-4286685434</t>
        </is>
      </c>
      <c r="B3" t="inlineStr">
        <is>
          <t>Product Manager</t>
        </is>
      </c>
      <c r="C3" t="inlineStr">
        <is>
          <t>Decagon</t>
        </is>
      </c>
      <c r="D3" t="inlineStr">
        <is>
          <t>linkedin</t>
        </is>
      </c>
      <c r="E3" t="inlineStr"/>
      <c r="F3" t="inlineStr"/>
      <c r="G3" t="inlineStr">
        <is>
          <t>San Francisco, CA</t>
        </is>
      </c>
      <c r="H3" t="inlineStr"/>
      <c r="I3" t="inlineStr">
        <is>
          <t>**About Decagon**
 Decagon is the leading conversational AI platform empowering every brand to deliver concierge customer experiences.
 Our technology enables industry\-defining enterprises like Avis Budget Group, Chime, Oura Health, 1\-800\-FLOWERS.COM,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Over the past few years, development of LLMs has evolved at a rapid pace. Building truly successful AI products isn’t just about model quality — it’s about the infrastructure, tooling, and workflows that allow customers to configure, monitor, and improve their agents at scale.
 The Product Management team owns Decagon’s platform and foundational features: agent building, testing, experimentation, analytics, QA, versioning, integrations, and enterprise controls. We work across every customer segment, partnering closely with engineering, design, and go\-to\-market to ensure our platform is robust, scalable, and easy to use.
 As one of our founding PMs, you’ll help define the product foundation that every Decagon customer uses to build and run their AI agents. You’ll own initiatives end\-to\-end, from discovery and scoping to launch and adoption, shaping the product experience for some of the world’s most influential businesses.
**About The Role**
 On the Product team, you’ll own the roadmap for a major product area and partner with customers and internal teams to deliver features that make Decagon’s platform powerful, flexible, and enterprise\-ready. Your work might include:
* Designing AI\-powered features that turn raw conversation data into instant, actionable insights for customers.
* Building intelligent systems that give enterprises precise control over how their agents learn, adapt, and deploy in production.
* Creating self\-serve configuration experiences that feel effortless — powered by real\-time AI guidance and automation.
* Expanding the platform’s reach by connecting AI agents to live data streams, tools, and APIs that unlock new use cases.
 You’ll partner closely with engineering, design, sales, agent product managers and our leadership team to ensure the core platform meets the needs of both our largest enterprises and fastest\-growing startups.
**In this role, you will**
* Shape the roadmap for core capabilities that power the next generation of AI agents from first concept to launch.
* Work closely with customers to uncover new ways AI can transform their workflows, unlock automation, and elevate customer experience.
* Translate breakthrough ideas into clear product specs, then partner with engineering and design to bring them to life.
**Your background looks something like this**
* Have 6\+ years of relevant experience (e.g., product manager, founder, engineer, researcher etc.)
* Strong technical acumen — comfortable discussing APIs, data models, and architecture with engineers.
* Strong communication and relationship\-building skills.
* Proven track record of shipping impactful features in fast\-paced environments.
**Even better**
* A Computer Science, Engineering, or Math degree or equivalent technical experience.
* Previous startup or high\-growth company experience.
**Benefits**
* Medical, dental, and vision benefits
* Take what you need vacation policy
* Daily lunches, dinners and snacks in the office to keep you at your best
**Compensation**
 $200K – $285K \+ Offers Equity</t>
        </is>
      </c>
    </row>
    <row r="4">
      <c r="A4" t="inlineStr">
        <is>
          <t>li-4367717304</t>
        </is>
      </c>
      <c r="B4" t="inlineStr">
        <is>
          <t>Product Manager - Industrial CT Software</t>
        </is>
      </c>
      <c r="C4" t="inlineStr">
        <is>
          <t>Lumafield</t>
        </is>
      </c>
      <c r="D4" t="inlineStr">
        <is>
          <t>linkedin</t>
        </is>
      </c>
      <c r="E4" t="inlineStr"/>
      <c r="F4" t="inlineStr"/>
      <c r="G4" t="inlineStr">
        <is>
          <t>San Francisco, CA</t>
        </is>
      </c>
      <c r="H4" t="inlineStr"/>
      <c r="I4" t="inlineStr">
        <is>
          <t>**About Lumafield: 
 Founded in 2019, Lumafield has developed the world's first accessible X\-Ray CT scanner for engineers. Our easy\-to\-use scanner and cloud\-based software give engineers the ability to see their work clearly, inside and out, at an extremely affordable price. 
 Engineers make million\-dollar decisions every day, and they need tools that give them the greatest possible insight into their products. By offering unprecedented visibility into products, as well as AI\-driven tools that highlight problems and generate quantitative data, Lumafield promises to revolutionize the way complex products are created, manufactured, and used across industries.
 We are an impact driven company obsessed with providing the best value to our customers keeping their needs at the center of our evolution. Our team today includes world\-class researchers and industrial designers, PhDs, creators, founders of successful startups, and zero egos. We are backed by top venture capital funds like Kleiner Perkins, Lux Capital, DCVC, Spark Capital, and others.
 The company is headquartered in Cambridge, MA and has an office in San Francisco, CA.
**About the Role:
 As a Product Manager at Lumafield, you will help shape the future of our industrial CT software platform, which powers inspection and analysis for manufacturers around the world. You will work closely with our engineers, designers, and customers to deliver features that make CT data more accessible, intuitive, and impactful. This role is a great fit for someone excited to grow as a product leader, eager to work on technically sophisticated tools, and passionate about transforming how physical products are designed, built, and validated.
**What you'll do:** 
* Own the scoping and design for key features of our CT software, from data visualization to workflow automation.
* Translate customer needs into product requirements, user stories, and intuitive UI/UX strategies.
* Partner with engineering and design to deliver high\-impact features, balancing technical feasibility, usability, and business outcomes.
* Work directly with customers to understand use cases, gather feedback, and prioritize enhancements.
* Collaborate with marketing, sales, and customer success teams to ensure smooth product launches and adoption.
* Design and prototype key analysis and visualization features using cutting edge AI workflows.
**About you:** 
* 2–4 years of product management or related experience (e.g. product design, program management, or technical support for software tools).
* Hands\-on experience with CAD or industrial analysis software (e.g. SolidWorks, Siemens NX, Creo, Volume Graphics, Rhino, Geomagics Design X, or similar). You know what it’s like to use tools engineers rely on.
* Strong communication and collaboration skills—you can partner across engineering, design, and commercial functions with clarity and empathy.
* Analytical mindset and comfort with technical products, especially in areas like 3D visualization, geometry, or workflow automation.
* Experience with AI prototyping workflows and a familiarity with data analysis, experimental process and image processing.
**Bonus points for:** 
* Experience with 3D graphics, imaging, or spatial data workflows (e.g. point clouds, meshes, voxels).
* Exposure to CT scanning, X\-ray imaging, or industrial inspection processes.
* Familiarity with agile software development practices.
* Background in engineering, physics, or applied sciences.
* Direct experience in one of the following industries: CAD / Mechanical Software; Manufacturing; Industrial Inspection; Medical Devices; Automotive; Consumer Packaged Goods; Consumer Electronics; Aero / Defense
 We are unable to sponsor or take over sponsorship of employment visas at this time. All applicants must be legally authorized to work in the United States without current or future sponsorship.
 Lumafield offers both competitive cash and equity compensation, as well as a health \&amp; wellness stipend, 401k, parental leave, flexible PTO, commuter benefits, company wide events and more! 
 Lumafield is committed to building a team that represents a variety of backgrounds, perspectives, and skills, because the more inclusive we are, the better our work will be. Do you feel like your skills don’t meet every single requirement listed? We encourage you to apply anyway – If you’re excited about our technology, the opportunity, and are eager to learn more we’d love to hear from you! 
 In keeping with our beliefs and goals, no employee or applicant will face discrimination or harassment based on: race, color, ancestry, national origin, religion, age, gender, marital domestic partner status, sexual orientation, gender identity, disability, genetic information or veteran status.
 Reach out if you want to be a part of what we are building.
 San Francisco Applicants: Review the San Francisco Fair Chance Ordinance
 guidelines
 applicable in your area.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li-4359211724</t>
        </is>
      </c>
      <c r="B5" t="inlineStr">
        <is>
          <t>Product Manager</t>
        </is>
      </c>
      <c r="C5" t="inlineStr">
        <is>
          <t>Tessera Labs</t>
        </is>
      </c>
      <c r="D5" t="inlineStr">
        <is>
          <t>linkedin</t>
        </is>
      </c>
      <c r="E5" t="inlineStr"/>
      <c r="F5" t="inlineStr"/>
      <c r="G5" t="inlineStr">
        <is>
          <t>San Jose, CA</t>
        </is>
      </c>
      <c r="H5" t="inlineStr"/>
      <c r="I5"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 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6">
      <c r="A6" t="inlineStr">
        <is>
          <t>li-4338026308</t>
        </is>
      </c>
      <c r="B6" t="inlineStr">
        <is>
          <t>Product Manager, Consumer Identity and Authentication</t>
        </is>
      </c>
      <c r="C6" t="inlineStr">
        <is>
          <t>Netflix</t>
        </is>
      </c>
      <c r="D6" t="inlineStr">
        <is>
          <t>linkedin</t>
        </is>
      </c>
      <c r="E6" t="inlineStr"/>
      <c r="F6" t="inlineStr"/>
      <c r="G6" t="inlineStr">
        <is>
          <t>Los Gatos, CA</t>
        </is>
      </c>
      <c r="H6" t="inlineStr"/>
      <c r="I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Commerce Product Team is seeking an experienced Identity Product Manager with a focus on authentication and account security. You will ensure a seamless and secure experience around accessing Netflix via login, sign up, verification, and security measures.
 We aim to set the foundation of best\-in\-class authentication and account security experiences which empowers users while supporting business innovation across TV, web, mobile, and off\-platform experiences. You should be comfortable being hands\-on and leading in a fast\-paced, cross\-functional environment, collaborating with engineering, security, design, legal, data science, and consumer insights teams. You will be expected to build consensus while confidently making decisions amidst ambiguity.
**Location:** 
 This role can be based in our Los Gatos or Los Angeles offices in a hybrid model. We are also open to West Coast based remote employees. Some travel to our Los Gatos offices will be required.
**Key Responsibilities**
* Develop a product strategy that ensures alignment across multiple product teams across Netflix (including core streaming, Games, Tudum, offline experience, etc) by balancing consumer simplicity, business objectives, and account security guardrails.
* Define and execute a roadmap focused on consumer\-facing authentication and security, across platforms (TV, web, apps).
* Drive experimentation\-based approaches to optimize login, authentication methods, reduce account fraud, and enhance user trust.
* Author strategy memos and presentations, representing your team's work to senior executives. This includes defining innovative authentication, security, and access initiatives.
* Collaborate with engineering, security, design, consumer insights, data science teams, and legal to build highly impactful products.
* Use qualitative and quantitative data to continuously iterate and refine the user experience.
**What You Bring**
* 8\+ years of product management experience.
* Proven experience developing consumer products, with a focus on defining user identification through login, verification, and security practices.
* Experience leading products that require balancing consumer, account security, and business trade\-offs.
* Strong familiarity with authentication/security best practices (ex: MFA, SSO, passkeys, next\-generation login/verification methods) and their implications to industry and core business metrics.
* Ability to drive experimentation and leverage data insights to optimize and grow user engagement while balancing security risks.
* Strong business acumen with proficiency in identifying, tracking, and acting upon key metrics.
* Experience leading end\-to\-end product development with a relentless focus on delivering intuitive, seamless, and visually compelling user experiences.
* Exceptional communication skills, with the ability to articulate complex concepts to diverse stakeholders.
 This role offers a unique opportunity to shape the future of Authentication \&amp; Account Security at Netflix, ensuring our products are built with a consumer\-first and security\-first mindset, while supporting business objectives. If you are passionate about building trust\-driven experiences and setting the foundation for authentication innovation, we would love to hear from you!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7">
      <c r="A7" t="inlineStr">
        <is>
          <t>li-4367739474</t>
        </is>
      </c>
      <c r="B7" t="inlineStr">
        <is>
          <t>Product Manager</t>
        </is>
      </c>
      <c r="C7" t="inlineStr">
        <is>
          <t>Opal Security</t>
        </is>
      </c>
      <c r="D7" t="inlineStr">
        <is>
          <t>linkedin</t>
        </is>
      </c>
      <c r="E7" t="inlineStr"/>
      <c r="F7" t="inlineStr"/>
      <c r="G7" t="inlineStr">
        <is>
          <t>San Francisco, CA</t>
        </is>
      </c>
      <c r="H7" t="inlineStr"/>
      <c r="I7" t="inlineStr">
        <is>
          <t>**About Opal Security**
 At Opal, we’re building modern identity governance for the AI era—intelligent access management that empowers enterprises to move fast while staying secure. Our mission is to bring clarity, control, and confidence to complex enterprise environments, helping teams govern access without slowing down innovation.
**The Role**
 Identity is having a moment. Every company is deploying agents, spinning up service accounts, and realizing their IAM stack can't keep up. We're building AI\-native security that scales with this chaos and companies like Databricks, Cloudflare, and Figma are betting on us to get it right.
 You will own Opal's product direction and execution as our sole product manager. You'll work directly with security and engineering teams at Fortune 500s and startups alike, understand their messy reality, and determine our position as a leader in IAM. You’ll report directly into our CTO and work hand in hand with our engineering team.
 Please note: We've built a team that works exceptionally well together and has fun doing so. We're looking to bring on new teammates who will both add to and grow with what we're building 🙂
**Your Responsibilities**
* Own product strategy from insight to execution. Own what we build and where we expand, work directly with customers to validate direction, partner with engineering on technical strategy, and ensure our roadmap positions us to win in IAM.
* Architect our platform to unify human and non\-human identity governance across hybrid environments by making sense of on\-prem AD, cloud IAM, SaaS apps, and AI agents.
* Lead our evolution from fast and flexible to enterprise\-grade at scale without losing what developers love about us.
* Drive category creation and position Opal as the authorization intelligence layer, not just another point solution in a crowded IAM landscape.
* Define the future for Opal and for Identity
**Our Ideal Candidate Loves To**
* Think strategically: you can look at market dynamics, customer feedback, and technical constraints to determine the right direction forward.
* Build platforms, not just features: you understand API strategy, developer experience, and how to create extensible systems that others build on.
* Thrive in undefined spaces: you get energized by ambiguous problems where there's no playbook. You'd rather figure out what to build than refine an existing roadmap.
* Work across the stack: you're comfortable talking technical architecture with engineers, doing the boring admin work, and owning business outcomes with customers.
* Most importantly \- shape a category: you're excited about defining what AI\-native IAM means and building the product that becomes the standard.
**What You Bring**
* 6\+ years in product management, owning a highly technical product or solution in the security space
* Track record building 1\-to\-n products and scaling them
* Ability to drive high performant engineering output
* Either a degree in computer science or you categorize yourself as a pseudo/honorary engineer</t>
        </is>
      </c>
    </row>
    <row r="8">
      <c r="A8" t="inlineStr">
        <is>
          <t>li-4319680065</t>
        </is>
      </c>
      <c r="B8" t="inlineStr">
        <is>
          <t>Product Manager</t>
        </is>
      </c>
      <c r="C8" t="inlineStr">
        <is>
          <t>Strong Hold</t>
        </is>
      </c>
      <c r="D8" t="inlineStr">
        <is>
          <t>linkedin</t>
        </is>
      </c>
      <c r="E8" t="inlineStr"/>
      <c r="F8" t="inlineStr"/>
      <c r="G8" t="inlineStr">
        <is>
          <t>Louisville, KY</t>
        </is>
      </c>
      <c r="H8" t="inlineStr"/>
      <c r="I8" t="inlineStr">
        <is>
          <t>**Description**
**Who Are We?**
 We build products and relationships that last a lifetime! No really, that’s what we do. We are a successful family business with a long\-term record of steady growth, and we are determined to accelerate our trajectory. Our diverse team members who speak 22 languages are passionate about their company and their co\-workers.
 Check out our website at
 **www.strong\-hold.com** 
**.**
**We Are Not**
* Fancy \- as manufacturers we believe practical, clean facilities are required to make quality products and retain the best team.
* High Tech \- we incorporate technology into our products and processes where appropriate, but it doesn’t drive us.
* Transactional\- we have long term relationships with our team members and most valuable customers.
* Satisfied\- we celebrate achievement, then set our sights on new goals.
**What We’re Looking For**
 In this role you will be responsible for driving business growth by optimizing our product portfolio in the industrial storage and outdoor lighting industries. Key responsibilities include developing pricing and promotion strategies tailored to material handling catalogs and internet resellers, creating strategic product plans, and leading new product launches. The position requires close collaboration with Engineering, Manufacturing, Finance, Marketing, and Sales teams to ensure the product portfolio aligns with market demands and delivers strong business results.
 This position will work on\-site, five days a week, at our facility in Louisville, KY.
* Experience in B2B product marketing and project management, with a proven ability to influence cross\-functional teams.
* Strong organizational and communication skills, capable of handling multiple tasks, adapting to new tools, and maintaining positive relationships with diverse stakeholders.
* Demonstrated leadership ability to energize and build rapport across all levels of an organization.
* Confident presenter with composure in high\-pressure situations and the ability to manage competing priorities.
* Flexible self\-starter with a passion for industrial products and a results\-oriented mindset.
* Proficient in data analysis, particularly using Excel, to identify opportunities and inform decisions.
**Duties**
* Develop Pricing and Promotional Strategies: Create programs that drive growth with dealers, distributors, and resellers, maximizing the value of customer\-driven initiatives like rebates and volume discounts.
* Lead New Product Development: Oversee the Stage Gate Process from concept to launch, driving top\-line growth by expanding the product portfolio. Offer insights on industry trends and competitors and coordinate company\-wide efforts for successful product launches.
* Optimize Product Portfolios: Manage pricing and product offerings to enhance margins, including feature adjustments and cost\-reduction opportunities through manufacturing and engineering processes.
* Market Analysis and Strategic Planning: Analyze market trends and competitive landscapes to position our portfolios effectively. Develop and execute short\- and long\-term product plans.
* Deliver Results: Meet or exceed revenue and gross margin goals to drive business growth.
**Requirements**
* Bachelor’s degree in marketing, business or related field
* 3\+ years of successful product, marketing, or project management experience.
* Strong communication skills and the ability to collaborate with internal teams and external customers.
* Willingness to travel up to 10%.
* Strong PC proficiency (MS Office Suite), especially Excel for analysis.
**Benefits**
* Competitive Compensation: Enjoy a strong base salary with annual raises and performance\-based bonus opportunities.
* Comprehensive Health Coverage: Includes medical, HSA, dental, and vision plans to keep you, and your family covered. Even enjoy free tele\-health visits on most plans!
* Work\-Life Balance: 9 Paid holidays and time off to recharge and enjoy life outside of work. Wellness program that provides on\-site and on\-demand availability for confidential support when you need a little extra help!
* Peace of Mind: Company\-paid life insurance, short\-term, and long\-term disability for added security.
* Secure Your Future: 401(k) retirement plan with company contributions to help you plan ahead.</t>
        </is>
      </c>
    </row>
    <row r="9">
      <c r="A9" t="inlineStr">
        <is>
          <t>li-4362991966</t>
        </is>
      </c>
      <c r="B9" t="inlineStr">
        <is>
          <t>Product Manager</t>
        </is>
      </c>
      <c r="C9" t="inlineStr">
        <is>
          <t>U.S. Bank</t>
        </is>
      </c>
      <c r="D9" t="inlineStr">
        <is>
          <t>linkedin</t>
        </is>
      </c>
      <c r="E9" t="inlineStr"/>
      <c r="F9" t="inlineStr"/>
      <c r="G9" t="inlineStr">
        <is>
          <t>Englewood, CO</t>
        </is>
      </c>
      <c r="H9" t="inlineStr"/>
      <c r="I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Creates the product in conjunction with agile, experience design, technology and risk partners to achieve business and customer outcomes. In the case of technical products, understands and cares for the technical features, debt reduction and modernization of the technical product with expertise in the technology required of the product.
**Preferred qualifications, capabilities, and skills:**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**Minimum Qualifications:**
* Product management experience.
**Additional detail:**
* Have working knowledge or familiarity with Open Systems Interconnection (OSI) technologies, including middleware, Application Programming Interfaces (APIs) and financial services software.
* Some knowledge of digital marketing \&amp; MarTech would be valuable (personalized recommendations, advertising networks, Adobe Analytics)
* Should be comfortable reviewing program performance data and making data\-driven decision for optimization
* Will be expected to work\-cross functionally to discuss Payments products/services with PMs and assess their viability for inclusion in the product recommendations program)
* Will be expected to review creative content, including partnering with Marketing and compliance
* Will be expected to partner with CX team on research and experience design.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0">
      <c r="A10" t="inlineStr">
        <is>
          <t>li-4367722609</t>
        </is>
      </c>
      <c r="B10" t="inlineStr">
        <is>
          <t>Product Manager</t>
        </is>
      </c>
      <c r="C10" t="inlineStr">
        <is>
          <t>RemoteHunter</t>
        </is>
      </c>
      <c r="D10" t="inlineStr">
        <is>
          <t>linkedin</t>
        </is>
      </c>
      <c r="E10" t="inlineStr"/>
      <c r="F10" t="inlineStr"/>
      <c r="G10" t="inlineStr"/>
      <c r="H10" t="inlineStr"/>
      <c r="I10" t="inlineStr">
        <is>
          <t>About the Opportunity:
 The organization is a leading broad line distributor operating primarily in North America, Japan, and the United Kingdom. It serves millions of customers worldwide by providing maintenance, repair, and operating (MRO) products and services, including technical support and inventory management. The role of Product Manager focuses on guiding and developing generative AI solutions for deployment within the customer service center, contributing to the product vision and roadmap with a high degree of ownership over key features and the customer experience. The position involves collaboration with engineering, design, and operations teams within a matrix organization.
 Responsibilities:
 • Strategize, plan, and develop software related to generative AI and machine learning strategy.
 • Develop business plans using data to make recommendations that create competitive advantage.
 • Conceptualize customer and internal team member needs and build product roadmap and requirements.
 • Lead teams of software engineers, data engineers, and ML scientists by providing business context and establishing shared ownership of outcomes.
 • Lead software development activities including management, deployment, troubleshooting, and administration of new features.
 • Lead, communicate, and coordinate product launches across business, product, and engineering teams considering schedule, risk, and tradeoffs.
 • Facilitate product review discussions with C\-suite executives tailored to the audience.
 • Partner with analytics, UX, peer product managers, and operational business leaders to deliver quality capabilities and measure growth.
 Requirements:
 • Demonstrated experience designing solutions to complex problems by conceptualizing, building, or substantially modifying enterprise internal tools or external websites, preferably for B2B customers. Experience with AI and ML solutions strongly desired.
 • 7\+ years of product management or related experience, including leading agile sprint teams and working with design, analytics, and business partners.
 • Continuous improvement mindset with up\-to\-date technology knowledge.
 • Ability to guide team members to accomplish outcomes.
 • Ability to operate effectively with ambiguity and within a matrix organization under tight schedules.
 • Strong problem\-solving, planning, and creative time management skills, with a high degree of ownership and ability to influence teams to act urgently.
 • Analytical skills with the ability to use data metrics to support business cases for executive leadership and business partners.
 • Bachelor’s degree in computer science, engineering, science, math, or related field; Master’s or MBA preferred.
 Benefits \&amp; Perks:
 • Medical, dental, vision, and life insurance with coverage starting on day one.
 • Six free therapy sessions annually with a licensed therapist for emotional wellbeing.
 • 18 paid time off days annually for full\-time employees, prorated based on start date.
 • Six company holidays per year.
 • 6% company contribution to a 401(k) Retirement Savings Plan each pay period without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Compensation:
 • Anticipated base pay range for this position is $110,500\.00 to $184,100\.00\.
 • Actual compensation depends on geographic location, relevant experience, and skills.
 • Compensation range is subject to change and may be higher or lower than stated.
 • The organization reserves the right to amend or terminate compensation and benefit programs at its discretion in accordance with applicable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
      <c r="A11" t="inlineStr">
        <is>
          <t>li-4367995566</t>
        </is>
      </c>
      <c r="B11" t="inlineStr">
        <is>
          <t>Product Manager</t>
        </is>
      </c>
      <c r="C11" t="inlineStr">
        <is>
          <t>FNP</t>
        </is>
      </c>
      <c r="D11" t="inlineStr">
        <is>
          <t>linkedin</t>
        </is>
      </c>
      <c r="E11" t="inlineStr"/>
      <c r="F11" t="inlineStr"/>
      <c r="G11" t="inlineStr">
        <is>
          <t>Stone Head, IN</t>
        </is>
      </c>
      <c r="H11" t="inlineStr"/>
      <c r="I11" t="inlineStr">
        <is>
          <t>Product Management Backend Property for FNP.com/FNP.ae/FNP.sg
* Collaborate with Developers, Business users \&amp;amp; Call Centre team / Partner Team for visualizing requirements better.
* Defining features and requirements, Visualize, Plan \&amp;amp; Execute / drive POCs for data configuration where needed. And Building Roadmaps.
* Recommends the nature and scope of present and future product lines by reviewing requirements specifications for new product ideas.
* Support training to Supporting operation team/QA/Backend Team/Partners
* Coordinate with back\-end developers in integrating with front\-end/backend configuration
* Perform analysis / debugging of issues/ data configuration in production systems during troubleshooting / escalating issues for bug fixing.
* UAT \&amp;amp; Live testing / Perform (pre/post development) cross\-browser/devices compatibility test.
 Handling Team Responsible for data\-mapping, backend configuration \&amp; production support on mentioned properties.
* Fnp.com (Web/Mobile/App)
* Fnp.ae (Web/Mobile/App)
* Fnp.sg (Web/Mobile/App)
* International (Web/Mobile/App)
* Affiliate/Market Place
* Corporate</t>
        </is>
      </c>
    </row>
    <row r="12">
      <c r="A12" t="inlineStr">
        <is>
          <t>li-4368121652</t>
        </is>
      </c>
      <c r="B12" t="inlineStr">
        <is>
          <t>Sr/Lead Product Manager- Healthcare Experience</t>
        </is>
      </c>
      <c r="C12" t="inlineStr">
        <is>
          <t>Expedite Talent Solutions</t>
        </is>
      </c>
      <c r="D12" t="inlineStr">
        <is>
          <t>linkedin</t>
        </is>
      </c>
      <c r="E12" t="inlineStr"/>
      <c r="F12" t="inlineStr"/>
      <c r="G12" t="inlineStr"/>
      <c r="H12" t="inlineStr"/>
      <c r="I12" t="inlineStr">
        <is>
          <t>**Job Description**
* 10\+ years of IT or Digital Project Management, Business Analyst, or similar full SDLC experience with a minimum of 10 years of experience in a Product Manager role and 5 years of experience in translating business needs and requirements gathering to IT or Digital Products.
* 5\+ years deep knowledge of information technology principles, Agile development methodologies and knowledge of Cloud platforms / applications/ software products or design tools.
* 5\+ years of experience in handling customer expectations and relationship building.</t>
        </is>
      </c>
    </row>
    <row r="13">
      <c r="A13" t="inlineStr">
        <is>
          <t>li-4368106513</t>
        </is>
      </c>
      <c r="B13" t="inlineStr">
        <is>
          <t>Product Manager Data and AI</t>
        </is>
      </c>
      <c r="C13" t="inlineStr">
        <is>
          <t>JPMorganChase</t>
        </is>
      </c>
      <c r="D13" t="inlineStr">
        <is>
          <t>linkedin</t>
        </is>
      </c>
      <c r="E13" t="inlineStr"/>
      <c r="F13" t="inlineStr"/>
      <c r="G13" t="inlineStr">
        <is>
          <t>New York, NY</t>
        </is>
      </c>
      <c r="H13" t="inlineStr"/>
      <c r="I1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Data and AI Product Manager focusing on Knowledge Management, you are an integral part of the Chief Data \&amp; Analytics Office that innovates new solutions for the firm's AI use cases. You will build platform products to leverage the firm's incredibly rich proprietary data assets and enable RAG, while collaborating with product leaders, data scientists and engineers across lines of businesses. As a core leader, you are responsible for acting as the voice of the customer and developing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Drive the product vision and strategy of enterprise Knowledge Management, enabling RAG and agentic workflows across unstructured data
* Partner closely with all lines of business to identify, prioritize and solution key AI and data use cases
* Drive the end\-to\-end product management lifecycle, including integration of data sources – from requirements gathering, prioritization, solutioning, writing clear PRDs and partnering with designers and engineers on execution
* Own, maintain, and develop a product backlog to support the overall strategic roadmap and value proposition
* Work with client engagement and product marketing teams to refine product positioning and messaging
* Draft communication materials for stakeholder discussions at varying levels of seniority and technicality
* Stay at the forefront of what’s possible with AI and RAG, especially industry developments
**Required Qualifications, Capabilities, And Skills**
* 5\+ years of experience or equivalent expertise in AI and data platform product management or a relevant domain area
* Advanced knowledge of the product development lifecycle, design, and data analytics
* Track record of leading product management lifecycle activities including discovery, ideation, strategic development, requirements definition, and value management
* Strong ability to communicate complex technical materials to technical and non\-technical stakeholders, in both written and verbal forms
* Excellent ability to collaborate with senior stakeholders and technical leads
* Organized with a great sense of ownership and accountability
* Bachelor’s or Master’s degree in Machine Learning or Computer Science
**Preferred Qualifications, Capabilities, And Skills**
* Demonstrated prior experience working in a highly matrixed, complex organization
* Technical expertise in retrieval\-augmented generation and advanced RAG, such as GraphRAG and search
* Prior engineering experience, with skills in Python programming and SQL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
      <c r="A14" t="inlineStr">
        <is>
          <t>li-4328207800</t>
        </is>
      </c>
      <c r="B14" t="inlineStr">
        <is>
          <t>Principal Product Manager</t>
        </is>
      </c>
      <c r="C14" t="inlineStr">
        <is>
          <t>Microsoft</t>
        </is>
      </c>
      <c r="D14" t="inlineStr">
        <is>
          <t>linkedin</t>
        </is>
      </c>
      <c r="E14" t="inlineStr"/>
      <c r="F14" t="inlineStr"/>
      <c r="G14" t="inlineStr">
        <is>
          <t>Redmond, WA</t>
        </is>
      </c>
      <c r="H14" t="inlineStr"/>
      <c r="I14"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Azure Reliability is driving transformation to AI\-powered operations by building scalable ML infrastructure that enables autonomous, reliable, and secure cloud systems. We are looking for candidates that can combine deep technical expertise in MLOps with a proven ability to deliver measurable business impact through continuous learning, policy\-driven governance, and responsible AI practices. Success in this role means advancing operational autonomy, quality, and security, while fostering collaboration and accountability across teams.
 Every day, customers stake their business and reputation on our cloud. You can help \#EngOps keep them secure, resilient, and ready.
 This role will require a minimum of three days in office.
**Responsibilities**
* Partner across multiple product groups to apply subject\-matter expertise in distributed systems design practices, interactions between cloud technology layers and components, basic dependencies at scale, and the code that defines infrastructures.
* Lead by example and mentor others to produce extensible and maintainable code used across products.
* Develop and evangelize insights, best practices, and standards that can be applied to improve system, platform, and/or product development and operations across the business.
* Drive continuous improvements in the architecture, code, features, operations and comprehensive use scenarios of products by leveraging end\-to\-end technical expertise.
* Make improvements to the product fundamentals and architecture, share knowledge and code, always looking for ways to make what we build useful to multiple teams and products.
* Demonstrates end\-to\-end expertise in distributed systems design, interactions between cloud technology layers.
* Provide technical leadership in test maturity reviews, static analysis reviews, meetings, on\-call rotations, and incident responses throughout product development and operations cycles.
* Provides deep business and technical expertise as required to resolve major incidents.
**Qualifications**
 Required Qualifications:
* Bachelor's Degree AND 6\+ years experience in engineering, product/technical program management, data analysis, or product development
* OR equivalent experience.
* 3\+ years of experience managing cross\-functional and/or cross\-team projects.
**Preferred Qualifications**
* Bachelor's Degree AND 10\+ years experience in engineering, product/technical program management, data analysis, or product development
* OR equivalent experience.
* 8\+ years experience managing cross\-functional and/or cross\-team projects.
* 1\+ year(s) experience reading and/or writing code (e.g., sample documentation, product demos).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
      <c r="A15" t="inlineStr">
        <is>
          <t>li-4367756359</t>
        </is>
      </c>
      <c r="B15" t="inlineStr">
        <is>
          <t>Senior Product Owner</t>
        </is>
      </c>
      <c r="C15" t="inlineStr">
        <is>
          <t>Haystack</t>
        </is>
      </c>
      <c r="D15" t="inlineStr">
        <is>
          <t>linkedin</t>
        </is>
      </c>
      <c r="E15" t="inlineStr"/>
      <c r="F15" t="inlineStr"/>
      <c r="G15" t="inlineStr"/>
      <c r="H15" t="inlineStr"/>
      <c r="I15" t="inlineStr">
        <is>
          <t>**Sr Product Owner \| Atlanta, GA \| Remote\-Friendly \| $92,300 \- $153,900** 
 We're working with Cox Automotive on this exciting opportunity.
 Shape the future of product development as a Sr. Product Owner, owning and prioritizing the Salesforce product backlog for Central Dispatch processes. This pivotal role bridges business needs with advanced technology solutions, delivering a streamlined end\-to\-end lifecycle and impacting both Sales and Service functions. If you're ready to drive innovation and utilize AI to accelerate product strategy, let's connect!
**The Role** 
 • Define and implement impactful product solutions, contributing directly to product strategy.
 • Proactively manage the product backlog, ensuring alignment with strategic goals and requirements.
 • Collaborate with Product Managers to translate business requirements into scalable, cutting\-edge solutions across CRM, CPQ, billing, and ERP systems.
 • Support release train and scrum teams through PI planning, defect prioritization, and detailed software development management.
 • Leverage AI tools to accelerate discovery, experimentation, and development, identifying gaps and recommending improvements.
**What You'll Need** 
 • A Bachelor's degree in a related discipline with at least 4 years of experience in product ownership or a related field; other combinations of education and experience will be considered.
 • Hands\-on expertise with Salesforce CRM (Sales Cloud and Service Cloud) and a strong understanding of full product lifecycle methodologies.
 • Demonstrated skill in analytical thinking, project administration, requirements analysis, and system/technology integration.
 • Proven experience with SAFe Agile methodology and managing product backlogs effectively.
 • Excellent communication skills to articulate technical concepts and manage expectations with diverse stakeholders.
**What's On Offer** 
 • Competitive base salary ranging from $92,300\.00 to $153,900\.00, with potential for additional incentive programs.
 • Flexible paid time off, including unlimited vacation, seven paid holidays, and up to 160 hours of annual wellness leave.
 • Comprehensive benefits package including bereavement leave, time off to vote, jury duty leave, volunteer time off, military leave, and parental leave.
**Apply via Haystack today!**</t>
        </is>
      </c>
    </row>
    <row r="16">
      <c r="A16" t="inlineStr">
        <is>
          <t>li-4361133589</t>
        </is>
      </c>
      <c r="B16" t="inlineStr">
        <is>
          <t>Product Manager, Healthcare</t>
        </is>
      </c>
      <c r="C16" t="inlineStr">
        <is>
          <t>Annexus Health</t>
        </is>
      </c>
      <c r="D16" t="inlineStr">
        <is>
          <t>linkedin</t>
        </is>
      </c>
      <c r="E16" t="inlineStr"/>
      <c r="F16" t="inlineStr"/>
      <c r="G16" t="inlineStr"/>
      <c r="H16" t="inlineStr"/>
      <c r="I16" t="inlineStr">
        <is>
          <t>At Annexus Health, we are a team of dedicated professionals with backgrounds in life sciences, healthcare software technology development, and the healthcare provider setting. While we approach our work from different angles, we are united by our commitment to reducing financial and administrative burdens across the patient access journey to improve access to care and combat financial toxicity at both the patient level and the healthcare organization level.
**Product Manager** 
 We are seeking a high caliber, driven and technically fluent
 **Product Manager to lead the evolution of our financial assistance workflow capabilities.** 
 This is a high\-impact role for someone who understands healthcare operations and knows how to bring structure and clarity to complex product initiatives. You likely started your career in engineering or development and moved into product because you love solving problems end\-to\-end. You’re comfortable navigating technical, operational, and commercial discussions, and you excel at translating complex concepts and ideas into easily digestible themes and stories across various functions and levels. You thrive in fast\-moving environments, and you bring clarity, structure, and momentum wherever you go. You understand the healthcare ecosystem and are ready to drive initiatives that make real\-world operational impact.
 If you are ready to own the execution of our product strategy to optimize the end\-to\-end financial assistance intake and management and make a substantive difference in the lives of patients, this is the role for you.
**What You Will Do:** 
* Translate a defined product vision for financial assistance cycle management into a clear and actionable roadmap.
* Collaborate with stakeholders, including customers, engineering, operations, and executive teams, to crystalize strategies, solidify alignment, and drive outcomes.
* Lead the upstream and downstream integrations required to send, receive, and process
* Oversee the development of an event, workflow, and tasking framework to minimize friction and drive the speed and success of financial assistance cycle management for healthcare providers.
* Work closely with engineering teams to define product requirements, prioritize initiatives, and drive agile development cycles.
* Monitor industry trends, regulatory changes, and competitive landscapes to inform product strategy.
* Develop and track key performance indicators (KPIs) to measure the success and impact of claims management solutions.
* Partner with marketing, training, support, sales, and customer success teams to communicate product value and execute go\-to\-market strategies.
* Act as a subject matter expert in the end\-to\-end financial assistance management workflow, providing guidance to internal teams and external partners.
**About You:** 
 Required Qualifications
* Bachelor’s degree in business, healthcare administration, computer science, or a related field.
* 5\+ years of experience in product management, preferably in healthcare operations.
* Strong understanding of healthcare operations, most notably patient intake, provider enrollment, and/or credentialing.
* Proven track record of successfully launching and managing healthcare technology products.
* Excellent analytical, problem\-solving, and communication skills.
* Ability to work cross\-functionally in a fast\-paced, agile environment.
 Preferred Qualifications
* Knowledge of Practice Management Systems and their operational workflows.
* Familiarity with healthcare compliance frameworks such as HIPAA and CMS regulations.
 Annexus Health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Read more about the Annexus Health culture at annexushealth.com/about.</t>
        </is>
      </c>
    </row>
    <row r="17">
      <c r="A17" t="inlineStr">
        <is>
          <t>li-4330184077</t>
        </is>
      </c>
      <c r="B17" t="inlineStr">
        <is>
          <t>Product Owner/Product Development Director-Liquid Cooling System for Data Center</t>
        </is>
      </c>
      <c r="C17" t="inlineStr">
        <is>
          <t>Midea America</t>
        </is>
      </c>
      <c r="D17" t="inlineStr">
        <is>
          <t>linkedin</t>
        </is>
      </c>
      <c r="E17" t="inlineStr"/>
      <c r="F17" t="inlineStr"/>
      <c r="G17" t="inlineStr">
        <is>
          <t>Plano, TX</t>
        </is>
      </c>
      <c r="H17" t="inlineStr"/>
      <c r="I17" t="inlineStr">
        <is>
          <t>Midea America Corp. is one of the world’s largest home appliance brands, offering the most comprehensive selection of products in the world to fully serve the needs of day\-to\-day living at home, at work, or anywhere else you go. In North America we strive to aim high, put the customer first, transform and innovate the marketplace, utilizing our commitment, dedication, inclusion and partnership with our teams. We are a global company with over 150,000 employees and operations in more than 195 countries. As a publicly listed company, we are also ranked \#245 as a Fortune Global 500 company and offers one of the most comprehensive ranges in the home appliance industry. Midea America is a subsidiary of Midea Group with over 200 employees in the US and we are expanding our presence in North America. Know more about Midea Group.
 Location : Plano, Tx; Locating in Plano office is preferred but we might accomondate remote work for the high\-calibre candidate.
 Job Responsibilities:
 1\.Have a profound understanding of the product solutions and application scenarios of various customers in the data center industry, accurately comprehend customer needs, and output corresponding solutions to meet customer requirements.
 2\.Overall plan the product development and planning of related categories in the data center.
 3\.Be familiar with the liquid cooling product system solutions in the data center, be able to design optimized product architectures, and enable the products to be competitive in terms of capabilities, energy efficiency, and costs.
 4\.Be responsible for connecting with the market, quality, and after\-sales requirements related to the data center, accurately identify technical problems, and provide effective technical support.
 5\.Thoroughly understand and analyze the trends in the data center industry, conduct technology reserve planning to meet customers' demands for future products.
 Qualifications:
 1\.Bachelor's degree or above in relevant majors such as mechanical automation, HVAC, etc., with over 10 years of experience in the air conditioning industry.
 2\.Be proficient in air\-conditioning and refrigeration products, possess profound experience and professional knowledge in the temperature control field, and be able to handle complex problems properly.
 3\.Be proficient in the product development process, have excellent project management skills and experience in successfully delivering complex R \&amp; D projects.
 4\.Have a strong interest in and learning agility to new technologies and innovations.
 5\.Have an excellent spirit of team development and cooperation, and be able to stimulate the team's technological innovation ability.
*Midea America Corp is an equal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8">
      <c r="A18" t="inlineStr">
        <is>
          <t>li-4316048100</t>
        </is>
      </c>
      <c r="B18" t="inlineStr">
        <is>
          <t>Principal Product Manager, Confluence Onboarding</t>
        </is>
      </c>
      <c r="C18" t="inlineStr">
        <is>
          <t>Atlassian</t>
        </is>
      </c>
      <c r="D18" t="inlineStr">
        <is>
          <t>linkedin</t>
        </is>
      </c>
      <c r="E18" t="inlineStr"/>
      <c r="F18" t="inlineStr"/>
      <c r="G18" t="inlineStr">
        <is>
          <t>Mountain View, CA</t>
        </is>
      </c>
      <c r="H18" t="inlineStr"/>
      <c r="I18" t="inlineStr">
        <is>
          <t>**Overview**
 We are seeking a
 **Principal Product Manager** 
 to lead the
 **Confluence Onboarding** 
 experience, focused on activating new customers from our
 **Land (Acquisition)** 
 and
 **Cross\-sell** 
 motions. This role is critical in shaping how new technical and business user admins first experience Confluence, ensuring they discover its value quickly and stay engaged long\-term.
 You will own the
 **strategy and roadmap** 
 for helping new admins successfully adopt Confluence — understanding who they are, guiding them into the right parts of the product, and enabling them to realize value during their crucial first weeks. This work directly impacts Atlassian’s growth by ensuring new customers not only sign up, but also activate and expand.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**Responsibilities**
* Define the onboarding strategy for new Confluence admins across acquisition and cross\-sell journeys.
* Deeply understand jobs\-to\-be\-done for both technical and business user admins as they set up Confluence for the first time.
* Shape the first\-time admin experience: landing users into the right product areas, tailoring guidance, and removing friction.
* Partner closely with Design and Research to develop empathetic, intuitive experiences that balance user needs with business goals.
* Collaborate with Marketing, Core Product, and Growth teams to ensure onboarding connects seamlessly with upstream acquisition and cross\-sell motions.
* Work with Engineering and Data Science to define metrics, run experiments, and measure success of onboarding flows.
* Drive alignment across Atlassian to deliver a cohesive, value\-driven admin journey.
**Qualifications**
**Qualifications**
* 7\+ years in product management, with at least 3 years in SaaS Activation/Onboarding, Consumer, or E\-Commerce roles.
* Strong analytical skills; experience with product analytics, experimentation, and data\-driven decision making.
* Proficiency in using prototyping AI tools to rapidly test and validate onboarding concepts and flows.
* Strong written communication skills, with the ability to craft clear, concise onboarding content, documentation, and XFN communication.
* Experience onboarding technical and business user personas in B2B SaaS.
* Familiarity with Atlassian products or similar collaboration platforms.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$193,500 \- $252,625
 Zone B: $174,600 \- $227,950
 Zone C: $161,100 \- $210,325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9">
      <c r="A19" t="inlineStr">
        <is>
          <t>li-4315508715</t>
        </is>
      </c>
      <c r="B19" t="inlineStr">
        <is>
          <t>URBN Senior Product Manager, Post-Purchase</t>
        </is>
      </c>
      <c r="C19" t="inlineStr">
        <is>
          <t>URBN (Urban Outfitters, Anthropologie Group, Free People &amp; Nuuly)</t>
        </is>
      </c>
      <c r="D19" t="inlineStr">
        <is>
          <t>linkedin</t>
        </is>
      </c>
      <c r="E19" t="inlineStr"/>
      <c r="F19" t="inlineStr"/>
      <c r="G19" t="inlineStr">
        <is>
          <t>Philadelphia, PA</t>
        </is>
      </c>
      <c r="H19" t="inlineStr"/>
      <c r="I19" t="inlineStr">
        <is>
          <t>URBN is seeking a Senior Product Manager, Post\-Purchase to join our Digital Product team and drive product strategy across our portfolio of beloved brands. As a Senior Product Manager, you'll own the discovery process for identifying customer and business opportunities, define tactical solutions, and facilitate alignment across cross\-functional teams to deliver features that delight millions of customers while driving measurable business results.
 This role will focus on our post\-purchase and supply chain themes, supporting the customer experience after checkout and throughout delivery and return windows. You will partner with other PMs supporting the digital and retail customer experiences as well as work with teams that operate \&amp; improve our ever growing network of distribution \&amp; fulfillment centers.
**Role Responsibilities**
 What You'll Own
**Drive Discovery**
 Lead the discovery process for identifying customer and business opportunities. Leverage data, research, and competitive analysis to build compelling
 business cases that justify opportunity prioritization and guide roadmap decisions.
**Define Solutions**
 Partner with UX to define user experiences and work closely with BSAs and Engineers to connect business requirements with functional requirements. Field
 questions and clarify requirements to ensure the team has a shared vision for tactical solutions.
**Own Delivery**
 Take accountability for successful feature delivery to our brands and customers. Conduct UAT, manage launch readiness activities, and partner with
 stakeholders to build enthusiasm around new features while measuring their impact.
**Build Consensus**
 Navigate complex stakeholder relationships to facilitate alignment across discovery, definition, and delivery phases. Negotiate and build consensus among
 peers across Engineering, Brands, Analytics, and other discipline groups.
**Role Qualifications**
 What You Bring
**3\+ years building consumer digital products** 
 with experience driving product decisions and building consensus among cross\-functional teams
 (Engineering, UX, Brand stakeholders)
**Exceptional communication skills** 
 \- you're a natural storyteller who can navigate ambiguity and present clear viewpoints to stakeholders at every level
**Leadership that inspires** 
 \- you motivate and support cross\-functional teams to deliver outstanding results
**Detail\-oriented with strong organizational skills** 
 \- you thrive managing multiple ongoing projects while maintaining attention to detail in fast\-paced
 environments
**Retail experience strongly preferred** 
 \- understanding of digital commerce, seasonality, inventory considerations, and omnichannel customer journeys
 in fashion/lifestyle retail
**Excitement about building digital products** 
 for passionate brand communities in the rapidly changing retail landscape
**Technical foundation** 
 \- Bachelor's in Computer Science, Industrial Design, or related field ideal (but we value diverse backgrounds and relevant
 experience)
**Analytical mindset** 
 \- comfortable working with data, research, and competitive analysis to inform product decisions and measure impact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20">
      <c r="A20" t="inlineStr">
        <is>
          <t>li-4316570305</t>
        </is>
      </c>
      <c r="B20" t="inlineStr">
        <is>
          <t>Sr. Global Product Manager</t>
        </is>
      </c>
      <c r="C20" t="inlineStr">
        <is>
          <t>Intuitive</t>
        </is>
      </c>
      <c r="D20" t="inlineStr">
        <is>
          <t>linkedin</t>
        </is>
      </c>
      <c r="E20" t="inlineStr"/>
      <c r="F20" t="inlineStr"/>
      <c r="G20" t="inlineStr">
        <is>
          <t>Sunnyvale, CA</t>
        </is>
      </c>
      <c r="H20" t="inlineStr"/>
      <c r="I20"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**Position Overview**
 We are seeking a dynamic and experienced
 **Sr Global Product Manager** 
 for global product management of
 **Ion** 
 , our innovative robotic technology for lung access. This role is pivotal in driving Ion’s entry and scale in key global markets.
**Essential Job Duties**
* Downstream Global Product Management
* Market Expansion Leadership: Lead geographic market expansion projects through regulatory clearance and commercialization processes. Develop go\-to\-market plans in partnership with corporate and regional Marketing, Regulatory, and Commercial teams to ensure successful market entry of the Ion platform and its product portfolio.
* Lifecycle Management: collaborate with regional teams to manage regional product lifecycles through pricing, launch and discontinuation.
* Customer Insight \&amp; Solution Development: Understand the needs of external customers (clinicians, key opinion leaders, reprocessing teams, hospitals, payors) and internal stakeholders (Field Sales, Customer Support, Field Engineering, Services) to identify and develop in\-market solutions and inform product development.
* SIOP Process Leadership: Lead product management in the global Sales, Inventory, and Operations Planning (SIOP) process. Collaborate with regional teams, manufacturing, and operations to forecast SKUs and allocate products during launch ramps or supply constraints.
* Quality Issue Management: Monitor and prioritize global product quality issues with regional teams and customers. Work cross\-functionally to resolve product and critical customer issues, optimizing the customer experience with Intuitive and Ion products, services, and solutions.
* Ecosystem Solution Implementation: Leverage and implement ecosystem solutions with existing customers, ensuring internal alignment on prioritization as part of the annual planning process.
* Business Analysis
* Forecasting \&amp; Financial Analysis: Conduct regional opportunity and product forecasting in collaboration with the finance team.
* Product Improvement Opportunities: Identify opportunities for product enhancements by analyzing return data and complaint information.
* Voice of Customer Integration: Incorporate customer feedback and field intelligence into product roadmap development.
* Product Rollout \&amp; Launch
* Global Representation \&amp; Advocacy: Represent regional teams and customers to propose global product feature updates and next\-generation products aligned with customer needs and company objectives.
+ Identify and articulate unmet customer needs.
+ Evaluate prototype product solutions.
+ Assess critical business requirements and potential product impact.
+ Increase awareness of underutilized in\-market products and services.
* Collaboration \&amp; Positioning: Work with regional teams to refine product positioning and establish claims, messaging, and pricing strategies.
* Rollout Execution: Ensure smooth execution of product rollout processes within key regions.
* Performance Measurement: Monitor product adoption globally and regionally, gathering post\-launch feedback.
* Partnership Development: Collaborate with in\-region counterparts to develop and implement specific product launch and lifecycle activities.
* Roadmap Development
* Communication \&amp; Insights: Act as a conduit between global field and product management teams, providing real\-time insights from customers and field\-based teams.
* Market \&amp; Clinical Expertise: Develop a deep understanding of lung cancer diagnosis and treatment, as well as future clinical areas, by:
+ Monitoring clinical literature.
+ Attending global medical society meetings.
+ Engaging with physician key opinion leaders.
* Competitive Analysis: Understand competitive, emerging, and complementary technologies within regions and assess their impact on Intuitive’s endoluminal product lines.
* Market Research: Conduct qualitative and quantitative market research, including direct customer interviews and observations, to inform the product roadmap.
* Strategic Alignment: Participate in the product roadmap process, aligning with the company’s long\-term objectives. Develop business justifications for recommendations and secure alignment across key stakeholders on project prioritization.
**Qualifications**
**Required Skills \&amp; Experience**
* Minimum of 8 years of professional experience, including at least 2 years in medical device product management, product marketing, or product sales.
* Proven relationship\-building skills with the ability to work across diverse organizational areas to deliver results.
* Excellent communication and presentation skills, with experience presenting to senior management and customers.
* Self\-starter with demonstrated leadership abilities in fast\-paced environments.
* Proficiency in prioritizing and managing multiple tasks efficiently.
* Agility to pivot focus to meet evolving customer needs and shifting market dynamics.
* Experience adapting communication styles to accommodate cultural nuances across various management levels; multicultural understanding and empathy are essential.
**Required Education \&amp; Training**
* Bachelor’s degree, preferably in science, engineering, or business.
* Experience with product launches.
* Proficiency in MS Office Suite, Tableau, and Salesforce.
**Working Conditions**
* Ability to work in surgical labs and hospital patient care areas.
* Willingness to travel 20\-30%, including international travel.
* Position is based at Intuitive Headquarters in Sunnyvale, California.
**Preferred Skills \&amp; Experience**
* Master’s degree in business or life sciences.
* Experience with international product launches, including the ability to communicate clearly and drive execution across multiple cultures.
* Hands\-on data analysis skills with a demonstrated ability to use data to develop market and product insights and inform decision\-making.
* Experience in one or more of the following areas: medical software, capital equipment, flexible catheters, robotics.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base compensation ranges are listed.
**Base Salary Range Region 1:** 
 $168,900 \- $243,100
**Base Salary Range Region 2:** 
 $143,600 \- $206,600
**Shift:** 
 Day
**Workplace Type:** 
 Set Schedule \- This job will be onsite weekly, the percentage of onsite work will be defined by the leader.</t>
        </is>
      </c>
    </row>
    <row r="21">
      <c r="A21" t="inlineStr">
        <is>
          <t>li-4316037759</t>
        </is>
      </c>
      <c r="B21" t="inlineStr">
        <is>
          <t>Principal Product Manager, Confluence Onboarding</t>
        </is>
      </c>
      <c r="C21" t="inlineStr">
        <is>
          <t>Atlassian</t>
        </is>
      </c>
      <c r="D21" t="inlineStr">
        <is>
          <t>linkedin</t>
        </is>
      </c>
      <c r="E21" t="inlineStr"/>
      <c r="F21" t="inlineStr"/>
      <c r="G21" t="inlineStr"/>
      <c r="H21" t="inlineStr"/>
      <c r="I21" t="inlineStr">
        <is>
          <t>**Overview**
 We are seeking a
 **Principal Product Manager** 
 to lead the
 **Confluence Onboarding** 
 experience, focused on activating new customers from our
 **Land (Acquisition)** 
 and
 **Cross\-sell** 
 motions. This role is critical in shaping how new technical and business user admins first experience Confluence, ensuring they discover its value quickly and stay engaged long\-term.
 You will own the
 **strategy and roadmap** 
 for helping new admins successfully adopt Confluence — understanding who they are, guiding them into the right parts of the product, and enabling them to realize value during their crucial first weeks. This work directly impacts Atlassian’s growth by ensuring new customers not only sign up, but also activate and expand.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**Responsibilities**
* Define the onboarding strategy for new Confluence admins across acquisition and cross\-sell journeys.
* Deeply understand jobs\-to\-be\-done for both technical and business user admins as they set up Confluence for the first time.
* Shape the first\-time admin experience: landing users into the right product areas, tailoring guidance, and removing friction.
* Partner closely with Design and Research to develop empathetic, intuitive experiences that balance user needs with business goals.
* Collaborate with Marketing, Core Product, and Growth teams to ensure onboarding connects seamlessly with upstream acquisition and cross\-sell motions.
* Work with Engineering and Data Science to define metrics, run experiments, and measure success of onboarding flows.
* Drive alignment across Atlassian to deliver a cohesive, value\-driven admin journey.
**Qualifications**
**Qualifications**
* 7\+ years in product management, with at least 3 years in SaaS Activation/Onboarding, Consumer, or E\-Commerce roles.
* Strong analytical skills; experience with product analytics, experimentation, and data\-driven decision making.
* Proficiency in using prototyping AI tools to rapidly test and validate onboarding concepts and flows.
* Strong written communication skills, with the ability to craft clear, concise onboarding content, documentation, and XFN communication.
* Experience onboarding technical and business user personas in B2B SaaS.
* Familiarity with Atlassian products or similar collaboration platforms.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$193,500 \- $252,625
 Zone B: $174,600 \- $227,950
 Zone C: $161,100 \- $210,325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2">
      <c r="A22" t="inlineStr">
        <is>
          <t>li-4335697177</t>
        </is>
      </c>
      <c r="B22" t="inlineStr">
        <is>
          <t>Program Manager</t>
        </is>
      </c>
      <c r="C22" t="inlineStr">
        <is>
          <t>Hammerspace</t>
        </is>
      </c>
      <c r="D22" t="inlineStr">
        <is>
          <t>linkedin</t>
        </is>
      </c>
      <c r="E22" t="inlineStr"/>
      <c r="F22" t="inlineStr"/>
      <c r="G22" t="inlineStr">
        <is>
          <t>San Mateo, CA</t>
        </is>
      </c>
      <c r="H22" t="inlineStr"/>
      <c r="I22" t="inlineStr">
        <is>
          <t>Hammerspace obliterates data access delays for AI and high\-performance computing. Its Data Platform delivers a high\-throughput, low\-latency parallel global file system unifying data from edge to core to multi\-cloud, accessible via pNFS, NFSv3, SMB and S3 standards. Instant, agentless deployment with native Linux support combined with migration\-free data assimilation radically accelerates pipelines. This approach keeps GPUs saturated, speeds time\-to\-insight, and boosts researcher and developer productivity.
 As a Program Manager at Hammerspace, you will play a pivotal role in driving execution and alignment across Product Management, Engineering, Marketing, Sales, Support, and Operations. You’ll manage complex programs that bring new products and features from concept to launch, ensuring that cross\-functional teams are informed, aligned, and delivering against clear milestones. This is a hands\-on, high visibility role ideal for someone who thrives in a fast\-paced, startup\-like environment and loves turning ambiguity into structured action.
**Responsibilities**
* Lead planning, coordination, and execution for new product introduction (NPI) process. The process will require coordination and execution with multiple teams in a cross\-functional approach.
* Define clear program objectives, success metrics, and timelines in collaboration with Product Management and Engineering.
* Facilitate communication and alignment across multiple stakeholders, ensuring everyone understands priorities, dependencies, and risks.
* Track program milestones, deliverables, and risks.
* Partner with Customer Success, Engineering, Marketing, Product, Support, and Sales Enablement to ensure product readiness, documentation, and training are in place for launches.
* Drive continuous improvement in program management processes and tools to enhance overall effectiveness.
* Report program status and outcomes to executive leadership with clear, data\-driven insights.
**Qualifications**
* 5\+ years of experience in program or project management, preferably within a software or data infrastructure environment
* Proven success managing cross\-functional product launches or complex engineering programs
* Strong organizational and communication skills, with the ability to influence without direct authority
* Experience working with Agile or hybrid development environments
* Ability to manage multiple initiatives in parallel in a fast paced, high growth company
* Excellent problem solving and risk management skills
* Excellent communication skills
* Experience working with primarily remote teams via zoom and slack.
* Familiarity with tools like Jira, Confluence, or equivalent program tracking systems
* Familiar with Hardware and Appliance product launches
**To the extent required by state or local hiring regulations, we will consider for employment any qualified applicant, including those with arrest and conviction records, in a manner consistent with the applicable regulation.**
**The anticipated base salary range for this role is $170,000\-210,000\.**
**Actual compensation will be determined by several factors including, but not limited to, level of professional/education experience, skills/abilities, internal equity, and budgetary considerations. In addition, Hammerspace offers a broad range of health plans for medical, dental, vision, life and disability. We also offer 401k plans and flexible time off. Applications will be accepted until the position is filled.**
**Hammerspace is an Equal Opportunity Employer. Qualified applicants will receive consideration for employment without regard to race, color, gender, religion, sex, sexual orientation, age, disability, military status, or national origin or any other characteristic protected under federal, state, or applicable local law.**
**Notice To Recruiters And Staffing Agencies**
**Agencies are hereby specifically directed not to contact Hammerspace employees directly in an attempt to present candidates. To protect the interests of all parties, Hammerspace will not accept unsolicited resumes from any source other than directly from a candidate. Any unsolicited resumes sent to Hammerspace will be considered Hammerspace property. Hammerspace will not pay a fee for any placement resulting from the receipt of an unsolicited resume. Hammerspace will consider any candidate for whom an Agency has submitted an unsolicited resume to have been referred by the Agency free of any charges or fees.**
**Agency must obtain advance written approval from Hammerspace’s recruiting function to submit resumes, and then only in conjunction with a valid fully\-executed contract for service and in response to a specific job opening. Hammerspace will not pay a fee to any Agency that does not have such agreement in place.**</t>
        </is>
      </c>
    </row>
    <row r="23">
      <c r="A23" t="inlineStr">
        <is>
          <t>li-4316373049</t>
        </is>
      </c>
      <c r="B23" t="inlineStr">
        <is>
          <t>Product Manager, Shoulder Sports Medicine</t>
        </is>
      </c>
      <c r="C23" t="inlineStr">
        <is>
          <t>Arthrex</t>
        </is>
      </c>
      <c r="D23" t="inlineStr">
        <is>
          <t>linkedin</t>
        </is>
      </c>
      <c r="E23" t="inlineStr"/>
      <c r="F23" t="inlineStr"/>
      <c r="G23" t="inlineStr">
        <is>
          <t>Naples, FL</t>
        </is>
      </c>
      <c r="H23" t="inlineStr"/>
      <c r="I23" t="inlineStr">
        <is>
          <t>**Requisition ID:** 
 64148
 **Title:** 
 Product Manager, Shoulder Sports Medicine
 **Division:** 
 Arthrex, Inc. (US01\)
 **Location:** 
 Naples, FL
*Arthrex, Inc. is a global medical device company and a leader in new product development and medical education in orthopedics. Arthrex is actively searching for a Product Manager, to actively participate in our fast paced and dynamic upper extremity product line supporting soft tissue fixation devices. The successful candidate will build relationships with key customers and internal departments to help drive new product innovation and manage existing product lines. The position is based in our beautiful world headquarters in Naples, Florida. Come join our talented team at a global medical device company focused on Helping Surgeons Treat Their Patients Better™.*
**Main Objective**
 Plans, organizes, and controls an assigned product line from conceptual stages through product life cycles to optimize profit and meet marketing, financial, and corporate growth objectives by performing the following duties.
**Essential Duties And Responsibilities**
* Develops new products in conjunction with Marketing, Engineering and Sales Management personnel.
* Manages day to day progress of product
* Participates in overall product strategy, research and development requirements, development, and manufacturing coordination for new and emerging products.
* Coordinates technical product development, estimates of potential profits, and release to production specific to product line
* Collaborates with a wide variety of functional areas such as sales, engineering, marketing, manufacturing, and operations to develop and provide product definitions responsive to customer needs and market opportunities.
* Provides technical expertise and training to other departments in support of product development.
* Conducts marketing analysis to develop product definitions.
* Develops and maintains a prioritized list of customer and market requirements for product.
* Coordinates and develops marketing, sales, engineering, and financial plans for product line.
* Provides financial and technical justification for product selection and definition.
* Prepares product development objectives and schedules for all phases of product development and introduction to market.
* Conducts market research and identifies and tracks market trends in company's industry.
* Produces competitive analysis materials comparing product with its key competitors.
* Identifies partnering opportunities for complementary third\-party products to broaden company's product line.
* Participates in key sales situations for the product.
* Maintains communications and contacts to collect and analyze technical, financial, schedule, and sales information for product line.
* Identifies market potential, establishes pricing and market strategies, estimates potential sales, introduces market, distribution/channel issues, and manages mature product through phase\-out.
* Provides expertise in particular product area and develops strategies and applicable portions of the company business plan.
* Plans, organizes, and coordinates assigned programs to ensure accomplishment of financial/budgetary goals and optimum allocation of resources.
* Manages resources to execute assigned programs.
* Coordinates details of program within the organization with a wide range of functions and individuals.
* Coordinates product introduction and market exploitation with marketing and sales organizations to ensure maximum penetration of market segment.
* Provides continuing product surveillance and management of established product to obtain financial objectives.
* Responsible for tracking product development through the development process from product concept, design, prototype to actual release by resolving issues that arise.
* Drives and champions development requirements and ensures that project risk is minimized. Submits reports and status updates to senior management.
* Determines the initial production quantities and twelve month moving forecast.
* Acts as the primary interface with assigned customers and its agents for all matters.
* Responsible for maintaining communication with the customer to maintain and control project scope as applies to defined design, budget, quality and schedule agreements.
* Provide technical assistance with complex customer issues as well as consulting services to streamline customer internal management processes.
* Confers with project staff to outline/negotiate work plans, assign duties and responsibilities, determine schedules and define scope of authority.
* Reviews/analyzes status reports prepared by the project team personnel and modifies schedules and/or plans as required. Monitors financial activities to ensure team compliance to budget parameters.
* Establishes project plans, scope of work and accompanying definitions.
* Prepares technical and financial reviews of the assigned projects and presents information to Senior Managers, business unit management, customer and project team personnel as required.
* Prioritize staff workloads in order to meet customer needs/objectives in all areas.
* Develop and train staff to ensure high skill levels.
* Assigns and monitors program staff, providing technical support and direction.
* Establishes operational and project objectives and assignments and delegates assignments to project team.
* Directs and coordinates the activities of project team personnel (engineering, manufacturing, procurement, marketing and quality) to ensure projects progress on schedule and within prescribed budget.
* Performs market analysis, product strategy and research and development.
* Conducts surgeon and sales rep product and procedure training. Collaborates with a wide variety of functional areas such as sales, engineering, marketing, manufacturing, and operations to develop and provide product definitions responsive to customer needs and market opportunities.
* Manages the development stage of the product life cycle.
* Responsible for ensuring that all customer requirements are met including the monitoring of test reports, documentation of instructions, etc.
* Defines promotional activities, publicizing the product through the press, sales force, and alternate distribution channels.
* Establish and maintain relationships with key surgeons.
* Required Travel up to 25%
* In\-office, Naples, FL based position; not remote.
**Education And Experience**
* Bachelor’s degree required; preferably in business, engineering or clinical.
* Master’s degree preferred.
* Five or more years’ experience in medical device development and/or product management and/or engineering and/or sales and/or marketing and/or clinical experience OR two years as an Arthrex Associate Product Manager OR two years as a sales representative at an Arthrex Agency required.
* Orthopedic experience preferred.
* Understanding of all functions involved in development, production, and marketing of product is preferred.
**Knowledge And Skill Requirements**
* Knowledge of surgical orthopedics and/or arthroscopy.
* Skilled in working with different functions and effectively coordinates their activities to achieve desired results.
* Excellent listening skills, including the ability to identify and isolate customers concerns or objections, in addition to excellent written and oral communication skills.
* Excellent public speaking and presentation skills are required.
* Must develop and maintain a proficiency with orthopedic hand and power tools.
* Must develop proficiency with the use of orthopedic power tools and surgical hand instrumentation.
**Arthrex Benefits**
* Medical, Dental and Vision Insurance
* Company\-Provided Life Insurance
* Voluntary Life Insurance
* Flexible Spending Account (FSA)
* Supplemental Insurance Plans (Accident, Cancer, Hospital, Critical Illness)
* Matching 401(k) Retirement Plan
* Annual Bonus
* Wellness Incentive Program
* Free Onsite Medical Clinics
* Free Onsite Lunch
* Tuition Reimbursement Program
* Trip of a Lifetime
* Paid Parental Leave
* Paid Time Off
* Volunteer PTO
* Employee Assistance Provider (EAP)
**All qualified applicants will receive consideration for employment without regard to race, color, religion, age, sex, sexual orientation, gender identity, national origin, disability, protected veteran status, or any other status protected by law.**</t>
        </is>
      </c>
    </row>
    <row r="24">
      <c r="A24" t="inlineStr">
        <is>
          <t>li-4294862251</t>
        </is>
      </c>
      <c r="B24" t="inlineStr">
        <is>
          <t>Assistant Product Manager, Nail Category</t>
        </is>
      </c>
      <c r="C24" t="inlineStr">
        <is>
          <t>Kiss Products, Inc.</t>
        </is>
      </c>
      <c r="D24" t="inlineStr">
        <is>
          <t>linkedin</t>
        </is>
      </c>
      <c r="E24" t="inlineStr"/>
      <c r="F24" t="inlineStr"/>
      <c r="G24" t="inlineStr">
        <is>
          <t>Port Washington, NY</t>
        </is>
      </c>
      <c r="H24" t="inlineStr"/>
      <c r="I24" t="inlineStr">
        <is>
          <t>**Job Description Summary**
 The Assistant Product Manager supports the Product Manager in executing the nail product development process, coordinating between internal teams and vendors to ensure timely progress. The Assistant Product Manager contributes to competitor and consumer insight initiatives and supports Product Managers in driving nail product innovation aligned with brand objectives.
 This role is ideal for candidates with some nail product development experience looking to grow into a leadership role.
**Job Description**
 The Assistant Product Manager assists with concept research, timeline management, vendor communication, and documentation.
 This role assists in executing competitive nail product evaluations, consumer testing logistics, and trend monitoring to support strategic development.
 They act as a liaison among cross\-functional teams and help keep projects on track, organized, and compliant with internal and retailer expectations.
**Key Responsibilities**
* Support Product Manager in coordinating nail product development tasks.
* Track product development timelines and update key stakeholders.
* Support competitive nail product testing, performance comparisons, and documentation.
* Participate in trend research (Fashion, Beauty, Cosmetic, Color and Nail) and coordinate focus group sessions or survey distribution.
* Collaborate with internal teams to gather insights and support ideation processes.
* Assist in preparing product briefs, POG submissions, and packaging specs.
* Communicate with vendors for sampling, costing, and component updates.
* Coordinate artwork routing and packaging component updates.
* Help maintain product documentation and regulatory records.
* Review and track component and artwork approvals.
**Benefits**
* Premium Medical Insurance Coverage
* 401(k) Savings Plan
* Paid Time Off (PTO) based on seniority
* Paid Holidays
**Additional Workplace Offerings (subject To Change Or Eligibility.)**
* Annual Bonus Plan
* Onsite Employee Fitness Center with Indoor Racquetball Court and Yoga Room
* Summer Fridays
* Complimentary Gourmet Breakfast, Lunch, and Dinner
* Relocation Support for New Hires
* Work Anniversary Recognitions
* Congratulatory \&amp; Condolence Gifts
* Employee Referral Bonus Program
* License/Certification Reimbursements
* Corporate Employee Discounts
* Visa Sponsorships (100% paid by the company) i.e., New H\-1B, H\-1B Transfer, O\-1, and Green Card
* Commuter Support (Shuttle Bus Program and EZPass Support)
* Vehicle Perks
**Qualification(s)**
**Education(s):**
 Bachelor of Arts (B.A)
**Work Experience**
 Experience Range III: 4 \- 8 years of relevant experience or industry exposure in a related field
**Skill(s)**
 Office Communication, Product Organization
**Language(s)**
 Korean
**Certification(s)**
 Not Applicable
 The anticipated compensation range is
 22\.75 \- 44\.50 USD Hourly
 Actual compensation will be determined based on various factors including qualifications, education, experience, and location. The pay range is subject to change at any time dependent on a variety of internal and external factors.
 Kiss Nail Products, Inc., KDC GA Corp., Ivy Enterprises, Inc., AST Systems, LLC, Red Beauty, Inc., or Dae Do, Inc. (collectively, the “Company”) is an equal opportunity employer and is committed to a diverse and inclusive workplace. All qualified applicants will receive consideration for employment without regard to race, color, religion, sex, national origin, age, disability, or any other characteristic protected by law.</t>
        </is>
      </c>
    </row>
    <row r="25">
      <c r="A25" t="inlineStr">
        <is>
          <t>li-4367748408</t>
        </is>
      </c>
      <c r="B25" t="inlineStr">
        <is>
          <t>CHIEF PROGRAM MANAGER</t>
        </is>
      </c>
      <c r="C25" t="inlineStr">
        <is>
          <t>Caltrans District 3</t>
        </is>
      </c>
      <c r="D25" t="inlineStr">
        <is>
          <t>linkedin</t>
        </is>
      </c>
      <c r="E25" t="inlineStr"/>
      <c r="F25" t="inlineStr"/>
      <c r="G25" t="inlineStr">
        <is>
          <t>Sacramento, CA</t>
        </is>
      </c>
      <c r="H25" t="inlineStr"/>
      <c r="I25" t="inlineStr">
        <is>
          <t>Job Posting: Chief of Rail Operations
 CA High Speed Rail Authority
 JC\-462367
 Chief of Rail Operations
 CHIEF PROGRAM MANAGER
 $24,541\.00 \- $27,819\.00 per Month
 New to State candidates will be hired into the minimum salary of the classification or minimum of alternate range when applicable.
 Final Filing Date: Until Filled
****Application Methods:****
 Electronic (Using your CalCareer Account)
 By Mail
 Drop\-off
 Print Job
 Save Job
**Job Description And Duties**
 Under the administrative direction of the Chief Executive Officer (CEO), the Chief Program Manager (Chief of Rail Operations) is responsible for the successful delivery of the rail operations for the California High\-Speed Rail Authority’s (Authority) program. The incumbent leads the Rail Operations Office and advises the CEO and Authority chiefs/directors on rail development issues of major importance. The incumbent is responsible for all rail system operations planning, policy, and procedural elements to successfully deliver California’s high\-speed rail program. The incumbent must work closely and collaboratively with various project partners including consultants and contractors; rail entities; regional partners; the general public; state, federal, local government agencies; and multiple Authority offices and branches to ensure implementation of various rail functions. Additionally, the incumbent must have a high level of specialized expertise in rail systems and operations planning, as well as possess the ability to direct multiple, large, concurrent, complex, and sensitive project efforts at the executive level.
 This position is appointed by the Governor. In addition to submitting your State Application (STD.678\), interested applicants must complete and file an appointment application online with the Office of the Governor. The online appointment application may be obtained directly from the Office of the Governor's website at
 **https://www.gov.ca.gov/appointments.**
 You will find additional information about the job in the
 **Duty Statement** 
 .
 Working Conditions
 This position works primarily in the office, but limited telework may be available for California residents based on the requirements of the position.
**Minimum Requirements**
 This position does not have a Classification Specification. Requirements and qualifications for this position can be found in this announcement. For additional questions, please contact the hiring department listed below.
* CHIEF PROGRAM MANAGER
 Additional Documents
* Job Application Package Checklist
* Duty Statement
 Position Details
**Job Code \#:**
 JC\-462367
**Position \#(s):**
 311\-640\-6155\-001
****Working Title:****
**Chief of Rail Operations**
****Classification:****
 CHIEF PROGRAM MANAGER
 $24,541\.00 \- $27,819\.00
**Effective July 1, 2025, state employees are subject to temporary salary reductions in exchange for Personal Leave Program (PLP) accruals. For additional information please visit https://hrmanual.calhr.ca.gov/Home/ManualItem/1/2113\.**
 New to State candidates will be hired into the minimum salary of the classification or minimum of alternate range when applicable.
**\# of Positions:**
 1
**Work Location:**
 Sacramento County
****Telework:****
 In Office
****Job Type:****
 Exempt Executive Assignment \- Non Tenured, Full Time
 Department Information
 Are you looking for a different type of state government job? Something with a little more excitement and a more fast\-paced and fluid environment? How about an opportunity to be part of one of the most remarkable transportation projects in California's history? The California High\-Speed Rail Authority is a small and dynamic state agency that is looking for employees who are interested in a challenging rewarding job opportunity.
*Please let us know how you heard about our position by taking this brief survey. Completing this survey is not required to be considered for this vacancy.*
 https://www.surveymonkey.com/r/HCM6SCC
 Department Website: https://hsr.ca.gov/jobs/
 Application Instructions
 Dates printed on Mobile Bar Codes, such as the Quick Response (QR) Codes available at the USPS, are not considered Postmark dates for the purpose of determining timely filing of an application.
 Final Filing Date: Until Filled
 Who May Apply
 This is a non\-testing Classification, therefore, anyone meeting the Minimum Qualifications listed on the Classification Specification may apply for this position. Individuals in specific programs, such as the Welfare to Work Program, are encouraged to apply and will be given priority according to the applicable Laws and Rules. Please note on your application your current participation in these programs. Individuals who are eligible to be appointed to this Exempt Position by the State of California.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CA High Speed Rail Authority
 High Speed Rail Authority
 Attn: Human Resources
 770 L Street, Suite 620, MS 4
 Sacramento, CA 95814
 Address for Drop\-Off Application Packages
 You may drop off your application and any applicable or required documents at:
 CA High Speed Rail Authority
 High Speed Rail Authority
 Human Resources
 770 L Street, Suite 620, MS 4
 Sacramento, CA 95814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The State of California offers a comprehensive benefits package that includes health, vision, dental, a retirement pension, a telework stipend if applicable, and an array of other options. Benefit information can be found on the CalHR website and the CalPERS website.
 Contact Information
 The Human Resources Contact is available to answer questions regarding the application process. The Hiring Unit Contact is available to answer questions regarding the position.
 Department Website: https://hsr.ca.gov/jobs/
**Human Resources Contact:**
 Human Resources
 (916\) 669\-6606
 recruitment@hsr.ca.gov
**Hiring Unit Contact:**
 Ismael Contreras
 (916\) 445\-4541
 Ismael.Contreras@gov.ca.gov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EEO Office
 (916\) 324\-1541
 eeo@hsr.ca.gov
 California Relay Service: 1\-800\-735\-2929 (TTY), 1\-800\-735\-2922 (Voice) TTY is a Telecommunications Device for the Deaf, and is reachable only from phones equipped with a TTY Device.
 Application Information
 This position is appointed by the Governor. In addition to submitting your State Application (STD.678\), interested applicants must complete and file an appointment application online with the Office of the Governor. The online appointment application may be obtained directly from the Office of the Governor's website at
 **https://www.gov.ca.gov/appointments.**
 The STD. 678 is required and each section must be filled out completely and thoroughly. Please do not include your Social Security Number, date of birth, veteran status, personal photos, or any other personally identifying information on any documents in your application package.
 Using the online application system as specified in the announcement is the preferred method of applying for civil service job opportunities; however, applicants may instead apply by way of U.S. mail, parcel delivery or courier service, or in person, as set forth in this announcement.
 If applying via postal mail or by dropping off your application, applicants must include JC\-462367 and Chief Program Manager/Chief of Rail Operations, 311\-640\-6155\-001 in the 'Job Title' section of the STD. 678 to be considered for this position.
 Location
 The High\-Speed Rail Authority headquarters building is located in downtown Sacramento on the corner of 8th and L Street. We are located one block away from the 8th and Capitol light rail stop, as well as the 7th and Capitol light rail stop. The building is also within walking distance of DOCO, the California State Capitol Park, a farmer’s market during summer months, and Old Sacramento.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26">
      <c r="A26" t="inlineStr">
        <is>
          <t>li-4305905869</t>
        </is>
      </c>
      <c r="B26" t="inlineStr">
        <is>
          <t>Technical Program Manager, Security</t>
        </is>
      </c>
      <c r="C26" t="inlineStr">
        <is>
          <t>Stripe</t>
        </is>
      </c>
      <c r="D26" t="inlineStr">
        <is>
          <t>linkedin</t>
        </is>
      </c>
      <c r="E26" t="inlineStr"/>
      <c r="F26" t="inlineStr"/>
      <c r="G26" t="inlineStr">
        <is>
          <t>San Francisco, CA</t>
        </is>
      </c>
      <c r="H26" t="inlineStr"/>
      <c r="I26"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Stripe Security team is dedicated to improving the security of Stripe and its users. Our users trust us with some of their most sensitive information, and we make security and privacy a first\-class consideration in everything we do. Security \&amp; privacy concerns are ever\-evolving, creating an extremely dynamic environment for the Security team.
 What you’ll do
 As a Technical Program Manager within the Security team, you will be an active contributor to the overall strategy of cross\-org security initiatives, shape technical design, drive decision making, and ensure seamless execution through all the program phases—from planning to delivery. The ideal candidate will deliver exceptional results through building and implementing solutions that protect our users and serve the business.
**Responsibilities**
* Act as the voice of the user in security designs, gather direct feedback, identify security challenges and incorporate them into our planning
* Play a key part in shaping the technical design, predicting technical roadblocks by collaborating with engineers, and identifying trade\-offs between usability and security
* Leverage data to drive strategic decisions and prioritization at the leadership level
* Create widely circulated plans, driving consistency, clarity and building alignment across teams
* Help influence peers / stakeholders and build consensus while dealing with ambiguity
* Operationalize key cross\-functional security initiatives and programs that require security domain, systems and engineering level knowledge
* Define and report on program health, success metrics and active progress
* Develop, implement, and iterate on program management procedures, frameworks, and metrics to achieve goals with defined success criteria
* Elevate the execution muscle of engineering teams around you. Train them to be better at delivery where needed.
 Who you are
 We’re looking for someone who meets the minimum requirements to be considered for the role. If you meet these requirements, you are encouraged to apply. The preferred qualifications are a bonus, not a requirement.
**Minimum Requirements**
* 8\+ years of software engineering, systems engineering or technical product/program management experience
* Experience in security infrastructure technology and cloud native infrastructure services
* Familiarity with industry standards and regulations related to security, privacy, and compliance
* Excellent communication and interpersonal skills, with the ability to effectively collaborate with technical and non\-technical stakeholders
* Demonstrated competencies in providing program management during all phases of software development from kick\-off to ship
* Strong analytical and problem\-solving skills, with the ability to think critically, challenge the norms and make data\-driven decisions
* Experience operating autonomously and leading large\-scale efforts across multiple teams and functions, with stakeholders in different disciplines across time zones.
**Preferred Qualifications**
* Background in technical program management, in the field of security.
* Proficient knowledge in security architecture, threat modeling and privacy principles.
* SQL and python scripting and/or programming skills would be a huge advantage.
 See Security at Stripe for more information about our security practices and commitment.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$157,700 \- $236,500\.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7">
      <c r="A27" t="inlineStr">
        <is>
          <t>li-4332544488</t>
        </is>
      </c>
      <c r="B27" t="inlineStr">
        <is>
          <t>Program Manager, People Team</t>
        </is>
      </c>
      <c r="C27" t="inlineStr">
        <is>
          <t>Aurora</t>
        </is>
      </c>
      <c r="D27" t="inlineStr">
        <is>
          <t>linkedin</t>
        </is>
      </c>
      <c r="E27" t="inlineStr"/>
      <c r="F27" t="inlineStr"/>
      <c r="G27" t="inlineStr">
        <is>
          <t>San Francisco, CA</t>
        </is>
      </c>
      <c r="H27" t="inlineStr"/>
      <c r="I27"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Program Manager, People Team.
**In This Role, You Will**
* Drive Program Strategy \&amp; Execution: You will take loose concepts or business problems and translate them into rigorous project charters. You define the "what, why, and how," manage the timeline, and ensure the team crosses the finish line.
* Navigate Ambiguity: You don’t need a playbook to be effective. You can enter a chaotic situation, identify the missing pieces, and create structure where there was none.
* Connect the Dots: You will serve as the "glue" between the People team and the broader business. You ensure stakeholders are aligned, risks are flagged early, and no silos are formed.
* Master Change Management: You understand that "shipping" a program is only half the solution. You will design communication plans, messaging, and adoption strategies to ensure our distributed workforce embraces the changes you implement.
* Continuously Improve: You have a continuous improvement mindset and are always thinking of ways to improve things while at the same time as delivering on programs and projects.
* Force Multiply: You make everyone around you more effective by removing blockers, streamlining processes, and ensuring meetings are decisive and actionable.
**Skills**
 We are looking for skills and attitude over tenure. You might be a seasoned Program Manager with years of experience, or you might be a rising star. Regardless of years, you must possess:
* Proven Program Fluency: Experience (typically 4\+ years) managing complex programs in a high\-growth environment, consulting firm, or large organization. You can show us examples of messy projects you successfully delivered.
* High Agency \&amp; Accountability: You are a "driver", not a passenger. You track, prioritize, and drive projects without needing to be reminded. If you get stuck, you find a way to get unstuck.
* Communication Range: You can discuss strategy with senior leaders one moment and coordinate logistics the next. You know how to synthesize complex data into clear narratives, and provide clear written and verbal communications to employees.
* Tech \&amp; Data Savviness: You are comfortable with project management tools (Monday.com, Jira) and have the ability to use data to inform decisions. Familiarity with HR systems (Workday, Greenhouse) is a bonus.
* An "Impact" Mindset: You are excited by variety and opportunity for impact. You are willing to dive into a Talent Management project today and a Culture initiative tomorrow, depending on where the business needs you most.
 This is an in\-person position, must work at our on\-site office Mondays, Tuesdays, and Thursdays at a minimum. This position can be located in Mountain View, CA; San Francisco, CA; Pittsburgh, PA.
 The base salary range for this position is $100k \- $162k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8">
      <c r="A28" t="inlineStr">
        <is>
          <t>li-4305162865</t>
        </is>
      </c>
      <c r="B28" t="inlineStr">
        <is>
          <t>Program Manager</t>
        </is>
      </c>
      <c r="C28" t="inlineStr">
        <is>
          <t>Omnicom Health</t>
        </is>
      </c>
      <c r="D28" t="inlineStr">
        <is>
          <t>linkedin</t>
        </is>
      </c>
      <c r="E28" t="inlineStr"/>
      <c r="F28" t="inlineStr"/>
      <c r="G28" t="inlineStr">
        <is>
          <t>Williamsburg, VA</t>
        </is>
      </c>
      <c r="H28" t="inlineStr"/>
      <c r="I28" t="inlineStr">
        <is>
          <t>**PROGRAM MANAGER**
**Patient Experience**
**JOB SUMMARY** 
**:**
 The Program Manager position represents the core of the Snow Companies business model. This position is ultimately responsible for planning and executing patient education programs in a virtual or live setting, as well as responsible for program promotion and attendance. The key transferable skills for this position are: Virtual \&amp; live event planning and coordination, attention to detail, communication, organization, and resourcefulness. Programs team members are responsible for liaising with the Account team members to effectively understand the needs of the clients with regard to program selection and development. Program Managers report directly to Associate or Program Directors. Snow’s business is centered around the patient journey, and the Program Manager, like all positions at Snow, must be open, compassionate, and sensitive to the unique life experiences of these patients and caregivers. The Program Manager must be able to incorporate the unique patient/caregiver experience into the strategies and solutions we provide to our clients.
**Patient Privacy**
 The core of our business is working with patients. It is most likely that you will come in contact with personally identifiable information (PII) and personal health information (PHI) of patients living with chronic illness. The Program Manager will be required to successfully complete and adhere to training courses which may include, but are not limited to:
* Snow Policies and Procedures
* Health Insurance Portability and Accountability Act (HIPAA) requirements such as the Privacy Rule, the Security Rule, and Sunshine Act reporting
* Adverse Event (AE) Reporting
* The promotional requirements for pharmaceuticals under the FDA and FTC and other applicable federal or state regulations
* Privacy and Data Security
**Essential Job Functions And Responsibilities**
 It is preferred that the Program Manager has experience in and is able to perform the following essential duties and functions:
* Coordinate virtual webinars and events geared towards a patient and caregiver audience on behalf of our pharmaceutical clients
* Coordinate live event details including all management of venue set up, menu selection, and Audio/Visual needs
* Understand technical requirements and meeting outcomes to make appropriate platform recommendations (AdobeConnect, Webex, Zoom)
* Create virtual events with the appropriate platform settings and provide training for clients and presenters as needed
* Communicate with clients, pharmaceutical sales representatives, and internal teams to solidify details for events (live or virtual)
* Lead the production of events and take on the role of the production director during the event (live or virtual)
* Provide primary technical support to the client and internal team during the virtual engagement process, including any tech run\-throughs scheduled prior to the actual event
* Perform as the event host or moderator for part of or the entire event (live or virtual)
* Conduct research and analysis of key competitive markets and make recommendations regarding the program platform or location and design of the event
* Participate in client meetings and conference calls to identify issues and make recommendations on how to eliminate future occurrences
* Individuals will be responsible for interfacing with contractors and vendors in a professional manner and assisting the department staff in programs, outreach, promotions, research, and campaigns
* Coordinate with third\-party vendors to provide supervision on contractual details and instruct contractors on details and expectations
* Provide regular communication with client representatives regarding ongoing program development and effectiveness
* Establish an excellent working relationship with assigned clients and continuously strive to improve the level of overall service the company is providing
* This position may include up to 25% in travel
**The Program Manager** 
**may be asked to perform additional duties and responsibilities consistent with those listed above based on business needs.**
**Knowledge**
**KNOWLEDGE, SKILLS, AND ABILITIES** 
**:**
* Proficient working knowledge in a Microsoft Windows environment to include:
* Word processors (Word)
* Spreadsheets (Excel)
* Presentation software (PowerPoint)
* Email (Outlook)
* Salesforce (preferred)
* Zoom (preferred)
* Event planning and coordination
* Basic mathematics and business statistics
**Skills**
* Public speaking
* Teamwork mentality
* Organization and file management
* Multitasking
* Empathy
* Attention to detail
**Abilities** 
* Flexibility in job roles/responsibilities/business hours
+ Although day\-to\-day work should take place mostly during regular office hours (9:00 a.m.–6:00 p.m., Monday–Friday), candidates selected for the Program Manager position should expect that the workload and nature of the work will require hours that may extend past the business hours of the company. This includes working on the weekends
* Comprehension of general documents related to the pharmaceutical/biotechnology industry
* Critical thinking
* Travel
* Problem\-solving
* Conduct outreach calls
+ Outreach calls are a necessary function of those in a Senior Program Manager position. Therefore, candidates selected for this position will be expected to contribute as needed to this important function. Candidates not comfortable or willing to make outreach calls, which are typically “cold calls,” should take this under consideration when applying
**Education, Experience, And Related Qualifications**
 Bachelor's degree from a four\-year college or university and three to five years of related experience and/or training preferred. Candidates must have a valid driver’s license. In some instances, a passport may be necessary.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While performing the duties of this job, the employee is regularly required to stand, walk, sit, use hands (to finger, handle, or feel), reach with hands and arms, and talk or hear. The employee must regularly lift and/or move up to 25 pounds and occasionally lift and/or move more than 25 pounds. Specific vision abilities required by this job include close vision, color vision, and the ability to adjust focus.
**Work Environment/Environmental Conditions**
 The work environment characteristics described here are representative of those an employee encounters while performing the essential functions of this job. Reasonable accommodations may be made to enable individuals with disabilities to perform essential functions. The noise level in the work environment is usually moderate with no or very limited exposure to physical risk.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29">
      <c r="A29" t="inlineStr">
        <is>
          <t>li-4357192316</t>
        </is>
      </c>
      <c r="B29" t="inlineStr">
        <is>
          <t>Program Manager</t>
        </is>
      </c>
      <c r="C29" t="inlineStr">
        <is>
          <t>Jobot</t>
        </is>
      </c>
      <c r="D29" t="inlineStr">
        <is>
          <t>linkedin</t>
        </is>
      </c>
      <c r="E29" t="inlineStr"/>
      <c r="F29" t="inlineStr"/>
      <c r="G29" t="inlineStr">
        <is>
          <t>Santa Cruz, CA</t>
        </is>
      </c>
      <c r="H29" t="inlineStr"/>
      <c r="I29" t="inlineStr">
        <is>
          <t>Want to learn more about this role and Jobot? Click our Jobot logo and follow our LinkedIn page!
 Job details
**Non Profit Program Manager \- $5k Sign on Bonus \- Youth Support**
 This Jobot Job is hosted by JP Griffith
 Are you a fit? Easy Apply now by clicking the "Easy Apply" button and sending us your resume.
 Salary $140,000 \- $160,000 per year
**A Bit About Us**
 We are a dedicated team of professionals committed to transforming lives and strengthening communities. Our work centers around supporting children, youth, and families through a wide range of services including foster care, behavioral health, and family support programs. With a deep belief in the potential of every individual, we strive to create safe, nurturing environments where people can heal, grow, and thrive.
 Rooted in compassion and driven by innovation, we partner with local communities to provide tailored solutions that meet the unique needs of those we serve. Our approach is holistic, trauma\-informed, and culturally responsive—ensuring that every person receives the care and respect they deserve.
 Together, we are building brighter futures and empowering individuals to reach their fullest potential.
****Why join us?****
 Why Join Us
 Joining our team means becoming part of a purpose\-driven community that puts people first. Every day, we work to uplift children, youth, and families—creating lasting change through compassion, innovation, and dedication. If you're passionate about making a meaningful impact and believe in the power of human connection, you'll find a home here.
 We offer
 Mission\-Driven Work Be part of a team that’s changing lives and strengthening communities across California.
 Supportive Culture Collaborate with professionals who care deeply about each other and the people they serve.
 Growth Opportunities We invest in your development through training, mentorship, and career advancement pathways.
 Inclusive Environment Diversity, equity, and belonging are at the heart of everything we do.
 Comprehensive Benefits Enjoy a robust benefits package designed to support your well\-being and work\-life balance.
 Here, your work matters. Your voice is heard. And your commitment helps build brighter futures every day.
**Job Details**
 We are seeking a compassionate and experienced Program Manager to lead and oversee community\-based programs that support children, youth, and families. This role is ideal for a dynamic leader who thrives in a mission\-driven environment and is passionate about making a lasting impact through trauma\-informed care and culturally responsive services.
 Key Responsibilities
 Lead the daily operations of assigned programs, ensuring compliance with all regulatory, contractual, and organizational standards.
 Supervise and support a multidisciplinary team, fostering a collaborative and inclusive work culture.
 Monitor program outcomes and implement continuous improvement strategies to enhance service delivery.
 Manage budgets, contracts, and reporting requirements in alignment with agency and funder expectations.
 Build and maintain strong relationships with community partners, stakeholders, and service providers.
 Ensure services are delivered in a trauma\-informed, strength\-based, and culturally competent manner.
 Participate in strategic planning and contribute to the development of new initiatives and funding opportunities.
**Qualifications**
 Bachelor’s degree in Social Work, Psychology, Public Administration, or related field (Master’s preferred).
 Minimum of 3–5 years of experience in program management within social services, child welfare, or behavioral health.
 Proven leadership skills with experience supervising staff and managing complex programs.
 Strong understanding of trauma\-informed care, family systems, and community\-based service models.
 Excellent communication, organizational, and problem\-solving abilities.
 Ability to work collaboratively with diverse teams and stakeholders.
 Valid driver’s license and ability to travel locally as needed.
 What We Offer
 A supportive and mission\-driven work environment.
 Opportunities for professional growth and development.
**Competitive Compensation And Comprehensive Benefits.**
 The chance to make a meaningful difference in the lives of vulnerable populations.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0">
      <c r="A30" t="inlineStr">
        <is>
          <t>li-4368117257</t>
        </is>
      </c>
      <c r="B30" t="inlineStr">
        <is>
          <t>Program Manager, Strong Workforce (BC)</t>
        </is>
      </c>
      <c r="C30" t="inlineStr">
        <is>
          <t>Inside Higher Ed</t>
        </is>
      </c>
      <c r="D30" t="inlineStr">
        <is>
          <t>linkedin</t>
        </is>
      </c>
      <c r="E30" t="inlineStr"/>
      <c r="F30" t="inlineStr"/>
      <c r="G30" t="inlineStr">
        <is>
          <t>Bakersfield, CA</t>
        </is>
      </c>
      <c r="H30" t="inlineStr"/>
      <c r="I30" t="inlineStr">
        <is>
          <t>**Kern Community College District**
**Salary:** 
 $73,871\.96 \- $96,926\.43 Annually
**Job Type:** 
 Management \- Classified Administrator
**Job Number:** 
 FY24\-2501071
**Location:** 
 Bakersfield College \-\- Panorama Campus, CA
**Department**
****Basic Function****
 Under direction of the Programs Director or assigned supervisor, the Program Manager is responsible for managing assigned program activities associated with maintaining quality academic and student services programs.
****Representative Duties****
* Manage the implementation of multiple project activities to meet or exceed assigned program(s) expectations.
* Manage and monitor budgets to ensure compliance with regulations and/or directives from program agencies and cooperative educational partners.
* Assist in preparation and administration of budget, control and authorize expenditures, approve invoices for payment, and respond to budget inquiries from college staff.
* Supervise and coordinate department planning and operations; personnel supervision, including development and evaluation of all support staff.
* Coordinate the release of project information and outreach activities to familiarize students with the services and programs of the college.
* Develop and implement methods to identify and serve students who meet project guidelines, assessing their needs and providing programming to address those needs.
* Participate in meetings and conferences related to programs within the assigned area; disseminate information, coordinate projects and implement procedural changes; follow up on action items, and develop program reports as needed.
* Market the College and assigned program(s) to the College community and the general public.
* Perform related duties as assigned.
**Minimum Qualifications**
* Bachelor's degree required.
* Two years of experience related to area of assignment.
* Demonstrated sensitivity to and understanding of the diverse academic, socioeconomic, cultural, ethnic, and disability backgrounds of community college students and employees.
****Knowledge \&amp; Abilities****
**Knowledge Of**
* Student services available at the college.
* Modern office procedures, methods and computer equipment.
* Principles and procedures of financial record\-keeping and reporting.
* Pertinent federal, state and local laws, codes and regulations related to the assigned special programs processes.
* Principles of public speaking.
* Record\-keeping and report preparation methods.
* Principles of providing work direction and guidance to others.
* Correct English usage, spelling, grammar and punctuation.
**Ability To**
* Evaluate and implement project goals.
* Communicate information to individuals and groups.
* Interpret and apply the policies and procedures of the college and the project initiatives.
* Interact with and motivate others.
* Maintain records and prepare reports.
* Prepare and monitor budgets.
* Supervise and provide work direction and guidance to assigned staff.
* Understand and follow oral and written instructions.
* Communicate effectively both orally and in writing.
* Establish and maintain cooperative and effective working relationships with others.
* Collaborate with college personnel and key project staff to track program effectiveness based on evidenced based milestones for student success.
* Develop and facilitate orientations, seminars, and workshops designed to familiarize students, faculty, and staff with assigned special programs opportunities.
 SALARY RANGE
 $ 73,871\.96 \- $ 96,926\.43 Annually
 Maximum Entry Level Salary: $77,611\.73 Annually
 SPECIAL INSTRUCTIONS
 First Review of Applications: Complete application packets will be accepted until the position is filled; but those received by January 13, 2025, are assured consideration. The College reserves the right to extend time limits or reinitiate the recruitment/selection process at any point.
**Completed Application Packet MUST Include**
* Completed Online Application for Employment form
* Current resume
* Letter of interest (Cover Letter)
* Copy of legible transcripts
* List of five (5\) professional references \- Listed on application
 It is the applicant's responsibility to redact (or remove) any personal information from all documents prior to uploading. This includes Social Security Numbers, Date of Birth, and any photos of the applicant.
*Foreign Degree:* 
 Applicants with foreign degrees from colleges or universities outside of the United States must have their coursework evaluated by a professional association that is a member of the National Association of Credential Evaluation Services (NACES) or Academic Credentials Evaluation Institute, INC. (ACEI). A copy of the evaluation must be submitted with your on\-line application.
 Applicants who require reasonable accommodation to participate in the selection process should contact Human Resources to make the necessary arrangements.
 **EEO Plan 2021\-2024* 
 (Download PDF reader)* 
*Note:* 
 The District is strongly committed to achieving staff diversity and the principles of equal employment opportunity. The District encourages a diverse pool of applicants and does not discriminate on the basis of national origin, religion, age, gender, gender identity, gender expression, race or ethnicity, color, medical condition, genetic information, ancestry, sexual orientation, marital status, physical or mental disability, pregnancy, or because he/she is perceived to have one or more of the foregoing characteristics, or based on association with a person or group with one or more of these actual or perceived characteristics or any other characteristic protected by federal, state or local law, in any of its policies, procedures or practices.
 *Discrimination Free Work Environment*
*The District does not provide sponsorship for authorization to work in the United States. Work authorization should be established at the time of application submission*
**All applicants must apply online at** 
 https://www.schooljobs.com/careers/kccd/jobs/4764430/program\-manager\-strong\-workforce\-bc.
 **Emails will not be accepted.**
 jeid\-535c7cd35fdd4a41b36eb0bf15b6e038
 Copyright ©2025 Jobelephant.com Inc. All rights reserved.
 Posted by the FREE value\-added recruitment advertising agency</t>
        </is>
      </c>
    </row>
    <row r="31">
      <c r="A31" t="inlineStr">
        <is>
          <t>li-4325180050</t>
        </is>
      </c>
      <c r="B31" t="inlineStr">
        <is>
          <t>Acquisition Program Manager SME</t>
        </is>
      </c>
      <c r="C31" t="inlineStr">
        <is>
          <t>Odyssey Systems</t>
        </is>
      </c>
      <c r="D31" t="inlineStr">
        <is>
          <t>linkedin</t>
        </is>
      </c>
      <c r="E31" t="inlineStr"/>
      <c r="F31" t="inlineStr"/>
      <c r="G31" t="inlineStr">
        <is>
          <t>Hanscom AFB, MA</t>
        </is>
      </c>
      <c r="H31" t="inlineStr"/>
      <c r="I31" t="inlineStr">
        <is>
          <t>**Position Summary**
 Odyssey Systems is seeking an experienced
 **Acquisition Program Manager Subject Matter Expert (SME)** 
 to provide full\-spectrum Advisory and Assistance Services (A\&amp;AS) in direct support of the U.S. Air Force Life Cycle Management Center (AFLCMC), Special Programs Division – Kill Chain Integration Branch (HNJJ) at Hanscom Air Force Base. This role supports highly sensitive and mission\-critical Special Access Programs (SAP) focused on rapidly weaponizing next\-generation sensor data through flexible communications architectures and open systems to enable real\-time Global ISR for U.S. and Allied Forces.
 The selected candidate will provide expert acquisition and program management support across the full lifecycle—planning, development, rapid prototyping, integration, test, fielding, and sustainment—of next\-generation kill web acceleration and targeting technologies designed to compress decision timelines and enhance warfighter outcomes.
 This is a full\-time, onsite position located at Hanscom AFB in Bedford, MA.
**Responsibilities**
**Duties include, but not limited to:**
* Applies subject matter expertise to various project/program initiatives
* Identifies programmatic issues and develops recommendations to facilitate issue resolution
* Advises on all resource management issues pertaining to the evaluation of effective resource performance across the portfolio
* Serves as a branch integrator ensuring all programs briefings and charts meet proper format
* Advises on responses to senior leadership
* Advises the Government program manager on best practice’s
* Outlines policy disconnects, interpretation and management of all acquisition efforts
* Assist the Program Manager in management of day\-to\-day program activities, to include: integrated master scheduling, contract actions (including proposal technical evaluations and materials/ labor hours estimating), action item resolution, execution of requirements and plans, management of technical/ program related issues, development of comprehensive rick assessment and mitigation plans, and test support to include operational assessment of advanced technologies
* Creates and assists in developing acquisition program documentation required by DOD 5000 series supporting program efforts and acquisition milestones/ reviews applying knowledge of streamlined acquisition policies/ procedures and program management skills
* Assist with the definition, development, documentation and management of user requirements; building on existing requirements management processes to identify, review, and approve inherent and new capability needs to support a larger user community and enterprise objective to include assisting in conducting Industry Days, user/requirement working groups, developing implementation strategies, ect.
* Prepares RFP documentation consisting of Statement of Objectives, Statement of Work, Program Specifications, Contract Data Requirements Lists, etc. per DOD 5000 series
* Supports the development of strategies and associated budgets to efficiently and effectively execute programs, planning, facilitation, coordination of agendas, action items, and technical/program issues related to management, technical and test reviews to include requirements and design reviews, audits, and requirements meetings, etc.
* Assists in the development and execution of strategies and budget to efficiently execute programs cost, schedule and technical performance and associated risks
* Prepare/update briefings and reports as required
* Assist in the development and execution of strategies and budgets to efficiently execute programs
* Monitor effectiveness of achieving program/enterprise goals and objectives; to include monitoring cost, schedule and technical performance and associated risks
**Qualifications**
**Citizenship: Must be a US citizen**
**Minimum Required Qualifications**
**Clearance** 
**:** 
 Top Secret (with a current investigation within the past 5 years) or enrolled in Continuous Evaluation and SCI/SAP/SAR eligible
**Education:** 
 Masters Degree
**Years of Experience:** 
 12\+ years of experience in government acquisitions
* Prime contract management experience
* Knowledge of DOD 5000 Series Defense Acquisition System Documentation
* Software and or Information Technology related cost/schedule/technical, management experience
* Ability to work effectively in a leadership\-type role, ability to work independently with minimal supervision, and ability to pro\-actively engage with and advise government and contractor support
* Proficiency in Microsoft Project, Power\-Point, Excel, and Word
**Interpersonal Skills**
* Working knowledge of the military structure and system acquisition
* Strong verbal and written communication skills
* Ability to organize, multi\-task, and prioritize tasks in a fast\-paced, deadline driven environment
**Additional Information**
**Location:** 
 Hanscom AFB
**Travel:** 
 Travel within CONUS is required
**Onsite**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**Please note** 
 : Final compensation for this position will be determined by various factors such as the Federal Government contract labor categories and contract wage rates, relevant work experience, specific skills and competencies, geographic location, education, and certifications.</t>
        </is>
      </c>
    </row>
    <row r="32">
      <c r="A32" t="inlineStr">
        <is>
          <t>li-4334730142</t>
        </is>
      </c>
      <c r="B32" t="inlineStr">
        <is>
          <t>Program Manager</t>
        </is>
      </c>
      <c r="C32" t="inlineStr">
        <is>
          <t>Alaka`ina Foundation Family of Companies</t>
        </is>
      </c>
      <c r="D32" t="inlineStr">
        <is>
          <t>linkedin</t>
        </is>
      </c>
      <c r="E32" t="inlineStr"/>
      <c r="F32" t="inlineStr"/>
      <c r="G32" t="inlineStr">
        <is>
          <t>Hattiesburg, MS</t>
        </is>
      </c>
      <c r="H32" t="inlineStr"/>
      <c r="I32" t="inlineStr">
        <is>
          <t>The Alaka\`ina Foundation Family of Companies (FOCs) has a protentional for a
 **Program Manager** 
 to provide contract management for our government customer at
 ***Camp Shelby, MS***
 . (This position can be REMOTE with travel required.)
 Will support personnel at geographically dispersed locations across Continental U.S. and U.S. Territories.
**DESCRIPTION OF RESPONSIBILITIES:**
* Provide on\-site support to training support centers, Utilize current IT systems of record to analyze data, develop lists, reports, statistics, memos, and correspondence to provide information in support of ARNG TADSS decision making process, and provide Operator Training/Certification
* Support training events on Ground TADSS instruction throughout the United States and its Territories, Sustainable Range Program
* Provide Contract Program Management over the Training and Range Support Program Services to The National Guard Bureau (NGB) Soldier Training Support Program (STSP) and Sustainable Range Program (SRP)
* Provide monthly status reports, program management review reports, and a quality control plan
* Ensure compliance with safety (OSHA), environmental (EPA), and security regulations
* Comply with all local, emergency and/or exercise procedures or drills required
* Clearly identify contractor work areas, if assigned, with contractor supplied signs, name plates or other identification, in collocated space within a Government facility, such as offices, separate rooms, or cubicles
* Identify themselves (as a contractor and advise personnel they cannot commit or obligate the government on any decisions) when conversing with Government personnel during business meetings, over the telephone or via electronic mail to include signature blocks
* Upon request, make Non\-Disclosure Agreements (NDAs) readily available between the contractor and contractor employees. NDAs should protect the Contractor and the Government from unauthorized disclosure of classified/unclassified information
* At all times wear and conspicuously display company identification clothing, which easily distinguishes themselves from government employees. Name badges shall be always displayed on the outer garment above the waist to allow for easy identification
* Ensure personnel comply with safety installation and OSHA rules and regulations
* Complete all Government\-unique required training requirements within 60 days of contract (i.e. OPSEC, Safety etc.). Commercially available training is the responsibility of the contractor
**REQUIRED DEGREE/EDUCATION/CERTIFICATION:**
 Bachelor’s degree in relevant subject area
**REQUIRED SKILLS AND EXPERIENCE:**
* Must have a minimum of eight (8\) years’ experience in functional operations of ARNG training support, ARMY training support and Training Support Enterprise
* Experience shall include: Planning, Programming, Budgeting, and Execution System (PPBES); Training Program Evaluation Group (TT\-PEG) processes and procedures; Army’s Sustainable Range Program to include the Range Complex Master Planning process; and Army’s Soldier Training Support Program; knowledge of fielded TADSS and the TS\-MATS system
* Have knowledge of current policies, procedures, regulations and doctrine
* Have knowledge and a minimum of 3 years of experience with Army National Guard Training programs
**DESIRED SKILLS AND EXPERIENCE:**
* Three (3\) years of experience in training support center operations or equivalent experience
* Three (3\) years of experience in data analytics and applications in TS\-MATS or equivalent
* Three (3\) years of experience in Training and doctrinal implementation of TADSS
* Experienced as an instructor/staff/cadre member
* Technical knowledge of TC\-20\.31, Training and Qualification Crew. TC 3\-20\.31\-4
* Experience operating the following TADSS at a minimum: Engagement Skills Trainer (EST), Call for Fire Trainer (CFFT), Virtual Convoy Operations Trainer (VCOT), Multiple Integrated Laser Engagement System (MILES), Un\-stabilized Gunnery Trainer – Individual. (UGT\-I)
* Abrams, Bradley, Stryker, Master Gunner and Senior Gunner qualification is desirable but not required
* Experience in employing Armor and Infantry TADSS in live training for Active, Reserve, and National Guard elements
**REQUIRED CITIZENSHIP AND CLEARANCE:**
* Must be a U.S. Citizen.
* Must have or be able to obtain Active Secret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33">
      <c r="A33" t="inlineStr">
        <is>
          <t>li-4368122582</t>
        </is>
      </c>
      <c r="B33" t="inlineStr">
        <is>
          <t>Product Owner</t>
        </is>
      </c>
      <c r="C33" t="inlineStr">
        <is>
          <t>TheIncLab</t>
        </is>
      </c>
      <c r="D33" t="inlineStr">
        <is>
          <t>linkedin</t>
        </is>
      </c>
      <c r="E33" t="inlineStr"/>
      <c r="F33" t="inlineStr"/>
      <c r="G33" t="inlineStr">
        <is>
          <t>Hurlburt Field, FL</t>
        </is>
      </c>
      <c r="H33" t="inlineStr"/>
      <c r="I33" t="inlineStr">
        <is>
          <t>**Description**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Product Owner to play a key role in driving the success of our products by acting as the bridge between stakeholders, users, and the development team. We encourage you to apply and take the first step in joining our dynamic and impactful company.
**Your Mission, Should You Choose to Accept**
 As a Product Owner you will play a key role in driving the success of our products by acting as the bridge between stakeholders, users, and the development team. You will be responsible for defining and prioritizing the product backlog, ensuring alignment with the product vision and organizational goals. This role requires a strong understanding of user\-centered design (UCD) principles, agile methodologies, and the ability to translate business needs into actionable requirements. The ideal candidate will also bring experience or familiarity with aviation platforms and/or Department of Defense (DoD) projects. Knowledge of DoD processes, acquisition frameworks, and aviation\-related domains is a nice\-to\-have and will be highly valued. By collaborating with cross\-functional teams, you will ensure the delivery of products that are innovative, user\-focused, and aligned with business objectives.
**What will you do?**
* Define and communicate the product vision and goals to stakeholders and team members.
* Develop and maintain the product backlog, prioritizing features based on business value and user needs.
* Collaborate with UX researchers and designers to gather user insights and translate them into actionable requirements.
* Act as the primary point of contact for stakeholders, ensuring alignment between business needs and technical capabilities.
* Facilitate sprint planning, backlog grooming, and other agile ceremonies to ensure effective team collaboration.
* Work closely with the development team to clarify requirements and address questions throughout the development process.
* Monitor and measure product performance, using data\-driven insights to inform backlog prioritization.
* Communicate progress, risks, and updates to stakeholders and leadership.
* Ensure product deliverables meet quality standards and user expectations.
* Stay up to date with industry trends and best practices to inform product strategy and innovation.
* Leverage familiarity with aviation or DoD\-related workflows, processes, or systems to inform product development.
* Work closely with the development team to deliver assets needed for implementation.
* Complete tasks within budgeted time and work with management to escalate any project and/or task issues.
* Be resourceful with the ability to learn and adapt quickly to project issues, changes, or updates.
* Ability to travel up to 30%.
* Other responsibilities as assigned.
**Requirements**
**Capabilities that will enable your success**
* A bachelor's degree in Product Design, Systems Engineering, Computer Science, Data Science, or equivalent practical experience.
* 3\+ years of Product Development experience or equivalent experience.
* Proficient with design tools such as Figma and Adobe Creative Cloud (Adobe XD, Illustrator, and Photoshop).
* Demonstrated experience in designing and developing for a variety of platforms (desktop, mobile, web).
* Demonstrated experience working in product teams.
* Demonstrated critical thinking, problem\-solving, and decision\-making skills.
* Knowledge of design in web development (HTML, CSS3, JavaScript, React) is a plus.
* Knowledge of 3D tools and workflows such as Blender, C4D, and Maya is a plus.
* Familiarity with agile methodologies and tools such as Jira or Confluence
**Clearance Requirements**
* Applicants must be a U.S. Citizen and willing and eligible to obtain a U.S. Security Clearance at the Secret or Top\-Secret level. Existing clearance is preferred.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34">
      <c r="A34" t="inlineStr">
        <is>
          <t>li-4368114583</t>
        </is>
      </c>
      <c r="B34" t="inlineStr">
        <is>
          <t>Product Manager, Rider Experience</t>
        </is>
      </c>
      <c r="C34" t="inlineStr">
        <is>
          <t>Uber</t>
        </is>
      </c>
      <c r="D34" t="inlineStr">
        <is>
          <t>linkedin</t>
        </is>
      </c>
      <c r="E34" t="inlineStr"/>
      <c r="F34" t="inlineStr"/>
      <c r="G34" t="inlineStr">
        <is>
          <t>San Francisco, CA</t>
        </is>
      </c>
      <c r="H34" t="inlineStr"/>
      <c r="I34" t="inlineStr">
        <is>
          <t>**About The Role**
 As a Product Manager on the Rider team, you'll work on innovative ride requesting experiences that enhance Uber's ability to provide riders with fast, reliable rides, and ensure that Uber is dependable even in high\-demand or low\-supply situations.
 This role offers the chance to develop new, value\-added experiences, positioning Uber as a competitive leader in user experience. You will play a pivotal role in designing solutions that simplify and/or add value to the ride\-request journey, ultimately impacting millions of riders worldwide.
**What The Candidate Will Need / Bonus Points**
 \-\-\-\- What the Candidate Will Do \-\-\-\-
* Own a 12 to 18\-month roadmap, always maintaining a clear vision for what they are building and why. Ensure your cross\-functional team understands and aligns with this vision. and is empowered to execute.
* Lead product development on ride requesting experiences that help riders access faster rides or reliably find drivers, even in challenging market conditions.
* Collaborate cross\-functionally with engineering, design, and data science teams to drive product vision and execute seamlessly
* Conduct user research with the UXR team and leverage insights to create user\-centric solutions that stand out in competitive markets
* Prioritize product enhancements and refine features for maximum impact, balancing both short\-term wins and long\-term growth
* Communicate product strategies and results to senior leadership, advocating for the best rider experience possible.
**Basic Qualifications**
* 5\+ years of PM experience, especially in global, consumer\-facing products.
* Obsessed with delivering pixel\-perfect, exceptional user experiences.
* Proven ability to collaborate across teams and organizations, aligning goals and driving execution.
* Familiarity with navigating complex regulatory and cultural landscapes in global product markets.
**Preferred Qualifications**
* Minimum of 4 years as a consumer\-facing product PM (6\+ years preferred).
* Bachelor's degree or equivalent.
* Strong expertise in user experience, with demonstrated ability to collaborate effectively across teams and organizations.
* Excellent communication skills, with the ability to engage cross\-functional teams and leadership (Sr. Director level and above).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35">
      <c r="A35" t="inlineStr">
        <is>
          <t>li-4368120346</t>
        </is>
      </c>
      <c r="B35" t="inlineStr">
        <is>
          <t>Product Owner</t>
        </is>
      </c>
      <c r="C35" t="inlineStr">
        <is>
          <t>Agility Partners</t>
        </is>
      </c>
      <c r="D35" t="inlineStr">
        <is>
          <t>linkedin</t>
        </is>
      </c>
      <c r="E35" t="inlineStr"/>
      <c r="F35" t="inlineStr"/>
      <c r="G35" t="inlineStr">
        <is>
          <t>Cincinnati, OH</t>
        </is>
      </c>
      <c r="H35" t="inlineStr"/>
      <c r="I35" t="inlineStr">
        <is>
          <t>**\*\*Onsite in Cincinnati, OH\*\*** 
**Product Owner** 
 Agility Partners is seeking an experienced Product Owner to support one of our clients in shaping and delivering innovative software products within the financial services industry. This role sits at the intersection of business and technology, translating complex market and customer needs into clear, actionable work for development teams. The ideal candidate combines strong technical acumen, excellent communication skills, and proven experience in regulated industries to drive high‑value solutions for enterprise customers.
**Responsibilities** 
* Analyze complex market and customer problems and break them down into prioritized, deliverable user stories and acceptance criteria.
* Manage and sequence multiple features and product backlog items to ensure delivery aligns with business priorities and timelines.
* Collaborate closely with development, QA, and cross‑functional stakeholders throughout the software development lifecycle to ensure customer value is delivered.
* Define, maintain, and communicate product vision, roadmap, and requirements to both technical and non‑technical audiences.
* Translate technical concepts (APIs, events, data flows, integrations) into clear, well‑structured requirements for engineering teams.
* Continuously gather feedback from stakeholders and customers to refine requirements and improve product outcomes.
**Qualifications** 
* Bachelor’s degree required.
* Proven experience as a Product Owner or Business Analyst in software design or development.
* Strong ability to write clear, concise user stories, detailed requirements, and acceptance criteria.
* Experience working in a highly regulated industry such as Banking, Financial Services, or Healthcare.
* Technical background with understanding of APIs, event‑driven concepts, and data flow; familiarity with software architecture concepts is a plus.
* Excellent communication, collaboration, and stakeholder management skills.
**\*\*Onsite in Cincinnati, OH\*\***</t>
        </is>
      </c>
    </row>
    <row r="36">
      <c r="A36" t="inlineStr">
        <is>
          <t>li-4317708148</t>
        </is>
      </c>
      <c r="B36" t="inlineStr">
        <is>
          <t>Product Manager</t>
        </is>
      </c>
      <c r="C36" t="inlineStr">
        <is>
          <t>Edia</t>
        </is>
      </c>
      <c r="D36" t="inlineStr">
        <is>
          <t>linkedin</t>
        </is>
      </c>
      <c r="E36" t="inlineStr"/>
      <c r="F36" t="inlineStr"/>
      <c r="G36" t="inlineStr">
        <is>
          <t>San Francisco, CA</t>
        </is>
      </c>
      <c r="H36" t="inlineStr"/>
      <c r="I36" t="inlineStr">
        <is>
          <t>**About Edia**
 Our mission is for every child to have an
 ***exceptional***
 experience in school.
 Edia is a Series A technology startup revolutionizing K\-12 education with AI\-driven solutions. We develop software to improve math education, tackle chronic absenteeism, and optimize MTSS processes for school districts. Today, Edia supports 150\+ districts across the country (e.g. New York City, Miami, Fulton County, Denver, etc.).
**About The Role**
 Our customers hold us to a high bar, and it's our responsibility to create powerful, intuitive solutions that feel cohesive. The quality of your product decisions will have a direct impact on the confidence that school administrators have in us to solve their most important needs, especially as we utilize AI in completely new ways to rethink their workflows.
 As a product manager at Edia, you'll have complete ownership to scope, define, and ship products 0 to 1\. You'll be the CEO of your product—responsible not just for defining what to build, but for driving it to success. The ideal candidate is extremely smart, high\-agency, has great taste, and is excited to shape how millions of students across the country experience school.
**What You'll Do**
* Work with the CEO to shape an insanely compelling product vision
* Meet with 100\+ prospective clients to deeply understand their problems and validate solutions
* Define product requirements, prioritize ruthlessly, and drive alignment across teams
* Build functional prototypes and front\-ends yourself using AI coding tools—you should be able to vibe code your way to a working product
* Work with marketing to communicate that vision and captivate customers
* Work tightly with engineering to ship high\-quality products on time
* Use data and customer feedback to iterate and expand key workflows
* Define success metrics and hold yourself accountable to outcomes
**Qualifications**
* You've built something great, ideally from scratch
* 2\+ years of product management experience in software
* Ability to build your own front\-ends (or get pretty far) using tools like Claude Code, Cursor, or Replit
* Extremely smart, high\-agency, and relentlessly resourceful
* Great taste—you know what good looks and feels like
* You're fast and productive—you get thing done
* Excellent written and verbal communication
* Deep care about improving outcomes for students and educators
**Why Join Edia?**
* High\-impact role where you’ll shape the narrative of a fast\-scaling ed\-tech AI startup.
* Work closely with leadership and GTM teams to drive market success.
* Competitive compensation, equity, and benefits package.
* Hybrid\-friendly work environment with flexibility on remote work.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37">
      <c r="A37" t="inlineStr">
        <is>
          <t>li-4367748444</t>
        </is>
      </c>
      <c r="B37" t="inlineStr">
        <is>
          <t>Product Owner</t>
        </is>
      </c>
      <c r="C37" t="inlineStr">
        <is>
          <t>Haystack</t>
        </is>
      </c>
      <c r="D37" t="inlineStr">
        <is>
          <t>linkedin</t>
        </is>
      </c>
      <c r="E37" t="inlineStr"/>
      <c r="F37" t="inlineStr"/>
      <c r="G37" t="inlineStr"/>
      <c r="H37" t="inlineStr"/>
      <c r="I37" t="inlineStr">
        <is>
          <t>**Product Owner II \| College Park, GA \| Remote\-Friendly \| $81,400 \- $122,000** 
 We're working with Cox Automotive on this exciting opportunity.
 Join Cox Automotive as a Product Owner II, where you'll drive innovation in Quote\-to\-Cash processes, ensuring seamless integration across quoting, pricing, contracting, billing, and revenue recognition. This is your chance to bridge business needs with cutting\-edge technology to deliver a streamlined end\-to\-end sales lifecycle, leveraging AI to accelerate discovery and development.
**The Role** 
 • Define and implement product solutions, contributing to product strategy and managing the product backlog.
 • Collaborate with Product Managers to translate business requirements into Quote\-to\-Cash solutions.
 • Partner with development teams to implement Q2C capabilities across CRM, CPQ, billing, and ERP systems.
 • Support release train and scrum teams via PI planning and defect prioritization.
 • Utilize AI to accelerate discovery, experimentation, development, and identify gaps in requirements.
**What You'll Need** 
 • Bachelor's degree in a related discipline and 2\+ years of experience in product ownership or a related field.
 • Hands\-on experience with Quote\-to\-Cash platforms such as Salesforce, CPQ, Billing, and ERP systems.
 • Skilled in analytical thinking, project administration, requirements analysis, and system integration.
 • Strong communication skills with the ability to convey technical concepts to non\-technical stakeholders.
 • Experience with full product lifecycle methodologies, including SAFe Agile methodology.
**What's On Offer** 
 • Competitive salary and top\-notch bonus/incentive plans.
 • Professional development and continuing education opportunities.
 • Exceptional work\-life balance, flexible time\-off policies, and accommodating work schedules.
 • Comprehensive healthcare, generous 401(k) retirement plans with company match, and inclusive parental leave.
**Apply via Haystack today!**</t>
        </is>
      </c>
    </row>
    <row r="38">
      <c r="A38" t="inlineStr">
        <is>
          <t>li-4345670056</t>
        </is>
      </c>
      <c r="B38" t="inlineStr">
        <is>
          <t>Senior Product Manager</t>
        </is>
      </c>
      <c r="C38" t="inlineStr">
        <is>
          <t>VSP Vision Care</t>
        </is>
      </c>
      <c r="D38" t="inlineStr">
        <is>
          <t>linkedin</t>
        </is>
      </c>
      <c r="E38" t="inlineStr"/>
      <c r="F38" t="inlineStr"/>
      <c r="G38" t="inlineStr"/>
      <c r="H38" t="inlineStr"/>
      <c r="I38" t="inlineStr">
        <is>
          <t>Lead the development and delivery of products and/or services that are market\-leading, and that maximize value for the enterprise and its customers
 Define overall product/service vision and strategy, create business plans, make recommendations to management and executive team, and communicate plans both internally and externally
 Effectively lead a cross\-functional and/or cross LOB team to ensure the successful delivery of product initiatives, including creating Product Requirements Documents, market positioning, or strategy documents. May act as a lead for Associate Product Managers or other team members
 Work with business partners to provide direction on market positioning, training, and communications to the public for the assigned product portfolio
 Serve as a central resource and decision maker for all assigned products and initiatives, and coordinate with business partners to address and resolve product and/or client\-specific issues and business rules
 Conduct ongoing market and portfolio evaluation to ensure products remain competitive and meet operational, financial, and market success goals
**Job Specifications**
**Typically Has The Following Skills Or Abilities**
 Bachelor’s degree in Marketing, Business, Engineering, or related field, or equivalent work experience, graduate degree in business (MBA) is strongly desired
 Six years of experience in product management, marketing, or customer\-focused health care
 Minimum of 6 years of experience with project or program management and proven leadership skills
 Demonstrated ability to analyze market research and financial information, evaluate profitability, and identify trends
 Demonstrated ability to handle broad, complex, and unstructured tasks ranging from analytical to strategic in nature
 Superior knowledge of product and/or service development methodologies
 Highly skilled at managing products across operational divisions
 Highly skilled at effectively accomplishing objectives through others via influencing, delegating, and strong working relationships
 Proven ability to effectively communicate information to a wide variety of technical and non\-technical individuals or groups at all levels of the organization
 Thorough understanding of business implications, project interdependencies and system interfaces
 Proficient at facilitating meetings and negotiating across all levels of the organization
 Ability to regularly exercise discretion and independent judgment in the performance of job duties
**Preferred Background In Optical**
 Preferred background in training
 Preferred experience scaling training and education to large groups or broad numbers
 Ability to travel 25%
 Compensation range for the role is listed below. Applicable salary ranges may differ across markets. Actual pay will be determined based on experience and other job\-related factors permitted by law. As a part of the compensation package, this role may include eligible bonuses and commissions. For more information regarding VSP Vision benefits, please click here.
 Salary Ranges: $84,000\.00 \- $141,750\.00
 VSP Vision is an equal opportunity employer and gives consideration for employment to qualified applicants without regard to age, gender, race, color, religion, sex, national origin, disability or protected veteran status. We maintain a drug\-free workplace and perform pre\-employment substance abuse testing.
 Unincorporated LA County Residents: Qualified Applicants with arrest or conviction records will be considered for employment in accordance with the Los Angeles County Fair Chance Ordinance for Employers and the California Fair Chance Act, and any other similar laws.
**Notice to Candidates: Fraud Alert \- Fake Job Opportunity Solicitations Used to Collect Fees/Personal Information.**
 We have been made aware that fake job opportunities are being offered by individuals posing as VSP Vision and affiliate recruiters. Click here to learn about our application process and what to watch for regarding false job opportunities.
 As a regular part of doing business, VSP Vision (“VSP”) collects many different types of personal information, including protected health information, about our audiences, including members, doctors, clients, brokers, business partners, and employees.  VSP Vision employees will have access to this sensitive personal information and are subject to follow Information Security and Privacy Policies.</t>
        </is>
      </c>
    </row>
    <row r="39">
      <c r="A39" t="inlineStr">
        <is>
          <t>li-4315220127</t>
        </is>
      </c>
      <c r="B39" t="inlineStr">
        <is>
          <t>Principal Product Manager, AI</t>
        </is>
      </c>
      <c r="C39" t="inlineStr">
        <is>
          <t>Adobe</t>
        </is>
      </c>
      <c r="D39" t="inlineStr">
        <is>
          <t>linkedin</t>
        </is>
      </c>
      <c r="E39" t="inlineStr"/>
      <c r="F39" t="inlineStr"/>
      <c r="G39" t="inlineStr">
        <is>
          <t>San Jose, CA</t>
        </is>
      </c>
      <c r="H39" t="inlineStr"/>
      <c r="I3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Adobe's Experience Intelligence team needs a Principal Product Manager to spearhead AI initiatives that boost business growth. In this role, you will find chances for growth at Adobe by creating products to enhance business performance and developing AI capabilities for product empowerment.
**Responsibilities**
* Lead the ideation, development, and implementation of products and solutions driven by AI.
* Collaborate with cross\-functional teams to determine product requirements and ensure flawless execution.
* Collaborate with engineers, applied scientists, and designers to implement the product vision.
* Drive the product roadmap, prioritizing initiatives that align with Adobe's strategic goals.
* Conduct market research to stay ahead of industry trends and competitive landscapes.
* Work with collaborators and customers to gather feedback and improve product features.
**Requirements**
* BA/BS in Computer Science (or related field) with at least 8 years of product management experience. MBA or equivalent experience from a well\-respected institution preferred but not required
* Candidates must have a background in leading AI\-focused products and programs. (This should not be your first time working on AI products or initiatives)
* Candidates with direct experience with several of the following domains are preferred: AI/ML, PLG, growth marketing, marketing technology, sales technology, data science, enterprise SaaS
* Demonstrated success in managing B2C and/or B2B SaaS products. Bonus points if you have done both.
* Outstanding communication and presentation abilities, having demonstrated proficiency in presenting to leaders and external customers.
* Ability to thrive in a fast\-paced, ambitious, and dynamic environment.
* Ability to complete tasks in a matrixed organization with multiple collaborators.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0">
      <c r="A40" t="inlineStr">
        <is>
          <t>li-4367999993</t>
        </is>
      </c>
      <c r="B40" t="inlineStr">
        <is>
          <t>Associate Product Manager</t>
        </is>
      </c>
      <c r="C40" t="inlineStr">
        <is>
          <t>Akkodis Group Nordics</t>
        </is>
      </c>
      <c r="D40" t="inlineStr">
        <is>
          <t>linkedin</t>
        </is>
      </c>
      <c r="E40" t="inlineStr"/>
      <c r="F40" t="inlineStr"/>
      <c r="G40" t="inlineStr">
        <is>
          <t>Texas City, TX</t>
        </is>
      </c>
      <c r="H40" t="inlineStr"/>
      <c r="I40" t="inlineStr">
        <is>
          <t>Akkodis is seeking an
 **Associate Product Manager** 
 for a
 **Contract** 
 with a client in
 **Texas City, TX** 
 . The candidate must have strong expertise in merchandising workflows and ERP product data management to oversee product hierarchy, enrichment, and operational performance.
**Rate Range:** 
 $45/hour to $49/hour; The rate may be negotiable based on experience, education, geographic location, and other factors.
**Associate Product Manager Job Responsibilities Include**
* Manage merchandise hierarchy creation and updates while ensuring accurate assignment and maintenance of article classifications.
* Oversee ERP product data including logistics attributes, sellable unit configuration, expiry details, and supplier‑driven updates.
* Track and manage product delivery performance while monitoring operational quality, exceptions, and adherence to SLAs and KPIs.
* Lead digital enrichment activities by coordinating supplier inputs, internal enrichment workflows, and product line data acquisition.
* Support new product launches through cross‑functional coordination and timely communication with internal and external stakeholders.
* Handle team management responsibilities including training, motivation, issue escalation, and continuous knowledge transfer to associates.
**Required Qualifications**
* Bachelor’s degree in business management, Supply Chain, Retail Operations, or a related discipline.
* Relevant experience managing merchandise hierarchy, ERP product data, and operational product workflows within retail or consumer‑goods environments.
* Strong capability to oversee product data accuracy, enrichment activities, and delivery‑related performance while maintaining SLA and KPI commitments.
* Proven ability to coordinate with cross‑functional stakeholders, manage teams, and resolve operational issues through structured communication and effective problem‑solving.
 If you are interested in this role, then please click APPLY NOW. For other opportunities available at Akkodis, or any questions, feel free to contact me at
 **Shubham.Vasishtha@** 
**akkodisgroup.com.**
**Pay Details:** 
 $45\.00 to $49\.00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41">
      <c r="A41" t="inlineStr">
        <is>
          <t>li-4328207795</t>
        </is>
      </c>
      <c r="B41" t="inlineStr">
        <is>
          <t>Senior Product Manager</t>
        </is>
      </c>
      <c r="C41" t="inlineStr">
        <is>
          <t>Microsoft</t>
        </is>
      </c>
      <c r="D41" t="inlineStr">
        <is>
          <t>linkedin</t>
        </is>
      </c>
      <c r="E41" t="inlineStr"/>
      <c r="F41" t="inlineStr"/>
      <c r="G41" t="inlineStr"/>
      <c r="H41" t="inlineStr"/>
      <c r="I41" t="inlineStr">
        <is>
          <t>**Overview**
 Would you like to be at the forefront of innovation in memory\-optimized virtual machine services, utilizing the latest hardware designs and cloud technologies to drive Microsoft’s cloud growth? Are you seeking a unique career opportunity that combines technical capabilities, cross team collaboration, and business insight and strategy?
 Azure is the fastest growing business in Microsoft’s history and is the foundation of Microsoft’s commercial Cloud Services. Our team within Azure delivers technologies and VM services that enable organizations to innovate more deeply, engage with their customers more efficiently, and reinvent business operations for increased employee productivity.
 As a Senior Product Manager on our team, you’ll be at the forefront of co\-innovation, development, and launch of the next generation of memory\-optimized solutions. Azure’s M\-series virtual machines are our most memory\-intensive offerings, purpose\-built to deliver exceptional performance for large in\-memory databases and memory\-bound workloads. These VMs are ideally suited for enterprise resource planning (ERP) systems such as SAP HANA, real\-time operational databases like Epic, large relational databases including SQL Server and Oracle, as well as high\-performance computing (HPC) scenarios that demand high memory bandwidth.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collaborate closely with system engineers and architects in the Azure services team, various software development teams across Microsoft, hardware development teams, as well as sourcing, capacity planning and management.
* You will influence others to drive business impact across the organization and track success criteria across divisions. You’ll also be an expert in identifying long\-term investment opportunities and engaging partners to garner support for those areas.
* You will define a feature set and facilitate senior\-level usability reviews with customers. You’ll own the roadmap for multiple feature areas across divisions, and will collaborate with a partner team to build golden configurations and drive scenario walkthroughs.
* You will scale Product Marketing teams by building marketing and roll\-out plans, as well as leading the creation of customer support plans. You’ll also take advantage of major opportunities to promote the feature areas you worked on and present at large events.
* As an expert, you will partner with others to collect performance metrics and form hypotheses for complex technical needs in order to improve product development in multiple areas. You’ll also identify features to deprecate, manage customer communities, and build trust with targeted customers across sectors.
**Qualifications**
**Required Qualifications:**
* Bachelor's Degree AND 5\+ years experience in product/service/project/program management or software development
+ OR equivalent experience.
* 3\+ years of partnering and influencing system engineers, computer architects, hardware design engineers and executives
* 3\+ years of experience with compute VM solutions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7\+ years of experience in product/service/project/program management
+ OR software development
+ OR equivalent experience.
* 2\+ years experience in computer hardware design, and/or interaction with hardware from systems software (OS, Hypervisor, Drivers, Firmware) and applications.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li-4342688131</t>
        </is>
      </c>
      <c r="B42" t="inlineStr">
        <is>
          <t>Principal Product Manager - Data</t>
        </is>
      </c>
      <c r="C42" t="inlineStr">
        <is>
          <t>HG Insights</t>
        </is>
      </c>
      <c r="D42" t="inlineStr">
        <is>
          <t>linkedin</t>
        </is>
      </c>
      <c r="E42" t="inlineStr"/>
      <c r="F42" t="inlineStr"/>
      <c r="G42" t="inlineStr"/>
      <c r="H42" t="inlineStr"/>
      <c r="I42" t="inlineStr">
        <is>
          <t>**About HG Insights**
 HG Insights is a leader in technology intelligence, providing data\-driven insights that help businesses make strategic decisions about technology investments and market opportunities. We transform raw data into actionable intelligence that drives revenue growth and competitive advantage for our customers.
**The Opportunity**
 We’re hiring a Principal Product Manager \- Data Product to define and implement HG’s rolling 12 month data roadmap focusing on building the world’s leading Revenue Growth Intelligence Fabric. At HG, data is at the foundation of everything we do and is critical to driving positive customer outcomes. This leader will drive how HG transforms raw global data combined with customer first party and additional third party sources into predictive, explainable, and revenue\-generating intelligence. The role requires both deep data\-science and AI product fluency and practical understanding of how data drives sales and marketing performance in the B2B tech ecosystem.
**You will:**
* Define and implement the rolling 12 month data roadmap, central to HG’s product offerings, focused on an AI first strategy for data acquisition and data quality, evolving insights to meet customer needs, and improvements to customer delivery endpoints such as data feeds and API/MCP.
* Be a champion of HG customers to ensure HG’s datasets and insights directly enable and drive ROI for B2B technology use cases such as account prioritization, pipeline acceleration, and territory optimization.
* Work with the Office of the CTO on the implementation of vetted AI\-driven product opportunities (e.g., automated tech\-stack detection, buying\-stage prediction, intent topic extraction).
* Work with the HG executive team on roadmap definition, progress updates, and alignment to the overall company strategy.
* Collaborate with HG Marketing and Customer Success teams to articulate the value of data and AI\-driven insights in sales\-enablement contexts.
* Stay ahead of emerging AI/ML trends and generative\-AI techniques, assessing their commercial relevance for HG’s data offerings.
* Represent HG externally as a thought leader in data intelligence and applied AI for B2B technology markets.
**What You’ll Bring**
* 10\+ years of product\-management experience in data, AI/ML, or analytics platforms.
* Demonstrated success leading data\-first product portfolios from vision through scaled delivery.
* Experience collaborating with or within companies like ZoomInfo, 6sense, Demandbase, or similar RevTech leaders.
* Strong technical fluency across data architecture, model lifecycle management, and cloud data platforms (AWS, GCP, Snowflake, Databricks).
* Understanding of machine\-learning fundamentals (model evaluation, feature selection, supervised / unsupervised learning, LLM integration).
* Familiarity with GTM and revenue\-intelligence ecosystems—how B2B data drives lead scoring, segmentation, and predictive sales motion.
* Exceptional communication skills, capable of bridging executives, data scientists, and commercial teams.
* Bachelor’s degree in Computer Science, Engineering, or Data Science (advanced degree preferred).</t>
        </is>
      </c>
    </row>
    <row r="43">
      <c r="A43" t="inlineStr">
        <is>
          <t>li-4334629628</t>
        </is>
      </c>
      <c r="B43" t="inlineStr">
        <is>
          <t>Product Manager</t>
        </is>
      </c>
      <c r="C43" t="inlineStr">
        <is>
          <t>Xylem</t>
        </is>
      </c>
      <c r="D43" t="inlineStr">
        <is>
          <t>linkedin</t>
        </is>
      </c>
      <c r="E43" t="inlineStr"/>
      <c r="F43" t="inlineStr"/>
      <c r="G43" t="inlineStr">
        <is>
          <t>Auburn, NY</t>
        </is>
      </c>
      <c r="H43" t="inlineStr"/>
      <c r="I43"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**Core Responsibilities**
 Product Management
* Be the strategic owner of the product category and be responsible for defining the strategy in collaboration with Product line manager, understanding the customer needs and be able to drive product development from concept to launch.
* Customer \&amp; market insights: Be able to gather and analyze customer feedback through Voice of the customer initiatives. Identify pain points and unmet needs. Translate insights into product opportunities.
* Create and maintain a product road map.
* Be able to analyze financial data and draw conclusions and make recommendations.
* Supports the regional sales teams, provides constant customer touch points, defines the pricing strategy, obtains market and competitive intelligence.
* Collaborate with finance, sales and operations to ensure highly accurate revenue and margin forecast numbers. (SIOP)
+ Establish/maintain liaison with finance / build solid processes and procedures related to financials of products.
* Successfully implement and execute 80/20 initiatives within the responsible product portfolios.
* Drive continuous improvement to identify top areas in need of improvement and standardization of processes in the product management function.
* Build strong liaison with Engineering, R\&amp;D, Sales, Business Development and Marketing functions to build new product funnel, breakthrough ideas.
* Be a customer champion to roll out new products on time and establish strong collaboration with regional marketing and sales teams to commercialize new products.
 Develop Product Strategy and New Product Development (NPD)
* Develops strategic and tactical initiatives related to new product and solution introductions and drives initiatives through the Stage Gate process
* Develops and manages VOC business requirements and use cases in a requirements management tool, collaborates with R\&amp;D on the associated technical requirements development, and assures requirements are being met through system test and beta test programs
* Collects market feedback on existing products and services and prioritizes changes across releases
* Works directly with customers, sales, marketing and support organizations to ensure needs are being met and are driven back into the development process via Stage Gate
* Coordinates with engineering, planning, procurement, sales and finance to assure cost targets, solution availability and profitability meet business objectives
* Develops and coordinates activities associated with the creation of technical, sales and marketing literature
* Responsible for the New Product vitality index and product strategy/growth.
 Data Analysis and Market Research
* Conduct in\-depth analysis of market trends and competitor strategies
* Utilize data to identify new product opportunities and inform product development decisions
* Track and report on product performance and make recommendations for improvement
 Cross Functional Collaboration
* Work closely with engineering, design, sales, and marketing teams to ensure product success
* Serve as a liaison between different departments to align product goals and strategies
* Facilitate communication and collaboration between teams to ensure timely and effective product delivery.
**Minimum Qualifications**
* A bachelor’s degree in Business, Marketing, Engineering or a related field with at least 5 years’ experience.
* Strong interpersonal, teamwork and problem\-solving skills to effectively work with customers, business partners, vendors, staff and management from a variety of skill levels and different authority levels.
* Demonstrated experience working in fast paced environment and in a matrix organization.
* Able to resolve difficult technical and business issues.
* Self\-starter with high motivation to achieve goals.
* Strong analytical and critical thinking skills with the ability to interpret complex data.
* Proficiency in product management tools and software
* Excellent written and verbal communication skills.
* Proven ability to influence cross functional teams.
* Strong project management skills with the ability to manage multiple projects simultaneously.
* Experience in developing and executing new product development (NPD) and implementing product strategies.
* Knowledge of market research and competitive analysis techniques.
**High Impact Behaviors**
* Continuous Professional Development: Professionals should be committed to lifelong learning, seeking out opportunities for self\-improvement, and staying abreast of industry trends and best practices.
* Collaboration and Teamwork: Effective professionals understand the value of collaboration. They work well with others, contribute to team goals, and understand that diverse perspectives can lead to better solutions.
* Results Driven Performance: High performing professionals focus on delivering results. They set high standards for their own performance and are committed to achieving objectives efficiently and effectively.
 The estimated salary range for this position is $80,000 to $112,000 plus bonus. Starting pay is dependent on multiple factors, such as skills, experience, and work location, and is not typically at the top of the range. At Xylem, we offer a competitive compensation package with a generous benefit package, including Medical, Dental, and Vision plans, 401(k) with company contribution, paid time off, paid parental leave, and tuition reimbursement.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44">
      <c r="A44" t="inlineStr">
        <is>
          <t>li-4334297118</t>
        </is>
      </c>
      <c r="B44" t="inlineStr">
        <is>
          <t>Product Manager - Machine Learning &amp; Intelligence Operations</t>
        </is>
      </c>
      <c r="C44" t="inlineStr">
        <is>
          <t>JPMorganChase</t>
        </is>
      </c>
      <c r="D44" t="inlineStr">
        <is>
          <t>linkedin</t>
        </is>
      </c>
      <c r="E44" t="inlineStr"/>
      <c r="F44" t="inlineStr"/>
      <c r="G44" t="inlineStr">
        <is>
          <t>Columbus, OH</t>
        </is>
      </c>
      <c r="H44" t="inlineStr"/>
      <c r="I44" t="inlineStr">
        <is>
          <t>**Job Description**
 We are seeking for a talented and highly motivated leader to join the Machine Learning \&amp; Intelligent Operations (MLIO) team as Vice President, Product Manager. This role will spearhead transcription and conversational insights initiatives for the bank. The MLIO team is dedicated to developing innovative solutions using AI, machine learning, and a design\-thinking approach to significantly enhance both customer and employee experiences.
 As a Product Manager with Machine Learning \&amp; Intelligence Operations, you will define the strategy for your product, design, and execute on the product roadmap while embracing Agile methodology and best practices. You will lead cross\-functional teams comprising technologists, data scientists, researchers, designers, and analytics members to modernize the service experience for tens of millions of customers. Your relentless focus on the customer and employee experience will help establish the team’s priorities to maximize the value of the product and the work of the modeling and development teams.
**Job Responsibilities**
* Define the product strategy, roadmap, prioritization, and backlog for machine learning applications.
* Analyze contact volumes and customer journey/friction points across various channels to drive product feature prioritization.
* Lead agile product teams that include product managers, data scientists, machine learning engineers, and data analytics members.
* Manage existing product features and actively lead the research, definition, and development of new features to advance the product roadmap and performance.
* Maximize product value delivered through backlog creation, management, and prioritization of epics and user stories.
* Partner with user research and business/operations teams to analyze and ideate customer experience, behavior, and improvement opportunities.
* Prioritize strategies and solutions to enhance self\-service utilization and reduce customer contact volume.
* Collaborate with Controls/Risk, Audit, Compliance, Data \&amp; Model Governance, and Technology to ensure readiness to deliver on the product roadmap.
* Stay abreast of industry trends, emerging technologies, and best practices in AI and machine learning to continuously improve product offerings.
* Foster a culture of innovation, collaboration, and continuous improvement within the team.
**Required Qualifications, Capabilities, And Skills**
* 6\+ years of experience in Technical Product Management, ideally with AI/ML\-related products.
* Proven experience leading multi\-disciplinary teams in a large, matrixed organization and fast\-paced agile development environment.
* Demonstrated ability to make strategic decisions while candidly challenging the status quo to drive the right employee and customer outcomes.
* Applied experience in a variety of AI and machine learning techniques and technologies.
* Strong technical acumen: ability to independently manage large and complex relationships with internal technology partners.
* Ability to harness data and the power of analytics and customer insights for comprehensive strategy planning.
* Excellent communicator with the ability to fluidly interact with senior leaders, key stakeholders, employees, and third\-party vendors.
* Preferred: Experience working in or with customer service operations.
* Strong problem\-solving skills and the ability to think creatively and strategically.
* Experience with cloud\-based AI/ML platforms and tools is a plus.
**Preferred Qualifications, Capabilities, And Skills**
* Advanced degree in Computer Science, Engineering, Data Science, or a related field is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45">
      <c r="A45" t="inlineStr">
        <is>
          <t>li-4321770830</t>
        </is>
      </c>
      <c r="B45" t="inlineStr">
        <is>
          <t>Partnerships Product Manager</t>
        </is>
      </c>
      <c r="C45" t="inlineStr">
        <is>
          <t>Fortis Bank</t>
        </is>
      </c>
      <c r="D45" t="inlineStr">
        <is>
          <t>linkedin</t>
        </is>
      </c>
      <c r="E45" t="inlineStr"/>
      <c r="F45" t="inlineStr"/>
      <c r="G45" t="inlineStr">
        <is>
          <t>Denver, CO</t>
        </is>
      </c>
      <c r="H45" t="inlineStr"/>
      <c r="I45" t="inlineStr">
        <is>
          <t>**Summary**
 Fortis Bank is a full\-service premier commercial bank providing a wide range of financial services including self\-directed retirement banking solutions. The Strategic Partnerships line of business manages the growth and long\-term retention of key self\-directed partnerships. The Partnerships Product Manager role will join the Strategic Partnerships group focused on the design and development of new and existing products and integrating self\-directed providers into Fortis Bank’s infrastructure. This role also has the responsibility for managing the partnership product backlog and requires close coordination with compliance, information technology, operations, and software vendors. This individual will play a critical part in shaping the future of our self \-directed technology offerings, leverage strategic thinking, and a client\-centric approach.
**Responsibilities**
* Translate partner agreements into clear, actionable product plans, work closely with Strategic Partnerships leadership to clarify requirements, coordinate internal teams, and deliver smooth launches that meet partner expectations.
* Productize the integration layer by building reusable components, configuration tools, and internal dashboards that reduce developer dependency and accelerate onboarding of new providers.
* Review integration opportunities within existing partner relationships that align with Fortis Bank’s growth objectives.
* Execute product launches relevant to each partnership, including cross functional execution plans.
* Conducts meetings with key internal/external partners and stakeholders to develop new products and enhance existing products using industry best practices.
* Monitor and optimize partnership performance using data\-driven insights via Cognos and Tableau reporting, ensuring alignment with KPIs and strategic goals.
* Act as an internal advocate for partners, while upholding a high standard for performance, innovation, and value creation.
* Collaborate closely with technology and marketing to support roadmaps and campaigns that enhance the success of strategic partners.
* Enhance the self\-directed provider onboarding process through portal, workflow enhancements, and other client application systems.
* Act as a line of defense when product bugs arise – investigate issues, identify causes, and communicate fixes to relevant teams and/or software vendors.
* Implement product feature tracking, and performance measurement frameworks.
* Assist in the definition and maintenance of high standards for quality, reliability, and scale across the product experience.
**Minimum Qualifications**
* 7\+ years of experience in product management, with a focus in financial services, fintech, BaaS, platforms, or embedded services
* Startup or scale\-up background is a plus
* Proven track record of delivering measurable product growth
* Understanding of go\-to\-market strategy development and cross\-functional execution.
* Excellent relationship\-building, communication, and negotiation skills.
* Highly self\-motivated and results\-driven, with a strong sense of ownership and urgency.
* Experience navigating fast\-paced, ambiguous environments with evolving priorities.
* Bachelor’s degree preferred.
**Additional Information**
**Reporting Structure** 
 : Reports to the Head of Strategic Partnerships
**Office Requirements** 
 : This position offers a hybrid work schedule and is required to work in a Fortis Bank office location at least 4\-5 days per week.
**About Fortis Bank**
 Fortis Bancorp is the $1\.3 billion bank holding company for Fortis Bank. Fortis Bank is a full\-service bank that provides loans, deposits, and cash management services to businesses and their principals, with branch locations in Colorado and Utah. More information about Fortis Bank is available at www.fortisbankus.com .
 At Fortis Bank, we pride ourselves in being a partner to our clients by offering comprehensive banking solutions while building trusted, long\-term relationships.
 Every role at Fortis is connected to our company strategy and can drive high impact. Each of our hand\-selected and talented team members work closely together to contribute to the heart of our company culture that combines banking expertise and personalized service to create an unparalleled client experience.
 We recognize, reward, and develop those individuals who make an outsized impact to our client experience and are committed to driving our business forward.
 Fortis is Great Place to Work\-Certified ™
 Join a team where your expertise and passion can make a meaningful impact.
 Learn more today at https://www.fortisbankus.com/working\-at\-fortis .</t>
        </is>
      </c>
    </row>
    <row r="46">
      <c r="A46" t="inlineStr">
        <is>
          <t>li-4357360030</t>
        </is>
      </c>
      <c r="B46" t="inlineStr">
        <is>
          <t>Principal Product Manager - Performance Solutions Delivery Architecture</t>
        </is>
      </c>
      <c r="C46" t="inlineStr">
        <is>
          <t>FactSet</t>
        </is>
      </c>
      <c r="D46" t="inlineStr">
        <is>
          <t>linkedin</t>
        </is>
      </c>
      <c r="E46" t="inlineStr"/>
      <c r="F46" t="inlineStr"/>
      <c r="G46" t="inlineStr"/>
      <c r="H46" t="inlineStr"/>
      <c r="I46"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47">
      <c r="A47" t="inlineStr">
        <is>
          <t>li-4357162533</t>
        </is>
      </c>
      <c r="B47" t="inlineStr">
        <is>
          <t>Deputy Program Manager</t>
        </is>
      </c>
      <c r="C47" t="inlineStr">
        <is>
          <t>Avo Photonics</t>
        </is>
      </c>
      <c r="D47" t="inlineStr">
        <is>
          <t>linkedin</t>
        </is>
      </c>
      <c r="E47" t="inlineStr"/>
      <c r="F47" t="inlineStr"/>
      <c r="G47" t="inlineStr">
        <is>
          <t>Horsham, PA</t>
        </is>
      </c>
      <c r="H47" t="inlineStr"/>
      <c r="I47" t="inlineStr">
        <is>
          <t>**Avo Photonics** 
 (www.avophotonics.com) is a dynamic contract engineering services company that designs, develops and manufactures custom opto\-electronic products for a large customer base. Members of our staff have the opportunity to design, prototype and produce next generation products for a diverse range of markets including environmental, medical, military, industrial, aerospace, and communications.
 We seek a diligent, dedicated and meticulous person who will help to further our success and reputation in the industry through world\-class customer service. The successful candidate must plan his/her own work schedule, keep multiple records, be self\-motivated, maintain a professional presence, and have the desire to take ownership of projects.
**Responsibilities:** 
* Support product development with tasks assigned by Program Manager (PM) as detailed below
* Ensure deliverables are on track and provide timely updates to PM and customer on schedule changes
* Perform financial forecasting and analyses to ensure programs remain profitable
* Plan resources (equipment and personnel) to meet program objectives
* Review system\-level design progress and redirect as needed to efficiently derive a product design that meets or exceeds the customer requirements
* Track material status to ensure timely ordering, inspection and acceptance of parts; manage suppliers as required for delivery or quality exceptions
* Prepare and present technical and schedule status updates to internal and external stakeholders as needed
* Manage various external relationships such as vendors and consultants
* Support miscellaneous customer requests as needed
**Requirements:** 
* BS or higher in Engineering, Physics, or related technical field
* Two years of Program/Project Management or System Engineering experience in photonics, aerospace, aeronautics, defense, or medical
* High attention to detail, personable, social harmonizer, integrated planner, able to resolve conflicts, motivated, willing to take initiative
 Avo Photonics offers competitive salaries and a comprehensive benefits package.
 Avo Photonics is not accepting unsolicited assistance from search firms for this employment opportunity. All resumes submitted by search firms to any employee of Avo Photonics by any method without a valid written contract in place with Avo Photonics will be deemed the sole property of Avo Photonics. No fee will be paid in the event the candidate is hired by Avo Photonics as a result of the referral or through any other means.</t>
        </is>
      </c>
    </row>
    <row r="48">
      <c r="A48" t="inlineStr">
        <is>
          <t>li-4351814477</t>
        </is>
      </c>
      <c r="B48" t="inlineStr">
        <is>
          <t>Program Manager, People Team</t>
        </is>
      </c>
      <c r="C48" t="inlineStr">
        <is>
          <t>Aurora</t>
        </is>
      </c>
      <c r="D48" t="inlineStr">
        <is>
          <t>linkedin</t>
        </is>
      </c>
      <c r="E48" t="inlineStr"/>
      <c r="F48" t="inlineStr"/>
      <c r="G48" t="inlineStr">
        <is>
          <t>Pittsburgh, PA</t>
        </is>
      </c>
      <c r="H48" t="inlineStr"/>
      <c r="I48"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Program Manager, People Team.
**In This Role, You Will**
* Drive Program Strategy \&amp; Execution: You will take loose concepts or business problems and translate them into rigorous project charters. You define the "what, why, and how," manage the timeline, and ensure the team crosses the finish line.
* Navigate Ambiguity: You don’t need a playbook to be effective. You can enter a chaotic situation, identify the missing pieces, and create structure where there was none.
* Connect the Dots: You will serve as the "glue" between the People team and the broader business. You ensure stakeholders are aligned, risks are flagged early, and no silos are formed.
* Master Change Management: You understand that "shipping" a program is only half the solution. You will design communication plans, messaging, and adoption strategies to ensure our distributed workforce embraces the changes you implement.
* Continuously Improve: You have a continuous improvement mindset and are always thinking of ways to improve things while at the same time as delivering on programs and projects.
* Force Multiply: You make everyone around you more effective by removing blockers, streamlining processes, and ensuring meetings are decisive and actionable.
**Skills**
 We are looking for skills and attitude over tenure. You might be a seasoned Program Manager with years of experience, or you might be a rising star. Regardless of years, you must possess:
* Proven Program Fluency: Experience (typically 4\+ years) managing complex programs in a high\-growth environment, consulting firm, or large organization. You can show us examples of messy projects you successfully delivered.
* High Agency \&amp; Accountability: You are a "driver", not a passenger. You track, prioritize, and drive projects without needing to be reminded. If you get stuck, you find a way to get unstuck.
* Communication Range: You can discuss strategy with senior leaders one moment and coordinate logistics the next. You know how to synthesize complex data into clear narratives, and provide clear written and verbal communications to employees.
* Tech \&amp; Data Savviness: You are comfortable with project management tools (Monday.com, Jira) and have the ability to use data to inform decisions. Familiarity with HR systems (Workday, Greenhouse) is a bonus.
* An "Impact" Mindset: You are excited by variety and opportunity for impact. You are willing to dive into a Talent Management project today and a Culture initiative tomorrow, depending on where the business needs you most.
 This is an in\-person position, must work at our on\-site office Mondays, Tuesdays, and Thursdays at a minimum. This position can be located in Mountain View, CA; San Francisco, CA; Pittsburgh, PA.
 The base salary range for this position is $100k \- $162k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49">
      <c r="A49" t="inlineStr">
        <is>
          <t>li-4367749375</t>
        </is>
      </c>
      <c r="B49" t="inlineStr">
        <is>
          <t>ASSISTANT DIVISION CHIEF/PROGRAM MANAGER, DEPARTMENT OF MOTOR VEHICLES</t>
        </is>
      </c>
      <c r="C49" t="inlineStr">
        <is>
          <t>Caltrans District 3</t>
        </is>
      </c>
      <c r="D49" t="inlineStr">
        <is>
          <t>linkedin</t>
        </is>
      </c>
      <c r="E49" t="inlineStr"/>
      <c r="F49" t="inlineStr"/>
      <c r="G49" t="inlineStr">
        <is>
          <t>Sacramento, CA</t>
        </is>
      </c>
      <c r="H49" t="inlineStr"/>
      <c r="I49" t="inlineStr">
        <is>
          <t>Job Posting: ADC/PM
 Department of Motor Vehicles
 JC\-506287
 ADC/PM
 ASSISTANT DIVISION CHIEF/PROGRAM MANAGER, DEPARTMENT OF MOTOR VEHICLES
 $10,802\.00 \- $12,267\.00 per Month
 New to State candidates will be hired into the minimum salary of the classification or minimum of alternate range when applicable.
 Final Filing Date: 2/12/2026
****Application Methods:****
 Electronic (Using your CalCareer Account)
 By Mail
 Drop\-off
 Print Job
 Save Job
**Job Description And Duties**
 This position is located at the Sacramento Occupational Licensing Inspector Office in Sacramento.
 Key member of the Investigations Division (INV) and Occupational Licensing (OL) Inspections Branch (OLIB) management team and under the administrative direction of the Chief of Investigations, managing OLIB offices statewide, disbursement of directives, policy development, personnel management, community relations, workload projections, budgets, and short and long range planning. Conducting regularly scheduled OLIB office visits to evaluate operational performance. Coordinates data gathering efforts.
 All eligible applicants may apply. A training and development assignment may be considered. SROA/Surplus candidates are encouraged to apply.
 The position(s) being advertised may be subject to allocation approval by the Human Resources Branch. Fingerprint/Criminal Record Clearance is required before hire. The Salary Range shown is the minimum and maximum for a full\-time appointment. Moving and relocation expenses will not be reimbursed for this position.
 To be considered for this job vacancy, applicants must indicate the Job Control/Code (JC) number and position number(s) in the "EXAMINATION(S) OR JOB TITLE(S) FOR WHICH YOU ARE APPLYING" box of the Examination/Employment Application (STD. 678\), and submit all items listed under Required Application Documents below by the Final Filing Date. Employment history information must be submitted on the Examination/Employment Application (STD. 678\); attaching a resume shall not be sufficient for the purposes of providing employment history. Failure to indicate required information on the STD. 678 or submit all items by the Final Filing Date may result in elimination from the recruitment process.
 You will find additional information about the job in the
 **Duty Statement** 
 .
 Working Conditions
 Driving and travel by air is required in order to attend and participate in monthly meetings with program staff located throughout the State. Work in an office setting, in a cubicle as well as other workstations throughout the unit and within the branch.
**Minimum Requirements**
 You will find the Minimum Requirements in the Class Specification.
* ASSISTANT DIVISION CHIEF/PROGRAM MANAGER, DEPARTMENT OF MOTOR VEHICLES
 Additional Documents
* Job Application Package Checklist
* Duty Statement
 Position Details
**Job Code \#:**
 JC\-506287
**Position \#(s):**
 525\-201\-4621\-001
****Working Title:****
**ADC/PM**
****Classification:****
 ASSISTANT DIVISION CHIEF/PROGRAM MANAGER, DEPARTMENT OF MOTOR VEHICLES
 $10,802\.00 \- $12,267\.00
 New to State candidates will be hired into the minimum salary of the classification or minimum of alternate range when applicable.
**\# of Positions:**
 1
**Work Location:**
 Sacramento County
****Telework:****
 In Office
****Job Type:****
 Permanent, Full Time
****Work Shift:****
 8:00 a.m. to 5:00 p.m.
****Work Week:****
 Monday through Friday
 Department Information
 The Department of Motor Vehicles (DMV) is a recognized leader in public service and has existed for over 100 years. The DMV is responsible for registering approximately 36 million vehicles in California, and serving 34 million driver license and identification card holders, collecting over $14 billion in annual revenue. The DMV also maintains and oversees many other functions. The DMV provides quality licensing and motor vehicle\-related services in its field offices located throughout California and online at www.dmv.ca.gov
 Special Requirements
* The position(s) require(s) a Background Investigation be cleared prior to being hired.
 Applicants
 **must** 
 be eligible for appointment (e.g., must take and pass examination); see Who May Apply section below for more information. Additionally, applicants must have authorization to work in the United States. Please note that we are unable to provide visa sponsorship at this time.
 Using the online application system as specified in this announcement is the preferred method of applying for civil service job opportunities; however, applicants may instead apply by way of U.S. mail, parcel delivery or courier service, or in person, as set forth in this announcement. Advertisement may be used for subsequent vacancies within 180 days.
 Do NOT include ANY confidential information on any documents you submit for a job vacancy, such as your Examination/Employment Application (STD. 678\), resume, or educational transcripts. Confidential information that should be excluded or removed from these documents includes, but is not limited to, your Social Security number (SSN), birthdate, student identification number, driver license number (unless required), photograph, basis of eligibility, examination results, Limited Examination and Appointment Program (LEAP) status, gender, marital status, ethnicity, and age. Confidential information on STD. 678s submitted electronically online, such as SSN, will automatically be redacted upon submission.
 Possession of the Minimum Qualifications will be verified prior to interview and/or appointment. If it is determined that you do not meet the Minimum Qualifications, your name will be removed or withheld from the eligibility list, rendering your eligibility as inactive and ineligible to be hired for the position. Candidates whose names have been withheld from an eligibility list may file an appeal with the State Personnel Board.
**If you are using education to meet the minimum qualifications, please include a copy of your unofficial transcripts for verification. Foreign transcripts must be accompanied by an academic credential evaluation. Below is the link to a list of approved agencies.**
* Foreign Transcript Evaluation (CL\-635\)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2/12/2026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Motor Vehicles
 DMV \- ASD \- HRB \- Talent Acquisition
 Attn: JC\-506287
 2415 First Avenue, MS E678
 Sacramento, CA 95818
 Address for Drop\-Off Application Packages
 You may drop off your application and any applicable or required documents at:
 Department of Motor Vehicles
 DMV \- ASD \- HRB \- Talent Acquisition
 JC\-506287
 2415 First Avenue, MS E678
 Sacramento, CA 95818
 Place in the “MS E678 Drop Box” located at the 1st Floor Lobby.
 09:00 AM \- 04:00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Other \- A written response to the item(s) listed in the Written Response section below, no more than 1 page(s) in length with no less than Arial 12\-point font and 1\-inch margins, submitted as a separate document. A resume does not take the place of a written response.
 Written responses may be similar in format to a Statement of Qualifications. Be sure to follow all instructions closely. For helpful tips on crafting a strong SOQ, view CalHR’s video at https://www.youtube.com/watch?v\=NA\-mGmyx1TY.
**Candidates Are Advised To:**
* use simple formatting (avoid justified text, large text boxes, or custom bullets),
* use standard fonts like Arial or Times New Roman,
* left\-align the text,
* save the written response as a PDF document, and “flatten” it before uploading by printing to PDF or using the “Save as PDF” feature, and
* submit or upload the written response PDF document as part of the application package.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**Desirable Qualifications**
 In addition to evaluating each candidate's relative ability, as demonstrated by quality and breadth of experience, the following factors will provide the basis for competitively evaluating each candidate:
 Incumbent should possess the following skills: strong leadership, interpersonal, outstanding verbal, written communication, superior customer service, analytical, legislation analysis, prioritization, organizational, time management, service orientation, adaptability, flexibility, fostering diversity. Dependability, adaptability, and honesty. Knowledge of personal computers and proficient in Microsoft Office. (Word, Excel, Outlook, etc.) Problem\-solving skills are highly desired.
**Benefits**
 The Department of Motor Vehicles and the State of California offer many benefits to its employees. These include health, vision, and dental benefits; retirement plans (CalPERS); savings plans (401K and 457b); leave benefits; insurance (such as group legal insurance and group long term disability insurance); and employee assistance program. Benefits may be based on the job classification, bargaining unit, tenure, time base, and length of appointment. Click on each web link below for more information.
* Benefits summary – https://benefits.calhr.ca.gov/state\-employees/general\-benefits/
* Benefits afforded by membership in the California Public Employees’ Retirement System – https://benefits.calhr.ca.gov/state\-employees/retirement/
* Benefits and protections provided to public employees by the State Civil Service – https://www.calhr.ca.gov/about\-calhr/divisions\-programs/selection\-division/merit\-system\-services\-program/
* Job descriptions and pay scales – https://calcareers.ca.gov/CalHRPublic/Tools/ClassSalarySearch.aspx
 Contact Information
 The Human Resources Contact is available to answer questions regarding the position or application process.
**Human Resources Contact:**
 Talent Acquisition Unit
 (916\) 657\-7553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Office of Civil Rights and Resolution
 (916\) 657\-7553
 California Relay Service: 1\-800\-735\-2929 (TTY), 1\-800\-735\-2922 (Voice) TTY is a Telecommunications Device for the Deaf, and is reachable only from phones equipped with a TTY Device.
 Job Application Package Checklist
 Contrary to the "How To Apply" and "Alternate Application Process" sections of this job posting, the Job Application Package Checklist is not required. However, applicants must submit all Required Application Documents identified under the "Application Instructions" section by the final filing date.
 Written Response
* Describe your leadership experience demonstrating your ability to plan, organize, and direct staff at multiple levels, including your knowledge and application of training and development, employee motivation, recognition, and performance management.
* Describe your knowledge and experience related to Occupational Licensing Inspections, including applicable laws, regulations, procedures, and compliance requirements.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50">
      <c r="A50" t="inlineStr">
        <is>
          <t>li-4315768020</t>
        </is>
      </c>
      <c r="B50" t="inlineStr">
        <is>
          <t>Lead GRC Program Manager</t>
        </is>
      </c>
      <c r="C50" t="inlineStr">
        <is>
          <t>Bumble Inc.</t>
        </is>
      </c>
      <c r="D50" t="inlineStr">
        <is>
          <t>linkedin</t>
        </is>
      </c>
      <c r="E50" t="inlineStr"/>
      <c r="F50" t="inlineStr"/>
      <c r="G50" t="inlineStr">
        <is>
          <t>Austin, TX</t>
        </is>
      </c>
      <c r="H50" t="inlineStr"/>
      <c r="I50" t="inlineStr">
        <is>
          <t>**About Bumble** 
 At Bumble, we’re building secure, AI\-driven systems that empower connection and trust globally. Security and privacy are at the heart of that mission.
 We’re seeking a 
 **Lead Security GRC Program Manager** 
  to lead our PCI, SOX, ITGC, and GDPR programs, driving audit excellence, automation maturity, and cross\-functional compliance alignment across Bumble’s products and infrastructure.
 This role is ideal for someone who thrives in fast\-moving environments and knows how to transform compliance from a checkpoint into a scalable, automated enabler of trust.
***Please note: We are unable to offer Visa transfers or Visa sponsorship***
**What You’ll Do** 
* **Own Bumble’s Core Compliance Programs:**
* Lead end\-to\-end management of
 **PCI, SOX, ITGC, and GDPR** 
 frameworks — from annual audit planning through evidence collection, remediation, and executive reporting
* **Drive Audit Efficiency \&amp; Automation:**
* Partner with Security Engineering, Finance IT, and Product teams to automate evidence workflows, control attestations, and testing pipelines via tools such as
 **Drata, Vanta, or ServiceNow GRC**
* **Lead SOX \&amp; ITGC Program Delivery:**
* Co\-own SOX ITGC compliance with Finance IT, directly manage external audit partners, and maintain strong control hygiene across identity, change management, and infrastructure layers
* **Oversee PCI Compliance Operations:**
* Maintain Bumble’s PCI program scope, manage annual assessments, and coordinate with payments and infrastructure teams to ensure ongoing adherence and minimal audit fatigue
* **Steward GDPR Alignment:**
* Partner with Legal, Privacy, and Data Engineering to operationalize GDPR requirements, ensuring data protection principles and privacy\-by\-design controls are consistently validated
* **Report Risk \&amp; Remediation Metrics:**
* Build dashboards and KPI reports that provide visibility into audit readiness, control performance, and remediation progress for executive stakeholders
**Must\-Haves** 
* **Program Leadership Experience:**
* **6\+ years** 
 of experience in Security GRC, audit, or compliance within a
 **cloud\-native or technology\-driven environment**
* Proven ownership of
 **PCI, SOX, ITGC, and GDPR** 
 compliance programs — from planning through audit closure
* Demonstrated success driving measurable improvements in audit efficiency, control maturity, or automation adoption
* **Technical Acumen:**
* Strong working knowledge of cloud architectures, including hands\-on experience operating in
 **GCP environments** 
 . Experience with
 **AWS** 
 is a plus. Candidates should also have a strong grasp of common ITGC control areas, including access management, change management, and incident response
* Experience
 **integrating GRC tools** 
 with engineering systems (e.g., CI/CD pipelines, Jira, Slack, or identity platforms like Okta)
* Ability to
 **design or refine control automation workflows** 
 and collaborate with engineers on technical control implementation
* Practical understanding of
 **data flow mapping** 
 and
 **system\-of\-record validation** 
 to support GDPR evidence and privacy controls
* **Execution \&amp; Communication:**
* Track record of
 **leading multi\-stakeholder audits** 
 (Finance, Legal, Engineering, Privacy) and aligning diverse teams on deadlines and deliverables
* Skilled at presenting complex audit or risk topics to
 **executive leadership** 
 using concise, data\-driven insights
* Capable of drafting
 **clear, audit\-ready documentation** 
 and control narratives without excessive bureaucracy
* **Mindset \&amp; Operating Style:**
* **Automation\-first:** 
 Seeks opportunities to replace manual audit processes with system\-driven controls
* **Business\-aligned:** 
 Understands how to balance compliance requirements with engineering velocity
* **Outcome\-driven:** 
 Measures success through reduced audit fatigue, improved evidence hygiene, and faster remediation cycles
* **Collaborative:** 
 Builds trust with auditors and internal stakeholders through transparency and consistency
**Nice\-to\-Haves** 
* Hands\-on experience automating evidence collection or audit testing workflows
* Familiarity with
 **data protection impact assessments (DPIAs)** 
 and GDPR privacy operations
* Experience building or maintaining
 **risk registers** 
 ,
 **executive dashboards** 
 , or
 **compliance OKRs/KPIs**
* Certifications such as
 **CISA, CISM, CISSP, CRISC** 
 , or
 **ISO Lead Auditor**
* Background in
 **payments, fintech, or regulated SaaS** 
 environments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***Please note: We are unable to offer Visa transfers or Visa sponsorship***
**Location**
 This role is based in Austin, and we ask that you’re within a commutable distance to this office, so that you’re able to come onsite regularly to collaborate across engineering teams, Monday \- Wednesday.
 We have a hybrid work style and ask that all Engineers be onsite Monday \- Wednesday.
***Please note: We are unable to offer Visa sponsorship at this time***
**Global benefits**
**Maven Fertility** 
 We offer a $10,000 lifetime benefit opportunity to all employees and their partners around the world. This benefit can be used to support your reproductive journey \- from abortion care and related travel costs to fertility treatment, egg\-freezing, adoption, surrogacy, and more. 
**Family \&amp; compassionate paid leave** 
 Family leave to support you and your loved ones when needed (including victims of domestic abuse or violent crime).
**26 weeks parental leave** 
  26 weeks paid leave for the primary caregiver following the birth, adoption, surrogacy or foster care of a child. The secondary caregiver will also receive 26 weeks paid leave after 1 year of employment.
**Unlimited paid time off** 
 Take the time you need when you need it. 
**Company\-wide week off** 
 Once a year, we have a company\-wide week off (it’s essential for some teams to continue working and they will be offered alternative time off instead).
**Focus Fridays** 
 Every Friday we try to have a no meeting, no deadline, no email and no Slack rule on a Friday so you can focus without distraction.
 Check out more of our local benefits here**</t>
        </is>
      </c>
    </row>
    <row r="51">
      <c r="A51" t="inlineStr">
        <is>
          <t>li-4368117373</t>
        </is>
      </c>
      <c r="B51" t="inlineStr">
        <is>
          <t>Insurance Program Manager</t>
        </is>
      </c>
      <c r="C51" t="inlineStr">
        <is>
          <t>DC Department of Human Resources</t>
        </is>
      </c>
      <c r="D51" t="inlineStr">
        <is>
          <t>linkedin</t>
        </is>
      </c>
      <c r="E51" t="inlineStr"/>
      <c r="F51" t="inlineStr"/>
      <c r="G51" t="inlineStr">
        <is>
          <t>Washington, DC</t>
        </is>
      </c>
      <c r="H51" t="inlineStr"/>
      <c r="I51" t="inlineStr">
        <is>
          <t>**Job Summary**
 This position will operate as the Captive Manager and is located in the Captive Insurance Agency ("the Captive"), which is overseen by the Office of Risk Management (ORM) in the Executive Office of the Mayor. Specific services provided by the Captive and ORM include supporting agencies with insurance inquiries, insuring qualifying District health centers, procuring commercial property, stand alone and nuclear terrorism insurance for the District, providing DC government agencies with letters of self\-insurance, occupational safety and risk management analysis and support, and administering the District's public workers compensation and tort liability programs.
 This position functions as Insurance Program Administrator and Captive Manager, responsible for administering and directing insurance programs, including overseeing the overall management of "the Captive," its budget, operation and handling of claims. Also, oversees the investigation and settlement of claims in compliance with regulations.
**Duties And Responsibilities**
 Establishes and oversees procedures for the operation of the Captive, including payment of administrative expenses, claims processing and adjustments, dispute resolution, and tail coverage for participating health centers. Develops standards for premium subsidies, reinsurance participation, underwriting guidelines, and risk management requirements, and conducts audits to ensure compliance. Leads strategic planning by defining current and future business environments, setting performance metrics, and evaluating program effectiveness. Performs root cause analyses to identify opportunities for process improvements and drafts manuals and guides to formalize updated business practices.
 Designs and conducts broad, complex management studies addressing evolving requirements, legislation, and overlapping functions, and proposes actionable management solutions. Develops and implements special projects, including strategies to track and execute recommendations. Provides expert guidance to the Mayor, City Administrator, ORM, and District agencies on insurance and risk programs, including related financial and legal matters impacting an $11 billion budget and approximately 35,000 employees. Prepares and disseminates clear written and verbal guidance on insurance policies and procedures, and analyzes reports from third\-party administrators and the Office of the Chief Financial Officer to support informed recommendations.
**Qualifications And Education**
**Specialized Experience:** 
 Specialized experience is experience which is directly related to the position and has equipped the individual with the knowledge, skills, and abilities to successfully perform the duties of the position. To be creditable, the incumbent must possess at least one (1\) year of specialized experience equivalent to the next lower grade level in the normal line of progression.
 Prior supervisory experience and an advanced degree (Master's or J.D.) in legal, finance, insurance, pubic or business administration or risk management is preferred.
**Licenses and Certifications**
 None.
**Work Conditions/Environment**
 The work is primarily sedentary and performed in an office setting.
**Other Significant Facts**
**Next Screening Date:** 
 February 6, 2026
**Tour of Duty** 
 : Monday \- Friday; 8:15am \- 4:45pm
**Pay Plan, Series and Grade** 
 : MS\-0301\-15
**Promotion Potential:** 
 No known promotion potential.
**D** 
**uration of Appointment:** 
 Management Supervisory Service (MSS), “At\-Will”. All positions and appointments in the Management Supervisory Service serve at the pleasure of the appointing authority and may be terminated at any time with or without cause.
**Collective Bargaining Unit (Union):** 
 This position is not covered by a collective bargaining unit.
**Position Designation:** 
 The position has been deemed security\-sensitive. Accordingly, the incumbent will be subject to pre\-employment checks (criminal background checks, consumer credit check, traffic record checks, if applicable) as a condition of employment, and will be subject to periodic criminal background checks for the duration of your tenure.
**Emergency Designation:** 
 This position has been designated as Emergency. Employees occupying positions designated as Emergency are required to:
* Provide advice, recommendations, and/or specific functional support necessary for the continuity of operations during a declared emergency.
* Remain at their duty station, or alternate work location (approved by their supervisor), if activated, when a situation or condition occurs and results in early dismissal for nonessential/non\-emergency employees.
* Report to their duty station, when activated, on time and as scheduled when a situation or condition occurs during non\-work hours, and results in the late arrival or closing of District government offices for non\-essential/non\-emergency employees.
* Telework during a declared emergency, instead of remaining or reporting to his or her duty station, if directed by the agency head (or designee), supervisor or manager.
* Carry or wear their official District government ID card during the period of the declared emergency, if not teleworking.
**Residency Preference:** 
 When claiming residency preference, you are required, and must agree in writing, to maintain bona fide District residency for a period of seven (7\) consecutive years from the effective date of employment. You will be required to present documents (proofs) to show District residency and failure to maintain bona\-fide District residency for the seven\-year (7\-year) period will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52">
      <c r="A52" t="inlineStr">
        <is>
          <t>li-4367759088</t>
        </is>
      </c>
      <c r="B52" t="inlineStr">
        <is>
          <t>Program Manager III - Florida Integrated Surgical Institute</t>
        </is>
      </c>
      <c r="C52" t="inlineStr">
        <is>
          <t>Cleveland Clinic</t>
        </is>
      </c>
      <c r="D52" t="inlineStr">
        <is>
          <t>linkedin</t>
        </is>
      </c>
      <c r="E52" t="inlineStr"/>
      <c r="F52" t="inlineStr"/>
      <c r="G52" t="inlineStr">
        <is>
          <t>Fort Lauderdale, FL</t>
        </is>
      </c>
      <c r="H52" t="inlineStr"/>
      <c r="I52" t="inlineStr">
        <is>
          <t>Join the Cleveland Clinic team down in sunny Florida where you will work alongside passionate caregivers and provide patient\-first healthcare. Here, you will receive endless support and appreciation while building a rewarding career with one of the most respected healthcare organizations in the world.
 Cleveland Clinic Florida is looking to add a Program Manager III to the team who will support the Florida Integrated Surgical Institute. Orthopaedics and Otolaryngology will be your primary responsibilities, but you will also work within Urology, Plastics, and Breast surgery. This essential role serves the Integrated Surgical Institute’s analytics and projects for all service lines. You will be the first point of contact for templates, budgeting, mitigation, and provider business planning. While there are no direct reports, this role requires strong leadership, communication, and collaboration skills to effectively align operations, support clinical workflows, and ensure high\-quality patient care across the regions.
**A caregiver in this position works days from 7:00AM – 5:00PM, with occasional meetings which run until 6:00PM.**
 A caregiver who excels in this role will:
* Develop, implement, manage and maintain operational systems and activities.
* Serve as a liaison with all levels of the organization and outside the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 Other duties as assigned.
 Minimum qualifications for the ideal future caregiver include:
* Bachelor's Degree in Business Administration, Healthcare Administration or related field and five years of related experience
* OR Master’s Degree and four years of experience
* Strong presentation, communication and training skills
* Knowledge of statistical and financial analysis, primary research and business plan development
* Demonstrated team, leadership, organizational, financial management and problem\-solving skills
 Preferred qualifications for the ideal future caregiver include:
* Master’s Degree in Healthcare Administration
* Analytics or administrative fellowship or residency background
* Related experience in a healthcare setting
**Physical Requirements:**
* Ability to communicate and exchange accurate information.
* Ability to perform work in a stationary position for extended periods.
* Ability to work with physical records or operate a computer or other office equipment.
* In some locations, ability to travel throughout the hospital system.
* In some locations ability to move up to 25 lbs.
**Personal Protective Equipment:**
* Follows Standard Precautions using personal protective equipment as required for procedures.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53">
      <c r="A53" t="inlineStr">
        <is>
          <t>li-4368125432</t>
        </is>
      </c>
      <c r="B53" t="inlineStr">
        <is>
          <t>TVC - Homeless Veteran Program Manager (Program Specialist V)</t>
        </is>
      </c>
      <c r="C53" t="inlineStr">
        <is>
          <t>Texas Veterans Commission</t>
        </is>
      </c>
      <c r="D53" t="inlineStr">
        <is>
          <t>linkedin</t>
        </is>
      </c>
      <c r="E53" t="inlineStr"/>
      <c r="F53" t="inlineStr"/>
      <c r="G53" t="inlineStr">
        <is>
          <t>Austin, TX</t>
        </is>
      </c>
      <c r="H53" t="inlineStr"/>
      <c r="I53" t="inlineStr">
        <is>
          <t>Please paste the following URL into a browser to view the entire job posting in the CAPPS Career Section: https://capps.taleo.net/careersection/ex/jobdetail.ftl?job\=00055725
 You may apply to the job directly through the CAPPS Career Section. It is not necessary to apply both through Work In Texas and CAPPS Career Section
 Please Note: All resumes must contain employment history, education, licenses, skills, and other qualifications applicable to the position.To learn more about TVC Employee Benefits, please click on this link.Submitted Through Work in Texas:Work in Texas (WIT) applicants must complete the supplemental questions to be considered for the posting. To complete the supplemental questions please go to CAPPS Recruit to register or login and access your profile: CAPPS Recruit General Description: Serves as a key member of the Veterans Mental Health Department, responsible for coordinating and implementing strategies that support the Texas Veterans Commissionand\#8217;s efforts related to Homeless Veterans. This includes developing program strategies and working with agencies involved in homeless prevention and housing resources. The role also involves collaboration with service organizations that support homeless Veterans. This position is essential in organizing and advancing TVCand\#8217;s Homeless Veterans initiatives and works closely with governmental agencies, local coalitions, and community partners on cross\-agency efforts. Essential Duties and Responsibilities:and\#183; Represent the Texas Veterans Commission and Veterans Mental Health Department at conferences, meetings, and public events.and\#183; Coordinate with other TVC programs to connect homeless veterans with eligible services.and\#183; Coordinate with federal, state, and local stakeholders to align accessible resources for veterans in need.and\#183; Collaborate with internal programs within the Veterans Mental Health Department and across other TVC departments.and\#183; Conduct and facilitate training, workshops, and meetings in\-person or virtually.and\#183; Develop and maintain partnerships with individuals, organizations, and community stakeholders.and\#183; Represent the state on national and regional veteran homelessness initiatives, committees, and conferencesand\#183; Build and maintain a network of peers and professionals to exchange information and best practices related to veteran services.and\#183; Provide training and technical assistance to service providers and partners on best practices and emerging models. Attend outreach events.and\#183; Perform related duties and special projects as assigned. Military Crosswalk information:https://hr.sao.texas.gov/Compensation/MilitaryCrosswalk/MOSC\_ProgramManagement.pdf
 Qualifications: Minimum Education:and\#183; A bachelorand\#8217;s degree in counseling, social work, psychology, sociology or other related field from an accredited institution. College Transcripts are required and must be provided before an interview can be extended, it is preferred they be attached to the application.Minimum Experience: and\#8226; 5 years related experience in the job duties listed above.Additional Requirements:and\#8239; and\#183; A valid Texas Driverand\#8217;s License must be provided within 90 days of hire.and\#8239;Preferred Experience and Qualification:and\#183; Masterand\#8217;s degree or higher in Counseling, Social Work, Psychology, or a related mental health field.and\#183; Licensure or eligibility for licensure in Texas as an LPC, LCSW, LMFT, or Psychologist.and\#183; Experience working with veterans, service members, and their families.and\#183; Experience working with individuals experiencing homelessness or housing crises.and\#183; Experience working with individuals experiencing mental health concerns.and\#183; Experience building and maintaining partnerships with federal, state, and local stakeholders.and\#183; Military veteran status is strongly preferred.Knowledge, Skills, and Abilities:Knowledge of programs and service available to Veterans and their families at the federal, state, and local levels.
 Knowledge of current issues impacting individuals experiencing or at risk of homelessness.
 Knowledge of mental health concerns and common barriers to accessing care and resources.
 Knowledge of current issues impacting the veteran community.
 Skill in developing and delivering training related to veteran needs and available resources.
 Ability to research, collect, and analyze data to improve services for veteran households.
 Ability to provide guidance and technical assistance on veteran mental health issues.
 Ability to communicate clearly and effectively, both verbally and in writing.
 Ability to speak confidently in both large and small group settings.
 Ability to work independently and manage time effectively to meet deadlines.
 Ability to collaborate effectively within a team environment.
 Commitment to providing exceptional customer service. Environmental Physical Conditions:Normal office work environment, mostly sedentary in nature. May involve walking; standing; remaining stationary for long periods of time; pulling and pushing; kneeling, stooping, and bending; and safely lifting and carrying items weighing up to 30 pounds. Work involves extensive telephone usage and repetitive hand/wrist/finger motions while using the computer. Notes to Applicants:To receive Military Employment preference, a copy of the DD Form 214 (member \#1 not accepted), NA Form 13038, VA Summary Benefits Letter, or a DD form 1300 must be provided before an interview can be extended.College transcripts, licenses, certifications, etc. must be provided before an interview can be extended. If this information is not provided prior to the interview, your application may be rejected because it is incomplete. Attaching documents to the application is preferred.If you require any reasonable accommodation for the interview process, please inform the hiring representative who calls to schedule your interview.This position has been designated as a security sensitive position. A criminal background investigation will be conducted on the final candidate for this position.DUE TO THE HIGH VOLUME OF APPLICATIONS, WE DO NOT ACCEPT TELEPHONE CALLS. APPLICANTS SCHEDULED FOR INTERVIEWS WILL BE CONTACTED.Veterans Information: The Texas Veterans Commission is committed to hiring Veterans and is proud to employ the highest percentage of Veterans among all state agencies. Additional info may apply via the job posting.AN EQUAL EMPLOYMENT OPPORTUNITY EMPLOYER:The Texas Veterans Commission does not discriminate on the basis of personand\#8217;s color, race, national origin, gender, gender identity/gender expression, sexual orientation, marital status, disability religion, or age in employment or the provision of services.</t>
        </is>
      </c>
    </row>
    <row r="54">
      <c r="A54" t="inlineStr">
        <is>
          <t>li-4359771834</t>
        </is>
      </c>
      <c r="B54" t="inlineStr">
        <is>
          <t>Immigration Program Manager</t>
        </is>
      </c>
      <c r="C54" t="inlineStr">
        <is>
          <t>International Rescue Committee</t>
        </is>
      </c>
      <c r="D54" t="inlineStr">
        <is>
          <t>linkedin</t>
        </is>
      </c>
      <c r="E54" t="inlineStr"/>
      <c r="F54" t="inlineStr"/>
      <c r="G54" t="inlineStr">
        <is>
          <t>Spokane, WA</t>
        </is>
      </c>
      <c r="H54" t="inlineStr"/>
      <c r="I54"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 communities. A force for humanity, IRC employees deliver lasting impact by restoring safety, dignity and hope to millions. If you're a solutions\-driven, passionate change\-maker, come join us in positively impacting the lives of millions of people world\-wide for a better future.
**Job Overview**
 The Program Manager, Immigration, provides guidance, leadership, and direct support for immigration legal and related civic engagement services. The Program Manager is responsible for supervision of legal services provided by DOJ accredited representatives, and staff and intern performance as well as program delivery, implementation, and development. The Program Manager is expected to be accredited by the US Department of Justice (DOJ) through IRC to represent clients in immigration matters before United States Citizenship and Immigration Services (USCIS).
**Major Responsibilities**
*Program Development \&amp; Leadership*
* Represent IRC at immigration\-related meetings and events in the community, with partners and funders, and with government agencies, including by giving presentations.
* Create and support implementation of outreach strategy. Develop and implement media opportunities in conjunction with the Site Director for publicizing immigration work.
* Cultivate partnerships and opportunities with key legal service providers, community\-based organizations, and other local organizations or institutions, to enhance collaboration and outreach for legal and civic engagement services.
* Develop strategic plan for immigration and civics, incorporating client and partner feedback, to increase responsiveness of services, increase sustainability, and improve service delivery.
* Serve on Senior Management Team/Leadership Team and work effectively across programs to further IRC’s mission. Contribute to and support office\-wide Strategic Action Plan.
*Direct Client Services*
* Maintain a limited caseload of cases before US Citizenship \&amp; Immigration Services, including family reunification, adjustment of status, and naturalization cases.
* Stay apprised of relevant immigration law and policy, and maintain DOJ accreditation by attending and keeping records of continuing legal education training and credits.
* Maintain strict client confidentiality and observe all ethical practices/obligations as outlined in IRC’s Immigration Program Policies Manual.
*Program and Staff Supervision*
* Provide daily direct supervision to immigration and civics staff, employing adaptive management techniques to provide regular individual supervision and support; mentor staff, set clear performance expectations and goals, give regular performance feedback, help prioritize workloads, help troubleshoot challenges, and maintain appropriate professional development plans.
* Ensure all cases have high\-quality legal review and that clients are counseled appropriately on their immigration options and potential risks and consequences of applying for certain immigration benefits.
* Ensure immigration staff adhere to the IRC Immigration Program Policies Manual, including through regular mentorship, direct observations of key client service activities (e.g., client intakes), and by ensuring staff receive frequent, ongoing relevant (internal and external) legal training, including on legal ethics, and have the most up\-to\-date guidance regarding immigration adjudication trends and policies.
* Ensure all staff, interns and volunteers have a clear understanding of what activities constitute the unauthorized practice of law and how these boundaries should be applied in IRC’s legal service model.
* Work with the HQ Legal Services Unit to ensure legal assistants have adequate support and training to pursue DOJ accreditation in a timely manner as appropriate to their legal skills and knowledge.
* Develop and monitor case acceptance policies and caseload targets and limits.
* Promote and develop a high functioning, collaborative team and ensure effective integration of internships and volunteers within programs; collaborate with other IRC program areas as appropriate to ensure client\-centered service.
* Actively co\-facilitate and support grant opening, grant review, and grant closing meetings, and lead all aspects of grant cycle, including developing/implementing monitoring \&amp; evaluation plans.
* Oversee and/or conduct regular internal case file reviews (paper files and electronic case files) to ensure compliance with IRC Immigration Program Policies as well as any donor requirements.
* Develop/maintain effective quality assurance systems and processes for course correction.
* Serve as the key liaison with the Immigration HQ Technical Unit for caseload and ongoing legal work, including participating in regular calls and trainings.
*Data Management \&amp; Reporting*
* Responsible for accurate and timely completion of all program reports as required by funding sources, headquarters, and other partners.
* Track monthly and quarterly performance, and ensure all client work is documented in case management system.
* Track budget spending for immigration, including against grants as well as progress of revenue against goals.
* Regularly consolidate immigration fees with finance colleagues.
**Job Requirements**
* Undergraduate degree required. Graduate degree strongly preferred.
* Currently accredited by the US Department of Justice (DOJ) through IRC or another DOJ\-recognized organization.
* At least 3 years of professional experience representing individuals before USCIS as a DOJ accredited representative.
* At least 3 years of experience providing supervision in an immigration legal services context
* Program management experience strongly preferred.
* Demonstrated ability to develop and cultivate partnerships in furtherance of program development goals.
* Demonstrated understanding of fiscal management and reporting required. Proven track record in business development, including proposal writing and development, grant management, and budgeting, highly desired.
* Excellent English written and oral communication skills, including presentation skills.
* Proficiency in Spanish, French, Arabic, Dari, or Pashto strongly preferred.
* Ability and passion to train and mentor staff with less experience on immigration legal issues.
* Ability and passion to strengthen programs through best practices and innovative approaches.
* Proven understanding of legal ethics standards and ability to instruct others on core principles of legal professional conduct.
* Excellent organizational and time management skills
* Ability to be flexible and work well under pressure in a fast\-paced team environment.
* Previous multi\-cultural experience and proven ability to communicate well with people from diverse backgrounds strongly preferred.
* Proven ability to work effectively as a member of a team and to exercise independent judgment responsibly.
**Certificates Or Licenses**
* Department of Justice accreditation with the IRC required. If DOJ accreditation is not currently held, must be willing/able to pursue and obtain timely accreditation through the IRC.
**Working Environment**
* Standard office environment with occasional participation in community outreach and legal assistance events.
* May require occasional weekend and/or evening work.
**Compensation: (** 
*Pay Range: $77,968\.80 \- $84,000* 
**)** 
 Posted pay ranges apply to US\-based candidates. Ranges are based on various factors including the labor market, job type, internal equity, and budget. Exact offers are calibrated by work location, individual candidate experience and skills relative to the defined job requirements.
**PROFESSIONAL STANDARDS**
 All International Rescue Committee workers must adhere to the core values and principles outlined in IRC Way \- Standards for Professional Conduct. Our Standards are Integrity, Service, Equality and Accountability. In accordance with these values, the IRC operates and enforces policies on Safeguarding, Conflicts of Interest, Fiscal Integrity, and Reporting Wrongdoing and Protection from Retaliation. IRC is committed to take all necessary preventive measures and create an environment where people feel safe, and to take all necessary actions and corrective measures when harm occurs. IRC builds teams of professionals who promote critical reflection, power sharing, debate, and objectivity to deliver the best possible services to our clients.
 Cookies: https://careers.rescue.org/us/en/cookiesettings
 Compensation: Posted pay ranges apply to US\-based candidates. Ranges are based on various factors including the labor market, job type, internal equity, and budget. Exact offers are calibrated by work location, individual candidate experience and skills relative to the defined job requirements.
 US Benefits: We offer a comprehensive and highly competitive set of benefits. In the US, these include: 10 sick days, 10 US holidays, 20\-25 paid time off days depending on role and tenure, medical insurance starting at $163 per month, dental starting at $6\.50 per month, and vision starting at $5 per month, FSA for healthcare and commuter costs, a 403b retirement savings plans with immediately vested matching, disability \&amp; life insurance, and an Employee Assistance Program which is available to our staff and their families to support counseling and care in times of crisis and mental health struggles.
 Equal Opportunity Employer: IRC is an Equal Opportunity Employer. IRC considers all applicants on the basis of merit without regard to race, sex, color, national origin, religion, sexual orientation, age, marital status, veteran status, disability or any other characteristic protected by applicable law.</t>
        </is>
      </c>
    </row>
    <row r="55">
      <c r="A55" t="inlineStr">
        <is>
          <t>li-4368109532</t>
        </is>
      </c>
      <c r="B55" t="inlineStr">
        <is>
          <t>Learning &amp; Accessibility Program Manager</t>
        </is>
      </c>
      <c r="C55" t="inlineStr">
        <is>
          <t>Michigan Medicine</t>
        </is>
      </c>
      <c r="D55" t="inlineStr">
        <is>
          <t>linkedin</t>
        </is>
      </c>
      <c r="E55" t="inlineStr"/>
      <c r="F55" t="inlineStr"/>
      <c r="G55" t="inlineStr">
        <is>
          <t>Ann Arbor, MI</t>
        </is>
      </c>
      <c r="H55" t="inlineStr"/>
      <c r="I55"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The Office of Medical Student Education (OMSE) seeks a Learning \&amp; Accessibility Manager. The candidate will provide expertise, leadership, and service to innovative programs to support medical student academic success and wellbeing. The successful candidate will spearhead programmatic strategies to support learning development, evaluate and identify individual student learning difficulties, and assist students with effective strategies for academic productivity. The candidate will review disability documentation, determine, and coordinate the implementation of appropriate accommodations for medical students who qualify as persons with disabilities under ADAAA, Section 504 and Section 508 of the Rehabilitation Act of 1973\.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PROGRAM DEVELOPMENT AND ADMINISTRATION
* Provide oversight and direction to academic support programs that address professional and personal attributes that contribute to medical student academic success and wellbeing. Act independently and use expertise to administer individualized study plans, pre\-matriculation programs, tutorial support, academic coaching programs, peer\-to\-peer mentoring, and other programs.
* Supervise full\-time Learning \&amp; Disability Coordinator in implementation of disability accommodations, procurement of services, assistive technology, and medical student tutoring program. Complete annual performance evaluations, and guide/recommend professional development opportunities. Supervise 35\+ medical student tutors.
* Lead groups of faculty, staff, and students in the development, planning, implementation, and assessment of existing and new programs for medical students. This includes workshops, courses, seminars focused on board preparation, study skills, and/or clinical skills integration.
* Serve as course director for Trunk Consolidation Course for students preparing for USMLE Step 1 exam.
 ACADEMIC SUPPORT AND ACHIEVEMENT
* Provide continuous academic support and academic counseling for medical students. Meet privately with students to evaluate and support academic performance. As appropriate, identify and/or provide referrals to a network of specialists to further ascertain student learning abilities and difficulties.
* Provide leadership, advocacy, expertise, oversight, and direction to Learning \&amp; Accessibility support programs through partnerships with OMSE leadership, in particular the Assistant Dean, Director of Student Affairs, and Counseling and Advising staff, as well as other entities at the Medical School and campus. Establish programs that address the specific professional and personal attributes contributing to medical student academic success and wellbeing. Act independently and utilize expertise in order to administer individualized study plans, tutorial support, academic coaching programs, peer\-to\-peer mentoring, study skill seminars, and wellness programs.
* Coordinate remediation of medical student gaps in clinical knowledge with clinical faculty as required.
* Serve and participate on medical student Competency Committees.
* Contribute to innovations in the medical student curriculum through work with members of the Office of Medical Student Education.
* Stay abreast of resources and best practices in learning support for medical students through active participation in professional societies and networking.
 DISABILITY SUPPORT SERVICES
* Consult with medical school applicants regarding disability services available within UMMS.
* Review documentation from professionals qualified to diagnose disabilities, including neuropsychologists, medical doctors, and other professionals.
* On a case\-by\-case basis, identify curricular barriers and identify appropriate accommodations. Exercise professional judgement and specialized training to conduct the interactive process required for determining eligibility for disability accommodations in both the didactic and clinical settings.
* Provide ongoing monitoring and collaboration with students with disabilities, faculty, administrators, and staff to ensure effective and seamless implementation of approved accommodations.
* Refer students for neuropsychological testing, psychological, and therapeutic support as required.
* Participate in resolution of any conflict that arises in the implementation of disability accommodations.
* Interpret and apply the UMMS Technical Standards appropriately; with Assistant Dean for Student Affairs, co\-chair Advisory Board for Accommodations and Technical standards (ABATS).
* Advise and assist students in the process of applying for accommodations for USMLE exams; review personal statements, certify initial applications, and provide guidance in the filing of appeals if accommodation requests are denied.
* Engage in outreach and advocacy for students with disabilities.
* Collaborate with Student Accessibility and Accommodation Services and other University groups involved with disability, equity, and inclusion.
* Maintain affiliation and engagement with professional organizations to keep abreast of disability\-related laws and best practices in health sciences higher education; consult with University of Michigan ADA Coordinator and Office of General Counsel as needed.
 Required Qualifications\*
* Master's Degree in relevant social or behavioral science discipline (e.g., Counseling, Education, Psychology).
* At least 5 years of relevant experience working in an educational setting with demonstrable skills in academic and student program development.
* Ability to evaluate learning difficulties, familiarity with diagnostic assessment tools, expertise with developing individual and programmatic interventions to improve learning ability.
* Knowledge of relevant disability laws (ADA, Section s504 and 508 of Rehabilitation Act of 1973\).
* Excellent verbal, written, interpersonal, and organizational skills.
* Proven ability to work well with faculty, students, and staff, and as a member of a team.
* Outstanding attention to detail and project deadlines.
* Proven ability to maintain individual rights to privacy and confidentiality.
 Work Locations
 The Office of Medical Student Education operates in a hybrid work environment consisting of both in\-person and remote work. This position will be classified as a flex position. Onboarding and training will primarily take place in\-person. Thereafter, the selected staff member will be onsite 1\-2 days/week and work with the OMSE \- Student Affairs Director to determine the most effective hybrid work schedule in order to support students, professional development and growth in position, and workplace efficiency.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56">
      <c r="A56" t="inlineStr">
        <is>
          <t>li-4356722452</t>
        </is>
      </c>
      <c r="B56" t="inlineStr">
        <is>
          <t>Principal Product Manager, LLM Innovation</t>
        </is>
      </c>
      <c r="C56" t="inlineStr">
        <is>
          <t>Headspace</t>
        </is>
      </c>
      <c r="D56" t="inlineStr">
        <is>
          <t>linkedin</t>
        </is>
      </c>
      <c r="E56" t="inlineStr"/>
      <c r="F56" t="inlineStr"/>
      <c r="G56" t="inlineStr">
        <is>
          <t>San Francisco, CA</t>
        </is>
      </c>
      <c r="H56" t="inlineStr"/>
      <c r="I56" t="inlineStr">
        <is>
          <t>**About the** 
**Principal Product Manager, LLM Innovation** 
**at Headspace:** 
 We are seeking a Principal Product Manager, LLM Innovation to lead how Large Language Models (LLMs) are applied across Headspace to unlock new product capabilities, elevate member experiences, and drive business impact. Sitting at the intersection of product strategy, AI, and customer needs, this role owns the roadmap for LLM\-driven innovation, guiding cross\-functional teams to explore, validate, and scale generative AI solutions that support personalized care and engagement throughout the wellness journey.
 As the product leader in this space, you will translate emerging LLM opportunities into practical, user\-centered products that align with business goals, accelerate responsible innovation, and position Headspace as a leader in applied generative AI within mental health and well\-being.
**What you will do:** 
* Define and own the vision, strategy, and roadmap for LLM\-based product innovation across Headspace
* Identify, prototype, and validate high\-impact generative AI use cases in partnership with engineering, research, and design
* Translate complex LLM capabilities into intuitive, valuable user experiences
* Drive cross\-functional alignment across product, data science, design, go\-to\-market, and operations
* Establish scalable frameworks, best practices, and reusable systems for LLM integration
* Evaluate external tools, vendors, and partnerships to inform build vs. buy decisions
* Define success metrics and KPIs to ensure LLM initiatives deliver measurable user and business outcomes
* Serve as an internal thought leader and champion for responsible, forward\-looking AI innovation
**What you will bring** 
 :
**Required Skills:** 
* 10\+ years in product management with at least 3\+ years leading 10\+ years of product management experience, including 3\+ years leading AI or machine learning initiatives
* Strong technical fluency in Large Language Models (LLMS), generative AI, natural language processing, and AI\-driven product development
* Proven ability to take emerging technologies from exploration to scalable product impact
* Strategic thinker with the ability to execute, balancing long\-term vision with delivery, user\-first mindset with a track record of translating technical capabilities into customer value
* Exceptional communication and cross\-functional leadership skills
* Strong understanding of the generative AI landscape, including vendors, research trends, and regulatory considerations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**$205,200\-$327,750**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57">
      <c r="A57" t="inlineStr">
        <is>
          <t>li-4368122842</t>
        </is>
      </c>
      <c r="B57" t="inlineStr">
        <is>
          <t>Principal Product Manager, Enterprise</t>
        </is>
      </c>
      <c r="C57" t="inlineStr">
        <is>
          <t>Valence</t>
        </is>
      </c>
      <c r="D57" t="inlineStr">
        <is>
          <t>linkedin</t>
        </is>
      </c>
      <c r="E57" t="inlineStr"/>
      <c r="F57" t="inlineStr"/>
      <c r="G57" t="inlineStr">
        <is>
          <t>San Francisco, CA</t>
        </is>
      </c>
      <c r="H57" t="inlineStr"/>
      <c r="I57"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We’re hiring a Principal Product Manager to lead enterprise engagement at Valence. You’ll act as the GM for our enterprise product surface, owning context, customizations, and features required by the world’s largest organizations. This is not a consumer\-facing role — your mandate is to ensure adoption, retention, and expansion at organizational scale.
 This role demands someone who can operate at the intersection of product vision, customer empathy, and enterprise execution. You’ll take holistic ownership of enterprise metrics, driving the success of our Fortune 500 deployments while shaping how AI coaching scales across the most complex organizations in the world.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industry.What You'll Do
* Act as GM for enterprise engagement, setting the vision for enterprise adoption and retention at organizational scale.
* Lead strategic product direction and roadmap development in close partnership with product and technical leadership.
* Own success metrics end\-to\-end, including activation, engagement, and long\-term retention across large enterprise deployments.
* Personally define, prioritize, and validate hypotheses via fast, data\-driven experiments; craft programs to test, learn, and iterate quickly.
* Spend substantial time in discovery \- from enterprise buyer journeys and process reviews to user interviews and segmentation \- ensuring both enterprise empathy and user insight shape product direction.
* Translate the complexity of Fortune 1000 customer needs into scalable platform features, balancing customization with product cohesion.
* Collaborate across engineering, design, and customer\-facing teams to ensure enterprise processes, change management, and product execution align for successful deployments and expansion.
* Own and execute creative product marketing experiments, including messaging and AI\-assisted approaches, to drive enterprise adoption.
* Lead product teardowns and retrospectives to surface lessons, articulate trade\-offs, and uphold a high bar for product judgment and craft.
 What We're Looking For
* 8\+ years of relevant product management or equivalent operator/technical experience.
* AI Fluency: Proven AI\-native orientation with clear personal/professional use of AI tools, workflow automation, or productized AI practices.
* Enterprise Impact: Direct experience building products for Fortune 1000 organizations, with ownership of adoption, retention, or scale across complex enterprise environments.
* High Velocity Execution: Demonstrated ability to thrive in early\-stage product environments, shipping with minimal process and citing high\-impact outcomes.
* Analytical Rigor: Strong analytical skills including A/B testing, build\-measure\-learn loops, and using data to define and measure enterprise success metrics.
* Product Craft: Drive product excellence by presenting live walkthroughs of shipped products, unpacking decisions that achieved measurable adoption and real\-world results.
* User \&amp; Enterprise Empathy: Deep, intuitive empathy for both individual users and enterprise stakeholders — able to understand motivations and pain points across the org chart, from end\-users to executives, to inform high\-impact product bets.
* Organizational Savvy: Comfort navigating enterprise processes, reviews, and change management, ensuring product delivery drives both user value and enterprise\-scale outcomes.
 What You'll Get
* Ownership \&amp; Rapid Growth
* Outsized missions from day one, with direct responsibility for company\-defining projects
* Work alongside the executive team with transparency into strategy and decision\-making
* Influence on direction through real\-time customer feedback and market insights
**AI\-First Operator** 
 Work directly with cutting\-edge AI models and next\-generation platformsBuild expertise in enterprise AI implementation across Fortune 500 companies and multiple industriesEstablish yourself as a recognized leader among peers in shaping how AI transforms work at a global scale
**Compensation** 
 Competitive salary including base \+ bonusesComprehensive health coverage (medical, dental, vision) from day oneGenerous PTO, company\-wide R\&amp;R shutdowns, and paid parental leaveRetirement plan support for US and global employees
**Equity** 
 Meaningful ownership in a venture\-backed company at a growth inflection pointFinancial upside that comes from scaling fastTop\-up grants as we scale and you deliver exceptional performance — your compensation grows alongside your impact
**Top\-Performing Culture** 
 A culture built for top talent: intensity to win, growth without limits, and a team that solves hard problems and celebrates big wins together
**Learn more about us and meet our team** 
**here** 
 $220,000 \- $320,000 a year
 **Additional Information** 
 The base pay range reflects what our company, in good faith, believes we would offer for this position at the time of posting. Actual offers within this range depend on factors including experience, skills, market competitiveness, and internal equity. Other benefits may apply depending on location and eligibility.
 Our salary range is intentionally broad to accommodate both high\-potential individuals stepping up into this role for the first time and candidates with significant, relevant experience. This flexibility allows us to recognize and reward both emerging and established talent according to contribution, readiness, and fit within our broader compensation philosophy
 **Location and Work Environment** 
 This role can be remote or hybrid. If in NYC role is 3 days a week (Tues \- Thursday) minimum in office in Union Square. Candidates must be comfortable working with colleagues in different time zones (UK), and have valid travel documents without work authorization restrictions for North America and Europe.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\[email protected].We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li-4368142042</t>
        </is>
      </c>
      <c r="B58" t="inlineStr">
        <is>
          <t>Principal Product Manager, Networks</t>
        </is>
      </c>
      <c r="C58" t="inlineStr">
        <is>
          <t>Skylo</t>
        </is>
      </c>
      <c r="D58" t="inlineStr">
        <is>
          <t>linkedin</t>
        </is>
      </c>
      <c r="E58" t="inlineStr"/>
      <c r="F58" t="inlineStr"/>
      <c r="G58" t="inlineStr"/>
      <c r="H58" t="inlineStr"/>
      <c r="I58" t="inlineStr">
        <is>
          <t>**About Skylo**
 Skylo is a global Non\-Terrestrial Network service provider based in Mountain View, CA, offering a service that allows smartphone and IoT cellular devices to connect directly over existing satellites. Skylo’s direct\-to\-device service is now live on millions of activated devices across five continents, with more than 60 million square kilometers of coverage, in partnership with multiple satellite operators, mobile network operators (MNOs), Tier\-1 chipset makers, and OEMs. Devices connected over satellite are managed and served by Skylo's commercial NTN vRAN, featuring a 3GPP standards\-based cloud\-native base station and core. Skylo provides an anywhere, anytime connectivity solution that seamlessly roams between terrestrial and satellite networks. Our focus is on enabling connected services for people outdoors and connected workflows across three main verticals: mass\-market consumer devices, automotive, and industrial IoT.
*This role is located Mountain View, CA* 
*where we are onsite 3 days a week in office.* 
*However we remain open to considering remote arrangements for the right candidate.*
**Summary Of How You Will Impact Skylo**
 Skylo is looking for a Principal Product Manager to define the commercial future of our network. You will be responsible for actively hunting for new market opportunities that our unique technology can unlock. You will sit at the intersection of Skylo’s engineering and the global market. Your mandate is to identify unique technical enablers—such as novel capabilities unlocked by standards in the future, or leverage internal research—and translate them into viable, end\-to\-end products. You will define the What and Why for our next generation of services, driving them from technical possibility to commercial reality across new verticals and unchartered markets.
**How You Will Contribute**
* You will look outward to the market to identify unmet customer needs and map them to Skylo’s emerging technical capabilities. You will identify problems that Skylo’s engineering team has solved and package them into sellable solutions.
* Go beyond established MNO use cases to identify and validate entirely new market verticals. You will take ownership of these new opportunities, driving the execution from the initial paper concept through to the first commercial pilot.
* Define the long\-term architectural path for Skylo’s network. You will evaluate high\-stakes strategic trade\-offs and determine how these choices create unique value propositions for new customer segments.
* Translate commercial objectives into clear engineering problems. You will define what success looks like for new services, moving beyond simple connectivity to define the end\-to\-end product experience, including SLAs, pricing models, and go\-to\-market packaging.
* Close the loop between technical feasibility and market appetite. You will continuously validate R\&amp;D concepts with customers, ensuring we invest engineering resources only in the capabilities that have a clear path to revenue.
**What We Look For**
* 15\+ years of related experience across product management, wireless systems engineering, telco strategy, M(V)NO/Telco ecosystem engagements (or 12\+ years with a Master’s degree).
* You have a track record of transforming technical capabilities (like Telco stacks) into sellable products. You can explain why a feature matters to a customer, not just how it works.
* Experience making complex architectural bets. You can articulate the pros and cons of different network topologies and how they affect the end\-user service experience.
* Expert\-level knowledge of the M(V)NO end\-to\-end stack, roaming interfaces, 3GPP, NTN, D2D with the ability to apply this knowledge for strategic product definition.
* Ability to define key performance indicators (KPIs) for network services and use that data to drive the next generation of product requirements.
**What We Offer**
 With employees working across three continents, Skylo is proud to be an equal opportunity employer dedicated to building an inclusive and diverse workforce. Our worldwide and inclusive culture encourages a flexible approach to work, and we also offer an attractive range benefits such as:
* Competitive compensation packages including a stock option based equity program
* Comprehensive benefits including medical, dental, vision, retirement plan
* Monthly allowances for wellness and education reimbursement
* A generous time off policy, holidays, and the opportunity to temporarily work abroad
* Once in a lifetime opportunity to be a part of developing and running world’s first commercial, live direct\-to\-device satellite network and service
* Access to world\-class team and talent across tech domains: software, hardware, chipsets, telecom, satellite and network virtualization
* Open, transparent, inclusive culture that blends the Silicon Valley, Nordic and South Asia characteristics
**Additional Information**
 The compensation range for this position is dependent on location. These ranges reflects the low and high end of the range Skylo reasonably and generally expects to pay the hired candidate in this role.
* Non–Bay Area (U.S.): $198,160 \- $210,545
* Bay Area, CA: $225,760 \- $239,870
**EEO Statement**
 Skylo is an equal\-opportunity employer and we celebrate diversity. We do not discriminate on the basis of race, religion, color, ancestry, national origin, caste, sex, sexual orientation, parent or caregiver status, political affiliation, gender, gender identity or expression, age, disability, medical condition, pregnancy, genetic makeup, marital status, or military service consistent with applicable federal, state, and local laws.
 We are also committed to providing reasonable accommodations for qualified individuals with disabilities and disabled veterans in our job application procedures. Please let us know if you need assistance or accommodation due to a disability.</t>
        </is>
      </c>
    </row>
    <row r="59">
      <c r="A59" t="inlineStr">
        <is>
          <t>li-4367760914</t>
        </is>
      </c>
      <c r="B59" t="inlineStr">
        <is>
          <t>Lead Product Manager</t>
        </is>
      </c>
      <c r="C59" t="inlineStr">
        <is>
          <t>Vanta</t>
        </is>
      </c>
      <c r="D59" t="inlineStr">
        <is>
          <t>linkedin</t>
        </is>
      </c>
      <c r="E59" t="inlineStr"/>
      <c r="F59" t="inlineStr"/>
      <c r="G59" t="inlineStr"/>
      <c r="H59" t="inlineStr"/>
      <c r="I59"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the Lead Product Manager/Product Owner for Business Systems at Vanta, you are the critical owner of the Salesforce and Go\-to\-Market (GTM) ecosystem. This role serves as the essential bridge between core stakeholders—including Revenue Operations, Finance, Deal Desk, Product, Sales, Marketing, and Legal—and the technology that powers our GTM motion.
 You will define and execute the product strategy, ensuring we are building, maintaining, and continually optimizing the products and processes required for Vanta's effective and scalable growth. Your focus is on maximizing business impact through clear requirements gathering, strategic prioritization, effective resource planning, and clear communication.
 This role will report into the Head of GTM Systems \&amp; Analytics and work closely with our Salesforce Admin \&amp; Developer teams.
**What you’ll do as a Lead Product Manager at Vanta:**
* Lead, Manage, and Develop Your Team: Lead, manage, and coach a team of 3\-5 Product Managers and Business Systems Analysts, driving high\-performance, career development, and strategic hiring to scale the team. Foster a culture of excellence, accountability, and continuous improvement.
* Strategic Roadmap \&amp; Prioritization: Define, own, and communicate the multi\-quarter Business Systems roadmap, focusing on the Salesforce and GTM ecosystem. Continuously assess opportunities, technical feasibility, and business impact to strategically prioritize and sequence the highest\-value work across Sales Cloud, Service Cloud, CPQ, and integrated GTM tools.
* Requirements Gathering \&amp; Solution Design: Serve as the primary product expert, partnering with stakeholders (RevOps, Finance, Deal Desk, etc.) to gather and translate business needs into clear, actionable product requirements and process designs. Proactively identify risks and areas for improvement, driving solutions rather than simply fulfilling requests.
* Delivery Oversight \&amp; Resource Planning: Act as the Scrum Master, leading agile ceremonies (sprint planning, refinement, retrospectives) to maintain a steady delivery cadence. Coordinate and allocate team resources based on capacity and roadmap priorities to ensure successful execution.
* Stakeholder Communication \&amp; Executive Reporting: Ensure absolute clarity on all initiatives by communicating the strategy, value proposition, progress, and impact of Business Systems work to executive stakeholders and cross\-functional partners. Report on system performance, utilization metrics, ROI, and business impact on a regular cadence.
* Platform Ownership \&amp; Governance: Oversee the entire product and process lifecycle within the Salesforce ecosystem, ensuring long\-term maintainability, scalability, and optimal user experience. Establish and maintain system governance frameworks, including security roles, permissions, compliance standards, and data quality protocols.
* Change Management \&amp; User Adoption: Drive change management initiatives to ensure high user adoption, satisfaction, and effective training programs. Partner with enablement teams to deliver comprehensive onboarding and ongoing support.
* Integration \&amp; Technical Excellence: Oversee integrations between Salesforce and the broader GTM tech stack (Outreach, LeanData, Gong, Clari, HubSpot, Catalyst, etc.), ensuring seamless data flow, API management, and system reliability.
* Data \&amp; Metrics Leadership: Establish and track KPIs and metrics that measure system performance, business impact, and team effectiveness. Use data analysis and reporting to back up assumptions, recommendations, and drive strategic actions.
**How to be successful in this role:**
* Experience: 5\+ years of experience in product management, business systems, or revenue operations, with a proven track record in B2B SaaS environments.
* People Leadership: 2\+ years of people management experience leading product managers or business systems analysts, including direct experience hiring, developing talent, and managing team performance.
* Salesforce Expertise: Deep hands\-on experience with Salesforce platform and GTM tools, including core concepts such as flows, validation rules, custom objects, process automation, and data modeling. Salesforce certifications (Admin, Platform App Builder, or equivalent) strongly preferred.
* Product \&amp; Technical Knowledge: Strong understanding of Salesforce modules (Sales Cloud, CPQ) and experience with Quote\-to\-Cash, Contract Lifecycle Management, Entitlement Management, and SaaS/Subscription business models.
* Roadmap \&amp; Strategy: Strong experience owning and communicating multi\-quarter product roadmaps to senior stakeholders and executive leadership.
* Agile Leadership: Hands\-on experience leading agile teams, including sprint planning, backlog refinement, and retrospectives.
* GTM Technology Stack: Proven experience with modern GTM tools and platforms (e.g., Outreach, LeanData, Gong, Clari, HubSpot, Marketo, Gainsight, etc.) and managing complex integrations across these systems.
* Data \&amp; Analytics: Strong data and analytics skills, with the ability to establish KPIs, create meaningful reports, and use metrics to drive decision\-making and business outcomes.
* Stakeholder Management: Proven ability to balance competing priorities, make trade\-offs, and drive alignment across cross\-functional teams at all levels of the organization.
* Communication: Excellent written and verbal communication skills, with the ability to translate complex system work into clear business outcomes and influence stakeholders without direct authority.
* Change Management: Demonstrated success driving change management initiatives and ensuring high user adoption of new systems and processes.
* Emerging Technologies: Familiarity with AI/automation technologies in the Salesforce ecosystem (Einstein, agentic AI, workflow automation) is a plus.
* Education: Bachelor's degree in Business, Computer Science, or related field, or equivalent practical experience.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60">
      <c r="A60" t="inlineStr">
        <is>
          <t>li-4367759856</t>
        </is>
      </c>
      <c r="B60" t="inlineStr">
        <is>
          <t>Product Manager</t>
        </is>
      </c>
      <c r="C60" t="inlineStr">
        <is>
          <t>RemoteHunter</t>
        </is>
      </c>
      <c r="D60" t="inlineStr">
        <is>
          <t>linkedin</t>
        </is>
      </c>
      <c r="E60" t="inlineStr"/>
      <c r="F60" t="inlineStr"/>
      <c r="G60" t="inlineStr"/>
      <c r="H60" t="inlineStr"/>
      <c r="I60" t="inlineStr">
        <is>
          <t>About the Opportunity:
 The organization is a leading broad line distributor operating primarily in North America, Japan, and the United Kingdom. It serves millions of customers worldwide by providing maintenance, repair, and operating (MRO) products and services, including technical support and inventory management. The role of Product Manager focuses on guiding and developing generative AI solutions for deployment within the customer service center, contributing to the product vision and roadmap with a high degree of ownership over key features and the customer experience. The position involves collaboration with engineering, design, and operations teams within a matrix organization.
 Responsibilities:
 • Strategize, plan, and develop software related to generative AI and machine learning strategy.
 • Develop business plans using data to make recommendations that create competitive advantage.
 • Conceptualize customer and internal team member needs and build product roadmap and requirements.
 • Lead teams of software engineers, data engineers, and ML scientists by providing business context and establishing shared ownership of outcomes.
 • Lead software development activities including management, deployment, troubleshooting, and administration of new features.
 • Lead, communicate, and coordinate product launches across business, product, and engineering teams considering schedule, risk, and tradeoffs.
 • Facilitate product review discussions with C\-suite executives tailored to the audience.
 • Partner with analytics, UX, peer product managers, and operational business leaders to deliver quality capabilities and measure growth.
 Requirements:
 • Demonstrated experience designing solutions to complex problems by conceptualizing, building, or substantially modifying enterprise internal tools or external websites, preferably for B2B customers. Experience with AI and ML solutions strongly desired.
 • 7\+ years of product management or related experience, including leading agile sprint teams and working with design, analytics, and business partners.
 • Continuous improvement mindset with up\-to\-date technology knowledge.
 • Ability to guide team members to accomplish outcomes.
 • Ability to operate effectively with ambiguity and within a matrix organization under tight schedules.
 • Strong problem\-solving, planning, and creative time management skills, with a high degree of ownership and ability to influence teams to act urgently.
 • Analytical skills with the ability to use data metrics to support business cases for executive leadership and business partners.
 • Bachelor’s degree in computer science, engineering, science, math, or related field; Master’s or MBA preferred.
 Benefits \&amp; Perks:
 • Medical, dental, vision, and life insurance with coverage starting on day one.
 • Six free therapy sessions annually with a licensed therapist for emotional wellbeing.
 • 18 paid time off days annually for full\-time employees, prorated based on start date.
 • Six company holidays per year.
 • 6% company contribution to a 401(k) Retirement Savings Plan each pay period without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Compensation:
 • Anticipated base pay range for this position is $110,500\.00 to $184,100\.00\.
 • Actual compensation depends on geographic location, relevant experience, and skills.
 • Compensation range is subject to change and may be higher or lower than stated.
 • The organization reserves the right to amend or terminate compensation and benefit programs at its discretion in accordance with applicable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1">
      <c r="A61" t="inlineStr">
        <is>
          <t>li-4368128431</t>
        </is>
      </c>
      <c r="B61" t="inlineStr">
        <is>
          <t>Product Manager, Functional Test</t>
        </is>
      </c>
      <c r="C61" t="inlineStr">
        <is>
          <t>Circuit Check Inc.</t>
        </is>
      </c>
      <c r="D61" t="inlineStr">
        <is>
          <t>linkedin</t>
        </is>
      </c>
      <c r="E61" t="inlineStr"/>
      <c r="F61" t="inlineStr"/>
      <c r="G61" t="inlineStr">
        <is>
          <t>Maple Grove, MN</t>
        </is>
      </c>
      <c r="H61" t="inlineStr"/>
      <c r="I61" t="inlineStr">
        <is>
          <t>**About The Job**
**Who we are:**
 Circuit Check is a global leader in automated test systems for complex electronics. Our
 **Technology and Solutions Group (TSG)** 
 is driving innovation across hardware, software, and data to define the next generation of intelligent, scalable test platforms.
 We’re seeking a
 **Product Manager, Functional Test** 
 who will own the definition and evolution of Circuit Check's functional test platform \- bringing together instrumentation, control software, and system integration into a cohesive, scalable offering for our customers.
 This role requires both technical depth and commercial insight: someone who understands ATE design, customer production challenges, and how to convert engineering capability into standardized, repeatable test solutions.
 Our design staff includes electrical, software, mechanical engineers, and project managers. Our systems are supported by staff throughout the United States, Canada, Mexico, Europe, Malaysia, and China.
**Position Summary**
 The Product Manager, Functional Test will serve as the architect and champion of Circuit Check's custom test system development platform, ensuring that our tools, architectures, and processes deliver consistent performance and reliability across industries. You will work closely with design engineers, system integrators, and customers to define our standard toolset and hardware platform, balancing innovation with manufacturability and supportability.
 This position is ideal for someone who thrives at the intersection of engineering, product strategy, and customer engagement \- with approximately 25% travel to customer sites,, vendors, and Circuit Check facilities.
**Key Responsibilities**
* Platform Ownership: Define and maintain the roadmap for Circuit Check’s functional test system platform, including instrumentation, hardware interfaces, and software architecture
* Customer Engagement: Collaborate directly with customers to understand testing needs, production environments, and industry trends, translating insights into platform improvements
* System Integration: Lead cross\-functional efforts to align mechanical, electrical, and software teams around a unified architecture for test solutions
* Toolset Development: Standardize and continuously improve Circuit Check’s toolset for ATE system development, from hardware frameworks to software integration and documentation
* Technology Evaluation: Assess and integrate technologies from National Instruments, Rohde \&amp; Schwarz, Keysight, and Tektronix, as well as test executives (e.g., LabVIEW/TestStand) and emerging automation tools
* Quality \&amp; Scalability: Ensure that test platforms meet the highest standards for reliability, maintainability, and calibration traceability
* Training \&amp; Evangelism: Act as an internal and external advocate for functional test excellence — enabling sales, training engineers, and supporting customers.
**Required Qualifications**
* Bachelor’s degree in electrical engineering, computer engineering, or related technical field
* Minimum 5 years of experience in functional test or ATE system design, integration, or product management
* Deep familiarity with instrumentation from National Instruments, Rohde \&amp; Schwartz, Keysight, and Tektronix
* Demonstrated experience with LabVIEW, TestStand or other Test Executive environments
* Proven ability to synthesize information from engineering, customer feedback, and market trends into coherent product direction
* Excellent communication skills and the ability to work cross\-functionally with design, manufacturing, and commercial teams
* Willingness to travel approximately 25% for customer collaboration and platform deployment.
**Preferred Attributes**
* Experience building or managing modular test platforms for high\-mix or high\-reliability electronics
* Understanding of calibration, traceability, and compliance standards (ISO, IPC, MIL\-STD, etc.)
* Demonstrated ability to mentor teams on test strategy, fixture design, or measurement best practices
* Strong customer orientation and ability to translate complex engineering concepts into business value
* Strong systems thinking and ability to bridge business needs with technical design
* Clear communicator who thrives in a cross\-functional engineering culture.
**Pay And Benefits**
 CCI is committed to offering competitive pay and benefits, including, but not limited to:
* Flexible work hours
* Paid Time Off (PTO) and Paid Holidays
* Medical, Dental, and Vision Insurance Plans
* HSA and FSA
* Life Insurance
* 401(k) with match
* Tuition Reimbursement
* Pet Insurance
* Identity Theft Insurance
* Medical Bridge/Critical Care/Cancer/Accident Insurance
*This job description reflects management’s assignment of key responsibilities; it does not prescribe or restrict the tasks that may be assigned.*
 Individual base pay is based on various factors, including work location, relevant experience and skills, the responsibility of the role, and job duties/requirements. For this role, our current pay range is $120,000 \- $200,000\.
 Listed range represents the full earning potential in this position. Starting salaries for well\-qualified new hires are typically around the midpoint of the range. This range was determined by a market\-based compensation approach; we used data from trusted third\-party compensation sources to set equitable, consistent, and competitive ranges. We also evaluate compensation annually, identify any changes in the market and make adjustments to our ranges and existing employee compensation as needed.
 Base pay is only one element of an employee's total compensation at Circuit Check. Employees (and their dependents in most plans) are covered by medical, dental, vision, basic life, short\- and long\-term disability and accidental death and dismemberment insurance. Employees are able to enroll in Circuit Check’s 401k plan, in which the Company will match 50% of your contributions up to 6% with a maximum contribution. Paid time off includes vacation and sick time along with paid holidays. A summary of benefits can be provided by request via email to hr@circuitcheck.com.
 Circuit Check, Inc. is proud to be an Equal Opportunity Employer. We do not discriminate based on identity, race, color, religion, national origin or ancestry, sex (including sexual identity), age, physical or mental disability, pregnancy, veteran or military status, genetic information, sexual orientation, marital status, or any other legally recognized protected basis under federal, state, or local law. Because Circuit Check is a federal contractor, we participate in the E\-Verify program in certain locations, as required by law. Applicants must be legally authorized to work in the United States without needing sponsorship for an employment visa (e.g., H1B status).
 If you need a reasonable accommodation for any part of the employment process, please contact us by email at hr@circuitcheck.com and let us know the nature of your request and your contact information. We'll do all we can to ensure you're set up for success during our interview process while upholding your privacy, including requests for accommodation.</t>
        </is>
      </c>
    </row>
    <row r="62">
      <c r="A62" t="inlineStr">
        <is>
          <t>li-4367766340</t>
        </is>
      </c>
      <c r="B62" t="inlineStr">
        <is>
          <t>Sr. Principal Product Manager - Scorpio</t>
        </is>
      </c>
      <c r="C62" t="inlineStr">
        <is>
          <t>Astera Labs</t>
        </is>
      </c>
      <c r="D62" t="inlineStr">
        <is>
          <t>linkedin</t>
        </is>
      </c>
      <c r="E62" t="inlineStr"/>
      <c r="F62" t="inlineStr"/>
      <c r="G62" t="inlineStr">
        <is>
          <t>San Jose, CA</t>
        </is>
      </c>
      <c r="H62" t="inlineStr"/>
      <c r="I62" t="inlineStr">
        <is>
          <t>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end\-to\-end scale\-up, and scale\-out connectivity. The company’s custom connectivity solutions business complements its standards\-based portfolio, enabling customers to deploy tailored architectures to meet their unique infrastructure requirements. Discover more at www.asteralabs.com.
 Are you passionate about creating differentiated products and working with hyperscale and AI platform providers to deploy the next generation of data center infrastructure?
 We are seeking a highly technical and experienced product manager to join our team at Astera Labs. As a key member of our product management team, you will work closely with customers, product marketing and other cross\-functional teams to define and deliver competitive silicon, hardware and software solutions. With high visibility to the executive team and customers, this role requires strong leadership and communication skills, and a blend of technical expertise and market insight within your product domain.
 This is a unique opportunity to play a pivotal role in the success of our Scorpio Smart Fabric Switch portfolio. We are scaling our product team to support our worldwide customers, offering ample opportunities for growth and advancement within the product team.
 Based in San Jose, CA or Vancouver, BC, this position requires an in\-person presence with travel to customers.
**Key Responsibilities** 
* Own product definition: Define detailed product requirements and prioritize features, enhancements, and bug fixes based on business goals and customer feedback.
* Lead customer technical engagement: Work closely with lighthouse customers to translate their needs to competitive product requirements and secure new design\-wins throughout the product lifecycle.
* Support go\-to\-market: Leverage technical and product expertise to support product marketing and corporate marketing teams on go\-to\-market planning and execution, sales enablement, competitive analysis, and product positioning.
* Lead product planning: Work closely with product marketing to translate product strategy into executable product plans and collaborate with Astera Labs cross\-functional teams to drive products from ideation to launch.
**Qualifications**
* Bachelor’s degree in engineering or compute science
* 5\-10 years of experience in product management, technical product marketing, applications or other customer\-facing product roles within the semiconductor industry
* Proven track record of defining and launching successful semiconductor products (switch products are a plus)
* Deep understanding of high\-speed protocols (PCIe/CXL and/or UALink are required; Ethernet and other protocols are a plus) and system architectures used in cloud and AI infrastructure
* Strong strategic thinking and analytical skills, with the ability to translate customer pain points into competitive products
* Excellent communication and presentation skills, with the ability to articulate complex technical concepts in a clear and compelling manner
* Proven ability to collaborate effectively with cross\-functional teams and drive consensus in a fast\-paced, dynamic environment
* Results\-oriented mindset with a focus on driving measurable impact and achieving business objectives
* Experience working with customers and partners to understand their needs and drive product definition
* Willingness to travel as needed for customer meetings, industry events, and trade shows
 If you are passionate about driving innovation and shaping the future of data center connectivity through world\-class products, we encourage you to apply. Join Astera Labs in unleashing the potential of cloud and AI infrastructure!
 Compensation will be based on leveling and experience. Base Salary Range $210,000 \- $255,000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row>
    <row r="63">
      <c r="A63" t="inlineStr">
        <is>
          <t>li-4367749854</t>
        </is>
      </c>
      <c r="B63" t="inlineStr">
        <is>
          <t>Senior Product Manager, Marketplace Growth</t>
        </is>
      </c>
      <c r="C63" t="inlineStr">
        <is>
          <t>RemoteHunter</t>
        </is>
      </c>
      <c r="D63" t="inlineStr">
        <is>
          <t>linkedin</t>
        </is>
      </c>
      <c r="E63" t="inlineStr"/>
      <c r="F63" t="inlineStr"/>
      <c r="G63" t="inlineStr"/>
      <c r="H63" t="inlineStr"/>
      <c r="I63" t="inlineStr">
        <is>
          <t>About the Organization:
 The organization is building America’s first AI\-powered super app to simplify car ownership. It aims to redefine how people manage one of their most expensive and time\-consuming assets. The app is the top\-rated and most downloaded in its category with a 4\.7\-star rating in the App Store and over 5 million users. It helps customers find better auto insurance and plans to expand its offerings.
 About the Opportunity:
 A Senior Product Manager is needed to own marketplace growth and automation products. These systems enable the delivery of accurate, low\-cost quotes quickly. The role involves scaling systems, establishing new integrations with top carriers, improving data quality, and enhancing the quoting experience.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Identify opportunities to use AI and automation to reduce maintenance costs and improve system resilience.
 Requirements:
 • 4\+ years of experience in management consulting, technical product management, data analytics, or operations at a fast\-paced startup.
 • Strong technical and systems thinking skills; able to translate complex ideas into simple terms.
 • Data\-driven with the ability to independently analyze data.
 • Metric ownership mindset with a focus on continuous improvement.
 • Passionate about AI and experienced in leveraging it for automation and personalized customer communications.
 Benefits \&amp; Perks:
 • Comprehensive benefits package including health, dental, and vision coverage.
 • Paid time off and paid parental leave.
 • 401(k) plan with employer matching.
 • Wellness benefits.
 • Equity opportunities may be offered.
 • Note: Part\-time, contract, or freelance roles may have limited benefits eligibility.
 Compensation:
 • Starting pay within the posted range, based on skills, experience, qualifications, work location, and market factors.
 • Compensation may include equity grants.
 • Pay ranges are market\-dependent and subject to change.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li-4367753990</t>
        </is>
      </c>
      <c r="B64" t="inlineStr">
        <is>
          <t>Senior Product Manager (Viral Delivery)</t>
        </is>
      </c>
      <c r="C64" t="inlineStr">
        <is>
          <t>Takara Bio USA, Inc.</t>
        </is>
      </c>
      <c r="D64" t="inlineStr">
        <is>
          <t>linkedin</t>
        </is>
      </c>
      <c r="E64" t="inlineStr"/>
      <c r="F64" t="inlineStr"/>
      <c r="G64" t="inlineStr">
        <is>
          <t>San Jose, CA</t>
        </is>
      </c>
      <c r="H64" t="inlineStr"/>
      <c r="I64" t="inlineStr">
        <is>
          <t>**Job Title: Senior Product Manager (Viral Delivery)**
 Reports to: Director, Product and Market Strategy – Molecular \&amp; Cellular Biology Solutions
 FLSA Class: Exempt
**Learn more about our company and how we support you:**
 Takara Bio USA (TBUSA) empowers life science discovery. We bring innovation and inspiration to every scientist \- promoting discoveries that improve health and the environment. We hold values that all employees and prospective candidates should demonstrate: Innovation, Teamwork, Integrity, Respect, Growth, Diversity and Quality. We value helping employees develop their skills and you will be part of this journey!
 At Takara Bio, we know that every experimental decision has an impact. Choices matter, from design to data analysis. We create best\-in\-class products that get the job done. In your hands, what do those research reagents and kits create? Something powerful: knowledge, understanding, and—often—hope! Together we can improve the human condition through biotechnology…and That's Good Science!
**How this role drives the company forward:**
 The Senior Product Manager is a skilled technical leader responsible for guiding and managing a product portfolio throughout its life cycle. They drive successful product launches, develop effective go\-to\-market strategies, design and implement promotional activities to drive sales growth, and equip the global sales team with the training they need to succeed. The Senior Product Manager makes informed decisions on product direction, market positioning, and pricing, while creating clear, impactful marketing content for use across multiple channels. They also prepare presentations and reports that keep stakeholders aligned on the progress of both new and existing products. Success in this role requires curiosity, strong technical understanding, clear communication, and strong writing skills. The Senior Product Manager brings clarity, structure, and momentum to a strategically important product area that shapes our business.
 The Senior Product Manager role is office\-based.
 Approximately 15% travel may be required.
**How you will make an impact:**
 We are seeking a highly motivated and experienced Senior Product Manager to join our growing Product Management team. In this role, you will be responsible for managing Takara Bio’s Viral Delivery portfolio, which includes retroviral, lentiviral, adenoviral, and adeno\-associated (AAV) tools and technologies and RetroNectin. The ideal candidate will have extensive technical knowledge and hands\-on experience with cell and gene therapy workflows and CAR\-T therapies. This includes performing these workflows during graduate and/or postdoctoral training and having prior product management experience at a life science company focused on cell and gene therapy applications. In this role, you will demonstrate a creative approach to drive results and build relationships with colleagues in operations, R\&amp;D, sales, and marketing. Ideally, this candidate will also have experience managing and mentoring junior team members. In summary, this is an ideal role for someone with substantial product management experience to take ownership of a highly innovative, strategically important product portfolio with immense growth potential and deliver high\-quality results to drive the business's success.
**What will you do:**
* Manage a portfolio of viral delivery products and ensure their commercial success.
* Develop and implement the annual tactical marketing plan to grow sales.
* Conduct outbound marketing activities to advertise our product portfolio and expertise to target customers using a combination of email, search engine, and social media marketing platforms.
* Plan and run integrated marketing campaigns, analyze their effectiveness, and present conclusions to stakeholders.
* Partner with the R\&amp;D team on key product life cycle decisions, including new product launches, discontinuations, or product improvements.
* Independently develop a portfolio of sales support tools that includes, but is not limited to, customer\-facing presentations, battle and cue cards, testimonials, and citations.
* Gain voice of customer information from surveys and customer discovery calls.
* Use voice of customer data from the strategy team to develop web content and other tools that communicate the value proposition directly to customers.
* Work closely with Sales to fill the sales funnel and get regular and complete feedback from customers.
* Organize and lead regular tactical marketing meetings to track sales and deliver against product budget.
* Train junior members on the essential functions of product management.
* May have supervisory responsibilities for junior members of the Product Management team.
**How will you get here?**
* Requires a Ph.D. in biological sciences or related discipline; M.S. will be considered.
* Requires a minimum of 3 years postgraduate laboratory experience.
* A minimum of 6 years of Product Management experience.
* Advanced knowledge of Product Management functions, with hands\-on experience managing viral delivery products.
* Advanced proficiency in presenting, written, and verbal communication skills is required.
* Advanced experience with Microsoft Office.
* Must be detail\-oriented and have strong organizational and time management skills.
* Demonstrated ability to work as part of a team is required.
* Independence to manage work and lead projects.
* Ability to assist and train junior members of the team.
**AAP/EEO Statement:**
 Takara Bio USA, Inc.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
**Additional Information about the role:**
 Please note this job description may not cover or contain a comprehensive listing of activities, duties or responsibilities that are required of the employee for this job. Duties, responsibilities and activities may change at any time with or without notice. The US base salary range for this full\-time position, expected to be located in San Jose, CA, is $170,000 \- $185,000 USD. This range may be modified at any time at our sole discretion. This base salary does not include additional bonus compensation and benefits. Learn more about benefits at https://www.takarabio.com/about/careers/company\-benefits.
 **Individual compensation packages are based on factors unique to each candidate, including job\-related skills, training, experience, qualifications, work location, and market conditions.**</t>
        </is>
      </c>
    </row>
    <row r="65">
      <c r="A65" t="inlineStr">
        <is>
          <t>li-4368142118</t>
        </is>
      </c>
      <c r="B65" t="inlineStr">
        <is>
          <t>Group Product Manager, Grocery &amp; Retail Advertising</t>
        </is>
      </c>
      <c r="C65" t="inlineStr">
        <is>
          <t>Uber</t>
        </is>
      </c>
      <c r="D65" t="inlineStr">
        <is>
          <t>linkedin</t>
        </is>
      </c>
      <c r="E65" t="inlineStr"/>
      <c r="F65" t="inlineStr"/>
      <c r="G65" t="inlineStr">
        <is>
          <t>San Francisco, CA</t>
        </is>
      </c>
      <c r="H65" t="inlineStr"/>
      <c r="I65" t="inlineStr">
        <is>
          <t>**Group Product Manager, Grocery \&amp; Retail Ads**
**About The Role**
 Uber Eats is expanding its mission to help consumers discover and purchase anything they need\-and
 **grocery and retail are at the center of that growth** 
 . Advertising is a critical lever in enabling merchants to scale and helping consumers find the right items at the right moment. We're looking for a visionary and strategic product leader to shape the future of
 **grocery and retail advertising** 
 across the Uber Eats ecosystem.
 As a
 **Group Product Manager for Grocery \&amp; Retail Ads** 
 , you will own the end\-to\-end ad experience for both shoppers and merchants. You will define how ads appear, how they perform, how they are measured, and how they contribute to a healthy marketplace that serves millions of customers each day. You'll set long\-term strategy, drive alignment across the Ads, Grocery, Retail, and Consumer organizations, and lead a team responsible for bringing that strategy to life.
 You will collaborate deeply with Product Design, Data Science, Engineering, Ads Operations, Sales, UXR, and regional business teams. Your work will rely on rich shopper insights, merchant feedback, experimentation, and a strong understanding of ad systems. You'll combine product intuition with analytical rigor to build an ads ecosystem that delivers value to merchants while creating a delightful and relevant experience for consumers.
 This role requires an owner's mindset, a high bar for quality, and the passion to build a world\-class grocery and retail ads platform.
 **What the Candidate Will Do**
* Own the end\-to\-end strategy for grocery \&amp; retail ads, including sponsored listings, on\-site ad formats, discovery surfaces, and placement opportunities across the Uber Eats app.
* Identify, design, and launch new advertising surfaces and formats that enhance shopper discovery while driving incremental value for grocery and retail merchants.
* Partner with Ads Engineering, Data Science, and Applied ML to improve ad ranking, targeting, bidding, and relevance models to ensure ads are high\-quality and contextually useful.
* Develop and maintain a multi\-quarter roadmap that advances the scalability, performance, and user experience of the grocery \&amp; retail ads ecosystem.
* Lead a rigorous experimentation program across ad placements, auction mechanics, creative formats, and bidding strategies to validate impact and strengthen marketplace quality.
* Define and track core metrics for ads success\-including advertiser ROI, ad quality, shopper engagement, and revenue\-and use them to guide decisions and prioritization.
* Collaborate with Ads Sales and Merchant teams to understand advertiser needs, improve onboarding and performance, and translate merchant insights into product direction.
* Elevate the consumer ad experience by ensuring ads are relevant, trustworthy, high\-quality, and seamlessly integrated into the shopper journey.
* Work cross\-functionally with Design and UXR to develop intuitive ad experiences that drive clarity, performance, and long\-term trust.
* Align teams across Ads, Grocery/Retail, Consumer, Marketplace, and regional operations around a coherent ads vision and execution plan.
* Identify and mitigate risks across ad load, marketplace balance, consumer trust, compliance, and merchant performance.
* Champion ads quality and integrity, ensuring we scale monetization responsibly while maintaining an excellent consumer experience.
**Basic Qualifications**
* 8\+ years of Product Management experience delivering highly successful, user\-facing products at scale.
* Experience owning and driving strategy for complex systems\-preferably in ads, marketplaces, or multi\-sided platforms.
* Strong analytical capabilities, including experiment design, metrics definition, and proficiency with data tools.
* Deep customer obsession and demonstrated ability to simplify complex problems into elegant, intuitive experiences.
* Proven success scaling products and owning business outcomes in high\-growth environments.
* Experience leading cross\-functional teams across multiple geographies.
**Preferred Qualifications**
* A Driver" mindset\-biased toward action, comfortable with ambiguity, and excellent at clarifying complexity.
* High standards for product quality, with strong attention to detail across UX, data accuracy, and execution.
* Ability to independently pull, analyze, and synthesize data to tell compelling stories and drive decision\-making.
* Experience with advertising ecosystems, including sponsored listings, ranking models, auction dynamics, advertiser measurement, or performance optimization.
* Passion for building the future of grocery \&amp; retail commerce and contributing to Uber's mission.
* A growth mindset and relentless desire to learn, improve, and push the product forward.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6">
      <c r="A66" t="inlineStr">
        <is>
          <t>li-4367782019</t>
        </is>
      </c>
      <c r="B66" t="inlineStr">
        <is>
          <t>Product Manager II (This is NOT a technical role)</t>
        </is>
      </c>
      <c r="C66" t="inlineStr">
        <is>
          <t>ITW</t>
        </is>
      </c>
      <c r="D66" t="inlineStr">
        <is>
          <t>linkedin</t>
        </is>
      </c>
      <c r="E66" t="inlineStr"/>
      <c r="F66" t="inlineStr"/>
      <c r="G66" t="inlineStr">
        <is>
          <t>Glenview, IL</t>
        </is>
      </c>
      <c r="H66" t="inlineStr"/>
      <c r="I66" t="inlineStr">
        <is>
          <t>**Job Description:** 
**ITW Power Nailing** 
 , a division within the Construction Products segment, is a global provider of premium nailing and fastening solutions. Our products are engineered to improve contractor productivity and elevate building quality across both new residential construction and remodeling projects. With trusted, category\-defining brands like
 **Paslode** 
 , we set the standard in wood\-to\-wood fastening systems—delivering performance, reliability, and productivity that professionals count on.
 ITW offers you a path for advancement, a competitive salary, and a comprehensive benefits package designed to help employees care for themselves, their families, and their futures. Our Glenview office has a free onsite fitness center, active employee resource groups, corporate discounts, and much more. We are just one block away from the Golf Metra station and quick train ride to downtown Chicago.
**Purpose of the Role** 
 The Product Manager will set strategy, drive innovation, and oversee profitability across their product categories. As the owner of the full product lifecycle, you will collaborate with all functional teams within the division. You will serve as the category leader, responsible for managing the entire product portfolio.
 We’re seeking business\-minded professionals who excel at problem\-solving, communicate effectively, and thrive in entrepreneurial environments. Success in this role requires leveraging the ITW Business Model—focusing on end\-user\-driven product development, applying 80/20 prioritization, and simplifying processes—to drive sustainable growth across product categories.
**Key Responsibilities** 
* **Customer Back Innovation:** 
 Execute the new product development roadmap to seize key market opportunities. Champion the Customer Back Innovation stage gate process through effective collaboration. You will oversee new product rollout efforts including forecasting volumes, end user validation, integrated marketing planning as well as sales and channel training.
* **End User Intimacy** 
 : Gain strong understanding of voice of customer through qualitative and quantitative market research that drive product strategy and development. You will lead end user segmentation to ensure proper targeting and prioritization
* **Product Portfolio Management** 
 :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The Product Manager will own the P\&amp;L for their product categories and deliver on key metrics by utilizing key performance indicators.
* **Market Landscape:** 
 The Product Manager will build a full understanding of the market dynamics including customer and end user trends, competitive trends and actions and will drive market sizing efforts to ensure focus on addressable market, including the strengths and weaknesses of our competitors’ products/brands.
**Required Qualifications** 
* Bachelor’s Degree required in business, engineering, marketing, or comparable discipline
* 3\+ years of marketing experience
* 2\+ years of product management experience and product development experience, from inception to product introduction
* Ability to analyze financial results and new market opportunities
* Proficient in Excel, Word and Power Point
* The ability to travel is approximately 20%
**Preferred Qualifications** 
* MBA or master’s degree
* Full product lifecycle management experience
* Experience with durable goods
* Strong team/project management, communications, and presentation skills
* Proven ability to influence cross\-functional teams without formal authority
* Ability to maintain a keen attention to detail, multitask and work well under pressure
*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$115,000 to $130,000 plus annual performance bonus.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67">
      <c r="A67" t="inlineStr">
        <is>
          <t>li-4367757858</t>
        </is>
      </c>
      <c r="B67" t="inlineStr">
        <is>
          <t>Senior Product Manager, AI Powered Messaging</t>
        </is>
      </c>
      <c r="C67" t="inlineStr">
        <is>
          <t>RemoteHunter</t>
        </is>
      </c>
      <c r="D67" t="inlineStr">
        <is>
          <t>linkedin</t>
        </is>
      </c>
      <c r="E67" t="inlineStr"/>
      <c r="F67" t="inlineStr"/>
      <c r="G67" t="inlineStr"/>
      <c r="H67" t="inlineStr"/>
      <c r="I67" t="inlineStr">
        <is>
          <t>About the Organization:
 This organization is developing America’s first AI\-powered super app to simplify car ownership. It redefines how people manage owning a car, one of their most expensive and time\-consuming assets. Rated \#1 and most downloaded in its category with a 4\.7 star rating in the App Store, it serves over 5 million users and has helped millions find better auto insurance.
 About the Opportunity:
 • Own the AI\-driven communications product within the organization.
 • Increase AI\-handled customer requests from 70% to over 90% while improving satisfaction and conversion.
 • Scale messaging infrastructure across SMS, in\-app chat, email, and voice.
 • Collaborate with Product, Engineering, and Data Science teams to create engaging AI interactions.
 • Analyze data to prioritize improvements in core messaging systems.
 • Identify bottlenecks to improve prompt engineering and guide the technical roadmap.
 • Stay updated on AI trends and technologies to inform strategic decisions.
 Requirements:
 • 5\+ years experience in management consulting, technical product management, data analytics, or operations in a fast\-paced startup.
 • Strong technical understanding and systems thinking with ability to simplify complex ideas.
 • Data\-driven with ability to independently analyze and interpret data.
 • Metric ownership mindset with continuous improvement focus.
 • Passionate about AI, experienced in using it for automation, and eager to leverage it for personalized customer communications at scale.
 Benefits \&amp; Perks:
 • Comprehensive health, dental, and vision coverage.
 • Paid time off and paid parental leave.
 • 401(k) plan with employer matching.
 • Wellness benefits.
 • Equity opportunities may be included.
 Compensation:
 • Starting pay will fall within the listed range based on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8">
      <c r="A68" t="inlineStr">
        <is>
          <t>li-4367768021</t>
        </is>
      </c>
      <c r="B68" t="inlineStr">
        <is>
          <t>Product Manager I - Generic Injectables On Market Portfolio</t>
        </is>
      </c>
      <c r="C68" t="inlineStr">
        <is>
          <t>B. Braun Medical Inc. (US)</t>
        </is>
      </c>
      <c r="D68" t="inlineStr">
        <is>
          <t>linkedin</t>
        </is>
      </c>
      <c r="E68" t="inlineStr"/>
      <c r="F68" t="inlineStr"/>
      <c r="G68" t="inlineStr">
        <is>
          <t>Bethlehem, PA</t>
        </is>
      </c>
      <c r="H68" t="inlineStr"/>
      <c r="I68"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**Responsibilities: Essential Duties**
* Manages overall profitability of complex product line (large dollar volume, major product development).
* Responsible for the development, implementation and control of marketing programs to maintain and increase market share and profits.
* Develops and administers launch plans for new or revised products, creates and administers strategies for increasing market share of existing products, and assists in retirement and communication planning for product decommissioning. \-Evaluates performance of marketing initiatives and revises strategy in response.
* Participates in planning of sales promotions or other special events, such as conferences, trade shows,or user meetings.
 The job function listed is not exhaustive and shall also include any responsibilities as assigned by the Supervisor from time to time.
**Expertise: Knowledge \&amp; Skills**
* Requires full working knowledge of relevant business practices and procedures in professional field. Uses standard theories, principles and concepts and integrates them to propose a course of action.
* Work under minimal supervision. Relies on experience and judgement to plan and accomplish assigned goals. May periodically assist in orienting, training , assigning and checking the work of lower level employees. Referring only complex problems and issues
* Judgement is required in resolving complex problems based on experience.
* Contacts are primarily with department supervisors, leads, subordinates, and peers. Frequent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**Expertise: Qualifications \-Education/Experience/Training/Etc**
**Required:**
* Bachelor's degree required.
* 02\-04 years related experience required.
* Regular and predictable attendance
* Occasional business travel required, Valid driver's license and passport, Secrecy and invention agreement and non\-compete agreement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 Frequently:Sit
* Constantly:N/A
 Activities:
* Occasionally:Climbing stairs/ladders, Push/pull, Reaching upward and downward, Seeing \- depth perception, color vision, field of vision/peripheral, Standing, Stooping/squatting, Walking
* Frequently:Finger feeling, Hearing \- ordinary, fine distinction, loud (hearing protection required), Sitting , Talking \- ordinary, loud/quick
* Constantly:N/A
 Environmental Conditions:
* Occasionally:Other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Occasionally:Other
* Frequently:Office environment
* Constantly:N/A
 Salary Range: $90,000\-$110,000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69">
      <c r="A69" t="inlineStr">
        <is>
          <t>li-4367760920</t>
        </is>
      </c>
      <c r="B69" t="inlineStr">
        <is>
          <t>Staff Product Manager - Digital Strategy (Remote)</t>
        </is>
      </c>
      <c r="C69" t="inlineStr">
        <is>
          <t>Ad Hoc LLC</t>
        </is>
      </c>
      <c r="D69" t="inlineStr">
        <is>
          <t>linkedin</t>
        </is>
      </c>
      <c r="E69" t="inlineStr"/>
      <c r="F69" t="inlineStr"/>
      <c r="G69" t="inlineStr">
        <is>
          <t>Atlanta, GA</t>
        </is>
      </c>
      <c r="H69" t="inlineStr"/>
      <c r="I69"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70">
      <c r="A70" t="inlineStr">
        <is>
          <t>li-4367751834</t>
        </is>
      </c>
      <c r="B70" t="inlineStr">
        <is>
          <t>Program Manager</t>
        </is>
      </c>
      <c r="C70" t="inlineStr">
        <is>
          <t>RemoteHunter</t>
        </is>
      </c>
      <c r="D70" t="inlineStr">
        <is>
          <t>linkedin</t>
        </is>
      </c>
      <c r="E70" t="inlineStr"/>
      <c r="F70" t="inlineStr"/>
      <c r="G70" t="inlineStr"/>
      <c r="H70" t="inlineStr"/>
      <c r="I70"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1">
      <c r="A71" t="inlineStr">
        <is>
          <t>li-4367755943</t>
        </is>
      </c>
      <c r="B71" t="inlineStr">
        <is>
          <t>Sanctions Compliance Analyst – Program Manager</t>
        </is>
      </c>
      <c r="C71" t="inlineStr">
        <is>
          <t>Apple</t>
        </is>
      </c>
      <c r="D71" t="inlineStr">
        <is>
          <t>linkedin</t>
        </is>
      </c>
      <c r="E71" t="inlineStr"/>
      <c r="F71" t="inlineStr"/>
      <c r="G71" t="inlineStr">
        <is>
          <t>Cupertino, CA</t>
        </is>
      </c>
      <c r="H71" t="inlineStr"/>
      <c r="I71" t="inlineStr">
        <is>
          <t>**Summary**
 Imagine what you could do here. At Apple, new ideas have a way of becoming great products, services, and customer experiences very quickly. Bring passion and dedication to your job and there's no telling what you could accomplish.
**Description**
 An exciting position that is critical to the success of Apple products and services awaits you. This is an extraordinary opportunity to join Apple’s Global Export and Sanctions Compliance (GESC) group. As part of GESC, you will help uphold Apple’s high ethical and corporate standards, as well as enable us to grow our products and services. You will help the team in identifying and investigating activity that could pose a risk of sanctions and related financial crimes in support of all legal and regulatory requirements. At Apple, you’ll share in a commitment to excellence by collaborating with extraordinary managers, all with one unified vision – creating innovative products that delight customers. The ideal candidate works well in collaborative environments with minimal formal structure and is comfortable in changing environments with competing priorities. Candidate must possess solid business acumen, natural curiosity, and the ability to effectively shift between communications styles based on the audience.
**Responsibilities**
* In\-depth knowledge of OFAC programs and global sanctions laws and regulations
* Conduct and lead investigations of customers, business partners, and transactions by recording evidence from internal systems, open\-source searches, third\-party tools, commercial databases and other relevant sources.
* Maintain program level indicators and supervise sanctions reviews across business groups
* Draft sanctions compliance program and procedures documentation and maintain program metrics
* Collaborate with relevant teams to raise awareness about sanctions trends and emerging issues.
* Assist management with preparing draft sanctions filings to OFAC, HM Treasury, EU and other jurisdictional regulatory agencies.
* Liaise with third parties on compliance data, tools, environment, and corrective actions as needed
* Ability to analyze and decision unusual findings that might be related to sanctioned individuals, terrorist financing, law enforcement, or other criminal activities
* Stay abreast of industry standards and development related to sanctions and AML laws and regulations
* Must be a self\-starter, flexible, innovative, and adaptive
* Support any special projects or critical casework
* Ability to succeed in a fast paced and dynamic environment
* Ability to apply sound ethical judgement and respect for confidentiality and privacy.
**Minimum Qualifications**
* Experience in reviews, investigation, and resolution of sanctions, fraud or related terrorist financing issues
* Experience using industry standard sanctions screening systems/tools
* Bachelor’s degree or equivalent work experience, CAMS/CGSS (preferred)
**Preferred Qualifications**
* Excellent analytical and problem solving techniques
* Ability to apply sound ethical judgement
* Excellent written and verbal communication skills
* Must be a self\-starter, flexible, innovative, and adaptive
* Strong interpersonal skills with the ability to work collaboratively with company personnel
* Proficiency in using Apple platforms and software and Excel/Word
* Knowledge of AML, KYC, and FinCEN reporting a plus
**Pay \&amp; Benefits**
 At Apple, base pay is one part of our total compensation package and is determined within a range. This provides the opportunity to progress as you grow and develop within a role. The base pay range for this role is between $137,900 and $207,300,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2">
      <c r="A72" t="inlineStr">
        <is>
          <t>li-4367739887</t>
        </is>
      </c>
      <c r="B72" t="inlineStr">
        <is>
          <t>Sr Program Manager / Client Partner - ROI &amp; Delivery</t>
        </is>
      </c>
      <c r="C72" t="inlineStr">
        <is>
          <t>techolution</t>
        </is>
      </c>
      <c r="D72" t="inlineStr">
        <is>
          <t>linkedin</t>
        </is>
      </c>
      <c r="E72" t="inlineStr"/>
      <c r="F72" t="inlineStr"/>
      <c r="G72" t="inlineStr">
        <is>
          <t>Ridgewood, NJ</t>
        </is>
      </c>
      <c r="H72" t="inlineStr"/>
      <c r="I72" t="inlineStr">
        <is>
          <t>Techolution is the
 **World's \#1 AI Acceleration Partner** 
 and the inventor of
 **BPA 4\.0** 
 , an innovative AI platform that combines Generative AI with Cognitive Decisioning and Instant Learning to deliver guaranteed ROI from enterprise AI in 30 days or less. We specialize in accelerating AI adoption for enterprises, offering solutions in Generative AI, Machine Learning, Cloud Migration (as a Google Premier Partner), Digital Modernization, App Design \&amp; Development, AI Data Readiness, and AI Managed Services—driving measurable efficiency gains (e.g., up to 42x in 30 days), cost savings, and real\-world impact across industries like Healthcare, Media, Government, Retail, Banking, and Life Sciences.
 We are seeking a
 **Sr Program Manager / Client Partner \- ROI \&amp; Delivery** 
 with the authority to serve as the
 **economic conscience** 
 for our AI and transformation portfolio. This role is not about after\-the\-fact reporting—it’s about
 **rigorous upfront evaluation** 
 , ensuring every initiative proves its worth
 **before any investment or execution begins** 
 .
**Job Title: Sr Program Manager / Client Partner \- ROI \&amp; Delivery** 
**Location: Ridgewood, NJ (hybrid work, 3 days onsite)** 
**Key Responsibilities** 
* Lead structured discovery sessions to clearly define business problems, process ownership, baseline economics, success metrics, and risks—prior to any solution design or commitment.
* Own upfront ROI modeling and business case creation, converting complex challenges into transparent financial and operational models.
* Set clear ROI thresholds, payback periods, and go / redesign / stop decisions to validate economic justification for every initiative.
* Apply Lean, Six Sigma, or similar methodologies to analyze and optimize end\-to\-end business processes, eliminating waste before introducing automation or AI.
* Provide strategic guidance on AI, automation, and SaaS investments, prioritizing measurable impact and steering clear of low\-return or overly complex efforts.
* Develop and validate detailed bottom\-up models for effort, cost, capacity, and scale—including scenario planning and sensitivity analysis.
* Shape and govern client transformation portfolios, sequencing initiatives to maximize value delivery and accelerate ROI realization.
* Establish ROI\-focused KPIs and dashboards to monitor and track actual value captured during execution.
* Proactively course\-correct programs that drift from projected economics to safeguard client outcomes.
* Spot and pursue expansion opportunities by replicating proven high\-ROI use cases across additional processes, functions, or business units.
* Leverage realized results to build data\-backed cases for further investment and multi\-year transformation roadmaps.
* Collaborate closely with client executives in business, finance, IT, and operations to align priorities, funding, and accountability.
* Confidently challenge assumptions and advocate for long\-term, sustainable client value over short\-term wins.
**Required Experience \&amp; Mindset** 
* Extensive client\-facing background in roles such as Program Manager, Client Partner, Management Consultant, Engagement Lead, or Strategic Advisor.
* Proven track record owning ROI, value realization, and economic outcomes for AI, automation, SaaS, or large\-scale digital transformation programs.
* Strong experience leading upfront discovery, business case development, and investment go/no\-go decisions.
* Deep expertise in business process analysis and optimization (Lean, Six Sigma, or equivalent frameworks).
* Hands\-on proficiency building bottom\-up financial models, effort estimates, cost structures, and capacity plans—with scenario and sensitivity analysis.
* Demonstrated success advising enterprise clients on AI, automation, and SaaS investments, always emphasizing quantifiable business impact.
* Ability to influence and constructively challenge senior stakeholders using data\-driven arguments.
* Exceptional executive\-level communication, stakeholder management, and cross\-functional collaboration skills.
**About Techolution:**
 Techolution is the
 **world's \#1 AI Acceleration Partner** 
 and the inventor of
 **BPA 4\.0** 
 , the groundbreaking AI platform that delivers
 **guaranteed ROI from enterprise AI in 30 days or less** 
 .
 With over 10\+ years of experience, we specialize in turning AI into measurable business value—helping global enterprises achieve dramatic efficiency gains (like 42x improvements in key processes), modernize legacy systems, migrate to the cloud (as a Google Premier Partner), and deploy custom AI solutions across industries such as healthcare, manufacturing, media, banking, government, and life sciences.
 Our mission is simple yet powerful:
 **"TURN AI INTO ROI"** 
 — where it matters most. We go beyond generic AI by offering risk\-free innovation, including our
 **100k Challenge** 
 (2x quantifiable savings in 100 days or your money back), rapid diagnostics via
 **BPA Value Finder** 
 , and AI\-powered managed services that deliver twice the quality at half the cost.
 Backed by 12 patents, 5 notable awards (including Inc. 5000 recognition), 2 published books, and a track record of solving real\-world challenges—from patient prioritization during COVID\-19 to quality control in supply chains and air quality monitoring—we empower teams to thrive in an AI\-driven future.
 At Techolution, we're building "innovation done right" with a passionate, collaborative team focused on delivering next\-level impact, workforce enablement, and trustworthy, enterprise\-scale automation. Join us to be part of redefining how businesses operate with AI.
 Visit us
 **@
 www.techolution.com
 :** 
 To know more about our revolutionary core practices and getting to know in detail about how we enrich the human experience with technology.</t>
        </is>
      </c>
    </row>
    <row r="73">
      <c r="A73" t="inlineStr">
        <is>
          <t>li-4367759848</t>
        </is>
      </c>
      <c r="B73" t="inlineStr">
        <is>
          <t>Program Manager - Partner Enablement</t>
        </is>
      </c>
      <c r="C73" t="inlineStr">
        <is>
          <t>RemoteHunter</t>
        </is>
      </c>
      <c r="D73" t="inlineStr">
        <is>
          <t>linkedin</t>
        </is>
      </c>
      <c r="E73" t="inlineStr"/>
      <c r="F73" t="inlineStr"/>
      <c r="G73" t="inlineStr"/>
      <c r="H73" t="inlineStr"/>
      <c r="I73" t="inlineStr">
        <is>
          <t>About the Opportunity:
 The organization is focused on enabling digital transformation by providing an affordable, integrated SaaS solution that simplifies business operations. The Program Manager \- Partner Enablement will support the growth of Channel Partnerships and Enablement efforts by leading, planning, prioritizing, and delivering scaled partner enablement initiatives globally. This role works closely with Channel Partners, Ecosystem Partners, Alliances, Partner Marketing, Product, Product Marketing, and Revenue Operations leadership. The position reports to the Senior Manager, Sales Enablement, and is responsible for program management to ensure successful deployment, adoption, and capability delivery of partner programs.
 Responsibilities:
 • Drive creation, implementation, and iteration of partner enablement program plans including learning path design, facilitation, systems/tools/process integration, measurement, tracking, reporting, and communications
 • Coordinate and orchestrate complex partner enablement initiatives across multiple lines of business
 • Liaise with Pre\-Sales, Tech Support, and Product Marketing teams to deliver partner onboarding
 • Manage project workstreams including partner\-facing enablement and relevant communications to all organizational levels
 • Advise senior leaders and managers to support their roles as sponsors and evangelists for major initiatives
 • Operate effectively in ambiguous environments, supporting various teams by learning quickly, being proactive, and owning broad work tracks
 • Use strategic, operational, and problem\-solving skills to analyze ambiguous problems, extrapolate insights, and deliver recommendations
 Requirements:
 • 5\+ years experience managing global programs in fast\-paced, highly matrixed corporate environments
 • Undergraduate degree (Bachelor of Science or Bachelor of Arts)
 • 3\+ years Sales Enablement experience and 5\+ years in a partnership role within a technology company preferred
 • Experience designing and delivering live and virtual training based on learning principles and best practices
 • Experience facilitating multiple learning types and communication frameworks
 • Prior Channel Partner Enablement experience in a large global SaaS organization
 • Experience with partner\-specific communication and partner segmentation/enabling delivery
 • Cross\-functional leadership experience
 • Proficiency with tools such as Mindmatrix, WorkRamp, Salesforce, Gong, Jira, or similar systems
 • Strong narrative and storytelling skills for internal communications
 • Ability to manage time, risk, prioritize tasks, and meet deadlines independently in a fast\-paced environment
 • Strong executive presence with clear expectation setting and accountability enforcement
 • Demonstrated problem\-solving and root cause analysis skills
 • Excellent communication, interpersonal, and organizational skills
 • Experience leading strategic development and execution of major global programs and projects across multiple business lines
 • Experience working with senior sales leaders and executive stakeholders
 • Quantitative, analytical, and conceptual business problem\-solving skills
 • Project management certification (e.g., PMP)
 Benefits \&amp; Perks:
 • Flexible work environment
 • Vacation bonus
 • Flexible paid time off
 • Paid parental leave
 • Full suite of traditional benefits
 • Training and advancement opportunities
 • 401(k) with company match and immediate vesting
 • Financial wellness education
 • Company\-contributed Health Savings Account (HSA)
 • Onsite amenities including gym, pickleball, snacks and drinks, arcade, theater room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4">
      <c r="A74" t="inlineStr">
        <is>
          <t>li-4345324518</t>
        </is>
      </c>
      <c r="B74" t="inlineStr">
        <is>
          <t>Program Manager, People Team</t>
        </is>
      </c>
      <c r="C74" t="inlineStr">
        <is>
          <t>Aurora</t>
        </is>
      </c>
      <c r="D74" t="inlineStr">
        <is>
          <t>linkedin</t>
        </is>
      </c>
      <c r="E74" t="inlineStr"/>
      <c r="F74" t="inlineStr"/>
      <c r="G74" t="inlineStr">
        <is>
          <t>Mountain View, CA</t>
        </is>
      </c>
      <c r="H74" t="inlineStr"/>
      <c r="I74"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Program Manager, People Team.
**In this role, you will**
* Drive Program Strategy \&amp; Execution: You will take loose concepts or business problems and translate them into rigorous project charters. You define the "what, why, and how," manage the timeline, and ensure the team crosses the finish line.
* Navigate Ambiguity: You don’t need a playbook to be effective. You can enter a chaotic situation, identify the missing pieces, and create structure where there was none.
* Connect the Dots: You will serve as the "glue" between the People team and the broader business. You ensure stakeholders are aligned, risks are flagged early, and no silos are formed.
* Master Change Management: You understand that "shipping" a program is only half the solution. You will design communication plans, messaging, and adoption strategies to ensure our distributed workforce embraces the changes you implement.
* Continuously Improve: You have a continuous improvement mindset and are always thinking of ways to improve things while at the same time as delivering on programs and projects.
* Force Multiply: You make everyone around you more effective by removing blockers, streamlining processes, and ensuring meetings are decisive and actionable.
**Skills**
 We are looking for skills and attitude over tenure. You might be a seasoned Program Manager with years of experience, or you might be a rising star. Regardless of years, you must possess:
* Proven Program Fluency: Experience (typically 4\+ years) managing complex programs in a high\-growth environment, consulting firm, or large organization. You can show us examples of messy projects you successfully delivered.
* High Agency \&amp; Accountability: You are a "driver", not a passenger. You track, prioritize, and drive projects without needing to be reminded. If you get stuck, you find a way to get unstuck.
* Communication Range: You can discuss strategy with senior leaders one moment and coordinate logistics the next. You know how to synthesize complex data into clear narratives, and provide clear written and verbal communications to employees.
* Tech \&amp; Data Savviness: You are comfortable with project management tools (Monday.com, Jira) and have the ability to use data to inform decisions. Familiarity with HR systems (Workday, Greenhouse) is a bonus.
* An "Impact" Mindset: You are excited by variety and opportunity for impact. You are willing to dive into a Talent Management project today and a Culture initiative tomorrow, depending on where the business needs you most.
 This is an in\-person position, must work at our on\-site office Mondays, Tuesdays, and Thursdays at a minimum. This position can be located in Mountain View, CA; San Francisco, CA; Pittsburgh, PA.
 The base salary range for this position is $100k \- $162k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75">
      <c r="A75" t="inlineStr">
        <is>
          <t>li-4367762861</t>
        </is>
      </c>
      <c r="B75" t="inlineStr">
        <is>
          <t>Senior Program Manager, Strategy &amp; Operations- Remote</t>
        </is>
      </c>
      <c r="C75" t="inlineStr">
        <is>
          <t>RemoteHunter</t>
        </is>
      </c>
      <c r="D75" t="inlineStr">
        <is>
          <t>linkedin</t>
        </is>
      </c>
      <c r="E75" t="inlineStr"/>
      <c r="F75" t="inlineStr"/>
      <c r="G75" t="inlineStr"/>
      <c r="H75" t="inlineStr"/>
      <c r="I75"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li-4366364824</t>
        </is>
      </c>
      <c r="B76" t="inlineStr">
        <is>
          <t>Senior Customer Project/Program Manager</t>
        </is>
      </c>
      <c r="C76" t="inlineStr">
        <is>
          <t>Cox Automotive Inc.</t>
        </is>
      </c>
      <c r="D76" t="inlineStr">
        <is>
          <t>linkedin</t>
        </is>
      </c>
      <c r="E76" t="inlineStr"/>
      <c r="F76" t="inlineStr"/>
      <c r="G76" t="inlineStr">
        <is>
          <t>Draper, UT</t>
        </is>
      </c>
      <c r="H76" t="inlineStr"/>
      <c r="I76" t="inlineStr">
        <is>
          <t>The
 **Sr. Project Manager** 
 provides project management leadership for moderately complex, cross\-functional initiatives within a diverse customer and stakeholder base. This role partners closely with both customers and internal teams to define project needs, develop structured project plans, and drive successful execution from initiation through close\-out. The Sr Project Manager ensures consistent application of project management methodologies, tools, and best practices while identifying opportunities for continuous improvement.
**Candidates will come into the office 1 day/week and should be located within 25 miles of the posted location (Atlanta, GA; Burlington, VT; Draper, UT; and Overland Park, KS).**
**Key Responsibilities**
**Customer \&amp; Stakeholder Engagement**
* Collaborates with customer stakeholders to understand key business challenges, operational needs, and process issues.
* Identifies where and how organizational capabilities and solutions can address customer requirements and deliver value.
**Project Planning \&amp; Scope Definition**
* Works with internal functional teams to define detailed project scope, objectives, deliverables, and success measures based on client expectations.
* Creates and maintains comprehensive project plans covering schedule, tasks, resources, risks, and dependencies.
**Project Execution \&amp; Management**
* Supports end\-to\-end project execution, including:
* Requirements gathering and documentation
* Project charter creation
* Scope definition and validation
* Detailed project planning and timeline management
* Change control processes
* Risk and issue identification, tracking, and mitigation
* Project close\-out activities and lessons learned
* Status reporting and communication across stakeholders
**Financial \&amp; Resource Management**
* Facilitates resource planning and allocation across project teams.
* Supports cost estimation, budget development, forecasting, and ongoing cost control.
**Process Governance \&amp; Quality Assurance**
* Ensures consistent application of project management methodology, standards, tools, and documentation throughout the project lifecycle.
* Monitors project health and compliance with internal governance requirements.
**Continuous Improvement**
* Evaluates project outcomes and operational processes, identifying opportunities for improvements in efficiency, communication, and delivery effectiveness.
* Recommends enhancements to project management practices, tools, and workflows.
**Minimum Qualifications**
* Bachelor's degree in a related discipline and 4 years experience in a related field. The right candidate could also have a different combination, such as a master's degree and 2 years experience; a Ph.D. and up to 1 year of experience; or 8 years experience in a related field
* Experience with Excel, PowerPoint and Copilot.
* Experience managing moderately complex projects across cross\-functional teams.
* Strong understanding of project management principles, methodologies, and tools.
* Excellent communication, facilitation, and stakeholder management skills.
* Ability to lead requirements gathering, documentation, and scope definition.
* Strong organizational, analytical, and problem\-solving abilities.
**Preferred Qualifications**
* Experience working with customer\-facing projects or operational process enhancements.
* PMP, CAPM, Scrum Master, or similar certification.
* Experience in budget development, cost control, and resource planning.
 USD 81,400\.00 \- 122,000\.00 per year
**Compensation**
 Compensation includes a base salary of $81,400\.00 \- $122,000\.00\.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77">
      <c r="A77" t="inlineStr">
        <is>
          <t>li-4367762629</t>
        </is>
      </c>
      <c r="B77" t="inlineStr">
        <is>
          <t>Sr Sales Enablement Program Manager</t>
        </is>
      </c>
      <c r="C77" t="inlineStr">
        <is>
          <t>ACI Worldwide</t>
        </is>
      </c>
      <c r="D77" t="inlineStr">
        <is>
          <t>linkedin</t>
        </is>
      </c>
      <c r="E77" t="inlineStr"/>
      <c r="F77" t="inlineStr"/>
      <c r="G77" t="inlineStr">
        <is>
          <t>Trenton, NJ</t>
        </is>
      </c>
      <c r="H77" t="inlineStr"/>
      <c r="I77" t="inlineStr">
        <is>
          <t>Sr. Sales Enablement Program Manager
 Job Summary
 The Sr. Sales Enablement Program Manager drives cross‑functional programs that improve the effectiveness, efficiency, and consistency of our Sales and Customer Success organizations. This role leads strategic initiatives that simplify processes, improve productivity, and ensure our teams are equipped with the tools, resources, and insights needed to achieve revenue and retention goals.
 You will manage complex, cross‑functional enablement programs from concept to execution \- aligning business objectives with technology solutions, optimizing workflows, and creating scalable processes. The ideal candidate brings strong program management experience, a deep understanding of the sales process, outstanding communication skills, and hands‑on proficiency with Salesforce, Jira, and core productivity tools.
 This role is critical in accelerating our go‑to‑market performance and maintaining a continuous improvement mindset across Sales and CSM teams.
 Key Responsibilities
 Program Leadership \&amp; Execution
 \- Lead large, cross‑functional enablement programs supporting Sales and CSM productivity, including process optimization, tooling improvements, onboarding enhancements, and field readiness initiatives.
 \- Translate business goals into clear, scalable program plans with requirements, success measures, and timelines.
 \- Manage program scope, ensuring alignment across Sales, CSM, Operations, Product, Marketing, and Technology stakeholders.
 Process Improvement \&amp; Operational Excellence
 \- Identify inefficiencies and bottlenecks across Sales and CSM processes; develop simplified, repeatable workflows that improve speed and consistency.
 \- Use data‑driven insights to recommend process improvements and drive adoption across teams.
 \- Maintain an enablement roadmap aligned to business priorities, ensuring operational rigor and continuous improvement.
 Cross\-Functional Collaboration
 \- Partner closely with Sales Leadership, CSM Leadership, Product, Sales Operations, and Marketing to ensure alignment on objectives and outcomes.
 \- Facilitate discussions to remove barriers, resolve resource constraints, and drive consensus around project needs.
 \- Build strong relationships across the organization to unlock stakeholder engagement and accelerate program execution.
 Tools \&amp; Systems
 \- Drive optimization and effective usage of key GTM tools including Salesforce, Jira, and productivity platforms (Excel, Word, PowerPoint).
 \- Collaborate with systems teams to improve workflows, automate reporting, and enhance user experiences.
 \- Ensure enablement programs incorporate best‑practice use of technology, analytics, and field‑facing content.
 Communication \&amp; Reporting
 \- Provide transparent, concise communication tailored to executive leadership and frontline teams.
 \- Create and manage program dashboards, progress updates, risk logs, and leadership briefs.
 \- Clearly articulate program goals, status, and outcomes, ensuring broad visibility and alignment.
 Enablement Strategy \&amp; Coaching
 \- Mentor team members and partners on effective program management practices.
 \- Share best practices across the GTM organization to strengthen program execution maturity.
 \- Champion a “simple is better” approach that reduces complexity and accelerates time‑to‑value.
 Required Skills \&amp; Experience
 \- Bachelor’s degree or equivalent experience.
 \- 5\+ years of program or project management experience supporting Sales, Customer Success, or GTM operations.
 \- Demonstrated success delivering cross‑functional, high‑impact programs.
 \- Strong understanding of the B2B sales process and customer lifecycle.
 \- Hands‑on experience with Salesforce and Jira is required.
 \- Advanced proficiency with Excel, PowerPoint, and Word.
 \- Excellent written and verbal communication skills.
 \- Strong financial and business acumen with the ability to evaluate ROI and articulate value.
 \- Comfortable working in fast‑moving environments and operating with ambiguity.
 Preferred Skills
 \- Experience supporting enterprise software or payments technology organizations.
 \- Ability to communicate effectively with VP‑level and C‑suite stakeholders.
 \- Proven ability to simplify complex problems and drive clarity in ambiguous situations.
 Work Environment
 \- Standard office environment.
 \- Majority of time spent working on a PC.
 \- Domestic or international travel may be required.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careers.aciworldwide.com job requisition \#18530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t>
        </is>
      </c>
    </row>
    <row r="78">
      <c r="A78" t="inlineStr">
        <is>
          <t>li-4367744836</t>
        </is>
      </c>
      <c r="B78" t="inlineStr">
        <is>
          <t>Senior Program Manager</t>
        </is>
      </c>
      <c r="C78" t="inlineStr">
        <is>
          <t>Jobs via Dice</t>
        </is>
      </c>
      <c r="D78" t="inlineStr">
        <is>
          <t>linkedin</t>
        </is>
      </c>
      <c r="E78" t="inlineStr"/>
      <c r="F78" t="inlineStr"/>
      <c r="G78" t="inlineStr">
        <is>
          <t>Santa Clara, CA</t>
        </is>
      </c>
      <c r="H78" t="inlineStr"/>
      <c r="I78" t="inlineStr">
        <is>
          <t>Dice is the leading career destination for tech experts at every stage of their careers. Our client, Two95 International, is seeking the following. Apply via Dice today!
**Title** 
 Senior Program Manager
**Position** 
 6\-12\+ months of contract
**Location** 
 Santa Clara, CA
**Rate \-** 
 $Open(Best Possible)
**Job Description:**
* Lead IT program execution for M\&amp;A integrations across assigned business domains, which may include Go\-To\-Market, Customer Support/Success, Infrastructure, Data, AI, Finance, HR, or Legal.
* Own integrated program plans, milestones, dependencies, and risks for assigned M\&amp;A workstreams, spanning pre\-close readiness, execution, and post\-close integration.
* Drive integration readiness within assigned domains, ensuring system access, data availability, reporting continuity, and business\-critical workflows are operational.
* Translate integration strategy and business requirements into executable IT scope, sequencing, and delivery plans for assigned domains.
* Coordinate cross\-functional dependencies across IT, business teams, and vendors to ensure smooth execution on aggressive timelines.
* Ensure business continuity while supporting system migrations, data integrations, platform consolidation, and target\-state transitions.
* Provide clear, execution\-focused status reporting, risk visibility, and escalation for assigned workstreams.
* Act as the primary point of accountability for issue resolution and delivery outcomes within assigned domains.
* M\&amp;A Integration Program Delivery: Proven experience leading IT workstreams for acquisitions, including pre\-close planning, Day 1 readiness, and post\-close integration within one or more enterprise domains.
* Cross\-Domain Execution \&amp; Dependency Management: Strong ability to manage complex interdependencies across GTM, CX/Support, Infrastructure, Data, AI, and G\&amp;A functions in fast\-paced integration environments.
* Enterprise Platforms \&amp; Technology Acumen: Experience coordinating integrations across CRM, customer support platforms, data and analytics stacks, infrastructure, and core enterprise systems.
* Governance \&amp; Stakeholder Management: Ability to drive execution through structured governance, provide executive\-ready updates, and facilitate timely decisions across IT and business stakeholders.
* Hands\-On, Independent Execution: Comfortable operating as a contractor in ambiguous environments, proactively identifying risks, driving resolution, and maintaining momentum under tight timelines.</t>
        </is>
      </c>
    </row>
    <row r="79">
      <c r="A79" t="inlineStr">
        <is>
          <t>li-4356722452</t>
        </is>
      </c>
      <c r="B79" t="inlineStr">
        <is>
          <t>Principal Product Manager, LLM Innovation</t>
        </is>
      </c>
      <c r="C79" t="inlineStr">
        <is>
          <t>Headspace</t>
        </is>
      </c>
      <c r="D79" t="inlineStr">
        <is>
          <t>linkedin</t>
        </is>
      </c>
      <c r="E79">
        <f>HYPERLINK("https://www.linkedin.com/jobs/view/4356722452", "https://www.linkedin.com/jobs/view/4356722452")</f>
        <v/>
      </c>
      <c r="F79" t="inlineStr"/>
      <c r="G79" t="inlineStr">
        <is>
          <t>San Francisco, CA</t>
        </is>
      </c>
      <c r="H79" t="inlineStr"/>
      <c r="I79" t="inlineStr">
        <is>
          <t>**About the** 
**Principal Product Manager, LLM Innovation** 
**at Headspace:** 
 We are seeking a Principal Product Manager, LLM Innovation to lead how Large Language Models (LLMs) are applied across Headspace to unlock new product capabilities, elevate member experiences, and drive business impact. Sitting at the intersection of product strategy, AI, and customer needs, this role owns the roadmap for LLM\-driven innovation, guiding cross\-functional teams to explore, validate, and scale generative AI solutions that support personalized care and engagement throughout the wellness journey.
 As the product leader in this space, you will translate emerging LLM opportunities into practical, user\-centered products that align with business goals, accelerate responsible innovation, and position Headspace as a leader in applied generative AI within mental health and well\-being.
**What you will do:** 
* Define and own the vision, strategy, and roadmap for LLM\-based product innovation across Headspace
* Identify, prototype, and validate high\-impact generative AI use cases in partnership with engineering, research, and design
* Translate complex LLM capabilities into intuitive, valuable user experiences
* Drive cross\-functional alignment across product, data science, design, go\-to\-market, and operations
* Establish scalable frameworks, best practices, and reusable systems for LLM integration
* Evaluate external tools, vendors, and partnerships to inform build vs. buy decisions
* Define success metrics and KPIs to ensure LLM initiatives deliver measurable user and business outcomes
* Serve as an internal thought leader and champion for responsible, forward\-looking AI innovation
**What you will bring** 
 :
**Required Skills:** 
* 10\+ years in product management with at least 3\+ years leading 10\+ years of product management experience, including 3\+ years leading AI or machine learning initiatives
* Strong technical fluency in Large Language Models (LLMS), generative AI, natural language processing, and AI\-driven product development
* Proven ability to take emerging technologies from exploration to scalable product impact
* Strategic thinker with the ability to execute, balancing long\-term vision with delivery, user\-first mindset with a track record of translating technical capabilities into customer value
* Exceptional communication and cross\-functional leadership skills
* Strong understanding of the generative AI landscape, including vendors, research trends, and regulatory considerations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**$205,200\-$327,750**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80">
      <c r="A80" t="inlineStr">
        <is>
          <t>li-4368122842</t>
        </is>
      </c>
      <c r="B80" t="inlineStr">
        <is>
          <t>Principal Product Manager, Enterprise</t>
        </is>
      </c>
      <c r="C80" t="inlineStr">
        <is>
          <t>Valence</t>
        </is>
      </c>
      <c r="D80" t="inlineStr">
        <is>
          <t>linkedin</t>
        </is>
      </c>
      <c r="E80">
        <f>HYPERLINK("https://www.linkedin.com/jobs/view/4368122842", "https://www.linkedin.com/jobs/view/4368122842")</f>
        <v/>
      </c>
      <c r="F80" t="inlineStr"/>
      <c r="G80" t="inlineStr">
        <is>
          <t>San Francisco, CA</t>
        </is>
      </c>
      <c r="H80" t="inlineStr"/>
      <c r="I80"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We’re hiring a Principal Product Manager to lead enterprise engagement at Valence. You’ll act as the GM for our enterprise product surface, owning context, customizations, and features required by the world’s largest organizations. This is not a consumer\-facing role — your mandate is to ensure adoption, retention, and expansion at organizational scale.
 This role demands someone who can operate at the intersection of product vision, customer empathy, and enterprise execution. You’ll take holistic ownership of enterprise metrics, driving the success of our Fortune 500 deployments while shaping how AI coaching scales across the most complex organizations in the world.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industry.What You'll Do
* Act as GM for enterprise engagement, setting the vision for enterprise adoption and retention at organizational scale.
* Lead strategic product direction and roadmap development in close partnership with product and technical leadership.
* Own success metrics end\-to\-end, including activation, engagement, and long\-term retention across large enterprise deployments.
* Personally define, prioritize, and validate hypotheses via fast, data\-driven experiments; craft programs to test, learn, and iterate quickly.
* Spend substantial time in discovery \- from enterprise buyer journeys and process reviews to user interviews and segmentation \- ensuring both enterprise empathy and user insight shape product direction.
* Translate the complexity of Fortune 1000 customer needs into scalable platform features, balancing customization with product cohesion.
* Collaborate across engineering, design, and customer\-facing teams to ensure enterprise processes, change management, and product execution align for successful deployments and expansion.
* Own and execute creative product marketing experiments, including messaging and AI\-assisted approaches, to drive enterprise adoption.
* Lead product teardowns and retrospectives to surface lessons, articulate trade\-offs, and uphold a high bar for product judgment and craft.
 What We're Looking For
* 8\+ years of relevant product management or equivalent operator/technical experience.
* AI Fluency: Proven AI\-native orientation with clear personal/professional use of AI tools, workflow automation, or productized AI practices.
* Enterprise Impact: Direct experience building products for Fortune 1000 organizations, with ownership of adoption, retention, or scale across complex enterprise environments.
* High Velocity Execution: Demonstrated ability to thrive in early\-stage product environments, shipping with minimal process and citing high\-impact outcomes.
* Analytical Rigor: Strong analytical skills including A/B testing, build\-measure\-learn loops, and using data to define and measure enterprise success metrics.
* Product Craft: Drive product excellence by presenting live walkthroughs of shipped products, unpacking decisions that achieved measurable adoption and real\-world results.
* User \&amp; Enterprise Empathy: Deep, intuitive empathy for both individual users and enterprise stakeholders — able to understand motivations and pain points across the org chart, from end\-users to executives, to inform high\-impact product bets.
* Organizational Savvy: Comfort navigating enterprise processes, reviews, and change management, ensuring product delivery drives both user value and enterprise\-scale outcomes.
 What You'll Get
* Ownership \&amp; Rapid Growth
* Outsized missions from day one, with direct responsibility for company\-defining projects
* Work alongside the executive team with transparency into strategy and decision\-making
* Influence on direction through real\-time customer feedback and market insights
**AI\-First Operator** 
 Work directly with cutting\-edge AI models and next\-generation platformsBuild expertise in enterprise AI implementation across Fortune 500 companies and multiple industriesEstablish yourself as a recognized leader among peers in shaping how AI transforms work at a global scale
**Compensation** 
 Competitive salary including base \+ bonusesComprehensive health coverage (medical, dental, vision) from day oneGenerous PTO, company\-wide R\&amp;R shutdowns, and paid parental leaveRetirement plan support for US and global employees
**Equity** 
 Meaningful ownership in a venture\-backed company at a growth inflection pointFinancial upside that comes from scaling fastTop\-up grants as we scale and you deliver exceptional performance — your compensation grows alongside your impact
**Top\-Performing Culture** 
 A culture built for top talent: intensity to win, growth without limits, and a team that solves hard problems and celebrates big wins together
**Learn more about us and meet our team** 
**here** 
 $220,000 \- $320,000 a year
 **Additional Information** 
 The base pay range reflects what our company, in good faith, believes we would offer for this position at the time of posting. Actual offers within this range depend on factors including experience, skills, market competitiveness, and internal equity. Other benefits may apply depending on location and eligibility.
 Our salary range is intentionally broad to accommodate both high\-potential individuals stepping up into this role for the first time and candidates with significant, relevant experience. This flexibility allows us to recognize and reward both emerging and established talent according to contribution, readiness, and fit within our broader compensation philosophy
 **Location and Work Environment** 
 This role can be remote or hybrid. If in NYC role is 3 days a week (Tues \- Thursday) minimum in office in Union Square. Candidates must be comfortable working with colleagues in different time zones (UK), and have valid travel documents without work authorization restrictions for North America and Europe.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\[email protected].We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li-4368142042</t>
        </is>
      </c>
      <c r="B81" t="inlineStr">
        <is>
          <t>Principal Product Manager, Networks</t>
        </is>
      </c>
      <c r="C81" t="inlineStr">
        <is>
          <t>Skylo</t>
        </is>
      </c>
      <c r="D81" t="inlineStr">
        <is>
          <t>linkedin</t>
        </is>
      </c>
      <c r="E81">
        <f>HYPERLINK("https://www.linkedin.com/jobs/view/4368142042", "https://www.linkedin.com/jobs/view/4368142042")</f>
        <v/>
      </c>
      <c r="F81" t="inlineStr"/>
      <c r="G81" t="inlineStr"/>
      <c r="H81" t="inlineStr"/>
      <c r="I81" t="inlineStr">
        <is>
          <t>**About Skylo**
 Skylo is a global Non\-Terrestrial Network service provider based in Mountain View, CA, offering a service that allows smartphone and IoT cellular devices to connect directly over existing satellites. Skylo’s direct\-to\-device service is now live on millions of activated devices across five continents, with more than 60 million square kilometers of coverage, in partnership with multiple satellite operators, mobile network operators (MNOs), Tier\-1 chipset makers, and OEMs. Devices connected over satellite are managed and served by Skylo's commercial NTN vRAN, featuring a 3GPP standards\-based cloud\-native base station and core. Skylo provides an anywhere, anytime connectivity solution that seamlessly roams between terrestrial and satellite networks. Our focus is on enabling connected services for people outdoors and connected workflows across three main verticals: mass\-market consumer devices, automotive, and industrial IoT.
*This role is located Mountain View, CA* 
*where we are onsite 3 days a week in office.* 
*However we remain open to considering remote arrangements for the right candidate.*
**Summary Of How You Will Impact Skylo**
 Skylo is looking for a Principal Product Manager to define the commercial future of our network. You will be responsible for actively hunting for new market opportunities that our unique technology can unlock. You will sit at the intersection of Skylo’s engineering and the global market. Your mandate is to identify unique technical enablers—such as novel capabilities unlocked by standards in the future, or leverage internal research—and translate them into viable, end\-to\-end products. You will define the What and Why for our next generation of services, driving them from technical possibility to commercial reality across new verticals and unchartered markets.
**How You Will Contribute**
* You will look outward to the market to identify unmet customer needs and map them to Skylo’s emerging technical capabilities. You will identify problems that Skylo’s engineering team has solved and package them into sellable solutions.
* Go beyond established MNO use cases to identify and validate entirely new market verticals. You will take ownership of these new opportunities, driving the execution from the initial paper concept through to the first commercial pilot.
* Define the long\-term architectural path for Skylo’s network. You will evaluate high\-stakes strategic trade\-offs and determine how these choices create unique value propositions for new customer segments.
* Translate commercial objectives into clear engineering problems. You will define what success looks like for new services, moving beyond simple connectivity to define the end\-to\-end product experience, including SLAs, pricing models, and go\-to\-market packaging.
* Close the loop between technical feasibility and market appetite. You will continuously validate R\&amp;D concepts with customers, ensuring we invest engineering resources only in the capabilities that have a clear path to revenue.
**What We Look For**
* 15\+ years of related experience across product management, wireless systems engineering, telco strategy, M(V)NO/Telco ecosystem engagements (or 12\+ years with a Master’s degree).
* You have a track record of transforming technical capabilities (like Telco stacks) into sellable products. You can explain why a feature matters to a customer, not just how it works.
* Experience making complex architectural bets. You can articulate the pros and cons of different network topologies and how they affect the end\-user service experience.
* Expert\-level knowledge of the M(V)NO end\-to\-end stack, roaming interfaces, 3GPP, NTN, D2D with the ability to apply this knowledge for strategic product definition.
* Ability to define key performance indicators (KPIs) for network services and use that data to drive the next generation of product requirements.
**What We Offer**
 With employees working across three continents, Skylo is proud to be an equal opportunity employer dedicated to building an inclusive and diverse workforce. Our worldwide and inclusive culture encourages a flexible approach to work, and we also offer an attractive range benefits such as:
* Competitive compensation packages including a stock option based equity program
* Comprehensive benefits including medical, dental, vision, retirement plan
* Monthly allowances for wellness and education reimbursement
* A generous time off policy, holidays, and the opportunity to temporarily work abroad
* Once in a lifetime opportunity to be a part of developing and running world’s first commercial, live direct\-to\-device satellite network and service
* Access to world\-class team and talent across tech domains: software, hardware, chipsets, telecom, satellite and network virtualization
* Open, transparent, inclusive culture that blends the Silicon Valley, Nordic and South Asia characteristics
**Additional Information**
 The compensation range for this position is dependent on location. These ranges reflects the low and high end of the range Skylo reasonably and generally expects to pay the hired candidate in this role.
* Non–Bay Area (U.S.): $198,160 \- $210,545
* Bay Area, CA: $225,760 \- $239,870
**EEO Statement**
 Skylo is an equal\-opportunity employer and we celebrate diversity. We do not discriminate on the basis of race, religion, color, ancestry, national origin, caste, sex, sexual orientation, parent or caregiver status, political affiliation, gender, gender identity or expression, age, disability, medical condition, pregnancy, genetic makeup, marital status, or military service consistent with applicable federal, state, and local laws.
 We are also committed to providing reasonable accommodations for qualified individuals with disabilities and disabled veterans in our job application procedures. Please let us know if you need assistance or accommodation due to a disability.</t>
        </is>
      </c>
    </row>
    <row r="82">
      <c r="A82" t="inlineStr">
        <is>
          <t>li-4367760914</t>
        </is>
      </c>
      <c r="B82" t="inlineStr">
        <is>
          <t>Lead Product Manager</t>
        </is>
      </c>
      <c r="C82" t="inlineStr">
        <is>
          <t>Vanta</t>
        </is>
      </c>
      <c r="D82" t="inlineStr">
        <is>
          <t>linkedin</t>
        </is>
      </c>
      <c r="E82">
        <f>HYPERLINK("https://www.linkedin.com/jobs/view/4367760914", "https://www.linkedin.com/jobs/view/4367760914")</f>
        <v/>
      </c>
      <c r="F82" t="inlineStr"/>
      <c r="G82" t="inlineStr"/>
      <c r="H82" t="inlineStr"/>
      <c r="I82"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the Lead Product Manager/Product Owner for Business Systems at Vanta, you are the critical owner of the Salesforce and Go\-to\-Market (GTM) ecosystem. This role serves as the essential bridge between core stakeholders—including Revenue Operations, Finance, Deal Desk, Product, Sales, Marketing, and Legal—and the technology that powers our GTM motion.
 You will define and execute the product strategy, ensuring we are building, maintaining, and continually optimizing the products and processes required for Vanta's effective and scalable growth. Your focus is on maximizing business impact through clear requirements gathering, strategic prioritization, effective resource planning, and clear communication.
 This role will report into the Head of GTM Systems \&amp; Analytics and work closely with our Salesforce Admin \&amp; Developer teams.
**What you’ll do as a Lead Product Manager at Vanta:**
* Lead, Manage, and Develop Your Team: Lead, manage, and coach a team of 3\-5 Product Managers and Business Systems Analysts, driving high\-performance, career development, and strategic hiring to scale the team. Foster a culture of excellence, accountability, and continuous improvement.
* Strategic Roadmap \&amp; Prioritization: Define, own, and communicate the multi\-quarter Business Systems roadmap, focusing on the Salesforce and GTM ecosystem. Continuously assess opportunities, technical feasibility, and business impact to strategically prioritize and sequence the highest\-value work across Sales Cloud, Service Cloud, CPQ, and integrated GTM tools.
* Requirements Gathering \&amp; Solution Design: Serve as the primary product expert, partnering with stakeholders (RevOps, Finance, Deal Desk, etc.) to gather and translate business needs into clear, actionable product requirements and process designs. Proactively identify risks and areas for improvement, driving solutions rather than simply fulfilling requests.
* Delivery Oversight \&amp; Resource Planning: Act as the Scrum Master, leading agile ceremonies (sprint planning, refinement, retrospectives) to maintain a steady delivery cadence. Coordinate and allocate team resources based on capacity and roadmap priorities to ensure successful execution.
* Stakeholder Communication \&amp; Executive Reporting: Ensure absolute clarity on all initiatives by communicating the strategy, value proposition, progress, and impact of Business Systems work to executive stakeholders and cross\-functional partners. Report on system performance, utilization metrics, ROI, and business impact on a regular cadence.
* Platform Ownership \&amp; Governance: Oversee the entire product and process lifecycle within the Salesforce ecosystem, ensuring long\-term maintainability, scalability, and optimal user experience. Establish and maintain system governance frameworks, including security roles, permissions, compliance standards, and data quality protocols.
* Change Management \&amp; User Adoption: Drive change management initiatives to ensure high user adoption, satisfaction, and effective training programs. Partner with enablement teams to deliver comprehensive onboarding and ongoing support.
* Integration \&amp; Technical Excellence: Oversee integrations between Salesforce and the broader GTM tech stack (Outreach, LeanData, Gong, Clari, HubSpot, Catalyst, etc.), ensuring seamless data flow, API management, and system reliability.
* Data \&amp; Metrics Leadership: Establish and track KPIs and metrics that measure system performance, business impact, and team effectiveness. Use data analysis and reporting to back up assumptions, recommendations, and drive strategic actions.
**How to be successful in this role:**
* Experience: 5\+ years of experience in product management, business systems, or revenue operations, with a proven track record in B2B SaaS environments.
* People Leadership: 2\+ years of people management experience leading product managers or business systems analysts, including direct experience hiring, developing talent, and managing team performance.
* Salesforce Expertise: Deep hands\-on experience with Salesforce platform and GTM tools, including core concepts such as flows, validation rules, custom objects, process automation, and data modeling. Salesforce certifications (Admin, Platform App Builder, or equivalent) strongly preferred.
* Product \&amp; Technical Knowledge: Strong understanding of Salesforce modules (Sales Cloud, CPQ) and experience with Quote\-to\-Cash, Contract Lifecycle Management, Entitlement Management, and SaaS/Subscription business models.
* Roadmap \&amp; Strategy: Strong experience owning and communicating multi\-quarter product roadmaps to senior stakeholders and executive leadership.
* Agile Leadership: Hands\-on experience leading agile teams, including sprint planning, backlog refinement, and retrospectives.
* GTM Technology Stack: Proven experience with modern GTM tools and platforms (e.g., Outreach, LeanData, Gong, Clari, HubSpot, Marketo, Gainsight, etc.) and managing complex integrations across these systems.
* Data \&amp; Analytics: Strong data and analytics skills, with the ability to establish KPIs, create meaningful reports, and use metrics to drive decision\-making and business outcomes.
* Stakeholder Management: Proven ability to balance competing priorities, make trade\-offs, and drive alignment across cross\-functional teams at all levels of the organization.
* Communication: Excellent written and verbal communication skills, with the ability to translate complex system work into clear business outcomes and influence stakeholders without direct authority.
* Change Management: Demonstrated success driving change management initiatives and ensuring high user adoption of new systems and processes.
* Emerging Technologies: Familiarity with AI/automation technologies in the Salesforce ecosystem (Einstein, agentic AI, workflow automation) is a plus.
* Education: Bachelor's degree in Business, Computer Science, or related field, or equivalent practical experience.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83">
      <c r="A83" t="inlineStr">
        <is>
          <t>li-4367759856</t>
        </is>
      </c>
      <c r="B83" t="inlineStr">
        <is>
          <t>Product Manager</t>
        </is>
      </c>
      <c r="C83" t="inlineStr">
        <is>
          <t>RemoteHunter</t>
        </is>
      </c>
      <c r="D83" t="inlineStr">
        <is>
          <t>linkedin</t>
        </is>
      </c>
      <c r="E83">
        <f>HYPERLINK("https://www.linkedin.com/jobs/view/4367759856", "https://www.linkedin.com/jobs/view/4367759856")</f>
        <v/>
      </c>
      <c r="F83">
        <f>HYPERLINK("https://www.remotehunter.com/apply-with-ai/6290e733-e585-4bd7-8baa-c1fc3b0a1053?utm_medium=job_posting&amp;utm_source=linkedin&amp;utm_campaign=product_manager_remote&amp;utm_category=product_manager&amp;utm_term=product_manager&amp;urlHash=36hG", "https://www.remotehunter.com/apply-with-ai/6290e733-e585-4bd7-8baa-c1fc3b0a1053?utm_medium=job_posting&amp;utm_source=linkedin&amp;utm_campaign=product_manager_remote&amp;utm_category=product_manager&amp;utm_term=product_manager&amp;urlHash=36hG")</f>
        <v/>
      </c>
      <c r="G83" t="inlineStr"/>
      <c r="H83" t="inlineStr"/>
      <c r="I83" t="inlineStr">
        <is>
          <t>About the Opportunity:
 The organization is a leading broad line distributor operating primarily in North America, Japan, and the United Kingdom. It serves millions of customers worldwide by providing maintenance, repair, and operating (MRO) products and services, including technical support and inventory management. The role of Product Manager focuses on guiding and developing generative AI solutions for deployment within the customer service center, contributing to the product vision and roadmap with a high degree of ownership over key features and the customer experience. The position involves collaboration with engineering, design, and operations teams within a matrix organization.
 Responsibilities:
 • Strategize, plan, and develop software related to generative AI and machine learning strategy.
 • Develop business plans using data to make recommendations that create competitive advantage.
 • Conceptualize customer and internal team member needs and build product roadmap and requirements.
 • Lead teams of software engineers, data engineers, and ML scientists by providing business context and establishing shared ownership of outcomes.
 • Lead software development activities including management, deployment, troubleshooting, and administration of new features.
 • Lead, communicate, and coordinate product launches across business, product, and engineering teams considering schedule, risk, and tradeoffs.
 • Facilitate product review discussions with C\-suite executives tailored to the audience.
 • Partner with analytics, UX, peer product managers, and operational business leaders to deliver quality capabilities and measure growth.
 Requirements:
 • Demonstrated experience designing solutions to complex problems by conceptualizing, building, or substantially modifying enterprise internal tools or external websites, preferably for B2B customers. Experience with AI and ML solutions strongly desired.
 • 7\+ years of product management or related experience, including leading agile sprint teams and working with design, analytics, and business partners.
 • Continuous improvement mindset with up\-to\-date technology knowledge.
 • Ability to guide team members to accomplish outcomes.
 • Ability to operate effectively with ambiguity and within a matrix organization under tight schedules.
 • Strong problem\-solving, planning, and creative time management skills, with a high degree of ownership and ability to influence teams to act urgently.
 • Analytical skills with the ability to use data metrics to support business cases for executive leadership and business partners.
 • Bachelor’s degree in computer science, engineering, science, math, or related field; Master’s or MBA preferred.
 Benefits \&amp; Perks:
 • Medical, dental, vision, and life insurance with coverage starting on day one.
 • Six free therapy sessions annually with a licensed therapist for emotional wellbeing.
 • 18 paid time off days annually for full\-time employees, prorated based on start date.
 • Six company holidays per year.
 • 6% company contribution to a 401(k) Retirement Savings Plan each pay period without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Compensation:
 • Anticipated base pay range for this position is $110,500\.00 to $184,100\.00\.
 • Actual compensation depends on geographic location, relevant experience, and skills.
 • Compensation range is subject to change and may be higher or lower than stated.
 • The organization reserves the right to amend or terminate compensation and benefit programs at its discretion in accordance with applicable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li-4352721352</t>
        </is>
      </c>
      <c r="B84" t="inlineStr">
        <is>
          <t>Senior Product Manager</t>
        </is>
      </c>
      <c r="C84" t="inlineStr">
        <is>
          <t>TRM Labs</t>
        </is>
      </c>
      <c r="D84" t="inlineStr">
        <is>
          <t>linkedin</t>
        </is>
      </c>
      <c r="E84">
        <f>HYPERLINK("https://www.linkedin.com/jobs/view/4352721352", "https://www.linkedin.com/jobs/view/4352721352")</f>
        <v/>
      </c>
      <c r="F84" t="inlineStr"/>
      <c r="G84" t="inlineStr"/>
      <c r="H84" t="inlineStr"/>
      <c r="I84" t="inlineStr">
        <is>
          <t>Build to Protect Civilization
 TRM is a blockchain intelligence company that’s on a mission to build a safer world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We are seeking a
 **Senior Product Manager, National Security** 
 to join our team and lead the end\-to\-end delivery of impactful features and products. In this role, you will own the product roadmap, prioritize features, and collaborate across teams to deliver solutions that meet customer needs while navigating technical and resource constraints. You will act as the bridge between customers, product design, engineering, and go\-to\-market teams, ensuring that every feature delivers value and aligns with our strategic objectives.
**The impact you will have:**
* Define and prioritize the product roadmap based on customer impact, technical feasibility, dependencies, and resource availability.
* Translate customer needs and feedback into detailed product specifications, breaking down epics into actionable user stories.
* Collaborate with Product Design and Engineering teams to deliver intuitive, user\-centric solutions while managing development milestones.
* Drive end\-to\-end feature delivery, from ideation through testing, quality assurance, and post\-launch analysis.
* Partner with go\-to\-market teams to ensure successful product launches, including demos, marketing collateral, and customer enablement.
* Monitor product performance, gather insights, and iterate to continuously improve customer satisfaction and usage metrics.
* Stay informed about customer workflows, market trends, and competitive landscapes to influence product strategy.
**What we’re looking for:**
* 5\+ years of product management experience, preferably within enterprise SaaS startup environments, ideally working with National Security customers
* Strong communication and problem\-solving skills to write clear product specs and transform product visions into actionable user stories.
* Proven ability to collaborate across functions, including engineering, design, and marketing, to deliver high\-impact solutions.
* Analytical mindset to measure product impact, leverage data insights, and refine strategies.
* Basic technical knowledge to scope features, manage dependencies, and ensure feasibility.
* Customer\-focused with empathy and active listening skills to understand personas, workflows, and pain points.
* Flexible and adaptable to changing priorities in a fast\-paced environment.
**About the Team:**
* The Product Management team is composed of experienced PMs who have shown a strong track record of success at early stage startups
* We don’t mind getting in the weeds and executing ourselves while we scale
* We are continuing to build out the team and add more A\-players to push us in new directions, bringing creativity and grit
* We’re not a very hierarchical organization, so there’s still an expectation that everyone on the team can and will dive in wherever is needed
**Learn about TRM Speed in this position:**
* We aim to ship value in days or weeks, not months or quarters. You’ll have the autonomy and urgency to make that real.
* Understand product priorities efficiently, organize tasks and align with the team to assign the right scope for a feature and deciding whether you need to build the 1 day, 1 week, or 1 month version.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85">
      <c r="A85" t="inlineStr">
        <is>
          <t>li-4368128431</t>
        </is>
      </c>
      <c r="B85" t="inlineStr">
        <is>
          <t>Product Manager, Functional Test</t>
        </is>
      </c>
      <c r="C85" t="inlineStr">
        <is>
          <t>Circuit Check Inc.</t>
        </is>
      </c>
      <c r="D85" t="inlineStr">
        <is>
          <t>linkedin</t>
        </is>
      </c>
      <c r="E85">
        <f>HYPERLINK("https://www.linkedin.com/jobs/view/4368128431", "https://www.linkedin.com/jobs/view/4368128431")</f>
        <v/>
      </c>
      <c r="F85">
        <f>HYPERLINK("https://www.adzuna.com/details/5586995690?v=58DD82A7AE6D4644D920734E290B2EE8DA09E8B7&amp;frd=2e611262431d1ce7837559689c58098d&amp;ccd=002d85831ab7e435e9375504338f465e&amp;r=21180560&amp;utm_source=linkedin7&amp;utm_medium=organic&amp;chnlid=1931&amp;title=Product%20Manager%2C%20Functional%20Test&amp;a=e&amp;urlHash=SWCW", "https://www.adzuna.com/details/5586995690?v=58DD82A7AE6D4644D920734E290B2EE8DA09E8B7&amp;frd=2e611262431d1ce7837559689c58098d&amp;ccd=002d85831ab7e435e9375504338f465e&amp;r=21180560&amp;utm_source=linkedin7&amp;utm_medium=organic&amp;chnlid=1931&amp;title=Product%20Manager%2C%20Functional%20Test&amp;a=e&amp;urlHash=SWCW")</f>
        <v/>
      </c>
      <c r="G85" t="inlineStr">
        <is>
          <t>Maple Grove, MN</t>
        </is>
      </c>
      <c r="H85" t="inlineStr"/>
      <c r="I85" t="inlineStr">
        <is>
          <t>**About The Job**
**Who we are:**
 Circuit Check is a global leader in automated test systems for complex electronics. Our
 **Technology and Solutions Group (TSG)** 
 is driving innovation across hardware, software, and data to define the next generation of intelligent, scalable test platforms.
 We’re seeking a
 **Product Manager, Functional Test** 
 who will own the definition and evolution of Circuit Check's functional test platform \- bringing together instrumentation, control software, and system integration into a cohesive, scalable offering for our customers.
 This role requires both technical depth and commercial insight: someone who understands ATE design, customer production challenges, and how to convert engineering capability into standardized, repeatable test solutions.
 Our design staff includes electrical, software, mechanical engineers, and project managers. Our systems are supported by staff throughout the United States, Canada, Mexico, Europe, Malaysia, and China.
**Position Summary**
 The Product Manager, Functional Test will serve as the architect and champion of Circuit Check's custom test system development platform, ensuring that our tools, architectures, and processes deliver consistent performance and reliability across industries. You will work closely with design engineers, system integrators, and customers to define our standard toolset and hardware platform, balancing innovation with manufacturability and supportability.
 This position is ideal for someone who thrives at the intersection of engineering, product strategy, and customer engagement \- with approximately 25% travel to customer sites,, vendors, and Circuit Check facilities.
**Key Responsibilities**
* Platform Ownership: Define and maintain the roadmap for Circuit Check’s functional test system platform, including instrumentation, hardware interfaces, and software architecture
* Customer Engagement: Collaborate directly with customers to understand testing needs, production environments, and industry trends, translating insights into platform improvements
* System Integration: Lead cross\-functional efforts to align mechanical, electrical, and software teams around a unified architecture for test solutions
* Toolset Development: Standardize and continuously improve Circuit Check’s toolset for ATE system development, from hardware frameworks to software integration and documentation
* Technology Evaluation: Assess and integrate technologies from National Instruments, Rohde \&amp; Schwarz, Keysight, and Tektronix, as well as test executives (e.g., LabVIEW/TestStand) and emerging automation tools
* Quality \&amp; Scalability: Ensure that test platforms meet the highest standards for reliability, maintainability, and calibration traceability
* Training \&amp; Evangelism: Act as an internal and external advocate for functional test excellence — enabling sales, training engineers, and supporting customers.
**Required Qualifications**
* Bachelor’s degree in electrical engineering, computer engineering, or related technical field
* Minimum 5 years of experience in functional test or ATE system design, integration, or product management
* Deep familiarity with instrumentation from National Instruments, Rohde \&amp; Schwartz, Keysight, and Tektronix
* Demonstrated experience with LabVIEW, TestStand or other Test Executive environments
* Proven ability to synthesize information from engineering, customer feedback, and market trends into coherent product direction
* Excellent communication skills and the ability to work cross\-functionally with design, manufacturing, and commercial teams
* Willingness to travel approximately 25% for customer collaboration and platform deployment.
**Preferred Attributes**
* Experience building or managing modular test platforms for high\-mix or high\-reliability electronics
* Understanding of calibration, traceability, and compliance standards (ISO, IPC, MIL\-STD, etc.)
* Demonstrated ability to mentor teams on test strategy, fixture design, or measurement best practices
* Strong customer orientation and ability to translate complex engineering concepts into business value
* Strong systems thinking and ability to bridge business needs with technical design
* Clear communicator who thrives in a cross\-functional engineering culture.
**Pay And Benefits**
 CCI is committed to offering competitive pay and benefits, including, but not limited to:
* Flexible work hours
* Paid Time Off (PTO) and Paid Holidays
* Medical, Dental, and Vision Insurance Plans
* HSA and FSA
* Life Insurance
* 401(k) with match
* Tuition Reimbursement
* Pet Insurance
* Identity Theft Insurance
* Medical Bridge/Critical Care/Cancer/Accident Insurance
*This job description reflects management’s assignment of key responsibilities; it does not prescribe or restrict the tasks that may be assigned.*
 Individual base pay is based on various factors, including work location, relevant experience and skills, the responsibility of the role, and job duties/requirements. For this role, our current pay range is $120,000 \- $200,000\.
 Listed range represents the full earning potential in this position. Starting salaries for well\-qualified new hires are typically around the midpoint of the range. This range was determined by a market\-based compensation approach; we used data from trusted third\-party compensation sources to set equitable, consistent, and competitive ranges. We also evaluate compensation annually, identify any changes in the market and make adjustments to our ranges and existing employee compensation as needed.
 Base pay is only one element of an employee's total compensation at Circuit Check. Employees (and their dependents in most plans) are covered by medical, dental, vision, basic life, short\- and long\-term disability and accidental death and dismemberment insurance. Employees are able to enroll in Circuit Check’s 401k plan, in which the Company will match 50% of your contributions up to 6% with a maximum contribution. Paid time off includes vacation and sick time along with paid holidays. A summary of benefits can be provided by request via email to hr@circuitcheck.com.
 Circuit Check, Inc. is proud to be an Equal Opportunity Employer. We do not discriminate based on identity, race, color, religion, national origin or ancestry, sex (including sexual identity), age, physical or mental disability, pregnancy, veteran or military status, genetic information, sexual orientation, marital status, or any other legally recognized protected basis under federal, state, or local law. Because Circuit Check is a federal contractor, we participate in the E\-Verify program in certain locations, as required by law. Applicants must be legally authorized to work in the United States without needing sponsorship for an employment visa (e.g., H1B status).
 If you need a reasonable accommodation for any part of the employment process, please contact us by email at hr@circuitcheck.com and let us know the nature of your request and your contact information. We'll do all we can to ensure you're set up for success during our interview process while upholding your privacy, including requests for accommodation.</t>
        </is>
      </c>
    </row>
    <row r="86">
      <c r="A86" t="inlineStr">
        <is>
          <t>li-4367749854</t>
        </is>
      </c>
      <c r="B86" t="inlineStr">
        <is>
          <t>Senior Product Manager, Marketplace Growth</t>
        </is>
      </c>
      <c r="C86" t="inlineStr">
        <is>
          <t>RemoteHunter</t>
        </is>
      </c>
      <c r="D86" t="inlineStr">
        <is>
          <t>linkedin</t>
        </is>
      </c>
      <c r="E86">
        <f>HYPERLINK("https://www.linkedin.com/jobs/view/4367749854", "https://www.linkedin.com/jobs/view/4367749854")</f>
        <v/>
      </c>
      <c r="F86" t="inlineStr"/>
      <c r="G86" t="inlineStr"/>
      <c r="H86" t="inlineStr"/>
      <c r="I86" t="inlineStr">
        <is>
          <t>About the Organization:
 The organization is building America’s first AI\-powered super app to simplify car ownership. It aims to redefine how people manage one of their most expensive and time\-consuming assets. The app is the top\-rated and most downloaded in its category with a 4\.7\-star rating in the App Store and over 5 million users. It helps customers find better auto insurance and plans to expand its offerings.
 About the Opportunity:
 A Senior Product Manager is needed to own marketplace growth and automation products. These systems enable the delivery of accurate, low\-cost quotes quickly. The role involves scaling systems, establishing new integrations with top carriers, improving data quality, and enhancing the quoting experience.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Identify opportunities to use AI and automation to reduce maintenance costs and improve system resilience.
 Requirements:
 • 4\+ years of experience in management consulting, technical product management, data analytics, or operations at a fast\-paced startup.
 • Strong technical and systems thinking skills; able to translate complex ideas into simple terms.
 • Data\-driven with the ability to independently analyze data.
 • Metric ownership mindset with a focus on continuous improvement.
 • Passionate about AI and experienced in leveraging it for automation and personalized customer communications.
 Benefits \&amp; Perks:
 • Comprehensive benefits package including health, dental, and vision coverage.
 • Paid time off and paid parental leave.
 • 401(k) plan with employer matching.
 • Wellness benefits.
 • Equity opportunities may be offered.
 • Note: Part\-time, contract, or freelance roles may have limited benefits eligibility.
 Compensation:
 • Starting pay within the posted range, based on skills, experience, qualifications, work location, and market factors.
 • Compensation may include equity grants.
 • Pay ranges are market\-dependent and subject to change.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7">
      <c r="A87" t="inlineStr">
        <is>
          <t>li-4367766340</t>
        </is>
      </c>
      <c r="B87" t="inlineStr">
        <is>
          <t>Sr. Principal Product Manager - Scorpio</t>
        </is>
      </c>
      <c r="C87" t="inlineStr">
        <is>
          <t>Astera Labs</t>
        </is>
      </c>
      <c r="D87" t="inlineStr">
        <is>
          <t>linkedin</t>
        </is>
      </c>
      <c r="E87">
        <f>HYPERLINK("https://www.linkedin.com/jobs/view/4367766340", "https://www.linkedin.com/jobs/view/4367766340")</f>
        <v/>
      </c>
      <c r="F87" t="inlineStr"/>
      <c r="G87" t="inlineStr">
        <is>
          <t>San Jose, CA</t>
        </is>
      </c>
      <c r="H87" t="inlineStr"/>
      <c r="I87" t="inlineStr">
        <is>
          <t>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end\-to\-end scale\-up, and scale\-out connectivity. The company’s custom connectivity solutions business complements its standards\-based portfolio, enabling customers to deploy tailored architectures to meet their unique infrastructure requirements. Discover more at www.asteralabs.com.
 Are you passionate about creating differentiated products and working with hyperscale and AI platform providers to deploy the next generation of data center infrastructure?
 We are seeking a highly technical and experienced product manager to join our team at Astera Labs. As a key member of our product management team, you will work closely with customers, product marketing and other cross\-functional teams to define and deliver competitive silicon, hardware and software solutions. With high visibility to the executive team and customers, this role requires strong leadership and communication skills, and a blend of technical expertise and market insight within your product domain.
 This is a unique opportunity to play a pivotal role in the success of our Scorpio Smart Fabric Switch portfolio. We are scaling our product team to support our worldwide customers, offering ample opportunities for growth and advancement within the product team.
 Based in San Jose, CA or Vancouver, BC, this position requires an in\-person presence with travel to customers.
**Key Responsibilities** 
* Own product definition: Define detailed product requirements and prioritize features, enhancements, and bug fixes based on business goals and customer feedback.
* Lead customer technical engagement: Work closely with lighthouse customers to translate their needs to competitive product requirements and secure new design\-wins throughout the product lifecycle.
* Support go\-to\-market: Leverage technical and product expertise to support product marketing and corporate marketing teams on go\-to\-market planning and execution, sales enablement, competitive analysis, and product positioning.
* Lead product planning: Work closely with product marketing to translate product strategy into executable product plans and collaborate with Astera Labs cross\-functional teams to drive products from ideation to launch.
**Qualifications**
* Bachelor’s degree in engineering or compute science
* 5\-10 years of experience in product management, technical product marketing, applications or other customer\-facing product roles within the semiconductor industry
* Proven track record of defining and launching successful semiconductor products (switch products are a plus)
* Deep understanding of high\-speed protocols (PCIe/CXL and/or UALink are required; Ethernet and other protocols are a plus) and system architectures used in cloud and AI infrastructure
* Strong strategic thinking and analytical skills, with the ability to translate customer pain points into competitive products
* Excellent communication and presentation skills, with the ability to articulate complex technical concepts in a clear and compelling manner
* Proven ability to collaborate effectively with cross\-functional teams and drive consensus in a fast\-paced, dynamic environment
* Results\-oriented mindset with a focus on driving measurable impact and achieving business objectives
* Experience working with customers and partners to understand their needs and drive product definition
* Willingness to travel as needed for customer meetings, industry events, and trade shows
 If you are passionate about driving innovation and shaping the future of data center connectivity through world\-class products, we encourage you to apply. Join Astera Labs in unleashing the potential of cloud and AI infrastructure!
 Compensation will be based on leveling and experience. Base Salary Range $210,000 \- $255,000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row>
    <row r="88">
      <c r="A88" t="inlineStr">
        <is>
          <t>li-4367782019</t>
        </is>
      </c>
      <c r="B88" t="inlineStr">
        <is>
          <t>Product Manager II (This is NOT a technical role)</t>
        </is>
      </c>
      <c r="C88" t="inlineStr">
        <is>
          <t>ITW</t>
        </is>
      </c>
      <c r="D88" t="inlineStr">
        <is>
          <t>linkedin</t>
        </is>
      </c>
      <c r="E88">
        <f>HYPERLINK("https://www.linkedin.com/jobs/view/4367782019", "https://www.linkedin.com/jobs/view/4367782019")</f>
        <v/>
      </c>
      <c r="F88" t="inlineStr"/>
      <c r="G88" t="inlineStr">
        <is>
          <t>Glenview, IL</t>
        </is>
      </c>
      <c r="H88" t="inlineStr"/>
      <c r="I88" t="inlineStr">
        <is>
          <t>**Job Description:** 
**ITW Power Nailing** 
 , a division within the Construction Products segment, is a global provider of premium nailing and fastening solutions. Our products are engineered to improve contractor productivity and elevate building quality across both new residential construction and remodeling projects. With trusted, category\-defining brands like
 **Paslode** 
 , we set the standard in wood\-to\-wood fastening systems—delivering performance, reliability, and productivity that professionals count on.
 ITW offers you a path for advancement, a competitive salary, and a comprehensive benefits package designed to help employees care for themselves, their families, and their futures. Our Glenview office has a free onsite fitness center, active employee resource groups, corporate discounts, and much more. We are just one block away from the Golf Metra station and quick train ride to downtown Chicago.
**Purpose of the Role** 
 The Product Manager will set strategy, drive innovation, and oversee profitability across their product categories. As the owner of the full product lifecycle, you will collaborate with all functional teams within the division. You will serve as the category leader, responsible for managing the entire product portfolio.
 We’re seeking business\-minded professionals who excel at problem\-solving, communicate effectively, and thrive in entrepreneurial environments. Success in this role requires leveraging the ITW Business Model—focusing on end\-user\-driven product development, applying 80/20 prioritization, and simplifying processes—to drive sustainable growth across product categories.
**Key Responsibilities** 
* **Customer Back Innovation:** 
 Execute the new product development roadmap to seize key market opportunities. Champion the Customer Back Innovation stage gate process through effective collaboration. You will oversee new product rollout efforts including forecasting volumes, end user validation, integrated marketing planning as well as sales and channel training.
* **End User Intimacy** 
 : Gain strong understanding of voice of customer through qualitative and quantitative market research that drive product strategy and development. You will lead end user segmentation to ensure proper targeting and prioritization
* **Product Portfolio Management** 
 : Lead product portfolio strategy including management of existing product mix and pricing strategy to drive top\- and bottom\-line financial performance. Participate in capacity planning efforts working with operations and engineering. Responsible for product line maintenance including SKU rationalization and simplification to optimize the product mix and financials.
* **Financial Ownership:** 
 The Product Manager will own the P\&amp;L for their product categories and deliver on key metrics by utilizing key performance indicators.
* **Market Landscape:** 
 The Product Manager will build a full understanding of the market dynamics including customer and end user trends, competitive trends and actions and will drive market sizing efforts to ensure focus on addressable market, including the strengths and weaknesses of our competitors’ products/brands.
**Required Qualifications** 
* Bachelor’s Degree required in business, engineering, marketing, or comparable discipline
* 3\+ years of marketing experience
* 2\+ years of product management experience and product development experience, from inception to product introduction
* Ability to analyze financial results and new market opportunities
* Proficient in Excel, Word and Power Point
* The ability to travel is approximately 20%
**Preferred Qualifications** 
* MBA or master’s degree
* Full product lifecycle management experience
* Experience with durable goods
* Strong team/project management, communications, and presentation skills
* Proven ability to influence cross\-functional teams without formal authority
* Ability to maintain a keen attention to detail, multitask and work well under pressure
* Natural tendency to be curious, positive, and creative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This position requires an employee to work in a variety of locations including, but not limited to home office, job sites, lumberyards, and distributor locations. These environments are not controlled by ITW.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stand, talk, hear, reach with hands and arms, and regularly required to walk. Must be able to lift 40 lbs., able to walk and stand for long periods of time at customer events, trade shows, and job site locations. Position requires approximately 20% travel and the ability to operate a motor vehicle.
**Compensation Information:** 
 We believe our people are our greatest asset. That’s why we invest in creating an environment where you can thrive—both personally and professionally. For more details, visit our Benefits page.
 In addition, our benefits include paid vacation, sick, holiday, and parental leave.
 Annual base salary range for this position is $115,000 to $130,000 plus annual performance bonus. Please note that this salary information serves as a general guideline. Company considers various factors when extending an offer, including but not limited to the scope and responsibilities of the position, the candidate's work experience, education and training, key skills, as well as market and business considerations.
*ITW is an equal opportunity employer. We value our colleagues’ unique perspectives, experiences and ideas and create workplaces where everyone can develop their careers and perform to their full potential.* 
*As an equal employment opportunity employer, ITW is committed to equal employment opportunity and fair treatment for employees, beginning with the hiring process and continuing through all aspects of the employment relationship.* 
*All qualified applicants will receive consideration for employment without regard to race, color, sex, gender identity, sexual orientation, religion, national origin, age, disability, protected Veteran status or any other characteristic protected by applicable federal, state, or local laws.*</t>
        </is>
      </c>
    </row>
    <row r="89">
      <c r="A89" t="inlineStr">
        <is>
          <t>li-4368142118</t>
        </is>
      </c>
      <c r="B89" t="inlineStr">
        <is>
          <t>Group Product Manager, Grocery &amp; Retail Advertising</t>
        </is>
      </c>
      <c r="C89" t="inlineStr">
        <is>
          <t>Uber</t>
        </is>
      </c>
      <c r="D89" t="inlineStr">
        <is>
          <t>linkedin</t>
        </is>
      </c>
      <c r="E89">
        <f>HYPERLINK("https://www.linkedin.com/jobs/view/4368142118", "https://www.linkedin.com/jobs/view/4368142118")</f>
        <v/>
      </c>
      <c r="F89" t="inlineStr"/>
      <c r="G89" t="inlineStr">
        <is>
          <t>San Francisco, CA</t>
        </is>
      </c>
      <c r="H89" t="inlineStr"/>
      <c r="I89" t="inlineStr">
        <is>
          <t>**Group Product Manager, Grocery \&amp; Retail Ads**
**About The Role**
 Uber Eats is expanding its mission to help consumers discover and purchase anything they need\-and
 **grocery and retail are at the center of that growth** 
 . Advertising is a critical lever in enabling merchants to scale and helping consumers find the right items at the right moment. We're looking for a visionary and strategic product leader to shape the future of
 **grocery and retail advertising** 
 across the Uber Eats ecosystem.
 As a
 **Group Product Manager for Grocery \&amp; Retail Ads** 
 , you will own the end\-to\-end ad experience for both shoppers and merchants. You will define how ads appear, how they perform, how they are measured, and how they contribute to a healthy marketplace that serves millions of customers each day. You'll set long\-term strategy, drive alignment across the Ads, Grocery, Retail, and Consumer organizations, and lead a team responsible for bringing that strategy to life.
 You will collaborate deeply with Product Design, Data Science, Engineering, Ads Operations, Sales, UXR, and regional business teams. Your work will rely on rich shopper insights, merchant feedback, experimentation, and a strong understanding of ad systems. You'll combine product intuition with analytical rigor to build an ads ecosystem that delivers value to merchants while creating a delightful and relevant experience for consumers.
 This role requires an owner's mindset, a high bar for quality, and the passion to build a world\-class grocery and retail ads platform.
 **What the Candidate Will Do**
* Own the end\-to\-end strategy for grocery \&amp; retail ads, including sponsored listings, on\-site ad formats, discovery surfaces, and placement opportunities across the Uber Eats app.
* Identify, design, and launch new advertising surfaces and formats that enhance shopper discovery while driving incremental value for grocery and retail merchants.
* Partner with Ads Engineering, Data Science, and Applied ML to improve ad ranking, targeting, bidding, and relevance models to ensure ads are high\-quality and contextually useful.
* Develop and maintain a multi\-quarter roadmap that advances the scalability, performance, and user experience of the grocery \&amp; retail ads ecosystem.
* Lead a rigorous experimentation program across ad placements, auction mechanics, creative formats, and bidding strategies to validate impact and strengthen marketplace quality.
* Define and track core metrics for ads success\-including advertiser ROI, ad quality, shopper engagement, and revenue\-and use them to guide decisions and prioritization.
* Collaborate with Ads Sales and Merchant teams to understand advertiser needs, improve onboarding and performance, and translate merchant insights into product direction.
* Elevate the consumer ad experience by ensuring ads are relevant, trustworthy, high\-quality, and seamlessly integrated into the shopper journey.
* Work cross\-functionally with Design and UXR to develop intuitive ad experiences that drive clarity, performance, and long\-term trust.
* Align teams across Ads, Grocery/Retail, Consumer, Marketplace, and regional operations around a coherent ads vision and execution plan.
* Identify and mitigate risks across ad load, marketplace balance, consumer trust, compliance, and merchant performance.
* Champion ads quality and integrity, ensuring we scale monetization responsibly while maintaining an excellent consumer experience.
**Basic Qualifications**
* 8\+ years of Product Management experience delivering highly successful, user\-facing products at scale.
* Experience owning and driving strategy for complex systems\-preferably in ads, marketplaces, or multi\-sided platforms.
* Strong analytical capabilities, including experiment design, metrics definition, and proficiency with data tools.
* Deep customer obsession and demonstrated ability to simplify complex problems into elegant, intuitive experiences.
* Proven success scaling products and owning business outcomes in high\-growth environments.
* Experience leading cross\-functional teams across multiple geographies.
**Preferred Qualifications**
* A Driver" mindset\-biased toward action, comfortable with ambiguity, and excellent at clarifying complexity.
* High standards for product quality, with strong attention to detail across UX, data accuracy, and execution.
* Ability to independently pull, analyze, and synthesize data to tell compelling stories and drive decision\-making.
* Experience with advertising ecosystems, including sponsored listings, ranking models, auction dynamics, advertiser measurement, or performance optimization.
* Passion for building the future of grocery \&amp; retail commerce and contributing to Uber's mission.
* A growth mindset and relentless desire to learn, improve, and push the product forward.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0">
      <c r="A90" t="inlineStr">
        <is>
          <t>li-4367753990</t>
        </is>
      </c>
      <c r="B90" t="inlineStr">
        <is>
          <t>Senior Product Manager (Viral Delivery)</t>
        </is>
      </c>
      <c r="C90" t="inlineStr">
        <is>
          <t>Takara Bio USA, Inc.</t>
        </is>
      </c>
      <c r="D90" t="inlineStr">
        <is>
          <t>linkedin</t>
        </is>
      </c>
      <c r="E90">
        <f>HYPERLINK("https://www.linkedin.com/jobs/view/4367753990", "https://www.linkedin.com/jobs/view/4367753990")</f>
        <v/>
      </c>
      <c r="F90">
        <f>HYPERLINK("https://takarabio.com/about/careers?gnk=job&amp;gni=8a7885ac9be7cb4f019bfb73e45d2974&amp;urlHash=hJQ4", "https://takarabio.com/about/careers?gnk=job&amp;gni=8a7885ac9be7cb4f019bfb73e45d2974&amp;urlHash=hJQ4")</f>
        <v/>
      </c>
      <c r="G90" t="inlineStr">
        <is>
          <t>San Jose, CA</t>
        </is>
      </c>
      <c r="H90" t="inlineStr"/>
      <c r="I90" t="inlineStr">
        <is>
          <t>**Job Title: Senior Product Manager (Viral Delivery)**
 Reports to: Director, Product and Market Strategy – Molecular \&amp; Cellular Biology Solutions
 FLSA Class: Exempt
**Learn more about our company and how we support you:**
 Takara Bio USA (TBUSA) empowers life science discovery. We bring innovation and inspiration to every scientist \- promoting discoveries that improve health and the environment. We hold values that all employees and prospective candidates should demonstrate: Innovation, Teamwork, Integrity, Respect, Growth, Diversity and Quality. We value helping employees develop their skills and you will be part of this journey!
 At Takara Bio, we know that every experimental decision has an impact. Choices matter, from design to data analysis. We create best\-in\-class products that get the job done. In your hands, what do those research reagents and kits create? Something powerful: knowledge, understanding, and—often—hope! Together we can improve the human condition through biotechnology…and That's Good Science!
**How this role drives the company forward:**
 The Senior Product Manager is a skilled technical leader responsible for guiding and managing a product portfolio throughout its life cycle. They drive successful product launches, develop effective go\-to\-market strategies, design and implement promotional activities to drive sales growth, and equip the global sales team with the training they need to succeed. The Senior Product Manager makes informed decisions on product direction, market positioning, and pricing, while creating clear, impactful marketing content for use across multiple channels. They also prepare presentations and reports that keep stakeholders aligned on the progress of both new and existing products. Success in this role requires curiosity, strong technical understanding, clear communication, and strong writing skills. The Senior Product Manager brings clarity, structure, and momentum to a strategically important product area that shapes our business.
 The Senior Product Manager role is office\-based.
 Approximately 15% travel may be required.
**How you will make an impact:**
 We are seeking a highly motivated and experienced Senior Product Manager to join our growing Product Management team. In this role, you will be responsible for managing Takara Bio’s Viral Delivery portfolio, which includes retroviral, lentiviral, adenoviral, and adeno\-associated (AAV) tools and technologies and RetroNectin. The ideal candidate will have extensive technical knowledge and hands\-on experience with cell and gene therapy workflows and CAR\-T therapies. This includes performing these workflows during graduate and/or postdoctoral training and having prior product management experience at a life science company focused on cell and gene therapy applications. In this role, you will demonstrate a creative approach to drive results and build relationships with colleagues in operations, R\&amp;D, sales, and marketing. Ideally, this candidate will also have experience managing and mentoring junior team members. In summary, this is an ideal role for someone with substantial product management experience to take ownership of a highly innovative, strategically important product portfolio with immense growth potential and deliver high\-quality results to drive the business's success.
**What will you do:**
* Manage a portfolio of viral delivery products and ensure their commercial success.
* Develop and implement the annual tactical marketing plan to grow sales.
* Conduct outbound marketing activities to advertise our product portfolio and expertise to target customers using a combination of email, search engine, and social media marketing platforms.
* Plan and run integrated marketing campaigns, analyze their effectiveness, and present conclusions to stakeholders.
* Partner with the R\&amp;D team on key product life cycle decisions, including new product launches, discontinuations, or product improvements.
* Independently develop a portfolio of sales support tools that includes, but is not limited to, customer\-facing presentations, battle and cue cards, testimonials, and citations.
* Gain voice of customer information from surveys and customer discovery calls.
* Use voice of customer data from the strategy team to develop web content and other tools that communicate the value proposition directly to customers.
* Work closely with Sales to fill the sales funnel and get regular and complete feedback from customers.
* Organize and lead regular tactical marketing meetings to track sales and deliver against product budget.
* Train junior members on the essential functions of product management.
* May have supervisory responsibilities for junior members of the Product Management team.
**How will you get here?**
* Requires a Ph.D. in biological sciences or related discipline; M.S. will be considered.
* Requires a minimum of 3 years postgraduate laboratory experience.
* A minimum of 6 years of Product Management experience.
* Advanced knowledge of Product Management functions, with hands\-on experience managing viral delivery products.
* Advanced proficiency in presenting, written, and verbal communication skills is required.
* Advanced experience with Microsoft Office.
* Must be detail\-oriented and have strong organizational and time management skills.
* Demonstrated ability to work as part of a team is required.
* Independence to manage work and lead projects.
* Ability to assist and train junior members of the team.
**AAP/EEO Statement:**
 Takara Bio USA, Inc.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
**Additional Information about the role:**
 Please note this job description may not cover or contain a comprehensive listing of activities, duties or responsibilities that are required of the employee for this job. Duties, responsibilities and activities may change at any time with or without notice. The US base salary range for this full\-time position, expected to be located in San Jose, CA, is $170,000 \- $185,000 USD. This range may be modified at any time at our sole discretion. This base salary does not include additional bonus compensation and benefits. Learn more about benefits at https://www.takarabio.com/about/careers/company\-benefits.
 **Individual compensation packages are based on factors unique to each candidate, including job\-related skills, training, experience, qualifications, work location, and market conditions.**</t>
        </is>
      </c>
    </row>
    <row r="91">
      <c r="A91" t="inlineStr">
        <is>
          <t>li-4367757858</t>
        </is>
      </c>
      <c r="B91" t="inlineStr">
        <is>
          <t>Senior Product Manager, AI Powered Messaging</t>
        </is>
      </c>
      <c r="C91" t="inlineStr">
        <is>
          <t>RemoteHunter</t>
        </is>
      </c>
      <c r="D91" t="inlineStr">
        <is>
          <t>linkedin</t>
        </is>
      </c>
      <c r="E91">
        <f>HYPERLINK("https://www.linkedin.com/jobs/view/4367757858", "https://www.linkedin.com/jobs/view/4367757858")</f>
        <v/>
      </c>
      <c r="F91">
        <f>HYPERLINK("https://www.remotehunter.com/apply-with-ai/f68e433d-0bbd-4938-ad4b-76450a4e1fd9?utm_medium=job_posting&amp;utm_source=linkedin&amp;utm_campaign=product_manager_remote&amp;utm_category=product_manager&amp;utm_term=senior_product_manager_ai_powered_messaging&amp;urlHash=tr9o", "https://www.remotehunter.com/apply-with-ai/f68e433d-0bbd-4938-ad4b-76450a4e1fd9?utm_medium=job_posting&amp;utm_source=linkedin&amp;utm_campaign=product_manager_remote&amp;utm_category=product_manager&amp;utm_term=senior_product_manager_ai_powered_messaging&amp;urlHash=tr9o")</f>
        <v/>
      </c>
      <c r="G91" t="inlineStr"/>
      <c r="H91" t="inlineStr"/>
      <c r="I91" t="inlineStr">
        <is>
          <t>About the Organization:
 This organization is developing America’s first AI\-powered super app to simplify car ownership. It redefines how people manage owning a car, one of their most expensive and time\-consuming assets. Rated \#1 and most downloaded in its category with a 4\.7 star rating in the App Store, it serves over 5 million users and has helped millions find better auto insurance.
 About the Opportunity:
 • Own the AI\-driven communications product within the organization.
 • Increase AI\-handled customer requests from 70% to over 90% while improving satisfaction and conversion.
 • Scale messaging infrastructure across SMS, in\-app chat, email, and voice.
 • Collaborate with Product, Engineering, and Data Science teams to create engaging AI interactions.
 • Analyze data to prioritize improvements in core messaging systems.
 • Identify bottlenecks to improve prompt engineering and guide the technical roadmap.
 • Stay updated on AI trends and technologies to inform strategic decisions.
 Requirements:
 • 5\+ years experience in management consulting, technical product management, data analytics, or operations in a fast\-paced startup.
 • Strong technical understanding and systems thinking with ability to simplify complex ideas.
 • Data\-driven with ability to independently analyze and interpret data.
 • Metric ownership mindset with continuous improvement focus.
 • Passionate about AI, experienced in using it for automation, and eager to leverage it for personalized customer communications at scale.
 Benefits \&amp; Perks:
 • Comprehensive health, dental, and vision coverage.
 • Paid time off and paid parental leave.
 • 401(k) plan with employer matching.
 • Wellness benefits.
 • Equity opportunities may be included.
 Compensation:
 • Starting pay will fall within the listed range based on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2">
      <c r="A92" t="inlineStr">
        <is>
          <t>li-4368142274</t>
        </is>
      </c>
      <c r="B92" t="inlineStr">
        <is>
          <t>Senior Product Manager, Earner Intelligence</t>
        </is>
      </c>
      <c r="C92" t="inlineStr">
        <is>
          <t>Uber</t>
        </is>
      </c>
      <c r="D92" t="inlineStr">
        <is>
          <t>linkedin</t>
        </is>
      </c>
      <c r="E92">
        <f>HYPERLINK("https://www.linkedin.com/jobs/view/4368142274", "https://www.linkedin.com/jobs/view/4368142274")</f>
        <v/>
      </c>
      <c r="F92" t="inlineStr"/>
      <c r="G92" t="inlineStr">
        <is>
          <t>San Francisco, CA</t>
        </is>
      </c>
      <c r="H92" t="inlineStr"/>
      <c r="I92" t="inlineStr">
        <is>
          <t>**About The Role**
 Are you an experienced Machine Learning Product Manager who likes to ship products to end users? Are you looking to build impactful ML products, platforms, and pioneer innovation within Uber? If so, this role might be for you.
 You will identify and work on key opportunities to bring more growth and efficiency, leveraging our wealth of data and different ML techniques, while spearheading innovation and building platforms to scale the impact to more use cases. This requires judgment to make difficult trade\-offs, blending ML with user experience, and the ability to build simplicity from complexity.
 In this role, you will build ML products to power user\-facing solutions, and also develop platform tools that are used across teams, with a primary focus on Earners \- drivers and couriers.
**About The Team**
 We are the Earner Intelligence team, focused on creating ML solutions and platforms to drive and scale efficient growth. We build products to tailor the product experience throughout the earner lifecycle from user acquisition, to conversion, early lifecycle, and retention, while also working with other (domain") teams to ship solutions and to scale to more use cases.
 The team employs a variety of ML/AI techniques, spanning from causal ML, supervised ML, multi\-armed bandits, genAI LLM to deep learning embeddings to build impactful products.
 Our goal is to make sure that the earner journey is great at every touch point, that we build trust with Earners, and that we drive efficient growth to Uber's core business and its strategic bets.
**What The Candidate Will Need / Bonus Points**
 \-\-\-\- What the Candidate Will Do \-\-\-\-
* Own the product roadmap and lead vision, definition, and execution for building Uber's strategy on efficient growth and user experience optimization using ML.
* The team employs a variety of ML/AI techniques, spanning from causal ML meta learners, supervised ML, RL multi\-armed bandits, genAI LLM to deep learning embeddings to build impactful data products.
* Rethink the journey \- deeply understand earners, their motivations and challenges, and keep making their experience better.
* Model and predict earner behaviors to improve earner experience throughout the onboarding funnel
* Design recommendation engines to recommend the most relevant earning opportunities and early lifecycle content
* Develop matching algorithms for driver to driver mentorship program
* A lot more
* Innovate \- find new ways of using ML to drive efficient growth and user experience improvements with new technologies.
* Distill vision and strategy for the team, work closely with multi\-functional leads to develop technical vision, new methodological approaches, and get all members of cross\-functional teams \#superpumped.
* Own your numbers, drive your cross\-functional team of engineers, data scientist, product ops and designers to set qualitative objectives and quantitative goals \- and overachieve them.
* Clearly communicate product plans, benefits, and results to leadership.
**Basic Qualifications**
* Minimum of 4 years of Machine Learning Product Management experience.
* Bachelor's or equivalent experience in Computer Science, Machine Learning, Statistics, Engineering, or other related fields
* Experience with launching ML\-based projects, including data collection and clean up, model training and observability, using distinct ML techniques for different applications.
* Experience delivering highly successful and creative consumer products with your fingerprints all over them in Search, Recommendation, Targeting, Pricing, Incentives, or related \- you're proud of what you've accomplished.
* Expertise in the design and architecture of ML systems and workflows.
* Experience in exploratory data analysis, statistical modeling, hypothesis testing, and experimental design.
* Data\-driven: you always get the data you need, and you can distill it into an insightful story. Most importantly, you leverage data to drive strategic decisions.
**Preferred Qualifications**
* Experience with optimization techniques, including reinforcement learning (RL), Bayesian methods, causal ML meta learners, genAI LLM.
* Experience building and productionizing innovative end\-to\-end Machine Learning systems.
* Experience in building and optimizing complex user flows
* Launching products in different international markets
 For San Francisco, CA\-based roles: The base salary range for this role is USD$190,000 per year \- USD$211,000 per year. You will be eligible to participate in Uber's bonus program, and may be offered an equity award \&amp; other types of comp. You will also be eligible for various benefits. More details can be found at the following link https://www.uber.com/careers/benefits.</t>
        </is>
      </c>
    </row>
    <row r="93">
      <c r="A93" t="inlineStr">
        <is>
          <t>li-4368111987</t>
        </is>
      </c>
      <c r="B93" t="inlineStr">
        <is>
          <t>Business Systems Analyst / Technical Product Owner</t>
        </is>
      </c>
      <c r="C93" t="inlineStr">
        <is>
          <t>VeeRteq Solutions LLC</t>
        </is>
      </c>
      <c r="D93" t="inlineStr">
        <is>
          <t>linkedin</t>
        </is>
      </c>
      <c r="E93">
        <f>HYPERLINK("https://www.linkedin.com/jobs/view/4368111987", "https://www.linkedin.com/jobs/view/4368111987")</f>
        <v/>
      </c>
      <c r="F93" t="inlineStr"/>
      <c r="G93" t="inlineStr">
        <is>
          <t>New York, NY</t>
        </is>
      </c>
      <c r="H93" t="inlineStr"/>
      <c r="I93" t="inlineStr">
        <is>
          <t>**Job Description: Business Systems Analyst / Technical Product Owner**
**Contract Duration:** 
 1 Year
**Remote**
**Role Overview**
 The Business Systems Analyst / Technical Product Owner will work closely with business, data, and engineering teams to understand requirements, analyze data, document technical specifications, and support end to end delivery. The role includes hands on data analysis, stakeholder interaction, and participation in testing and UAT activities.
**Day To Day Responsibilities**
* Interact with business teams for requirement discovery and clarification
* Analyze data and unpack existing business logic
* Create and maintain technical documentation (PDD, STM)
* Collaborate with Data Modelers and Engineering teams
* Participate in UAT, testing, and validation
* Coordinate with offshore BSA teams
* Support testing efforts with QA and business stakeholders
**Top Must Have Requirements**
* Strong data understanding, including Data Warehousing concepts
* Solid SQL skills
* Techno functional experience, including technical documentation
* Prior experience as a Developer or Data Analyst transitioning into BSA / Technical Product Owner
* Strong ownership, communication, and stakeholder management skills
**Good To Have / Desired Skills** 
* Prior Product Owner experience
* Advanced SQL based data analysis across multiple databases:
+ Snowflake
+ Oracle
+ Greenplum
* Experience working with distributed/onshore offshore teams
* Experience executing testing with QA and business partners
**Technologies \&amp; Tools**
* Snowflake strong experience with complex SQL
* Product Owner tools/process experience
* Alteryx workflow development (nice to have)</t>
        </is>
      </c>
    </row>
    <row r="94">
      <c r="A94" t="inlineStr">
        <is>
          <t>li-4334018924</t>
        </is>
      </c>
      <c r="B94" t="inlineStr">
        <is>
          <t>Principal Strategy, Technical Product Manager</t>
        </is>
      </c>
      <c r="C94" t="inlineStr">
        <is>
          <t>UDig</t>
        </is>
      </c>
      <c r="D94" t="inlineStr">
        <is>
          <t>linkedin</t>
        </is>
      </c>
      <c r="E94">
        <f>HYPERLINK("https://www.linkedin.com/jobs/view/4334018924", "https://www.linkedin.com/jobs/view/4334018924")</f>
        <v/>
      </c>
      <c r="F94" t="inlineStr"/>
      <c r="G94" t="inlineStr">
        <is>
          <t>Richmond, VA</t>
        </is>
      </c>
      <c r="H94" t="inlineStr"/>
      <c r="I94" t="inlineStr">
        <is>
          <t>*Location: Richmond, VA or Nashville, TN* 
**Lead. Innovate. Grow. Make an Impact.** 
 At UDig, strategy starts with listening — deeply understanding context, needs, and goals before moving quickly to shape and test solutions. As a Principal Consultant, you’ll work directly with clients to uncover insight, rapidly iterate business and technology strategies, and help teams move forward with clarity and confidence.
 You’ll be part of a strategy team grounded in service blueprinting and focused on enabling clients to adopt solutions that are adopted, used, and provide real business impact. This is a role for someone who leads with curiosity, translates listening into action, and drives strategy all the way through to execution.
**Here’s why top consultants choose UDig:** 
* **Career Growth** 
 – Own your path with UDig Elevate, offering a clear trajectory for career growth and leadership opportunities.
* **Consulting with Purpose** 
 – Own solutions, drive decisions, and directly impact clients.
* **Flexibility \&amp; Balance** 
 – Flexible work environment with opportunities for in\-person collaboration with a high\-caliber team.
* **Investment in You** 
 – $1,500 annual training budget, mentorship, and hands\-on learning.
* **Competitive Compensation** 
 – Strong salary, performance\-based bonuses, and career progression.
* **Comprehensive Benefits** 
 – PTO, parental leave, 401(k) match, health, dental, vision benefits and more!
**What You’ll Do:** 
* Assist in the creation of custom solutions tailored to the unique aspects of client culture, ensuring seamless adoption.
* Design and create compelling prototypes or proof\-of\-concepts (POCs) that illustrate the solution's impact and effectively deliver the technical story to stakeholders.
* Make recommendations on product feature prioritization, based on client and product knowledge, while upholding project timelines/resource plans.
* Go beyond the explicit client requests to infer underlying needs by understanding business context, market trends, and industry knowledge, proactively positioning the firm as a thought leader.
* Consistently overcome complex organizational obstacles to slowly, but persistently, drive meaningful maturity within client environments.
**What You’ll Bring:** 
* 8\+ years of experience with a strong background in software engineering, UI/UX design, or a related technical discipline to build credibility amongst stakeholders.
* Ability to build a sufficient preliminary solution for clients to drive home pre\-sales initiatives, then pass off structured solution plans to internal technical teams to help drive home the vision of the work.
* Demonstrated ability to negotiate needs between IT and the business to build/maintain strong stakeholder relationships, ensuring UDig is prioritizing work appropriately day to day based on the needs of the client and the needs of the product.
* Prior professional experience within a technology consulting firm is required, with a proven track record of career progression.
* Bachelor's degree in a technical field (Computer Science, Engineering, etc.) or significant professional experience in Software Engineering/Development or UI/UX Design is strongly preferred.
**Join UDig — Where Consulting Meets Innovation.** 
 UDig is a technology consulting firm dedicated to delivering high\-impact solutions that have driven client success for over 20 years. Our team collaborates directly with clients, taking a consultative approach to turning complex challenges into successful projects that deliver business value. By harnessing expertise, innovation, and connections, we achieve extraordinary outcomes across multiple verticals.
 At UDig, we’re more than consultants — we’re problem solvers, mentors, and innovators. If you're looking for a role where your technical expertise, leadership, and consulting skills drive real impact, let’s talk.</t>
        </is>
      </c>
    </row>
    <row r="95">
      <c r="A95" t="inlineStr">
        <is>
          <t>li-4367755943</t>
        </is>
      </c>
      <c r="B95" t="inlineStr">
        <is>
          <t>Sanctions Compliance Analyst – Program Manager</t>
        </is>
      </c>
      <c r="C95" t="inlineStr">
        <is>
          <t>Apple</t>
        </is>
      </c>
      <c r="D95" t="inlineStr">
        <is>
          <t>linkedin</t>
        </is>
      </c>
      <c r="E95">
        <f>HYPERLINK("https://www.linkedin.com/jobs/view/4367755943", "https://www.linkedin.com/jobs/view/4367755943")</f>
        <v/>
      </c>
      <c r="F95">
        <f>HYPERLINK("https://jobs.apple.com/en-us/details/200643715?board_id=17682&amp;urlHash=_nZC", "https://jobs.apple.com/en-us/details/200643715?board_id=17682&amp;urlHash=_nZC")</f>
        <v/>
      </c>
      <c r="G95" t="inlineStr">
        <is>
          <t>Cupertino, CA</t>
        </is>
      </c>
      <c r="H95" t="inlineStr"/>
      <c r="I95" t="inlineStr">
        <is>
          <t>**Summary**
 Imagine what you could do here. At Apple, new ideas have a way of becoming great products, services, and customer experiences very quickly. Bring passion and dedication to your job and there's no telling what you could accomplish.
**Description**
 An exciting position that is critical to the success of Apple products and services awaits you. This is an extraordinary opportunity to join Apple’s Global Export and Sanctions Compliance (GESC) group. As part of GESC, you will help uphold Apple’s high ethical and corporate standards, as well as enable us to grow our products and services. You will help the team in identifying and investigating activity that could pose a risk of sanctions and related financial crimes in support of all legal and regulatory requirements. At Apple, you’ll share in a commitment to excellence by collaborating with extraordinary managers, all with one unified vision – creating innovative products that delight customers. The ideal candidate works well in collaborative environments with minimal formal structure and is comfortable in changing environments with competing priorities. Candidate must possess solid business acumen, natural curiosity, and the ability to effectively shift between communications styles based on the audience.
**Responsibilities**
* In\-depth knowledge of OFAC programs and global sanctions laws and regulations
* Conduct and lead investigations of customers, business partners, and transactions by recording evidence from internal systems, open\-source searches, third\-party tools, commercial databases and other relevant sources.
* Maintain program level indicators and supervise sanctions reviews across business groups
* Draft sanctions compliance program and procedures documentation and maintain program metrics
* Collaborate with relevant teams to raise awareness about sanctions trends and emerging issues.
* Assist management with preparing draft sanctions filings to OFAC, HM Treasury, EU and other jurisdictional regulatory agencies.
* Liaise with third parties on compliance data, tools, environment, and corrective actions as needed
* Ability to analyze and decision unusual findings that might be related to sanctioned individuals, terrorist financing, law enforcement, or other criminal activities
* Stay abreast of industry standards and development related to sanctions and AML laws and regulations
* Must be a self\-starter, flexible, innovative, and adaptive
* Support any special projects or critical casework
* Ability to succeed in a fast paced and dynamic environment
* Ability to apply sound ethical judgement and respect for confidentiality and privacy.
**Minimum Qualifications**
* Experience in reviews, investigation, and resolution of sanctions, fraud or related terrorist financing issues
* Experience using industry standard sanctions screening systems/tools
* Bachelor’s degree or equivalent work experience, CAMS/CGSS (preferred)
**Preferred Qualifications**
* Excellent analytical and problem solving techniques
* Ability to apply sound ethical judgement
* Excellent written and verbal communication skills
* Must be a self\-starter, flexible, innovative, and adaptive
* Strong interpersonal skills with the ability to work collaboratively with company personnel
* Proficiency in using Apple platforms and software and Excel/Word
* Knowledge of AML, KYC, and FinCEN reporting a plus
**Pay \&amp; Benefits**
 At Apple, base pay is one part of our total compensation package and is determined within a range. This provides the opportunity to progress as you grow and develop within a role. The base pay range for this role is between $137,900 and $207,300,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6">
      <c r="A96" t="inlineStr">
        <is>
          <t>li-4367762861</t>
        </is>
      </c>
      <c r="B96" t="inlineStr">
        <is>
          <t>Senior Program Manager, Strategy &amp; Operations- Remote</t>
        </is>
      </c>
      <c r="C96" t="inlineStr">
        <is>
          <t>RemoteHunter</t>
        </is>
      </c>
      <c r="D96" t="inlineStr">
        <is>
          <t>linkedin</t>
        </is>
      </c>
      <c r="E96">
        <f>HYPERLINK("https://www.linkedin.com/jobs/view/4367762861", "https://www.linkedin.com/jobs/view/4367762861")</f>
        <v/>
      </c>
      <c r="F96" t="inlineStr"/>
      <c r="G96" t="inlineStr"/>
      <c r="H96" t="inlineStr"/>
      <c r="I96"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7">
      <c r="A97" t="inlineStr">
        <is>
          <t>li-4367759848</t>
        </is>
      </c>
      <c r="B97" t="inlineStr">
        <is>
          <t>Program Manager - Partner Enablement</t>
        </is>
      </c>
      <c r="C97" t="inlineStr">
        <is>
          <t>RemoteHunter</t>
        </is>
      </c>
      <c r="D97" t="inlineStr">
        <is>
          <t>linkedin</t>
        </is>
      </c>
      <c r="E97">
        <f>HYPERLINK("https://www.linkedin.com/jobs/view/4367759848", "https://www.linkedin.com/jobs/view/4367759848")</f>
        <v/>
      </c>
      <c r="F97" t="inlineStr"/>
      <c r="G97" t="inlineStr"/>
      <c r="H97" t="inlineStr"/>
      <c r="I97" t="inlineStr">
        <is>
          <t>About the Opportunity:
 The organization is focused on enabling digital transformation by providing an affordable, integrated SaaS solution that simplifies business operations. The Program Manager \- Partner Enablement will support the growth of Channel Partnerships and Enablement efforts by leading, planning, prioritizing, and delivering scaled partner enablement initiatives globally. This role works closely with Channel Partners, Ecosystem Partners, Alliances, Partner Marketing, Product, Product Marketing, and Revenue Operations leadership. The position reports to the Senior Manager, Sales Enablement, and is responsible for program management to ensure successful deployment, adoption, and capability delivery of partner programs.
 Responsibilities:
 • Drive creation, implementation, and iteration of partner enablement program plans including learning path design, facilitation, systems/tools/process integration, measurement, tracking, reporting, and communications
 • Coordinate and orchestrate complex partner enablement initiatives across multiple lines of business
 • Liaise with Pre\-Sales, Tech Support, and Product Marketing teams to deliver partner onboarding
 • Manage project workstreams including partner\-facing enablement and relevant communications to all organizational levels
 • Advise senior leaders and managers to support their roles as sponsors and evangelists for major initiatives
 • Operate effectively in ambiguous environments, supporting various teams by learning quickly, being proactive, and owning broad work tracks
 • Use strategic, operational, and problem\-solving skills to analyze ambiguous problems, extrapolate insights, and deliver recommendations
 Requirements:
 • 5\+ years experience managing global programs in fast\-paced, highly matrixed corporate environments
 • Undergraduate degree (Bachelor of Science or Bachelor of Arts)
 • 3\+ years Sales Enablement experience and 5\+ years in a partnership role within a technology company preferred
 • Experience designing and delivering live and virtual training based on learning principles and best practices
 • Experience facilitating multiple learning types and communication frameworks
 • Prior Channel Partner Enablement experience in a large global SaaS organization
 • Experience with partner\-specific communication and partner segmentation/enabling delivery
 • Cross\-functional leadership experience
 • Proficiency with tools such as Mindmatrix, WorkRamp, Salesforce, Gong, Jira, or similar systems
 • Strong narrative and storytelling skills for internal communications
 • Ability to manage time, risk, prioritize tasks, and meet deadlines independently in a fast\-paced environment
 • Strong executive presence with clear expectation setting and accountability enforcement
 • Demonstrated problem\-solving and root cause analysis skills
 • Excellent communication, interpersonal, and organizational skills
 • Experience leading strategic development and execution of major global programs and projects across multiple business lines
 • Experience working with senior sales leaders and executive stakeholders
 • Quantitative, analytical, and conceptual business problem\-solving skills
 • Project management certification (e.g., PMP)
 Benefits \&amp; Perks:
 • Flexible work environment
 • Vacation bonus
 • Flexible paid time off
 • Paid parental leave
 • Full suite of traditional benefits
 • Training and advancement opportunities
 • 401(k) with company match and immediate vesting
 • Financial wellness education
 • Company\-contributed Health Savings Account (HSA)
 • Onsite amenities including gym, pickleball, snacks and drinks, arcade, theater room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8">
      <c r="A98" t="inlineStr">
        <is>
          <t>li-4368120793</t>
        </is>
      </c>
      <c r="B98" t="inlineStr">
        <is>
          <t>Program Manager</t>
        </is>
      </c>
      <c r="C98" t="inlineStr">
        <is>
          <t>Bible Study Fellowship</t>
        </is>
      </c>
      <c r="D98" t="inlineStr">
        <is>
          <t>linkedin</t>
        </is>
      </c>
      <c r="E98">
        <f>HYPERLINK("https://www.linkedin.com/jobs/view/4368120793", "https://www.linkedin.com/jobs/view/4368120793")</f>
        <v/>
      </c>
      <c r="F98" t="inlineStr"/>
      <c r="G98" t="inlineStr">
        <is>
          <t>Grapevine, TX</t>
        </is>
      </c>
      <c r="H98" t="inlineStr"/>
      <c r="I98" t="inlineStr">
        <is>
          <t>**Job Posting: Program Manager**
**L** 
**ocation:** 
 Grapevine, TX (In‑Person)
**Schedule:** 
 Monday–Friday, 8:00 a.m.–5:00 p.m. CST
**Reports To:** 
 Director of Program Management
**About Bible Study Fellowship (BSF)**
 Bible Study Fellowship is a global, in‑depth Bible study ministry dedicated to producing Christ‑centered, high‑quality Bible study content. Our Program Management team supports the planning, structure, and execution required to deliver BSF’s study materials each year with excellence to leaders and members worldwide.
**Position Overview**
 We are seeking a
 **Program Manager** 
 responsible for working with the Content Director to plan, coordinate, and continuously improve programs and processes that support BSF’s content development and production. This role blends technical project‑management skills with strong communication, persuasion, and team‑building abilities.
**Key Responsibilities**
* Partner with the Content Development team, Content Director, and cross‑divisional stakeholders to create and manage detailed content development plans in Smartsheet.
* Design, implement, and optimize content‑related workflows to increase consistency, efficiency, and quality.
* Track program and project milestones, proactively addressing risks and resolving issues.
* Motivate, influence, and engage teams to maintain strong collaboration and achieve shared objectives.
* Evaluate program performance, identify improvement opportunities, and lead the implementation of enhancements.
**The Ideal Candidate Is**
* Collaborative, motivated by influencing others, bringing energy to interpersonal connection, and driving results through people rather than solo execution
* Poised and empathetic in communication and persuasive leadership, skilled at engaging teams and gaining buy‑in across cross functional teams,
* Comfortable working in a fast‑paced, dynamic environment with the ability to balance multiple simultaneous initiatives and operating with urgency
* Team‑building mindset, driven to achieve results with others rather than independently and effectively resolve conflict.
* Strategic, analytical, and forward‑thinking
**Skills \&amp; Qualifications**
* Bachelor’s degree
* 5–8 years of project management experience
* At least 5 years of leadership experience with cross‑functional teams
* Experience with Smartsheet and Microsoft Office
* Experience facilitating virtual meetings
**Preferred**
* Bible Study Fellowship group leadership experience
* Certifications in Project Management, Agile, Lean Six Sigma, or Process Management
* Experience implementing change‑management initiatives or process improvement
* Experience in transformation‑focused leadership roles
**Spiritual Requirements**
* A personal relationship with Jesus Christ
* Alignment with BSF’s Statement of Faith, Human Sexuality Policy, Core Values, and Cultural Commitments
* Adherence to biblical conflict‑resolution principles (Matthew 18\)
 Benefits include medical, dental, life insurance, and generous vacation</t>
        </is>
      </c>
    </row>
    <row r="99">
      <c r="A99" t="inlineStr">
        <is>
          <t>li-4368126890</t>
        </is>
      </c>
      <c r="B99" t="inlineStr">
        <is>
          <t>Senior Program Manager â?? Army Analytics and Engineering</t>
        </is>
      </c>
      <c r="C99" t="inlineStr">
        <is>
          <t>Dexis</t>
        </is>
      </c>
      <c r="D99" t="inlineStr">
        <is>
          <t>linkedin</t>
        </is>
      </c>
      <c r="E99">
        <f>HYPERLINK("https://www.linkedin.com/jobs/view/4368126890", "https://www.linkedin.com/jobs/view/4368126890")</f>
        <v/>
      </c>
      <c r="F99" t="inlineStr"/>
      <c r="G99" t="inlineStr">
        <is>
          <t>Fort Bliss, TX</t>
        </is>
      </c>
      <c r="H99" t="inlineStr"/>
      <c r="I99" t="inlineStr">
        <is>
          <t>Dexis is a dynamic professional services firm dedicated to partnering with government and community leaders both in the U.S. and internationally to achieve critical social outcomes in a rapidly changing world.
 At Dexis, you will experience a corporate culture of inclusiveness, respect, fairness, and trust. You will be given the means and mentorship needed to succeed, and your creativity will be rewarded.
**About The Position**
 Dexis is recruiting a highly qualified
**Senior Program Manager**
 to lead and coordinate professional services support for an opportunity with the
**Army**
 focusing on operations analysis, modeling, simulation, tools and scenario development, wargaming, experimentation, technical reporting, and security and facility support.
 The Senior PM is responsible for ensuring all contract requirements, task orders, and performance standards are met across program locations, while maintaining effective coordination with the Government's Contracting Officer (KO) and Contracting Officer's Representative (COR).
**This position is based
 in
 White Sands Missile Range, NM or Fort Bliss TX
 and is contingent upon contract award.
 Top Secret Clearance is
 require
 d**
**Responsibilities**
* Oversee the day\-to\-day administration of the contract and manage the relationship with the client
* Plan, direct, and oversee execution of all task orders supporting the Army's Analysis Center's analytical, engineering, modeling and simulation, scenario development, technical reports, and security support missions.
* Ensure deliverables, products, services, and personnel meet government needs and expectations
* Participate in post\-award conferences, coordination meetings, technical reviews, and periodic progress meetings.
* Provide monthly contract progress briefings and written status reports
 in accordance with
 Contract Data Requirements Lists (CDRLs).
* Proactively
 identify
 risks, issues, and performance concerns and implement corrective actions in coordination with the Government.
* Develop, implement, and
 maintain
 an effective Quality Control Plan (QCP) ensuring all services and deliverables meet contract performance standards.
* Ensure
 timely
 ,
 accurate
 , and compliant delivery of all contract outputs, including analytical products, reports, and program documentation.
**Qualifications**
* 10 years minimum experience
* 5 years of experience as a PM
 for contracts supporting the U.S. Army
* 5 years of experience in
 operations analysis, wargaming, an
 d tools development
* 3 years as a U.S. Government contractor
* Excellent communication, stakeholder management, and team leadership skills.
* Experience creating stability and security for large teams
* Top Secret Clearance
**Preferred Qualifications**
* Service with the Army or another branch of the Military
* 10 years of PM experience
* 10 years of
 operations analysis, wargaming, and tools development
* 10 years of management experience, leading multi\-disciplined teams of analysts, and other personnel
* Demonstrated experience with risk mitigation planning
* Strategic, big picture thinker
* Familiarity supporting growth of the employer with U.S. Government contracts
 Dexis is on a mission to help solve today's most pressing global political, social, and economic challenges and create a world where all people are safe and prosperous. As a Dexis employee, you will be challenged, empowered, and mentored. Our motto is "find a way or make a way" â€” that's how Dexis goes "all in." How will you?
**If you are passionate about this opportunity, apply now!**
 Only those applicants who meet the above criteria will be contacted for interview.
 Dexis is an Equal Opportunity Employer, and does not discriminate on the basis of race, color, sex, national origin, religion, pregnancy, disability, age, genetic information, military service, veteran status, ethnicity, citizenship, sexual orientation, gender identity, marital status, childbirth and related medical conditions, including lactation, or any other protected class under applicable law.
 As part of a competitive benefits package for eligible employees, Dexis provides healthcare insurance in addition to other staff welfare benefits and perks.</t>
        </is>
      </c>
    </row>
    <row r="100">
      <c r="A100" t="inlineStr">
        <is>
          <t>li-4354562020</t>
        </is>
      </c>
      <c r="B100" t="inlineStr">
        <is>
          <t>Semiconductor R&amp;D Program Manager (Shuttle Captain)</t>
        </is>
      </c>
      <c r="C100" t="inlineStr">
        <is>
          <t>Rapidus Corporation US</t>
        </is>
      </c>
      <c r="D100" t="inlineStr">
        <is>
          <t>linkedin</t>
        </is>
      </c>
      <c r="E100">
        <f>HYPERLINK("https://www.linkedin.com/jobs/view/4354562020", "https://www.linkedin.com/jobs/view/4354562020")</f>
        <v/>
      </c>
      <c r="F100" t="inlineStr"/>
      <c r="G100" t="inlineStr">
        <is>
          <t>Albany, NY</t>
        </is>
      </c>
      <c r="H100" t="inlineStr"/>
      <c r="I100" t="inlineStr">
        <is>
          <t>**Position Overview** 
 As a
 **Semiconductor R\&amp;D Program Manager (Shuttle Captain / Shuttle Program Manager)** 
 , you will manage the planning, development, and execution of R\&amp;D shuttles and testchips that are critical for advanced technology development at the 2nm and beyond nodes. You will serve as the central coordinator across R\&amp;D, design enablement, foundry operations, and ecosystem partners to ensure shuttle runs and testchip programs meet aggressive schedules, achieve learning objectives, and support technology qualification.
 This role requires both strong technical expertise in semiconductor design, process technologies and robust program management skills to lead complex, multi\-site projects in fast\-paced environments.
**Work Location** 
 As indicated in the posting, the primary workplace for this role is expected to in Albany, New York. We also consider the possibility of hiring from Japan (Tokyo\&amp;Hokkaido) for this role.
**Key Responsibilities** 
* **Shuttle \&amp; Test chip Planning**
* Define scope, objectives, and timelines for R\&amp;D shuttle runs and technology development test chips.
* Prioritize test structures, IP blocks, and PDK validation vehicles in alignment with process and device development milestones.
* **Program Management**
* Act as the single point of contact (“Shuttle Captain”) for all stakeholders.
* Manage schedules, resources, and risks to ensure timely shuttle tape\-outs.
* Lead and chair reviews for design readiness, milestone adherence, and risk mitigation.
* **Technical Contribution**
* Drive integration of foundation IP, SRAM splits, reliability macros, and qualification structures.
* Ensure DRC/LVS, timing, DFT, and tape\-out sign\-off criteria are fully met across all participating teams and partners.
* Support debug and silicon learning from shuttle results.
* **Cross\-functional Collaboration**
* Partner with EDA vendors and design ecosystem partners to ensure production\-ready flows.
* Collaborate with reliability, yield, and device engineering teams to incorporate critical test structures.
* **Risk \&amp; Quality Management**
* Identify and mitigate risks in shuttle execution.
* Maintain quality standards for design data, documentation, and post\-silicon reporting.
**Qualifications** 
**Minimum Requirements** 
* B.S, M.S or above in Electrical Engineering, Computer Engineering, or a related field.
* 8\+ years of experience in semiconductor design enablement, test chip programs, or related fields.
* Strong knowledge of PDK, IP, DFT, mask design, sign\-off methodologies, and shuttle/tape\-out flows.
* Demonstrated
 **program management skills** 
 , with proven ability to manage complex, multi\-site projects.
* Ability to thrive in fast\-paced, global environments with tight schedules.
* Excellent communication skills in English.
**Preferred Qualifications** 
* Experience managing shuttle programs or large multi\-IP testchips at leading\-edge foundries or IDMs.
* Hands\-on experience with advanced process nodes (5nm or below).
* Familiarity with reliability qualification structures (Kelvin arrays, ESD macros, etc.).
* Knowledge of chiplet and advanced packaging technologies.
* PMI certification (e.g., PMP) or equivalent program management credential is a plus.
* Japanese language proficiency is a plus.
**Why Join Us?** 
 As Semiconductor R\&amp;D Program Manager / Shuttle Captain, you will play a mission\-critical role in shaping the future of semiconductor technology at 2nm and beyond. You will be at the center of the innovation cycle, directly enabling device breakthroughs, ecosystem maturity, and silicon learning that drive technology leadership.</t>
        </is>
      </c>
    </row>
    <row r="101">
      <c r="A101" t="inlineStr">
        <is>
          <t>li-4368121885</t>
        </is>
      </c>
      <c r="B101" t="inlineStr">
        <is>
          <t>Day Program Manager</t>
        </is>
      </c>
      <c r="C101" t="inlineStr">
        <is>
          <t>Harc, Inc.</t>
        </is>
      </c>
      <c r="D101" t="inlineStr">
        <is>
          <t>linkedin</t>
        </is>
      </c>
      <c r="E101">
        <f>HYPERLINK("https://www.linkedin.com/jobs/view/4368121885", "https://www.linkedin.com/jobs/view/4368121885")</f>
        <v/>
      </c>
      <c r="F101" t="inlineStr"/>
      <c r="G101" t="inlineStr">
        <is>
          <t>Hartford, CT</t>
        </is>
      </c>
      <c r="H101" t="inlineStr"/>
      <c r="I101" t="inlineStr">
        <is>
          <t>**Summary Description**
 The Program Manager provides case management services and is responsible for the coordination and implementation of the appropriate programmatic designation for Harc Day Programs individuals who are assigned to his/her caseload. They are the primary liaison between Harc and funding agencies (Department of Developmental Services, local Boards of Education, Bureau of Rehabilitation Services), parents, and residential providers. The Program Manager is responsible for writing timely, comprehensive reports, attending scheduled individual planned meetings, completing all other necessary paperwork. Will provides direct care support with participants when needed.
 Program Manager will directly supervise direct support staff during the daily functions of the program. Providing supports and direction as needed and working with the Assistant Director to correct performance deficits through training to insure active engagement with the individuals and to assist with adequately meeting the objective of the individual’s plans. Program Manager will be responsible for logistical functions, problem solving, and assume a supervisory role.
**Essential Job Functions**
* Support Harc in advancing its mission by supporting its community and governmental advocacy efforts; demonstrating individual care and respect in all interactions with people and supporting activities that promote Harc’s financial stability, including attending or otherwise supporting major fundraisers.
* Coordinates and communicates the total program plan of individuals with intellectual disability assigned to caseload. Collects, organizes and analyzes information about participants through records, tests, interviews, and staff input in order to assess interests, aptitudes, manual skills, emotional maturity, social adaptation and other abilities. Assists participants with personal needs when necessary.
* Coordinates the Individual Plan and assumes responsibility for monitoring implementation of Individual Plan and Action Plan. Attends individual meetings: provides programmatic input at yearly and scheduled meetings.
* Completes and keeps current all necessary paperwork surrounding the individuals’ including but not limited to Individual Plans, Semi\-Annual Progress Reports, WATER Safety Assessments and Protocols, DDS Emergency Fact Sheets, Harc’s Emergency Cards, Action Plans, Attendance records, and other correspondence. Writes reports as necessary: accumulates day program and behavioral data generated from a variety of sources including situational assessments, progress reports, behavioral plans, and staff input. Develops comprehensive Action Plans that includes individual objectives. Forwards completed reports to the appropriate funding agency representative following established timelines. Completes and maintains accurate and complete participant records: meets Harc’s and Medicaid reporting requirements. Provides follow\-up and follow along services for caseload individuals’ discharged from program.
* Directs and assists staff in planning, coordinating, and implementing comprehensive services and supports for individuals in Harc’s Day Programs.
* Follows appropriate safety practices in Harc’s Day Programs: establishes a culture of safety for both staff and individuals.
* Instructs staff in best practices in working with individuals with intellectual disability. Offers feedback directly support staff, Provides direct supervision to support staff based on the union contract and agency policy and procedures.
* Perform logistical functions as needed such as but not limited to daily staffing assignments, individual daily attendance.
* Will perform payroll functions, monitor staff time and attendance and supervise accordingly.
* Provides counseling support to individuals as needed: counsel individuals to cope effectively with programmatic changes and social situations; make referrals to appropriate source when emotional counseling that is deemed necessary.
* Follows established behavioral plans as necessary. Provides ancillary case management services: assists and supports participants in obtaining necessary services or makes a referral for other assistance, i.e., medical, financial, recreational, residential, or any information or service when needed.
* Conducts and documents staff meetings.
* In the event of inadequate staffing levels or job action must be available to assist with direct participant support.
* Maintain up\-to\-date training commensurate with the position as well as participate in various professional development workshops, trainings, or webinars.
* Regular attendance and punctuality with limited unscheduled absences is required.
**Additional Job Functions**
* Provides specialized training in various topic groups.
* Chairs in\-house committees as assigned.
* Administers medication to persons unable to self\-medicate per medication certification requirements.
**Educational/Knowledge Requirements**
* Knowledge typically associated with a Bachelors degree in a human service.
* Experience in Special Education, Counseling and/or behavioral programming required. At least one\-year minimum.
* Competence in Microsoft Word and Excel for Windows and Ability to format and print documents.
* Must have a valid Driver’s License.
* Must have reliable transportation.
**Physical Requirements**
* Ability to lift 50 pounds.
* Ability to bend, reach, stand, and pull.
* Ability to keep participants safe including the use of emergency restraint if needed.
* Ability to transfer an individual from a wheelchair to changing area following the individual’s specific protocol.
* Ability to operate standard office equipment.
* Ability to complete significant amounts of computer screen work and data entry without restriction.
**Training Requirements**
 Each position has specific training requirements and employees will be informed of those requirements and updates commensurate with their position. Recertification as required by DDS, CARF or Harc must be maintained. Failure to maintain current certifications may result in disciplinary action as described in the employee handbook.
**Job Skills/Ability Requirements**
* Ability to communicate clearly with both staff and participants.
* Exhibit strong organizational abilities.
* Ability to teach staff best practices.
* Ability to select and use training/instructional methods and procedures appropriate for the situation when learning or teaching new things.
* Ability to adapt to making generalizations, evaluations or decisions based on sensory or judgmental criteria.
* Proficiency in correspondence and report writing.
**Personality Traits**
* Ability to use logic and reasoning to identify strengths and weaknesses of alternative solutions, conclusions or approaches to problems.
* Ability to model a professional demeanor for colleagues and supervisees.
* Ability to work well within the framework of a group decision making model.
* Ability to monitor/assess performance of yourself, other individuals, or organizations to make improvements or take corrective action.
* Ability to analyze diverse problems and initiate solutions.
* Ability to maintain professionalism and composure in a variety of situations including crises.
* Ability to absorb training and apply knowledge to the solution of diverse problems.
* Ability to adapt to performing a variety of duties often changing from one task to another of a different nature.
* Demonstrates communication skills that reflect patience, clarity, and collegiality.
**Compensation And Benefits**
* Competitive salary based on experience
* Comprehensive benefits including health, dental, and vision insurance
* 401(k) plan with a 9\.5 percent contribution by Harc
* Generous paid time off
* Professional development opportunities
* Flexible work hours and partial remote work options</t>
        </is>
      </c>
    </row>
    <row r="102">
      <c r="A102" t="inlineStr">
        <is>
          <t>li-4368137117</t>
        </is>
      </c>
      <c r="B102" t="inlineStr">
        <is>
          <t>EHS Program Manager</t>
        </is>
      </c>
      <c r="C102" t="inlineStr">
        <is>
          <t>Mogi I/O : OTT/Podcast/Short Video Apps for you</t>
        </is>
      </c>
      <c r="D102" t="inlineStr">
        <is>
          <t>linkedin</t>
        </is>
      </c>
      <c r="E102">
        <f>HYPERLINK("https://www.linkedin.com/jobs/view/4368137117", "https://www.linkedin.com/jobs/view/4368137117")</f>
        <v/>
      </c>
      <c r="F102" t="inlineStr"/>
      <c r="G102" t="inlineStr">
        <is>
          <t>Beaver Dam, WI</t>
        </is>
      </c>
      <c r="H102" t="inlineStr"/>
      <c r="I102" t="inlineStr">
        <is>
          <t>**Location: Beaver Dam, Wisconsin, USA**
**Work Type: Full\-Time, Onsite**
**Experience Required: 5 – 15 Years**
**Compensation: USD 108000 \- 150000**
**Eligibility: US Citizen, Permanent Resident, or Green Card Holder**
**Job Overview**
**We are seeking an experienced Environmental Health \&amp; Safety (EHS) Manager to lead and manage all on\-site EHS programs at a manufacturing facility. This role reports to the Director of Operations and partners closely with cross\-functional teams to ensure regulatory compliance, drive continuous safety improvements, and achieve zero\-incident performance.**
**The EHS Manager will oversee environmental compliance, safety training, risk assessments, waste management, audits, and regulatory reporting while fostering a strong safety culture across the facility.**
**Key Responsibilities**
* Manage day\-to\-day EHS operations at the assigned facility
* Implement and maintain company\-wide safety programs and compliance initiatives
* Ensure adherence to OSHA, EPA, WDNR, DOT, and local regulations
* Serve as primary hazardous waste engineer and lead waste reduction and recycling programs
* Manage SDS and Hazard Communication programs
* Lead environmental monitoring, inspections, audits, and reporting
* Conduct Job Safety Analyses (JSAs) and implement risk controls
* Perform ergonomic assessments and lead ergonomic improvement initiatives
* Lead EHS training programs for employees and leadership teams
* Investigate incidents, near misses, and safety concerns and drive corrective actions
* Champion risk reduction initiatives and Drive to Zero safety programs
* Manage environmental permits and regulatory reporting (Tier II, emissions, hazardous waste, TRI, air monitoring)
**Must\-Have Qualifications** 
* Bachelor’s degree or equivalent experience
* Minimum 5 years of progressive EHS experience
* Minimum 3 years of experience implementing safety programs
* Experience in a manufacturing environment
* Strong knowledge of waste management regulations
* Experience implementing lean principles and continuous improvement initiatives
* One or more certifications required:
+ CHMM (Certified Hazardous Materials Manager)
+ CSP (Certified Safety Professional)
+ CIH (Certified Industrial Hygienist)
+ PE (Professional Engineer)
**Nice\-to\-Have Qualifications**
* Strong understanding of OSHA, EPA, WDNR, DOT, and local regulatory requirements
* Knowledge of safety equipment and industry standards
* Experience with SAP or similar ERP systems
* Master’s degree in Business, Engineering, or EHS\-related field</t>
        </is>
      </c>
    </row>
    <row r="103">
      <c r="A103" t="inlineStr">
        <is>
          <t>li-4366043272</t>
        </is>
      </c>
      <c r="B103" t="inlineStr">
        <is>
          <t>IT Program Manager IV</t>
        </is>
      </c>
      <c r="C103" t="inlineStr">
        <is>
          <t>Jobs via Dice</t>
        </is>
      </c>
      <c r="D103" t="inlineStr">
        <is>
          <t>linkedin</t>
        </is>
      </c>
      <c r="E103">
        <f>HYPERLINK("https://www.linkedin.com/jobs/view/4366043272", "https://www.linkedin.com/jobs/view/4366043272")</f>
        <v/>
      </c>
      <c r="F103" t="inlineStr"/>
      <c r="G103" t="inlineStr">
        <is>
          <t>Atlanta, GA</t>
        </is>
      </c>
      <c r="H103" t="inlineStr"/>
      <c r="I103" t="inlineStr">
        <is>
          <t>RESPONSIBILITIES:
 A client with Kforce is seeking an IT Program Manager IV to join their team in Atlanta, GA.
 Responsibilities:
* Serve as a Technical Program Manager for the t4i (Tech for client) team on a high priority change\-the\-business initiative, ensuring seamless collaboration between technical team members and business stakeholders
* Manage and maintain relationships with project partners, facilitating effective communication and project alignment
* Oversee end\-to\-end testing, User Acceptance Testing (UAT), and production activities related to the t4i Tech team, ensuring all technical requirements are met
* Drive the technology team to accomplish key project milestones and activities on time, maintaining high project standards and meeting deadlines
* Track and monitor project risks, issues, activities, and decisions involving the t4i Tech team, and effectively relay this information to business stakeholders to ensure transparency and informed decision\-making
* Present project updates and critical information to business leadership bi\-weekly, ensuring clear communication and alignment with business objectives
* Create and maintain detailed project plans that outline project scope, technical vision, and both technical and non\-technical requirements, while documenting precise program requirements, using Smartsheet, Google Docs \&amp; Sheets
* Monitor the program timeline, potential risks, and issues during all stages including analysis, design, development, testing, implementation, and post\-implementation using tools like JIRA, Smartsheet, Confluence, and Google Sheets to ensure adherence to milestones and deliverables, and to formulate a response strategy when necessary
* Leverage a solid understanding of the software development lifecycle (SDLC), testing strategies, QA, and change management best practices to accelerate the delivery of key programs
* Develop and maintain dashboards to monitor key performance indicators (KPIs) and critical dependencies using Smartsheet
 REQUIREMENTS:
* BS degree, Computer Science and/or Engineering preferred
* 8\+ years of experience leading and delivering complex, large\-scale technical programs within a matrixed organization
* Extensive knowledge of the software development lifecycle so as to be able to anticipate potential issues and solutions that require oversight
* Strong experience with E2E testing, UAT, and regression testing
* Technical Acumen: Strong understanding of software development approaches, architecture, and lifecycles. Experience with Agile methodologies is highly desired
* Strategic Thinker: Ability to analyze industry trends, understand the client's strategy, and make data\-driven decisions that accelerate business outcomes
* Exceptional Communicator: Excellent communication and interpersonal skills, with the ability to influence at all levels, from individual contributors to senior executives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2026-02-02T01:03:54Z</dcterms:created>
  <dcterms:modified xsi:type="dcterms:W3CDTF">2026-02-02T01:03:54Z</dcterms:modified>
</cp:coreProperties>
</file>