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85"/>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in-3d9022f51cb506ca</t>
        </is>
      </c>
      <c r="B2" t="inlineStr">
        <is>
          <t>Principal Applied Scientist, Amazon Special Projects</t>
        </is>
      </c>
      <c r="C2" t="inlineStr">
        <is>
          <t>Amazon.com</t>
        </is>
      </c>
      <c r="D2" t="inlineStr">
        <is>
          <t>indeed</t>
        </is>
      </c>
      <c r="E2" t="inlineStr"/>
      <c r="F2" t="inlineStr"/>
      <c r="G2" t="inlineStr">
        <is>
          <t>Boston, MA, US</t>
        </is>
      </c>
      <c r="H2" s="2" t="n">
        <v>45982</v>
      </c>
      <c r="I2"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
      <c r="A3" t="inlineStr">
        <is>
          <t>in-0bb134f4f6d138e7</t>
        </is>
      </c>
      <c r="B3" t="inlineStr">
        <is>
          <t>Principal Applied Scientist, Amazon Special Projects</t>
        </is>
      </c>
      <c r="C3" t="inlineStr">
        <is>
          <t>Amazon.com</t>
        </is>
      </c>
      <c r="D3" t="inlineStr">
        <is>
          <t>indeed</t>
        </is>
      </c>
      <c r="E3" t="inlineStr"/>
      <c r="F3" t="inlineStr"/>
      <c r="G3" t="inlineStr">
        <is>
          <t>Seattle, WA, US</t>
        </is>
      </c>
      <c r="H3" s="2" t="n">
        <v>45982</v>
      </c>
      <c r="I3"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
      <c r="A4" t="inlineStr">
        <is>
          <t>in-d0b4e0ce69098413</t>
        </is>
      </c>
      <c r="B4" t="inlineStr">
        <is>
          <t>Sr. Applied Scientist, AGI Foundations</t>
        </is>
      </c>
      <c r="C4" t="inlineStr">
        <is>
          <t>Amazon.com</t>
        </is>
      </c>
      <c r="D4" t="inlineStr">
        <is>
          <t>indeed</t>
        </is>
      </c>
      <c r="E4" t="inlineStr"/>
      <c r="F4" t="inlineStr"/>
      <c r="G4" t="inlineStr">
        <is>
          <t>Sunnyvale, CA, US</t>
        </is>
      </c>
      <c r="H4" s="2" t="n">
        <v>45978</v>
      </c>
      <c r="I4"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in-8eb4e5de6b32be06</t>
        </is>
      </c>
      <c r="B5" t="inlineStr">
        <is>
          <t>Sr. Applied Scientist, AGI Foundations</t>
        </is>
      </c>
      <c r="C5" t="inlineStr">
        <is>
          <t>Amazon.com</t>
        </is>
      </c>
      <c r="D5" t="inlineStr">
        <is>
          <t>indeed</t>
        </is>
      </c>
      <c r="E5" t="inlineStr"/>
      <c r="F5" t="inlineStr"/>
      <c r="G5" t="inlineStr">
        <is>
          <t>Boston, MA, US</t>
        </is>
      </c>
      <c r="H5" s="2" t="n">
        <v>45978</v>
      </c>
      <c r="I5"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in-29e44301ad5a16d4</t>
        </is>
      </c>
      <c r="B6" t="inlineStr">
        <is>
          <t>Sr. Applied Scientist, AGI Foundations</t>
        </is>
      </c>
      <c r="C6" t="inlineStr">
        <is>
          <t>Amazon.com</t>
        </is>
      </c>
      <c r="D6" t="inlineStr">
        <is>
          <t>indeed</t>
        </is>
      </c>
      <c r="E6" t="inlineStr"/>
      <c r="F6" t="inlineStr"/>
      <c r="G6" t="inlineStr">
        <is>
          <t>New York, NY, US</t>
        </is>
      </c>
      <c r="H6" s="2" t="n">
        <v>45978</v>
      </c>
      <c r="I6"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in-53f7167774a06a83</t>
        </is>
      </c>
      <c r="B7" t="inlineStr">
        <is>
          <t>Sr. Applied Scientist, AGI Foundations</t>
        </is>
      </c>
      <c r="C7" t="inlineStr">
        <is>
          <t>Amazon.com</t>
        </is>
      </c>
      <c r="D7" t="inlineStr">
        <is>
          <t>indeed</t>
        </is>
      </c>
      <c r="E7" t="inlineStr"/>
      <c r="F7" t="inlineStr"/>
      <c r="G7" t="inlineStr">
        <is>
          <t>Bellevue, WA, US</t>
        </is>
      </c>
      <c r="H7" s="2" t="n">
        <v>45978</v>
      </c>
      <c r="I7"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in-9a0de942f7e85618</t>
        </is>
      </c>
      <c r="B8" t="inlineStr">
        <is>
          <t>Sr. Applied Scientist, AGI Foundations</t>
        </is>
      </c>
      <c r="C8" t="inlineStr">
        <is>
          <t>Amazon.com</t>
        </is>
      </c>
      <c r="D8" t="inlineStr">
        <is>
          <t>indeed</t>
        </is>
      </c>
      <c r="E8" t="inlineStr"/>
      <c r="F8" t="inlineStr"/>
      <c r="G8" t="inlineStr">
        <is>
          <t>New York, NY, US</t>
        </is>
      </c>
      <c r="H8" s="2" t="n">
        <v>45963</v>
      </c>
      <c r="I8"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in-e171739e5981e30e</t>
        </is>
      </c>
      <c r="B9" t="inlineStr">
        <is>
          <t>Sr. Applied Scientist, AGI Foundations</t>
        </is>
      </c>
      <c r="C9" t="inlineStr">
        <is>
          <t>Amazon.com</t>
        </is>
      </c>
      <c r="D9" t="inlineStr">
        <is>
          <t>indeed</t>
        </is>
      </c>
      <c r="E9" t="inlineStr"/>
      <c r="F9" t="inlineStr"/>
      <c r="G9" t="inlineStr">
        <is>
          <t>Boston, MA, US</t>
        </is>
      </c>
      <c r="H9" s="2" t="n">
        <v>45963</v>
      </c>
      <c r="I9"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in-75a80c8dfbfd218e</t>
        </is>
      </c>
      <c r="B10" t="inlineStr">
        <is>
          <t>Sr. Applied Scientist, AGI Foundations</t>
        </is>
      </c>
      <c r="C10" t="inlineStr">
        <is>
          <t>Amazon.com</t>
        </is>
      </c>
      <c r="D10" t="inlineStr">
        <is>
          <t>indeed</t>
        </is>
      </c>
      <c r="E10" t="inlineStr"/>
      <c r="F10" t="inlineStr"/>
      <c r="G10" t="inlineStr">
        <is>
          <t>Bellevue, WA, US</t>
        </is>
      </c>
      <c r="H10" s="2" t="n">
        <v>45963</v>
      </c>
      <c r="I10"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in-0e81992729030a9c</t>
        </is>
      </c>
      <c r="B11" t="inlineStr">
        <is>
          <t>Applied Scientist II, Prime Video - Personalization and Discovery Science, Personalization and Discovery Science</t>
        </is>
      </c>
      <c r="C11" t="inlineStr">
        <is>
          <t>Amazon.com</t>
        </is>
      </c>
      <c r="D11" t="inlineStr">
        <is>
          <t>indeed</t>
        </is>
      </c>
      <c r="E11" t="inlineStr"/>
      <c r="F11" t="inlineStr"/>
      <c r="G11" t="inlineStr">
        <is>
          <t>Sunnyvale, CA, US</t>
        </is>
      </c>
      <c r="H11" s="2" t="n">
        <v>45930</v>
      </c>
      <c r="I1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in-9204d98be8516125</t>
        </is>
      </c>
      <c r="B12" t="inlineStr">
        <is>
          <t>Applied Scientist II, Prime Video - Personalization and Discovery Science, Personalization and Discovery Science</t>
        </is>
      </c>
      <c r="C12" t="inlineStr">
        <is>
          <t>Amazon.com</t>
        </is>
      </c>
      <c r="D12" t="inlineStr">
        <is>
          <t>indeed</t>
        </is>
      </c>
      <c r="E12" t="inlineStr"/>
      <c r="F12" t="inlineStr"/>
      <c r="G12" t="inlineStr">
        <is>
          <t>New York, NY, US</t>
        </is>
      </c>
      <c r="H12" s="2" t="n">
        <v>45930</v>
      </c>
      <c r="I1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in-8cb65a4eeadfd2c5</t>
        </is>
      </c>
      <c r="B13" t="inlineStr">
        <is>
          <t>Applied Scientist II, Prime Video - Personalization and Discovery Science, Personalization and Discovery Science</t>
        </is>
      </c>
      <c r="C13" t="inlineStr">
        <is>
          <t>Amazon.com</t>
        </is>
      </c>
      <c r="D13" t="inlineStr">
        <is>
          <t>indeed</t>
        </is>
      </c>
      <c r="E13" t="inlineStr"/>
      <c r="F13" t="inlineStr"/>
      <c r="G13" t="inlineStr">
        <is>
          <t>Seattle, WA, US</t>
        </is>
      </c>
      <c r="H13" s="2" t="n">
        <v>45930</v>
      </c>
      <c r="I1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in-62d8003b04955456</t>
        </is>
      </c>
      <c r="B14" t="inlineStr">
        <is>
          <t>Applied Scientist II, Prime Video - Personalization and Discovery Science</t>
        </is>
      </c>
      <c r="C14" t="inlineStr">
        <is>
          <t>Amazon.com</t>
        </is>
      </c>
      <c r="D14" t="inlineStr">
        <is>
          <t>indeed</t>
        </is>
      </c>
      <c r="E14" t="inlineStr"/>
      <c r="F14" t="inlineStr"/>
      <c r="G14" t="inlineStr">
        <is>
          <t>New York, NY, US</t>
        </is>
      </c>
      <c r="H14" s="2" t="n">
        <v>45881</v>
      </c>
      <c r="I1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in-01531174f786324e</t>
        </is>
      </c>
      <c r="B15" t="inlineStr">
        <is>
          <t>Applied Scientist II, Prime Video - Personalization and Discovery Science</t>
        </is>
      </c>
      <c r="C15" t="inlineStr">
        <is>
          <t>Amazon.com</t>
        </is>
      </c>
      <c r="D15" t="inlineStr">
        <is>
          <t>indeed</t>
        </is>
      </c>
      <c r="E15" t="inlineStr"/>
      <c r="F15" t="inlineStr"/>
      <c r="G15" t="inlineStr">
        <is>
          <t>Seattle, WA, US</t>
        </is>
      </c>
      <c r="H15" s="2" t="n">
        <v>45881</v>
      </c>
      <c r="I1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in-be2d3e6702d3e16c</t>
        </is>
      </c>
      <c r="B16" t="inlineStr">
        <is>
          <t>Sr. Applied Scientist, Prime Video - Personalization and Discovery Science</t>
        </is>
      </c>
      <c r="C16" t="inlineStr">
        <is>
          <t>Amazon.com</t>
        </is>
      </c>
      <c r="D16" t="inlineStr">
        <is>
          <t>indeed</t>
        </is>
      </c>
      <c r="E16" t="inlineStr"/>
      <c r="F16" t="inlineStr"/>
      <c r="G16" t="inlineStr">
        <is>
          <t>New York, NY, US</t>
        </is>
      </c>
      <c r="H16" s="2" t="n">
        <v>45881</v>
      </c>
      <c r="I1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in-86c6ab81df99ddea</t>
        </is>
      </c>
      <c r="B17" t="inlineStr">
        <is>
          <t>Sr. Applied Scientist, Prime Video - Personalization and Discovery Science</t>
        </is>
      </c>
      <c r="C17" t="inlineStr">
        <is>
          <t>Amazon.com</t>
        </is>
      </c>
      <c r="D17" t="inlineStr">
        <is>
          <t>indeed</t>
        </is>
      </c>
      <c r="E17" t="inlineStr"/>
      <c r="F17" t="inlineStr"/>
      <c r="G17" t="inlineStr">
        <is>
          <t>Sunnyvale, CA, US</t>
        </is>
      </c>
      <c r="H17" s="2" t="n">
        <v>45881</v>
      </c>
      <c r="I1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in-47aac63d30b289dd</t>
        </is>
      </c>
      <c r="B18" t="inlineStr">
        <is>
          <t>Sr. Applied Scientist, Prime Video - Personalization and Discovery Science</t>
        </is>
      </c>
      <c r="C18" t="inlineStr">
        <is>
          <t>Amazon.com</t>
        </is>
      </c>
      <c r="D18" t="inlineStr">
        <is>
          <t>indeed</t>
        </is>
      </c>
      <c r="E18" t="inlineStr"/>
      <c r="F18" t="inlineStr"/>
      <c r="G18" t="inlineStr">
        <is>
          <t>Seattle, WA, US</t>
        </is>
      </c>
      <c r="H18" s="2" t="n">
        <v>45881</v>
      </c>
      <c r="I1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in-c668659d70bbd8df</t>
        </is>
      </c>
      <c r="B19" t="inlineStr">
        <is>
          <t>Applied Scientist II, Prime Video - Personalization and Discovery Science</t>
        </is>
      </c>
      <c r="C19" t="inlineStr">
        <is>
          <t>Amazon.com</t>
        </is>
      </c>
      <c r="D19" t="inlineStr">
        <is>
          <t>indeed</t>
        </is>
      </c>
      <c r="E19" t="inlineStr"/>
      <c r="F19" t="inlineStr"/>
      <c r="G19" t="inlineStr">
        <is>
          <t>Sunnyvale, CA, US</t>
        </is>
      </c>
      <c r="H19" s="2" t="n">
        <v>45881</v>
      </c>
      <c r="I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in-6722f99f35c6423e</t>
        </is>
      </c>
      <c r="B20" t="inlineStr">
        <is>
          <t>Applied Scientist, Prime Video - Personalization and Discovery Science</t>
        </is>
      </c>
      <c r="C20" t="inlineStr">
        <is>
          <t>Amazon.com</t>
        </is>
      </c>
      <c r="D20" t="inlineStr">
        <is>
          <t>indeed</t>
        </is>
      </c>
      <c r="E20" t="inlineStr"/>
      <c r="F20" t="inlineStr"/>
      <c r="G20" t="inlineStr">
        <is>
          <t>Seattle, WA, US</t>
        </is>
      </c>
      <c r="H20" s="2" t="n">
        <v>45845</v>
      </c>
      <c r="I2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in-efd4a4c5e2bd2440</t>
        </is>
      </c>
      <c r="B21" t="inlineStr">
        <is>
          <t>Applied Scientist, Prime Video - Personalization and Discovery Science</t>
        </is>
      </c>
      <c r="C21" t="inlineStr">
        <is>
          <t>Amazon.com</t>
        </is>
      </c>
      <c r="D21" t="inlineStr">
        <is>
          <t>indeed</t>
        </is>
      </c>
      <c r="E21" t="inlineStr"/>
      <c r="F21" t="inlineStr"/>
      <c r="G21" t="inlineStr">
        <is>
          <t>Sunnyvale, CA, US</t>
        </is>
      </c>
      <c r="H21" s="2" t="n">
        <v>45845</v>
      </c>
      <c r="I2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in-3af2e4ff17804442</t>
        </is>
      </c>
      <c r="B22" t="inlineStr">
        <is>
          <t>Applied Scientist, Prime Video - Personalization and Discovery Science</t>
        </is>
      </c>
      <c r="C22" t="inlineStr">
        <is>
          <t>Amazon.com</t>
        </is>
      </c>
      <c r="D22" t="inlineStr">
        <is>
          <t>indeed</t>
        </is>
      </c>
      <c r="E22" t="inlineStr"/>
      <c r="F22" t="inlineStr"/>
      <c r="G22" t="inlineStr">
        <is>
          <t>New York, NY, US</t>
        </is>
      </c>
      <c r="H22" s="2" t="n">
        <v>45845</v>
      </c>
      <c r="I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in-552bc98120e30ade</t>
        </is>
      </c>
      <c r="B23" t="inlineStr">
        <is>
          <t>Applied Scientist, Denied Party Screening, AWS Compliance &amp; Security Assurance</t>
        </is>
      </c>
      <c r="C23" t="inlineStr">
        <is>
          <t>Amazon.com</t>
        </is>
      </c>
      <c r="D23" t="inlineStr">
        <is>
          <t>indeed</t>
        </is>
      </c>
      <c r="E23" t="inlineStr"/>
      <c r="F23" t="inlineStr"/>
      <c r="G23" t="inlineStr">
        <is>
          <t>Seattle, WA, US</t>
        </is>
      </c>
      <c r="H23" s="2" t="n">
        <v>46027</v>
      </c>
      <c r="I23" t="inlineStr">
        <is>
          <t>**DESCRIPTION**
---------------
At Amazon, security is central to maintaining customer trust and delivering delightful customer experiences. Our mission is to prevent denied entities from transacting with Amazon businesses. We build automatic mechanisms to detect and prevent prohibited transactions with denied entities using a diverse set of algorithms and machine learning techniques. We screen over a billion events every day and develop algorithms which are able to scale and detect suspicious entities . We are still Day 1 and have an exciting road map to build Machine Learning (ML) and Generative AI (LLM) powered detection and resolution systems to help scale Amazon for years to come.
We are seeking an Applied Scientist to join our team and help tackle challenging problems at the forefront of machine learning and artificial intelligence. Working closely with a multidisciplinary team of engineers, data scientists, and domain experts, you will play a crucial role in defining cutting\-edge ML/AI\-powered customer experiences and solutions. If you have an entrepreneurial mindset, the technical depth to deliver impactful results, and a passion for innovation, we want to hear from you.
Key job responsibilities  
In this role, you will:
* Drive the research, design, and development of novel ML/AI models and systems to power critical products and services
* Collaborate cross\-functionally to deeply understand business requirements, customer needs, and technical constraints
* Rapidly prototype, test, and iterate on ML/AI solutions, iterating quickly based on data and feedback
• Communicate complex technical concepts to technical and non\-technical stakeholders • Mentor and grow a team of talented ML scientists and engineers
* Stay up\-to\-date on the latest advancements in AI/ML and identify opportunities to apply emerging techniques
A day in the life  
* Starting the day by reviewing the latest model performance metrics and identifying areas for improvement
* Brainstorming new architectures and approaches with your cross\-functional team during a whiteboard session
* Diving deep into a complex dataset, leveraging advanced statistical and AI techniques to uncover hidden insights
* Prototyping a new model and running a series of experiments to optimize its performance
* Preparing a presentation to pitch your latest research findings and recommendations to product and engineering leaders
* Mentoring a junior data scientist, providing guidance on coding best practices and problem\-solving strategies
About the team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\- 142,800\.00 \- 193,200\.00 USD annually  
USA, WA, Seattle \- 142,800\.00 \- 193,200\.00 USD annually</t>
        </is>
      </c>
    </row>
    <row r="24">
      <c r="A24" t="inlineStr">
        <is>
          <t>in-5258f986877bef84</t>
        </is>
      </c>
      <c r="B24" t="inlineStr">
        <is>
          <t>Applied Scientist, Denied Party Screening, AWS Compliance &amp; Security Assurance</t>
        </is>
      </c>
      <c r="C24" t="inlineStr">
        <is>
          <t>Amazon.com</t>
        </is>
      </c>
      <c r="D24" t="inlineStr">
        <is>
          <t>indeed</t>
        </is>
      </c>
      <c r="E24" t="inlineStr"/>
      <c r="F24" t="inlineStr"/>
      <c r="G24" t="inlineStr">
        <is>
          <t>Dallas, TX, US</t>
        </is>
      </c>
      <c r="H24" s="2" t="n">
        <v>46027</v>
      </c>
      <c r="I24" t="inlineStr">
        <is>
          <t>**DESCRIPTION**
---------------
At Amazon, security is central to maintaining customer trust and delivering delightful customer experiences. Our mission is to prevent denied entities from transacting with Amazon businesses. We build automatic mechanisms to detect and prevent prohibited transactions with denied entities using a diverse set of algorithms and machine learning techniques. We screen over a billion events every day and develop algorithms which are able to scale and detect suspicious entities . We are still Day 1 and have an exciting road map to build Machine Learning (ML) and Generative AI (LLM) powered detection and resolution systems to help scale Amazon for years to come.
We are seeking an Applied Scientist to join our team and help tackle challenging problems at the forefront of machine learning and artificial intelligence. Working closely with a multidisciplinary team of engineers, data scientists, and domain experts, you will play a crucial role in defining cutting\-edge ML/AI\-powered customer experiences and solutions. If you have an entrepreneurial mindset, the technical depth to deliver impactful results, and a passion for innovation, we want to hear from you.
Key job responsibilities  
In this role, you will:
* Drive the research, design, and development of novel ML/AI models and systems to power critical products and services
* Collaborate cross\-functionally to deeply understand business requirements, customer needs, and technical constraints
* Rapidly prototype, test, and iterate on ML/AI solutions, iterating quickly based on data and feedback
• Communicate complex technical concepts to technical and non\-technical stakeholders • Mentor and grow a team of talented ML scientists and engineers
* Stay up\-to\-date on the latest advancements in AI/ML and identify opportunities to apply emerging techniques
A day in the life  
* Starting the day by reviewing the latest model performance metrics and identifying areas for improvement
* Brainstorming new architectures and approaches with your cross\-functional team during a whiteboard session
* Diving deep into a complex dataset, leveraging advanced statistical and AI techniques to uncover hidden insights
* Prototyping a new model and running a series of experiments to optimize its performance
* Preparing a presentation to pitch your latest research findings and recommendations to product and engineering leaders
* Mentoring a junior data scientist, providing guidance on coding best practices and problem\-solving strategies
About the team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\- 142,800\.00 \- 193,200\.00 USD annually  
USA, WA, Seattle \- 142,800\.00 \- 193,200\.00 USD annually</t>
        </is>
      </c>
    </row>
    <row r="25">
      <c r="A25" t="inlineStr">
        <is>
          <t>in-9e7dcd94583c79df</t>
        </is>
      </c>
      <c r="B25" t="inlineStr">
        <is>
          <t>Senior Applied Scientist, Amazon Industrial Robotics</t>
        </is>
      </c>
      <c r="C25" t="inlineStr">
        <is>
          <t>Amazon.com</t>
        </is>
      </c>
      <c r="D25" t="inlineStr">
        <is>
          <t>indeed</t>
        </is>
      </c>
      <c r="E25" t="inlineStr"/>
      <c r="F25" t="inlineStr"/>
      <c r="G25" t="inlineStr">
        <is>
          <t>Reading, MA, US</t>
        </is>
      </c>
      <c r="H25" s="2" t="n">
        <v>46027</v>
      </c>
      <c r="I25"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Design and implement whole body control methods for balance, locomotion, and dexterous manipulation
* Utilize state\-of\-the\-art in methods in learned and model\-based control
* Create robust and safe behaviors for different terrains and tasks
* Implement real\-time controllers with stability guarantees
* Collaborate effectively with multi\-disciplinary teams to co\-design hardware and algorithms for loco\-manipulation
* Mentor junior engineer and scientists
**BASIC QUALIFICATIONS**
------------------------
* PhD, or Master's degree and 4\+ years of applied research experience
* Experience with methods for whole\-body control such as hierarchical quadratic programming and model\-predictive control
* Experience with imitation learning and reinforcement learning for whole\-body control
* Experience with simulation environments such as IsaacLab, Mujoco, Drake, etc.
* Experience with developing and deploying code for real\-time controllers
* Experience in state estimation from multiple sensor modalities
**PREFERRED QUALIFICATIONS**
----------------------------
* Experience programming in Java, C\+\+, Python or related language
* Experience working effectively across cross\-functional teams and partnering well with people at all levels within an organization
* PhD in Robotics, with a focus on whole\-body control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26">
      <c r="A26" t="inlineStr">
        <is>
          <t>in-31d4f6688577293b</t>
        </is>
      </c>
      <c r="B26" t="inlineStr">
        <is>
          <t>Senior Applied Scientist, Dexterous Manipulation , Amazon Industrial Robotics</t>
        </is>
      </c>
      <c r="C26" t="inlineStr">
        <is>
          <t>Amazon.com</t>
        </is>
      </c>
      <c r="D26" t="inlineStr">
        <is>
          <t>indeed</t>
        </is>
      </c>
      <c r="E26" t="inlineStr"/>
      <c r="F26" t="inlineStr"/>
      <c r="G26" t="inlineStr">
        <is>
          <t>Reading, MA, US</t>
        </is>
      </c>
      <c r="H26" s="2" t="n">
        <v>46027</v>
      </c>
      <c r="I26"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We are pioneering the development of dexterous manipulation system that:
* Enables unprecedented generalization across diverse tasks
* Enables contact\-rich manipulation in different environments
* Seamlessly integrates low\-level skills and high\-level behaviors
* Leverage mechanical intelligence, multi\-modal sensor feedback and advanced control techniques.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Design and implement methods for dexterous manipulation with single and dual arm manipulation
* Leverage simulation and real\-world data collection to create large datasets for model development
* Develop a hierarchical system that combines low\-level control with high\-level planning
* Utilize state\-of\-the\-art manipulation models and optimal control techniques
* Collaborate effectively with multi\-disciplinary teams to co\-design hardware and algorithms for dexterous manipulation
**BASIC QUALIFICATIONS**
------------------------
* PhD, or Master's degree and 6\+ years of applied research experience
* Experience with state\-of\-the\-art in robotic manipulation models
* Experience with data generation in simulation and real world
* Experience in developing techniques that utilize multi\-modal sensor data from the arm and hands
**PREFERRED QUALIFICATIONS**
----------------------------
* Experience programming in Java, C\+\+, Python or related language
* Experience working effectively across cross\-functional teams and partnering well with people at all levels within an organization
* PhD in Robotics, with focus on dexterous manipulation
* Experience in motion primitives, vision\-language\-action models, and model predictive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27">
      <c r="A27" t="inlineStr">
        <is>
          <t>in-d9598d52717f269d</t>
        </is>
      </c>
      <c r="B27" t="inlineStr">
        <is>
          <t>Senior Applied Scientist, Amazon Industrial Robotics</t>
        </is>
      </c>
      <c r="C27" t="inlineStr">
        <is>
          <t>Amazon.com</t>
        </is>
      </c>
      <c r="D27" t="inlineStr">
        <is>
          <t>indeed</t>
        </is>
      </c>
      <c r="E27" t="inlineStr"/>
      <c r="F27" t="inlineStr"/>
      <c r="G27" t="inlineStr">
        <is>
          <t>Reading, MA, US</t>
        </is>
      </c>
      <c r="H27" s="2" t="n">
        <v>46027</v>
      </c>
      <c r="I27"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Design and implement whole body control methods for balance, locomotion, and dexterous manipulation
* Utilize state\-of\-the\-art in methods in learned and model\-based control
* Create robust and safe behaviors for different terrains and tasks
* Implement real\-time controllers with stability guarantees
* Collaborate effectively with multi\-disciplinary teams to co\-design hardware and algorithms for loco\-manipulation
* Mentor junior engineer and scientists
**BASIC QUALIFICATIONS**
------------------------
* PhD, or Master's degree and 4\+ years of applied research experience
* Experience with methods for whole\-body control such as hierarchical quadratic programming and model\-predictive control
* Experience with imitation learning and reinforcement learning for whole\-body control
* Experience with simulation environments such as IsaacLab, Mujoco, Drake, etc.
* Experience with developing and deploying code for real\-time controllers
* Experience in state estimation from multiple sensor modalities
**PREFERRED QUALIFICATIONS**
----------------------------
* Experience programming in Java, C\+\+, Python or related language
* Experience working effectively across cross\-functional teams and partnering well with people at all levels within an organization
* PhD in Robotics, with a focus on whole\-body control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28">
      <c r="A28" t="inlineStr">
        <is>
          <t>in-239bc9ad2bb96917</t>
        </is>
      </c>
      <c r="B28" t="inlineStr">
        <is>
          <t>Senior Applied Scientist, Dexterous Manipulation , Amazon Industrial Robotics</t>
        </is>
      </c>
      <c r="C28" t="inlineStr">
        <is>
          <t>Amazon.com</t>
        </is>
      </c>
      <c r="D28" t="inlineStr">
        <is>
          <t>indeed</t>
        </is>
      </c>
      <c r="E28" t="inlineStr"/>
      <c r="F28" t="inlineStr"/>
      <c r="G28" t="inlineStr">
        <is>
          <t>Reading, MA, US</t>
        </is>
      </c>
      <c r="H28" s="2" t="n">
        <v>46027</v>
      </c>
      <c r="I28"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We are pioneering the development of dexterous manipulation system that:
* Enables unprecedented generalization across diverse tasks
* Enables contact\-rich manipulation in different environments
* Seamlessly integrates low\-level skills and high\-level behaviors
* Leverage mechanical intelligence, multi\-modal sensor feedback and advanced control techniques.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Design and implement methods for dexterous manipulation with single and dual arm manipulation
* Leverage simulation and real\-world data collection to create large datasets for model development
* Develop a hierarchical system that combines low\-level control with high\-level planning
* Utilize state\-of\-the\-art manipulation models and optimal control techniques
* Collaborate effectively with multi\-disciplinary teams to co\-design hardware and algorithms for dexterous manipulation
**BASIC QUALIFICATIONS**
------------------------
* PhD, or Master's degree and 6\+ years of applied research experience
* Experience with state\-of\-the\-art in robotic manipulation models
* Experience with data generation in simulation and real world
* Experience in developing techniques that utilize multi\-modal sensor data from the arm and hands
**PREFERRED QUALIFICATIONS**
----------------------------
* Experience programming in Java, C\+\+, Python or related language
* Experience working effectively across cross\-functional teams and partnering well with people at all levels within an organization
* PhD in Robotics, with focus on dexterous manipulation
* Experience in motion primitives, vision\-language\-action models, and model predictive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29">
      <c r="A29" t="inlineStr">
        <is>
          <t>in-3f0a436dd41f2d09</t>
        </is>
      </c>
      <c r="B29" t="inlineStr">
        <is>
          <t>Applied Scientist, Amazon Special Projects</t>
        </is>
      </c>
      <c r="C29" t="inlineStr">
        <is>
          <t>Amazon.com</t>
        </is>
      </c>
      <c r="D29" t="inlineStr">
        <is>
          <t>indeed</t>
        </is>
      </c>
      <c r="E29" t="inlineStr"/>
      <c r="F29" t="inlineStr"/>
      <c r="G29" t="inlineStr">
        <is>
          <t>Boston, MA, US</t>
        </is>
      </c>
      <c r="H29" s="2" t="n">
        <v>46026</v>
      </c>
      <c r="I29"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As an Applied Science, you will have access to large datasets with billions of images and video to build large\-scale machine learning systems. Additionally, you will analyze and model terabytes of text, images, and other types of data to solve real\-world problems and translate business and functional requirements into quick prototypes or proofs of concept.  
We are looking for smart scientists capable of using a variety of domain expertise combined with machine learning and statistical techniques to invent, design, evangelize, and implement state\-of\-the\-art solutions for never\-before\-solved problems.  
About the team  
Our team highly values work\-life balance, mentorship and career growth. We believe striking the right balance between your personal and professional life is critical to life\-long happiness and fulfillment. We care about your career growth and strive to assign projects and offer training that will challenge you to become your best.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in patents or publications at top\-tier peer\-reviewed conferences (NeurIPS, ICML, ICLR, CVPR) or journals
* Experience in deep learning models for life sciences; knowledge of protein biology.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in-71aea0dfb31b23e6</t>
        </is>
      </c>
      <c r="B30" t="inlineStr">
        <is>
          <t>Applied Scientist, Amazon Special Projects</t>
        </is>
      </c>
      <c r="C30" t="inlineStr">
        <is>
          <t>Amazon.com</t>
        </is>
      </c>
      <c r="D30" t="inlineStr">
        <is>
          <t>indeed</t>
        </is>
      </c>
      <c r="E30" t="inlineStr"/>
      <c r="F30" t="inlineStr"/>
      <c r="G30" t="inlineStr">
        <is>
          <t>Seattle, WA, US</t>
        </is>
      </c>
      <c r="H30" s="2" t="n">
        <v>46026</v>
      </c>
      <c r="I30"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As an Applied Science, you will have access to large datasets with billions of images and video to build large\-scale machine learning systems. Additionally, you will analyze and model terabytes of text, images, and other types of data to solve real\-world problems and translate business and functional requirements into quick prototypes or proofs of concept.  
We are looking for smart scientists capable of using a variety of domain expertise combined with machine learning and statistical techniques to invent, design, evangelize, and implement state\-of\-the\-art solutions for never\-before\-solved problems.  
About the team  
Our team highly values work\-life balance, mentorship and career growth. We believe striking the right balance between your personal and professional life is critical to life\-long happiness and fulfillment. We care about your career growth and strive to assign projects and offer training that will challenge you to become your best.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in patents or publications at top\-tier peer\-reviewed conferences (NeurIPS, ICML, ICLR, CVPR) or journals
* Experience in deep learning models for life sciences; knowledge of protein biology.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in-9ceabf3928ee12fb</t>
        </is>
      </c>
      <c r="B31" t="inlineStr">
        <is>
          <t>Applied Scientist, Last Mile Delivery Automation</t>
        </is>
      </c>
      <c r="C31" t="inlineStr">
        <is>
          <t>Amazon.com</t>
        </is>
      </c>
      <c r="D31" t="inlineStr">
        <is>
          <t>indeed</t>
        </is>
      </c>
      <c r="E31" t="inlineStr"/>
      <c r="F31" t="inlineStr"/>
      <c r="G31" t="inlineStr">
        <is>
          <t>Santa Clara, CA, US</t>
        </is>
      </c>
      <c r="H31" s="2" t="n">
        <v>46026</v>
      </c>
      <c r="I31"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in-ad610856b6df7ebe</t>
        </is>
      </c>
      <c r="B32" t="inlineStr">
        <is>
          <t>Applied Scientist, Last Mile Delivery Automation</t>
        </is>
      </c>
      <c r="C32" t="inlineStr">
        <is>
          <t>Amazon.com</t>
        </is>
      </c>
      <c r="D32" t="inlineStr">
        <is>
          <t>indeed</t>
        </is>
      </c>
      <c r="E32" t="inlineStr"/>
      <c r="F32" t="inlineStr"/>
      <c r="G32" t="inlineStr">
        <is>
          <t>Bellevue, WA, US</t>
        </is>
      </c>
      <c r="H32" s="2" t="n">
        <v>46026</v>
      </c>
      <c r="I32"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in-f5f9e41a272d3432</t>
        </is>
      </c>
      <c r="B33" t="inlineStr">
        <is>
          <t>Senior Applied Scientist, Distributed SQL</t>
        </is>
      </c>
      <c r="C33" t="inlineStr">
        <is>
          <t>Amazon Web Services</t>
        </is>
      </c>
      <c r="D33" t="inlineStr">
        <is>
          <t>indeed</t>
        </is>
      </c>
      <c r="E33" t="inlineStr"/>
      <c r="F33" t="inlineStr"/>
      <c r="G33" t="inlineStr">
        <is>
          <t>East Palo Alto, CA, US</t>
        </is>
      </c>
      <c r="H33" s="2" t="n">
        <v>46012</v>
      </c>
      <c r="I33"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34">
      <c r="A34" t="inlineStr">
        <is>
          <t>in-d82d73d4c5b0c592</t>
        </is>
      </c>
      <c r="B34" t="inlineStr">
        <is>
          <t>Senior Applied Scientist, Distributed SQL</t>
        </is>
      </c>
      <c r="C34" t="inlineStr">
        <is>
          <t>Amazon Web Services</t>
        </is>
      </c>
      <c r="D34" t="inlineStr">
        <is>
          <t>indeed</t>
        </is>
      </c>
      <c r="E34" t="inlineStr"/>
      <c r="F34" t="inlineStr"/>
      <c r="G34" t="inlineStr">
        <is>
          <t>Seattle, WA, US</t>
        </is>
      </c>
      <c r="H34" s="2" t="n">
        <v>46012</v>
      </c>
      <c r="I34"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35">
      <c r="A35" t="inlineStr">
        <is>
          <t>in-0c2ffa6252b9c1af</t>
        </is>
      </c>
      <c r="B35" t="inlineStr">
        <is>
          <t>Sr. Applied Scientist, Amazon Ads</t>
        </is>
      </c>
      <c r="C35" t="inlineStr">
        <is>
          <t>Amazon.com</t>
        </is>
      </c>
      <c r="D35" t="inlineStr">
        <is>
          <t>indeed</t>
        </is>
      </c>
      <c r="E35" t="inlineStr"/>
      <c r="F35" t="inlineStr"/>
      <c r="G35" t="inlineStr">
        <is>
          <t>Boston, MA, US</t>
        </is>
      </c>
      <c r="H35" s="2" t="n">
        <v>45998</v>
      </c>
      <c r="I3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6">
      <c r="A36" t="inlineStr">
        <is>
          <t>in-2f5c23cfb75785b1</t>
        </is>
      </c>
      <c r="B36" t="inlineStr">
        <is>
          <t>Sr. Applied Scientist, Amazon Ads</t>
        </is>
      </c>
      <c r="C36" t="inlineStr">
        <is>
          <t>Amazon.com</t>
        </is>
      </c>
      <c r="D36" t="inlineStr">
        <is>
          <t>indeed</t>
        </is>
      </c>
      <c r="E36" t="inlineStr"/>
      <c r="F36" t="inlineStr"/>
      <c r="G36" t="inlineStr">
        <is>
          <t>Sunnyvale, CA, US</t>
        </is>
      </c>
      <c r="H36" s="2" t="n">
        <v>45998</v>
      </c>
      <c r="I3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7">
      <c r="A37" t="inlineStr">
        <is>
          <t>in-b3d646875961f203</t>
        </is>
      </c>
      <c r="B37" t="inlineStr">
        <is>
          <t>Sr. Applied Scientist, Amazon Ads</t>
        </is>
      </c>
      <c r="C37" t="inlineStr">
        <is>
          <t>Amazon.com</t>
        </is>
      </c>
      <c r="D37" t="inlineStr">
        <is>
          <t>indeed</t>
        </is>
      </c>
      <c r="E37" t="inlineStr"/>
      <c r="F37" t="inlineStr"/>
      <c r="G37" t="inlineStr">
        <is>
          <t>Palo Alto, CA, US</t>
        </is>
      </c>
      <c r="H37" s="2" t="n">
        <v>45998</v>
      </c>
      <c r="I3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8">
      <c r="A38" t="inlineStr">
        <is>
          <t>in-4fc3bffb9279022a</t>
        </is>
      </c>
      <c r="B38" t="inlineStr">
        <is>
          <t>Sr. Applied Scientist, Amazon Ads</t>
        </is>
      </c>
      <c r="C38" t="inlineStr">
        <is>
          <t>Amazon.com</t>
        </is>
      </c>
      <c r="D38" t="inlineStr">
        <is>
          <t>indeed</t>
        </is>
      </c>
      <c r="E38" t="inlineStr"/>
      <c r="F38" t="inlineStr"/>
      <c r="G38" t="inlineStr">
        <is>
          <t>New York, NY, US</t>
        </is>
      </c>
      <c r="H38" s="2" t="n">
        <v>45998</v>
      </c>
      <c r="I3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9">
      <c r="A39" t="inlineStr">
        <is>
          <t>in-45ef1d55b4ff5705</t>
        </is>
      </c>
      <c r="B39" t="inlineStr">
        <is>
          <t>Sr. Applied Scientist, Amazon Ads</t>
        </is>
      </c>
      <c r="C39" t="inlineStr">
        <is>
          <t>Amazon.com</t>
        </is>
      </c>
      <c r="D39" t="inlineStr">
        <is>
          <t>indeed</t>
        </is>
      </c>
      <c r="E39" t="inlineStr"/>
      <c r="F39" t="inlineStr"/>
      <c r="G39" t="inlineStr">
        <is>
          <t>Corvallis, OR, US</t>
        </is>
      </c>
      <c r="H39" s="2" t="n">
        <v>45998</v>
      </c>
      <c r="I3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0">
      <c r="A40" t="inlineStr">
        <is>
          <t>in-bcaeb8322bf0f34d</t>
        </is>
      </c>
      <c r="B40" t="inlineStr">
        <is>
          <t>Sr. Applied Scientist, Amazon Ads</t>
        </is>
      </c>
      <c r="C40" t="inlineStr">
        <is>
          <t>Amazon.com</t>
        </is>
      </c>
      <c r="D40" t="inlineStr">
        <is>
          <t>indeed</t>
        </is>
      </c>
      <c r="E40" t="inlineStr"/>
      <c r="F40" t="inlineStr"/>
      <c r="G40" t="inlineStr">
        <is>
          <t>Santa Monica, CA, US</t>
        </is>
      </c>
      <c r="H40" s="2" t="n">
        <v>45998</v>
      </c>
      <c r="I4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1">
      <c r="A41" t="inlineStr">
        <is>
          <t>in-6133d4e0a1520b89</t>
        </is>
      </c>
      <c r="B41" t="inlineStr">
        <is>
          <t>Sr. Applied Scientist, Amazon Ads</t>
        </is>
      </c>
      <c r="C41" t="inlineStr">
        <is>
          <t>Amazon.com</t>
        </is>
      </c>
      <c r="D41" t="inlineStr">
        <is>
          <t>indeed</t>
        </is>
      </c>
      <c r="E41" t="inlineStr"/>
      <c r="F41" t="inlineStr"/>
      <c r="G41" t="inlineStr">
        <is>
          <t>Brooklyn, NY, US</t>
        </is>
      </c>
      <c r="H41" s="2" t="n">
        <v>45998</v>
      </c>
      <c r="I4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2">
      <c r="A42" t="inlineStr">
        <is>
          <t>in-7d83dbe8f41d1bc3</t>
        </is>
      </c>
      <c r="B42" t="inlineStr">
        <is>
          <t>Sr. Applied Scientist, Amazon Ads</t>
        </is>
      </c>
      <c r="C42" t="inlineStr">
        <is>
          <t>Amazon.com</t>
        </is>
      </c>
      <c r="D42" t="inlineStr">
        <is>
          <t>indeed</t>
        </is>
      </c>
      <c r="E42" t="inlineStr"/>
      <c r="F42" t="inlineStr"/>
      <c r="G42" t="inlineStr">
        <is>
          <t>Boulder, CO, US</t>
        </is>
      </c>
      <c r="H42" s="2" t="n">
        <v>45998</v>
      </c>
      <c r="I4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3">
      <c r="A43" t="inlineStr">
        <is>
          <t>in-307bb0e5a89a9061</t>
        </is>
      </c>
      <c r="B43" t="inlineStr">
        <is>
          <t>Sr. Applied Scientist, Amazon Ads</t>
        </is>
      </c>
      <c r="C43" t="inlineStr">
        <is>
          <t>Amazon.com</t>
        </is>
      </c>
      <c r="D43" t="inlineStr">
        <is>
          <t>indeed</t>
        </is>
      </c>
      <c r="E43" t="inlineStr"/>
      <c r="F43" t="inlineStr"/>
      <c r="G43" t="inlineStr">
        <is>
          <t>Seattle, WA, US</t>
        </is>
      </c>
      <c r="H43" s="2" t="n">
        <v>45998</v>
      </c>
      <c r="I4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4">
      <c r="A44" t="inlineStr">
        <is>
          <t>in-333c30e08c4151c7</t>
        </is>
      </c>
      <c r="B44" t="inlineStr">
        <is>
          <t>Sr. Applied Scientist, Amazon Ads</t>
        </is>
      </c>
      <c r="C44" t="inlineStr">
        <is>
          <t>Amazon.com</t>
        </is>
      </c>
      <c r="D44" t="inlineStr">
        <is>
          <t>indeed</t>
        </is>
      </c>
      <c r="E44" t="inlineStr"/>
      <c r="F44" t="inlineStr"/>
      <c r="G44" t="inlineStr">
        <is>
          <t>Tukwila, WA, US</t>
        </is>
      </c>
      <c r="H44" s="2" t="n">
        <v>45998</v>
      </c>
      <c r="I4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5">
      <c r="A45" t="inlineStr">
        <is>
          <t>in-f981e971e5fd9384</t>
        </is>
      </c>
      <c r="B45" t="inlineStr">
        <is>
          <t>Applied Scientist, ML Compiler</t>
        </is>
      </c>
      <c r="C45" t="inlineStr">
        <is>
          <t>Amazon Web Services</t>
        </is>
      </c>
      <c r="D45" t="inlineStr">
        <is>
          <t>indeed</t>
        </is>
      </c>
      <c r="E45" t="inlineStr"/>
      <c r="F45" t="inlineStr"/>
      <c r="G45" t="inlineStr">
        <is>
          <t>Cupertino, CA, US</t>
        </is>
      </c>
      <c r="H45" s="2" t="n">
        <v>45993</v>
      </c>
      <c r="I45"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in-96cb5aad6b9c9f33</t>
        </is>
      </c>
      <c r="B46" t="inlineStr">
        <is>
          <t>Applied Scientist, ML Compiler</t>
        </is>
      </c>
      <c r="C46" t="inlineStr">
        <is>
          <t>Amazon Web Services</t>
        </is>
      </c>
      <c r="D46" t="inlineStr">
        <is>
          <t>indeed</t>
        </is>
      </c>
      <c r="E46" t="inlineStr"/>
      <c r="F46" t="inlineStr"/>
      <c r="G46" t="inlineStr">
        <is>
          <t>Seattle, WA, US</t>
        </is>
      </c>
      <c r="H46" s="2" t="n">
        <v>45993</v>
      </c>
      <c r="I46"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in-02155d94f261bd53</t>
        </is>
      </c>
      <c r="B47" t="inlineStr">
        <is>
          <t>Senior Applied Scientist, Locomotion, Amazon Industrial Robotics</t>
        </is>
      </c>
      <c r="C47" t="inlineStr">
        <is>
          <t>Amazon.com</t>
        </is>
      </c>
      <c r="D47" t="inlineStr">
        <is>
          <t>indeed</t>
        </is>
      </c>
      <c r="E47" t="inlineStr"/>
      <c r="F47" t="inlineStr"/>
      <c r="G47" t="inlineStr">
        <is>
          <t>Reading, MA, US</t>
        </is>
      </c>
      <c r="H47" s="2" t="n">
        <v>45992</v>
      </c>
      <c r="I47"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Lead design and implement control algorithms for robot locomotion
* Develop behaviors that enable the robot to traverse diverse terrain
* Develop methods that seamlessly integrate stability, locomotion, and manipulation tasks
* Create dynamics models and simulations that enable sim2real transfer of algorithms
* Collaborate effectively with multi\-disciplinary teams to co\-design hardware and algorithms for loco\-manipulation
* Mentor junior engineer and scientists
**BASIC QUALIFICATIONS**
------------------------
* PhD, or Master's degree and 4\+ years of CS, CE, ML or related field experience
* Strong foundation in robot dynamics and control theory
* Experience with model\-predictive control and reinforcement learning for locomotion
* Experience with simulation environments such as IsaacLab, Mujoco, Drake, etc.
* Experience with developing and deploying code for real\-time controllers
**PREFERRED QUALIFICATIONS**
----------------------------
* Experience programming in Java, C\+\+, Python or related language
* Experience working effectively across cross\-functional teams and partnering well with people at all levels within an organization
* PhD in Robotics with a focus on locomotion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in-cb213a31aa286dd3</t>
        </is>
      </c>
      <c r="B48" t="inlineStr">
        <is>
          <t>Senior Applied Scientist, Locomotion, Amazon Industrial Robotics</t>
        </is>
      </c>
      <c r="C48" t="inlineStr">
        <is>
          <t>Amazon.com</t>
        </is>
      </c>
      <c r="D48" t="inlineStr">
        <is>
          <t>indeed</t>
        </is>
      </c>
      <c r="E48" t="inlineStr"/>
      <c r="F48" t="inlineStr"/>
      <c r="G48" t="inlineStr">
        <is>
          <t>Reading, MA, US</t>
        </is>
      </c>
      <c r="H48" s="2" t="n">
        <v>45992</v>
      </c>
      <c r="I48"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Lead design and implement control algorithms for robot locomotion
* Develop behaviors that enable the robot to traverse diverse terrain
* Develop methods that seamlessly integrate stability, locomotion, and manipulation tasks
* Create dynamics models and simulations that enable sim2real transfer of algorithms
* Collaborate effectively with multi\-disciplinary teams to co\-design hardware and algorithms for loco\-manipulation
* Mentor junior engineer and scientists
**BASIC QUALIFICATIONS**
------------------------
* PhD, or Master's degree and 4\+ years of CS, CE, ML or related field experience
* Strong foundation in robot dynamics and control theory
* Experience with model\-predictive control and reinforcement learning for locomotion
* Experience with simulation environments such as IsaacLab, Mujoco, Drake, etc.
* Experience with developing and deploying code for real\-time controllers
**PREFERRED QUALIFICATIONS**
----------------------------
* Experience programming in Java, C\+\+, Python or related language
* Experience working effectively across cross\-functional teams and partnering well with people at all levels within an organization
* PhD in Robotics with a focus on locomotion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in-0866d3c6cb796ab9</t>
        </is>
      </c>
      <c r="B49" t="inlineStr">
        <is>
          <t>Sr. Machine Learning Engineer, AGIF | Finetuning</t>
        </is>
      </c>
      <c r="C49" t="inlineStr">
        <is>
          <t>Amazon.com</t>
        </is>
      </c>
      <c r="D49" t="inlineStr">
        <is>
          <t>indeed</t>
        </is>
      </c>
      <c r="E49" t="inlineStr"/>
      <c r="F49" t="inlineStr"/>
      <c r="G49" t="inlineStr">
        <is>
          <t>Bellevue, WA, US</t>
        </is>
      </c>
      <c r="H49" s="2" t="n">
        <v>45984</v>
      </c>
      <c r="I49"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in-7d3b27d4dcf7e2b4</t>
        </is>
      </c>
      <c r="B50" t="inlineStr">
        <is>
          <t>Sr. Machine Learning Engineer, AGIF | Finetuning</t>
        </is>
      </c>
      <c r="C50" t="inlineStr">
        <is>
          <t>Amazon.com</t>
        </is>
      </c>
      <c r="D50" t="inlineStr">
        <is>
          <t>indeed</t>
        </is>
      </c>
      <c r="E50" t="inlineStr"/>
      <c r="F50" t="inlineStr"/>
      <c r="G50" t="inlineStr">
        <is>
          <t>New York, NY, US</t>
        </is>
      </c>
      <c r="H50" s="2" t="n">
        <v>45984</v>
      </c>
      <c r="I50"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in-0f5dc1127e0af9ec</t>
        </is>
      </c>
      <c r="B51" t="inlineStr">
        <is>
          <t>Sr. Machine Learning Engineer, AGIF | Finetuning</t>
        </is>
      </c>
      <c r="C51" t="inlineStr">
        <is>
          <t>Amazon.com</t>
        </is>
      </c>
      <c r="D51" t="inlineStr">
        <is>
          <t>indeed</t>
        </is>
      </c>
      <c r="E51" t="inlineStr"/>
      <c r="F51" t="inlineStr"/>
      <c r="G51" t="inlineStr">
        <is>
          <t>Sunnyvale, CA, US</t>
        </is>
      </c>
      <c r="H51" s="2" t="n">
        <v>45984</v>
      </c>
      <c r="I51"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in-2192ff28b54cf973</t>
        </is>
      </c>
      <c r="B52" t="inlineStr">
        <is>
          <t>Principal Applied Scientist, Amazon Special Projects</t>
        </is>
      </c>
      <c r="C52" t="inlineStr">
        <is>
          <t>Amazon.com</t>
        </is>
      </c>
      <c r="D52" t="inlineStr">
        <is>
          <t>indeed</t>
        </is>
      </c>
      <c r="E52" t="inlineStr"/>
      <c r="F52" t="inlineStr"/>
      <c r="G52" t="inlineStr">
        <is>
          <t>Boston, MA, US</t>
        </is>
      </c>
      <c r="H52" s="2" t="n">
        <v>45982</v>
      </c>
      <c r="I52"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in-b11f9bd594854b8b</t>
        </is>
      </c>
      <c r="B53" t="inlineStr">
        <is>
          <t>Principal Applied Scientist, Amazon Special Projects</t>
        </is>
      </c>
      <c r="C53" t="inlineStr">
        <is>
          <t>Amazon.com</t>
        </is>
      </c>
      <c r="D53" t="inlineStr">
        <is>
          <t>indeed</t>
        </is>
      </c>
      <c r="E53" t="inlineStr"/>
      <c r="F53" t="inlineStr"/>
      <c r="G53" t="inlineStr">
        <is>
          <t>Seattle, WA, US</t>
        </is>
      </c>
      <c r="H53" s="2" t="n">
        <v>45982</v>
      </c>
      <c r="I53"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in-39e27936ced04444</t>
        </is>
      </c>
      <c r="B54" t="inlineStr">
        <is>
          <t>Senior Applied Scientist, Artificial General Intelligence</t>
        </is>
      </c>
      <c r="C54" t="inlineStr">
        <is>
          <t>Amazon.com</t>
        </is>
      </c>
      <c r="D54" t="inlineStr">
        <is>
          <t>indeed</t>
        </is>
      </c>
      <c r="E54" t="inlineStr"/>
      <c r="F54" t="inlineStr"/>
      <c r="G54" t="inlineStr">
        <is>
          <t>New York, NY, US</t>
        </is>
      </c>
      <c r="H54" s="2" t="n">
        <v>45980</v>
      </c>
      <c r="I54"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in-5f51c12af25ab655</t>
        </is>
      </c>
      <c r="B55" t="inlineStr">
        <is>
          <t>Senior Applied Scientist, Artificial General Intelligence</t>
        </is>
      </c>
      <c r="C55" t="inlineStr">
        <is>
          <t>Amazon.com</t>
        </is>
      </c>
      <c r="D55" t="inlineStr">
        <is>
          <t>indeed</t>
        </is>
      </c>
      <c r="E55" t="inlineStr"/>
      <c r="F55" t="inlineStr"/>
      <c r="G55" t="inlineStr">
        <is>
          <t>Seattle, WA, US</t>
        </is>
      </c>
      <c r="H55" s="2" t="n">
        <v>45980</v>
      </c>
      <c r="I55"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in-cea9c97eeb5c2e64</t>
        </is>
      </c>
      <c r="B56" t="inlineStr">
        <is>
          <t>Senior Applied Scientist, Artificial General Intelligence</t>
        </is>
      </c>
      <c r="C56" t="inlineStr">
        <is>
          <t>Amazon.com</t>
        </is>
      </c>
      <c r="D56" t="inlineStr">
        <is>
          <t>indeed</t>
        </is>
      </c>
      <c r="E56" t="inlineStr"/>
      <c r="F56" t="inlineStr"/>
      <c r="G56" t="inlineStr">
        <is>
          <t>Sunnyvale, CA, US</t>
        </is>
      </c>
      <c r="H56" s="2" t="n">
        <v>45980</v>
      </c>
      <c r="I56"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in-dd4eac3b26de0219</t>
        </is>
      </c>
      <c r="B57" t="inlineStr">
        <is>
          <t>Senior Applied Scientist, Artificial General Intelligence</t>
        </is>
      </c>
      <c r="C57" t="inlineStr">
        <is>
          <t>Amazon.com</t>
        </is>
      </c>
      <c r="D57" t="inlineStr">
        <is>
          <t>indeed</t>
        </is>
      </c>
      <c r="E57" t="inlineStr"/>
      <c r="F57" t="inlineStr"/>
      <c r="G57" t="inlineStr">
        <is>
          <t>Boston, MA, US</t>
        </is>
      </c>
      <c r="H57" s="2" t="n">
        <v>45980</v>
      </c>
      <c r="I57"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in-364c40b9dc93c157</t>
        </is>
      </c>
      <c r="B58" t="inlineStr">
        <is>
          <t>Applied Scientist II, SPB Advertiser Guidance</t>
        </is>
      </c>
      <c r="C58" t="inlineStr">
        <is>
          <t>Amazon.com</t>
        </is>
      </c>
      <c r="D58" t="inlineStr">
        <is>
          <t>indeed</t>
        </is>
      </c>
      <c r="E58" t="inlineStr"/>
      <c r="F58" t="inlineStr"/>
      <c r="G58" t="inlineStr">
        <is>
          <t>Seattle, WA, US</t>
        </is>
      </c>
      <c r="H58" s="2" t="n">
        <v>45980</v>
      </c>
      <c r="I58"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in-a3fca1594c2493ca</t>
        </is>
      </c>
      <c r="B59" t="inlineStr">
        <is>
          <t>Applied Scientist II, SPB Advertiser Guidance</t>
        </is>
      </c>
      <c r="C59" t="inlineStr">
        <is>
          <t>Amazon.com</t>
        </is>
      </c>
      <c r="D59" t="inlineStr">
        <is>
          <t>indeed</t>
        </is>
      </c>
      <c r="E59" t="inlineStr"/>
      <c r="F59" t="inlineStr"/>
      <c r="G59" t="inlineStr">
        <is>
          <t>Palo Alto, CA, US</t>
        </is>
      </c>
      <c r="H59" s="2" t="n">
        <v>45980</v>
      </c>
      <c r="I59"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in-9cf3139910515fc0</t>
        </is>
      </c>
      <c r="B60" t="inlineStr">
        <is>
          <t>Applied Scientist II, SPB Advertiser Guidance</t>
        </is>
      </c>
      <c r="C60" t="inlineStr">
        <is>
          <t>Amazon.com</t>
        </is>
      </c>
      <c r="D60" t="inlineStr">
        <is>
          <t>indeed</t>
        </is>
      </c>
      <c r="E60" t="inlineStr"/>
      <c r="F60" t="inlineStr"/>
      <c r="G60" t="inlineStr">
        <is>
          <t>New York, NY, US</t>
        </is>
      </c>
      <c r="H60" s="2" t="n">
        <v>45980</v>
      </c>
      <c r="I60"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in-a5371749dd0f1eec</t>
        </is>
      </c>
      <c r="B61" t="inlineStr">
        <is>
          <t>Principal Applied Scientist, Sponsored Products and Brands</t>
        </is>
      </c>
      <c r="C61" t="inlineStr">
        <is>
          <t>Amazon.com</t>
        </is>
      </c>
      <c r="D61" t="inlineStr">
        <is>
          <t>indeed</t>
        </is>
      </c>
      <c r="E61" t="inlineStr"/>
      <c r="F61" t="inlineStr"/>
      <c r="G61" t="inlineStr">
        <is>
          <t>Seattle, WA, US</t>
        </is>
      </c>
      <c r="H61" s="2" t="n">
        <v>45979</v>
      </c>
      <c r="I61"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in-e7c124e1950fecca</t>
        </is>
      </c>
      <c r="B62" t="inlineStr">
        <is>
          <t>Principal Applied Scientist, Sponsored Products and Brands</t>
        </is>
      </c>
      <c r="C62" t="inlineStr">
        <is>
          <t>Amazon.com</t>
        </is>
      </c>
      <c r="D62" t="inlineStr">
        <is>
          <t>indeed</t>
        </is>
      </c>
      <c r="E62" t="inlineStr"/>
      <c r="F62" t="inlineStr"/>
      <c r="G62" t="inlineStr">
        <is>
          <t>New York, NY, US</t>
        </is>
      </c>
      <c r="H62" s="2" t="n">
        <v>45979</v>
      </c>
      <c r="I62"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in-fbc74906a7d62f17</t>
        </is>
      </c>
      <c r="B63" t="inlineStr">
        <is>
          <t>Applied Scientist, Personalization, DTx Science</t>
        </is>
      </c>
      <c r="C63" t="inlineStr">
        <is>
          <t>Amazon.com</t>
        </is>
      </c>
      <c r="D63" t="inlineStr">
        <is>
          <t>indeed</t>
        </is>
      </c>
      <c r="E63" t="inlineStr"/>
      <c r="F63" t="inlineStr"/>
      <c r="G63" t="inlineStr">
        <is>
          <t>Seattle, WA, US</t>
        </is>
      </c>
      <c r="H63" s="2" t="n">
        <v>45979</v>
      </c>
      <c r="I63"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64">
      <c r="A64" t="inlineStr">
        <is>
          <t>in-18fc08f16b7db9a3</t>
        </is>
      </c>
      <c r="B64" t="inlineStr">
        <is>
          <t>Applied Scientist, Personalization, DTx Science</t>
        </is>
      </c>
      <c r="C64" t="inlineStr">
        <is>
          <t>Amazon.com</t>
        </is>
      </c>
      <c r="D64" t="inlineStr">
        <is>
          <t>indeed</t>
        </is>
      </c>
      <c r="E64" t="inlineStr"/>
      <c r="F64" t="inlineStr"/>
      <c r="G64" t="inlineStr">
        <is>
          <t>New York, NY, US</t>
        </is>
      </c>
      <c r="H64" s="2" t="n">
        <v>45979</v>
      </c>
      <c r="I64"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65">
      <c r="A65" t="inlineStr">
        <is>
          <t>in-14a4b2e2ada26fad</t>
        </is>
      </c>
      <c r="B65" t="inlineStr">
        <is>
          <t>Sr. Applied Scientist, AGI Foundations</t>
        </is>
      </c>
      <c r="C65" t="inlineStr">
        <is>
          <t>Amazon.com</t>
        </is>
      </c>
      <c r="D65" t="inlineStr">
        <is>
          <t>indeed</t>
        </is>
      </c>
      <c r="E65" t="inlineStr"/>
      <c r="F65" t="inlineStr"/>
      <c r="G65" t="inlineStr">
        <is>
          <t>Bellevue, WA, US</t>
        </is>
      </c>
      <c r="H65" s="2" t="n">
        <v>45978</v>
      </c>
      <c r="I65"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in-0ed6fe26c0b57d6b</t>
        </is>
      </c>
      <c r="B66" t="inlineStr">
        <is>
          <t>Sr. Applied Scientist, AGI Foundations</t>
        </is>
      </c>
      <c r="C66" t="inlineStr">
        <is>
          <t>Amazon.com</t>
        </is>
      </c>
      <c r="D66" t="inlineStr">
        <is>
          <t>indeed</t>
        </is>
      </c>
      <c r="E66" t="inlineStr"/>
      <c r="F66" t="inlineStr"/>
      <c r="G66" t="inlineStr">
        <is>
          <t>Sunnyvale, CA, US</t>
        </is>
      </c>
      <c r="H66" s="2" t="n">
        <v>45978</v>
      </c>
      <c r="I66"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in-92496e2eac55f06b</t>
        </is>
      </c>
      <c r="B67" t="inlineStr">
        <is>
          <t>Sr. Applied Scientist, AGI Foundations</t>
        </is>
      </c>
      <c r="C67" t="inlineStr">
        <is>
          <t>Amazon.com</t>
        </is>
      </c>
      <c r="D67" t="inlineStr">
        <is>
          <t>indeed</t>
        </is>
      </c>
      <c r="E67" t="inlineStr"/>
      <c r="F67" t="inlineStr"/>
      <c r="G67" t="inlineStr">
        <is>
          <t>New York, NY, US</t>
        </is>
      </c>
      <c r="H67" s="2" t="n">
        <v>45978</v>
      </c>
      <c r="I67"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in-1ad4d5789fc1f508</t>
        </is>
      </c>
      <c r="B68" t="inlineStr">
        <is>
          <t>Sr. Applied Scientist, AGI Foundations</t>
        </is>
      </c>
      <c r="C68" t="inlineStr">
        <is>
          <t>Amazon.com</t>
        </is>
      </c>
      <c r="D68" t="inlineStr">
        <is>
          <t>indeed</t>
        </is>
      </c>
      <c r="E68" t="inlineStr"/>
      <c r="F68" t="inlineStr"/>
      <c r="G68" t="inlineStr">
        <is>
          <t>Boston, MA, US</t>
        </is>
      </c>
      <c r="H68" s="2" t="n">
        <v>45978</v>
      </c>
      <c r="I68"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in-46a3bfdfe4a9a7a5</t>
        </is>
      </c>
      <c r="B69" t="inlineStr">
        <is>
          <t>Applied Scientist II, Robotics and ML, Amazon Industrial Robotics</t>
        </is>
      </c>
      <c r="C69" t="inlineStr">
        <is>
          <t>Amazon.com</t>
        </is>
      </c>
      <c r="D69" t="inlineStr">
        <is>
          <t>indeed</t>
        </is>
      </c>
      <c r="E69" t="inlineStr"/>
      <c r="F69" t="inlineStr"/>
      <c r="G69" t="inlineStr">
        <is>
          <t>Reading, MA, US</t>
        </is>
      </c>
      <c r="H69" s="2" t="n">
        <v>45975</v>
      </c>
      <c r="I69"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manipulation, locomotion, and human\-robot interaction.
We're seeking an Applied Scientist to join our Robotics team. This role focuses on developing innovative machine learning solutions that enable robots to perform complex manipulation tasks in real\-world environments. You will work on creating adaptive learning approaches that combine traditional robotics with modern ML techniques to improve robot performance and reliability. In this role, you will collaborate with multidisciplinary teams to advance the state\-of\-the\-art in robotic manipulation, contributing to the development of next\-generation autonomous systems that can operate safely and efficiently within Amazon fulfillment centers.
Key job responsibilities  
* Lead design, adapt, and implement novel machine learning solutions for manipulation robots
* Create hybrid approaches combining classical methods with learning\-based solutions
* Design learning algorithms for automated parameter tuning and adaptation
* Develop data collection pipelines and methodologies for capturing high\-quality demonstrations of dexterous tasks
* Build and test prototype robotic workcell setups to validate the performance of the solution
* Partner with cross\-functional teams to rapidly create new concepts and prototypes
* Work with Amazon's robotics engineering and operations teams to grasp their requirements and develop tailored solutions
* Document the architecture, performance, and validation of the final system
**BASIC QUALIFICATIONS**
------------------------
* PhD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Experience building machine learning models or developing algorithms for business application
* Experience applying theoretical models in an applied environment
**PREFERRED QUALIFICATIONS**
----------------------------
* Experience using Unix/Linux
* Experience in professional software development
* Experience working effectively across cross\-functional teams and partnering well with people at all levels within an organization
* PhD in Robotics, Computer Science, or related field with focus on machine learning and robot control
* Experience developing and implementing machine learning approaches for robotic systems, particularly in imitation learning or reinforcement learning
* Strong background in robot control systems, particularly in force/impedance control and contact\-rich manipulation
* Experience with real\-time control systems and robot motion planning
* Track record of translating research concepts into practical robotic applications
* Strong programming skills and experience with modern ML frameworks
* Experience with demonstration\-based learning and data collection for robotic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in-204349bd6abf326e</t>
        </is>
      </c>
      <c r="B70" t="inlineStr">
        <is>
          <t>Applied Scientist II, Robotics and ML, Amazon Industrial Robotics</t>
        </is>
      </c>
      <c r="C70" t="inlineStr">
        <is>
          <t>Amazon.com</t>
        </is>
      </c>
      <c r="D70" t="inlineStr">
        <is>
          <t>indeed</t>
        </is>
      </c>
      <c r="E70" t="inlineStr"/>
      <c r="F70" t="inlineStr"/>
      <c r="G70" t="inlineStr">
        <is>
          <t>Reading, MA, US</t>
        </is>
      </c>
      <c r="H70" s="2" t="n">
        <v>45975</v>
      </c>
      <c r="I70"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manipulation, locomotion, and human\-robot interaction.
We're seeking an Applied Scientist to join our Robotics team. This role focuses on developing innovative machine learning solutions that enable robots to perform complex manipulation tasks in real\-world environments. You will work on creating adaptive learning approaches that combine traditional robotics with modern ML techniques to improve robot performance and reliability. In this role, you will collaborate with multidisciplinary teams to advance the state\-of\-the\-art in robotic manipulation, contributing to the development of next\-generation autonomous systems that can operate safely and efficiently within Amazon fulfillment centers.
Key job responsibilities  
* Lead design, adapt, and implement novel machine learning solutions for manipulation robots
* Create hybrid approaches combining classical methods with learning\-based solutions
* Design learning algorithms for automated parameter tuning and adaptation
* Develop data collection pipelines and methodologies for capturing high\-quality demonstrations of dexterous tasks
* Build and test prototype robotic workcell setups to validate the performance of the solution
* Partner with cross\-functional teams to rapidly create new concepts and prototypes
* Work with Amazon's robotics engineering and operations teams to grasp their requirements and develop tailored solutions
* Document the architecture, performance, and validation of the final system
**BASIC QUALIFICATIONS**
------------------------
* PhD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Experience building machine learning models or developing algorithms for business application
* Experience applying theoretical models in an applied environment
**PREFERRED QUALIFICATIONS**
----------------------------
* Experience using Unix/Linux
* Experience in professional software development
* Experience working effectively across cross\-functional teams and partnering well with people at all levels within an organization
* PhD in Robotics, Computer Science, or related field with focus on machine learning and robot control
* Experience developing and implementing machine learning approaches for robotic systems, particularly in imitation learning or reinforcement learning
* Strong background in robot control systems, particularly in force/impedance control and contact\-rich manipulation
* Experience with real\-time control systems and robot motion planning
* Track record of translating research concepts into practical robotic applications
* Strong programming skills and experience with modern ML frameworks
* Experience with demonstration\-based learning and data collection for robotic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in-62d387c89cc63a70</t>
        </is>
      </c>
      <c r="B71" t="inlineStr">
        <is>
          <t>Principal Applied Scientist, Amazon AGI</t>
        </is>
      </c>
      <c r="C71" t="inlineStr">
        <is>
          <t>Amazon.com</t>
        </is>
      </c>
      <c r="D71" t="inlineStr">
        <is>
          <t>indeed</t>
        </is>
      </c>
      <c r="E71" t="inlineStr"/>
      <c r="F71" t="inlineStr"/>
      <c r="G71" t="inlineStr">
        <is>
          <t>San Francisco, CA, US</t>
        </is>
      </c>
      <c r="H71" s="2" t="n">
        <v>45964</v>
      </c>
      <c r="I71"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in-42ee7b3966b47248</t>
        </is>
      </c>
      <c r="B72" t="inlineStr">
        <is>
          <t>Principal Applied Scientist, Amazon AGI</t>
        </is>
      </c>
      <c r="C72" t="inlineStr">
        <is>
          <t>Amazon.com</t>
        </is>
      </c>
      <c r="D72" t="inlineStr">
        <is>
          <t>indeed</t>
        </is>
      </c>
      <c r="E72" t="inlineStr"/>
      <c r="F72" t="inlineStr"/>
      <c r="G72" t="inlineStr">
        <is>
          <t>Boston, MA, US</t>
        </is>
      </c>
      <c r="H72" s="2" t="n">
        <v>45964</v>
      </c>
      <c r="I72"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in-635cb10041232345</t>
        </is>
      </c>
      <c r="B73" t="inlineStr">
        <is>
          <t>Sr. Applied Scientist, AGI Foundations</t>
        </is>
      </c>
      <c r="C73" t="inlineStr">
        <is>
          <t>Amazon.com</t>
        </is>
      </c>
      <c r="D73" t="inlineStr">
        <is>
          <t>indeed</t>
        </is>
      </c>
      <c r="E73" t="inlineStr"/>
      <c r="F73" t="inlineStr"/>
      <c r="G73" t="inlineStr">
        <is>
          <t>Boston, MA, US</t>
        </is>
      </c>
      <c r="H73" s="2" t="n">
        <v>45963</v>
      </c>
      <c r="I73"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in-93ae5b420f5af278</t>
        </is>
      </c>
      <c r="B74" t="inlineStr">
        <is>
          <t>Sr. Applied Scientist, AGI Foundations</t>
        </is>
      </c>
      <c r="C74" t="inlineStr">
        <is>
          <t>Amazon.com</t>
        </is>
      </c>
      <c r="D74" t="inlineStr">
        <is>
          <t>indeed</t>
        </is>
      </c>
      <c r="E74" t="inlineStr"/>
      <c r="F74" t="inlineStr"/>
      <c r="G74" t="inlineStr">
        <is>
          <t>New York, NY, US</t>
        </is>
      </c>
      <c r="H74" s="2" t="n">
        <v>45963</v>
      </c>
      <c r="I74"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in-e1e94a39ac4436ce</t>
        </is>
      </c>
      <c r="B75" t="inlineStr">
        <is>
          <t>Sr. Applied Scientist, AGI Foundations</t>
        </is>
      </c>
      <c r="C75" t="inlineStr">
        <is>
          <t>Amazon.com</t>
        </is>
      </c>
      <c r="D75" t="inlineStr">
        <is>
          <t>indeed</t>
        </is>
      </c>
      <c r="E75" t="inlineStr"/>
      <c r="F75" t="inlineStr"/>
      <c r="G75" t="inlineStr">
        <is>
          <t>Bellevue, WA, US</t>
        </is>
      </c>
      <c r="H75" s="2" t="n">
        <v>45963</v>
      </c>
      <c r="I75"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in-ef21a9e37303580a</t>
        </is>
      </c>
      <c r="B76" t="inlineStr">
        <is>
          <t>Sr. Applied Scientist, Sponsored Product Off-Search</t>
        </is>
      </c>
      <c r="C76" t="inlineStr">
        <is>
          <t>Amazon.com</t>
        </is>
      </c>
      <c r="D76" t="inlineStr">
        <is>
          <t>indeed</t>
        </is>
      </c>
      <c r="E76" t="inlineStr"/>
      <c r="F76" t="inlineStr"/>
      <c r="G76" t="inlineStr">
        <is>
          <t>New York, NY, US</t>
        </is>
      </c>
      <c r="H76" s="2" t="n">
        <v>45963</v>
      </c>
      <c r="I76"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PhD, or Master's degree and 6\+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in-913f4cf9d6d99a97</t>
        </is>
      </c>
      <c r="B77" t="inlineStr">
        <is>
          <t>Sr. Applied Scientist, Sponsored Product Off-Search</t>
        </is>
      </c>
      <c r="C77" t="inlineStr">
        <is>
          <t>Amazon.com</t>
        </is>
      </c>
      <c r="D77" t="inlineStr">
        <is>
          <t>indeed</t>
        </is>
      </c>
      <c r="E77" t="inlineStr"/>
      <c r="F77" t="inlineStr"/>
      <c r="G77" t="inlineStr">
        <is>
          <t>Seattle, WA, US</t>
        </is>
      </c>
      <c r="H77" s="2" t="n">
        <v>45963</v>
      </c>
      <c r="I77"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PhD, or Master's degree and 6\+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in-02737b09a62f043f</t>
        </is>
      </c>
      <c r="B78" t="inlineStr">
        <is>
          <t>Applied Scientist, AWS Agentic AI</t>
        </is>
      </c>
      <c r="C78" t="inlineStr">
        <is>
          <t>Amazon Web Services</t>
        </is>
      </c>
      <c r="D78" t="inlineStr">
        <is>
          <t>indeed</t>
        </is>
      </c>
      <c r="E78" t="inlineStr"/>
      <c r="F78" t="inlineStr"/>
      <c r="G78" t="inlineStr">
        <is>
          <t>Santa Clara, CA, US</t>
        </is>
      </c>
      <c r="H78" s="2" t="n">
        <v>45962</v>
      </c>
      <c r="I78"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in-f8f89adcdaee8b2c</t>
        </is>
      </c>
      <c r="B79" t="inlineStr">
        <is>
          <t>Applied Scientist, AWS Agentic AI</t>
        </is>
      </c>
      <c r="C79" t="inlineStr">
        <is>
          <t>Amazon Web Services</t>
        </is>
      </c>
      <c r="D79" t="inlineStr">
        <is>
          <t>indeed</t>
        </is>
      </c>
      <c r="E79" t="inlineStr"/>
      <c r="F79" t="inlineStr"/>
      <c r="G79" t="inlineStr">
        <is>
          <t>Seattle, WA, US</t>
        </is>
      </c>
      <c r="H79" s="2" t="n">
        <v>45962</v>
      </c>
      <c r="I79"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in-27fccfa1c2f1a6fa</t>
        </is>
      </c>
      <c r="B80" t="inlineStr">
        <is>
          <t>Applied Scientist, AWS Agentic AI</t>
        </is>
      </c>
      <c r="C80" t="inlineStr">
        <is>
          <t>Amazon Web Services</t>
        </is>
      </c>
      <c r="D80" t="inlineStr">
        <is>
          <t>indeed</t>
        </is>
      </c>
      <c r="E80" t="inlineStr"/>
      <c r="F80" t="inlineStr"/>
      <c r="G80" t="inlineStr">
        <is>
          <t>New York, NY, US</t>
        </is>
      </c>
      <c r="H80" s="2" t="n">
        <v>45962</v>
      </c>
      <c r="I80"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in-a12852ab6672d247</t>
        </is>
      </c>
      <c r="B81" t="inlineStr">
        <is>
          <t>Applied Scientist, Prime Video - Content Understanding, Localization &amp; Enrichment Team</t>
        </is>
      </c>
      <c r="C81" t="inlineStr">
        <is>
          <t>Amazon.com</t>
        </is>
      </c>
      <c r="D81" t="inlineStr">
        <is>
          <t>indeed</t>
        </is>
      </c>
      <c r="E81" t="inlineStr"/>
      <c r="F81" t="inlineStr"/>
      <c r="G81" t="inlineStr">
        <is>
          <t>San Francisco, CA, US</t>
        </is>
      </c>
      <c r="H81" s="2" t="n">
        <v>45943</v>
      </c>
      <c r="I8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82">
      <c r="A82" t="inlineStr">
        <is>
          <t>in-b17efaee2cace166</t>
        </is>
      </c>
      <c r="B82" t="inlineStr">
        <is>
          <t>Applied Scientist, Prime Video - Content Understanding, Localization &amp; Enrichment Team</t>
        </is>
      </c>
      <c r="C82" t="inlineStr">
        <is>
          <t>Amazon.com</t>
        </is>
      </c>
      <c r="D82" t="inlineStr">
        <is>
          <t>indeed</t>
        </is>
      </c>
      <c r="E82" t="inlineStr"/>
      <c r="F82" t="inlineStr"/>
      <c r="G82" t="inlineStr">
        <is>
          <t>Seattle, WA, US</t>
        </is>
      </c>
      <c r="H82" s="2" t="n">
        <v>45943</v>
      </c>
      <c r="I8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83">
      <c r="A83" t="inlineStr">
        <is>
          <t>in-a1c1c71ed7a383f1</t>
        </is>
      </c>
      <c r="B83" t="inlineStr">
        <is>
          <t>Principal Applied Scientist, Advertiser Growth, Amazon Sponsored Products &amp; Brands</t>
        </is>
      </c>
      <c r="C83" t="inlineStr">
        <is>
          <t>Amazon.com</t>
        </is>
      </c>
      <c r="D83" t="inlineStr">
        <is>
          <t>indeed</t>
        </is>
      </c>
      <c r="E83" t="inlineStr"/>
      <c r="F83" t="inlineStr"/>
      <c r="G83" t="inlineStr">
        <is>
          <t>New York, NY, US</t>
        </is>
      </c>
      <c r="H83" s="2" t="n">
        <v>45942</v>
      </c>
      <c r="I83"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in-d66f82a0d25b9c88</t>
        </is>
      </c>
      <c r="B84" t="inlineStr">
        <is>
          <t>Principal Applied Scientist, Advertiser Growth, Amazon Sponsored Products &amp; Brands</t>
        </is>
      </c>
      <c r="C84" t="inlineStr">
        <is>
          <t>Amazon.com</t>
        </is>
      </c>
      <c r="D84" t="inlineStr">
        <is>
          <t>indeed</t>
        </is>
      </c>
      <c r="E84" t="inlineStr"/>
      <c r="F84" t="inlineStr"/>
      <c r="G84" t="inlineStr">
        <is>
          <t>Seattle, WA, US</t>
        </is>
      </c>
      <c r="H84" s="2" t="n">
        <v>45942</v>
      </c>
      <c r="I84"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in-06cd94c7b3b1a4ca</t>
        </is>
      </c>
      <c r="B85" t="inlineStr">
        <is>
          <t>Principal Applied Scientist, Advertiser Growth, Amazon Sponsored Products &amp; Brands</t>
        </is>
      </c>
      <c r="C85" t="inlineStr">
        <is>
          <t>Amazon.com</t>
        </is>
      </c>
      <c r="D85" t="inlineStr">
        <is>
          <t>indeed</t>
        </is>
      </c>
      <c r="E85" t="inlineStr"/>
      <c r="F85" t="inlineStr"/>
      <c r="G85" t="inlineStr">
        <is>
          <t>Palo Alto, CA, US</t>
        </is>
      </c>
      <c r="H85" s="2" t="n">
        <v>45942</v>
      </c>
      <c r="I85"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in-4cb7d6e4c0fb17ca</t>
        </is>
      </c>
      <c r="B86" t="inlineStr">
        <is>
          <t>Sr. Applied Scientist, SPB Advertiser Guidance</t>
        </is>
      </c>
      <c r="C86" t="inlineStr">
        <is>
          <t>Amazon.com</t>
        </is>
      </c>
      <c r="D86" t="inlineStr">
        <is>
          <t>indeed</t>
        </is>
      </c>
      <c r="E86" t="inlineStr"/>
      <c r="F86" t="inlineStr"/>
      <c r="G86" t="inlineStr">
        <is>
          <t>Palo Alto, CA, US</t>
        </is>
      </c>
      <c r="H86" s="2" t="n">
        <v>45939</v>
      </c>
      <c r="I86"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in-f0b63fcfe121fc65</t>
        </is>
      </c>
      <c r="B87" t="inlineStr">
        <is>
          <t>Applied Scientist</t>
        </is>
      </c>
      <c r="C87" t="inlineStr">
        <is>
          <t>Amazon.com</t>
        </is>
      </c>
      <c r="D87" t="inlineStr">
        <is>
          <t>indeed</t>
        </is>
      </c>
      <c r="E87" t="inlineStr"/>
      <c r="F87" t="inlineStr"/>
      <c r="G87" t="inlineStr">
        <is>
          <t>Seattle, WA, US</t>
        </is>
      </c>
      <c r="H87" s="2" t="n">
        <v>45939</v>
      </c>
      <c r="I87"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in-2b792e384e64ddb2</t>
        </is>
      </c>
      <c r="B88" t="inlineStr">
        <is>
          <t>Sr. Applied Scientist, SPB Advertiser Guidance</t>
        </is>
      </c>
      <c r="C88" t="inlineStr">
        <is>
          <t>Amazon.com</t>
        </is>
      </c>
      <c r="D88" t="inlineStr">
        <is>
          <t>indeed</t>
        </is>
      </c>
      <c r="E88" t="inlineStr"/>
      <c r="F88" t="inlineStr"/>
      <c r="G88" t="inlineStr">
        <is>
          <t>Seattle, WA, US</t>
        </is>
      </c>
      <c r="H88" s="2" t="n">
        <v>45939</v>
      </c>
      <c r="I88"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in-836806d080fa3139</t>
        </is>
      </c>
      <c r="B89" t="inlineStr">
        <is>
          <t>Applied Scientist</t>
        </is>
      </c>
      <c r="C89" t="inlineStr">
        <is>
          <t>Amazon.com</t>
        </is>
      </c>
      <c r="D89" t="inlineStr">
        <is>
          <t>indeed</t>
        </is>
      </c>
      <c r="E89" t="inlineStr"/>
      <c r="F89" t="inlineStr"/>
      <c r="G89" t="inlineStr">
        <is>
          <t>New York, NY, US</t>
        </is>
      </c>
      <c r="H89" s="2" t="n">
        <v>45939</v>
      </c>
      <c r="I89"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in-1098014a8bcc51df</t>
        </is>
      </c>
      <c r="B90" t="inlineStr">
        <is>
          <t>Applied Scientist</t>
        </is>
      </c>
      <c r="C90" t="inlineStr">
        <is>
          <t>Amazon.com</t>
        </is>
      </c>
      <c r="D90" t="inlineStr">
        <is>
          <t>indeed</t>
        </is>
      </c>
      <c r="E90" t="inlineStr"/>
      <c r="F90" t="inlineStr"/>
      <c r="G90" t="inlineStr">
        <is>
          <t>Palo Alto, CA, US</t>
        </is>
      </c>
      <c r="H90" s="2" t="n">
        <v>45939</v>
      </c>
      <c r="I90"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in-77a3d3ce6da2eaeb</t>
        </is>
      </c>
      <c r="B91" t="inlineStr">
        <is>
          <t>Sr. Applied Scientist, SPB Advertiser Guidance</t>
        </is>
      </c>
      <c r="C91" t="inlineStr">
        <is>
          <t>Amazon.com</t>
        </is>
      </c>
      <c r="D91" t="inlineStr">
        <is>
          <t>indeed</t>
        </is>
      </c>
      <c r="E91" t="inlineStr"/>
      <c r="F91" t="inlineStr"/>
      <c r="G91" t="inlineStr">
        <is>
          <t>New York, NY, US</t>
        </is>
      </c>
      <c r="H91" s="2" t="n">
        <v>45939</v>
      </c>
      <c r="I91"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in-678b353e5f1d35b2</t>
        </is>
      </c>
      <c r="B92" t="inlineStr">
        <is>
          <t>Applied Scientist II, Prime Video - Personalization and Discovery Science, Personalization and Discovery Science</t>
        </is>
      </c>
      <c r="C92" t="inlineStr">
        <is>
          <t>Amazon.com</t>
        </is>
      </c>
      <c r="D92" t="inlineStr">
        <is>
          <t>indeed</t>
        </is>
      </c>
      <c r="E92" t="inlineStr"/>
      <c r="F92" t="inlineStr"/>
      <c r="G92" t="inlineStr">
        <is>
          <t>New York, NY, US</t>
        </is>
      </c>
      <c r="H92" s="2" t="n">
        <v>45930</v>
      </c>
      <c r="I9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in-2b6272a89b4ebe86</t>
        </is>
      </c>
      <c r="B93" t="inlineStr">
        <is>
          <t>Applied Scientist II, Prime Video - Personalization and Discovery Science, Personalization and Discovery Science</t>
        </is>
      </c>
      <c r="C93" t="inlineStr">
        <is>
          <t>Amazon.com</t>
        </is>
      </c>
      <c r="D93" t="inlineStr">
        <is>
          <t>indeed</t>
        </is>
      </c>
      <c r="E93" t="inlineStr"/>
      <c r="F93" t="inlineStr"/>
      <c r="G93" t="inlineStr">
        <is>
          <t>Seattle, WA, US</t>
        </is>
      </c>
      <c r="H93" s="2" t="n">
        <v>45930</v>
      </c>
      <c r="I9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in-6f9c6e9889c2c2b8</t>
        </is>
      </c>
      <c r="B94" t="inlineStr">
        <is>
          <t>Applied Scientist II, Prime Video - Personalization and Discovery Science, Personalization and Discovery Science</t>
        </is>
      </c>
      <c r="C94" t="inlineStr">
        <is>
          <t>Amazon.com</t>
        </is>
      </c>
      <c r="D94" t="inlineStr">
        <is>
          <t>indeed</t>
        </is>
      </c>
      <c r="E94" t="inlineStr"/>
      <c r="F94" t="inlineStr"/>
      <c r="G94" t="inlineStr">
        <is>
          <t>Sunnyvale, CA, US</t>
        </is>
      </c>
      <c r="H94" s="2" t="n">
        <v>45930</v>
      </c>
      <c r="I9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in-60ab0de9dcd6bdf3</t>
        </is>
      </c>
      <c r="B95" t="inlineStr">
        <is>
          <t>Senior Applied Scientist, Sponsored Products and Brands</t>
        </is>
      </c>
      <c r="C95" t="inlineStr">
        <is>
          <t>Amazon.com</t>
        </is>
      </c>
      <c r="D95" t="inlineStr">
        <is>
          <t>indeed</t>
        </is>
      </c>
      <c r="E95" t="inlineStr"/>
      <c r="F95" t="inlineStr"/>
      <c r="G95" t="inlineStr">
        <is>
          <t>Seattle, WA, US</t>
        </is>
      </c>
      <c r="H95" s="2" t="n">
        <v>45922</v>
      </c>
      <c r="I95"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in-3305604726a4406f</t>
        </is>
      </c>
      <c r="B96" t="inlineStr">
        <is>
          <t>Senior Applied Scientist, Sponsored Products and Brands</t>
        </is>
      </c>
      <c r="C96" t="inlineStr">
        <is>
          <t>Amazon.com</t>
        </is>
      </c>
      <c r="D96" t="inlineStr">
        <is>
          <t>indeed</t>
        </is>
      </c>
      <c r="E96" t="inlineStr"/>
      <c r="F96" t="inlineStr"/>
      <c r="G96" t="inlineStr">
        <is>
          <t>New York, NY, US</t>
        </is>
      </c>
      <c r="H96" s="2" t="n">
        <v>45922</v>
      </c>
      <c r="I96"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in-078c5895c4496bdd</t>
        </is>
      </c>
      <c r="B97" t="inlineStr">
        <is>
          <t>Applied Scientist, Workplace Health &amp; Safety</t>
        </is>
      </c>
      <c r="C97" t="inlineStr">
        <is>
          <t>Amazon.com</t>
        </is>
      </c>
      <c r="D97" t="inlineStr">
        <is>
          <t>indeed</t>
        </is>
      </c>
      <c r="E97" t="inlineStr"/>
      <c r="F97" t="inlineStr"/>
      <c r="G97" t="inlineStr">
        <is>
          <t>Bellevue, WA, US</t>
        </is>
      </c>
      <c r="H97" s="2" t="n">
        <v>45917</v>
      </c>
      <c r="I97"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in-24c30ab1b14f2865</t>
        </is>
      </c>
      <c r="B98" t="inlineStr">
        <is>
          <t>Applied Scientist, Workplace Health &amp; Safety</t>
        </is>
      </c>
      <c r="C98" t="inlineStr">
        <is>
          <t>Amazon.com</t>
        </is>
      </c>
      <c r="D98" t="inlineStr">
        <is>
          <t>indeed</t>
        </is>
      </c>
      <c r="E98" t="inlineStr"/>
      <c r="F98" t="inlineStr"/>
      <c r="G98" t="inlineStr">
        <is>
          <t>Nashville, TN, US</t>
        </is>
      </c>
      <c r="H98" s="2" t="n">
        <v>45917</v>
      </c>
      <c r="I98"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in-a4abbe6c91002141</t>
        </is>
      </c>
      <c r="B99" t="inlineStr">
        <is>
          <t>Applied Scientist II, Prime Video - Personalization and Discovery Science</t>
        </is>
      </c>
      <c r="C99" t="inlineStr">
        <is>
          <t>Amazon.com</t>
        </is>
      </c>
      <c r="D99" t="inlineStr">
        <is>
          <t>indeed</t>
        </is>
      </c>
      <c r="E99" t="inlineStr"/>
      <c r="F99" t="inlineStr"/>
      <c r="G99" t="inlineStr">
        <is>
          <t>Sunnyvale, CA, US</t>
        </is>
      </c>
      <c r="H99" s="2" t="n">
        <v>45881</v>
      </c>
      <c r="I9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in-7947681691241621</t>
        </is>
      </c>
      <c r="B100" t="inlineStr">
        <is>
          <t>Applied Scientist II, Prime Video - Personalization and Discovery Science</t>
        </is>
      </c>
      <c r="C100" t="inlineStr">
        <is>
          <t>Amazon.com</t>
        </is>
      </c>
      <c r="D100" t="inlineStr">
        <is>
          <t>indeed</t>
        </is>
      </c>
      <c r="E100" t="inlineStr"/>
      <c r="F100" t="inlineStr"/>
      <c r="G100" t="inlineStr">
        <is>
          <t>New York, NY, US</t>
        </is>
      </c>
      <c r="H100" s="2" t="n">
        <v>45881</v>
      </c>
      <c r="I10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in-c074dba450aa9203</t>
        </is>
      </c>
      <c r="B101" t="inlineStr">
        <is>
          <t>Applied Scientist II, Prime Video - Personalization and Discovery Science</t>
        </is>
      </c>
      <c r="C101" t="inlineStr">
        <is>
          <t>Amazon.com</t>
        </is>
      </c>
      <c r="D101" t="inlineStr">
        <is>
          <t>indeed</t>
        </is>
      </c>
      <c r="E101" t="inlineStr"/>
      <c r="F101" t="inlineStr"/>
      <c r="G101" t="inlineStr">
        <is>
          <t>Seattle, WA, US</t>
        </is>
      </c>
      <c r="H101" s="2" t="n">
        <v>45881</v>
      </c>
      <c r="I10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in-65bdb0f01d3fb801</t>
        </is>
      </c>
      <c r="B102" t="inlineStr">
        <is>
          <t>Sr. Applied Scientist, Prime Video - Personalization and Discovery Science</t>
        </is>
      </c>
      <c r="C102" t="inlineStr">
        <is>
          <t>Amazon.com</t>
        </is>
      </c>
      <c r="D102" t="inlineStr">
        <is>
          <t>indeed</t>
        </is>
      </c>
      <c r="E102" t="inlineStr"/>
      <c r="F102" t="inlineStr"/>
      <c r="G102" t="inlineStr">
        <is>
          <t>Sunnyvale, CA, US</t>
        </is>
      </c>
      <c r="H102" s="2" t="n">
        <v>45881</v>
      </c>
      <c r="I10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in-d2ec9172bfb54b4c</t>
        </is>
      </c>
      <c r="B103" t="inlineStr">
        <is>
          <t>Sr. Applied Scientist, Prime Video - Personalization and Discovery Science</t>
        </is>
      </c>
      <c r="C103" t="inlineStr">
        <is>
          <t>Amazon.com</t>
        </is>
      </c>
      <c r="D103" t="inlineStr">
        <is>
          <t>indeed</t>
        </is>
      </c>
      <c r="E103" t="inlineStr"/>
      <c r="F103" t="inlineStr"/>
      <c r="G103" t="inlineStr">
        <is>
          <t>New York, NY, US</t>
        </is>
      </c>
      <c r="H103" s="2" t="n">
        <v>45881</v>
      </c>
      <c r="I10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in-cd7602d829906a07</t>
        </is>
      </c>
      <c r="B104" t="inlineStr">
        <is>
          <t>Sr. Applied Scientist, Prime Video - Personalization and Discovery Science</t>
        </is>
      </c>
      <c r="C104" t="inlineStr">
        <is>
          <t>Amazon.com</t>
        </is>
      </c>
      <c r="D104" t="inlineStr">
        <is>
          <t>indeed</t>
        </is>
      </c>
      <c r="E104" t="inlineStr"/>
      <c r="F104" t="inlineStr"/>
      <c r="G104" t="inlineStr">
        <is>
          <t>Seattle, WA, US</t>
        </is>
      </c>
      <c r="H104" s="2" t="n">
        <v>45881</v>
      </c>
      <c r="I10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in-7e4b3e6c49a9d4a9</t>
        </is>
      </c>
      <c r="B105" t="inlineStr">
        <is>
          <t>Sr. Applied Scientist, Amazon Advertising</t>
        </is>
      </c>
      <c r="C105" t="inlineStr">
        <is>
          <t>Amazon.com</t>
        </is>
      </c>
      <c r="D105" t="inlineStr">
        <is>
          <t>indeed</t>
        </is>
      </c>
      <c r="E105" t="inlineStr"/>
      <c r="F105" t="inlineStr"/>
      <c r="G105" t="inlineStr">
        <is>
          <t>Los Angeles, CA, US</t>
        </is>
      </c>
      <c r="H105" s="2" t="n">
        <v>45851</v>
      </c>
      <c r="I10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in-28fdc99c11d3f23b</t>
        </is>
      </c>
      <c r="B106" t="inlineStr">
        <is>
          <t>Sr. Applied Scientist, Amazon Advertising</t>
        </is>
      </c>
      <c r="C106" t="inlineStr">
        <is>
          <t>Amazon.com</t>
        </is>
      </c>
      <c r="D106" t="inlineStr">
        <is>
          <t>indeed</t>
        </is>
      </c>
      <c r="E106" t="inlineStr"/>
      <c r="F106" t="inlineStr"/>
      <c r="G106" t="inlineStr">
        <is>
          <t>Seattle, WA, US</t>
        </is>
      </c>
      <c r="H106" s="2" t="n">
        <v>45851</v>
      </c>
      <c r="I10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in-9d40c7caa4ab657d</t>
        </is>
      </c>
      <c r="B107" t="inlineStr">
        <is>
          <t>Sr. Applied Scientist, Amazon Advertising</t>
        </is>
      </c>
      <c r="C107" t="inlineStr">
        <is>
          <t>Amazon.com</t>
        </is>
      </c>
      <c r="D107" t="inlineStr">
        <is>
          <t>indeed</t>
        </is>
      </c>
      <c r="E107" t="inlineStr"/>
      <c r="F107" t="inlineStr"/>
      <c r="G107" t="inlineStr">
        <is>
          <t>Palo Alto, CA, US</t>
        </is>
      </c>
      <c r="H107" s="2" t="n">
        <v>45851</v>
      </c>
      <c r="I10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in-66a6862fccc062bf</t>
        </is>
      </c>
      <c r="B108" t="inlineStr">
        <is>
          <t>Sr. Applied Scientist, Amazon Advertising</t>
        </is>
      </c>
      <c r="C108" t="inlineStr">
        <is>
          <t>Amazon.com</t>
        </is>
      </c>
      <c r="D108" t="inlineStr">
        <is>
          <t>indeed</t>
        </is>
      </c>
      <c r="E108" t="inlineStr"/>
      <c r="F108" t="inlineStr"/>
      <c r="G108" t="inlineStr">
        <is>
          <t>Simi Valley, CA, US</t>
        </is>
      </c>
      <c r="H108" s="2" t="n">
        <v>45851</v>
      </c>
      <c r="I10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in-1edf95a756e3933b</t>
        </is>
      </c>
      <c r="B109" t="inlineStr">
        <is>
          <t>Sr. Applied Scientist, Amazon Advertising</t>
        </is>
      </c>
      <c r="C109" t="inlineStr">
        <is>
          <t>Amazon.com</t>
        </is>
      </c>
      <c r="D109" t="inlineStr">
        <is>
          <t>indeed</t>
        </is>
      </c>
      <c r="E109" t="inlineStr"/>
      <c r="F109" t="inlineStr"/>
      <c r="G109" t="inlineStr">
        <is>
          <t>New York, NY, US</t>
        </is>
      </c>
      <c r="H109" s="2" t="n">
        <v>45851</v>
      </c>
      <c r="I10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in-de5fbfdf61f81f3d</t>
        </is>
      </c>
      <c r="B110" t="inlineStr">
        <is>
          <t>Sr. Applied Scientist, Amazon Advertising</t>
        </is>
      </c>
      <c r="C110" t="inlineStr">
        <is>
          <t>Amazon.com</t>
        </is>
      </c>
      <c r="D110" t="inlineStr">
        <is>
          <t>indeed</t>
        </is>
      </c>
      <c r="E110" t="inlineStr"/>
      <c r="F110" t="inlineStr"/>
      <c r="G110" t="inlineStr">
        <is>
          <t>West Hollywood, CA, US</t>
        </is>
      </c>
      <c r="H110" s="2" t="n">
        <v>45851</v>
      </c>
      <c r="I11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in-e64b30e670b5ba97</t>
        </is>
      </c>
      <c r="B111" t="inlineStr">
        <is>
          <t>Sr. Applied Scientist, Amazon Advertising</t>
        </is>
      </c>
      <c r="C111" t="inlineStr">
        <is>
          <t>Amazon.com</t>
        </is>
      </c>
      <c r="D111" t="inlineStr">
        <is>
          <t>indeed</t>
        </is>
      </c>
      <c r="E111" t="inlineStr"/>
      <c r="F111" t="inlineStr"/>
      <c r="G111" t="inlineStr">
        <is>
          <t>Austin, TX, US</t>
        </is>
      </c>
      <c r="H111" s="2" t="n">
        <v>45851</v>
      </c>
      <c r="I11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in-7732fdb9d1da65b1</t>
        </is>
      </c>
      <c r="B112" t="inlineStr">
        <is>
          <t>Sr. Applied Scientist, Amazon Advertising</t>
        </is>
      </c>
      <c r="C112" t="inlineStr">
        <is>
          <t>Amazon.com</t>
        </is>
      </c>
      <c r="D112" t="inlineStr">
        <is>
          <t>indeed</t>
        </is>
      </c>
      <c r="E112" t="inlineStr"/>
      <c r="F112" t="inlineStr"/>
      <c r="G112" t="inlineStr">
        <is>
          <t>Arlington, VA, US</t>
        </is>
      </c>
      <c r="H112" s="2" t="n">
        <v>45851</v>
      </c>
      <c r="I11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in-69897ba619eb3bfc</t>
        </is>
      </c>
      <c r="B113" t="inlineStr">
        <is>
          <t>Applied Scientist, Prime Video - Personalization and Discovery Science</t>
        </is>
      </c>
      <c r="C113" t="inlineStr">
        <is>
          <t>Amazon.com</t>
        </is>
      </c>
      <c r="D113" t="inlineStr">
        <is>
          <t>indeed</t>
        </is>
      </c>
      <c r="E113" t="inlineStr"/>
      <c r="F113" t="inlineStr"/>
      <c r="G113" t="inlineStr">
        <is>
          <t>New York, NY, US</t>
        </is>
      </c>
      <c r="H113" s="2" t="n">
        <v>45845</v>
      </c>
      <c r="I11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in-2104204487a49677</t>
        </is>
      </c>
      <c r="B114" t="inlineStr">
        <is>
          <t>Applied Scientist, Prime Video - Personalization and Discovery Science</t>
        </is>
      </c>
      <c r="C114" t="inlineStr">
        <is>
          <t>Amazon.com</t>
        </is>
      </c>
      <c r="D114" t="inlineStr">
        <is>
          <t>indeed</t>
        </is>
      </c>
      <c r="E114" t="inlineStr"/>
      <c r="F114" t="inlineStr"/>
      <c r="G114" t="inlineStr">
        <is>
          <t>Sunnyvale, CA, US</t>
        </is>
      </c>
      <c r="H114" s="2" t="n">
        <v>45845</v>
      </c>
      <c r="I11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in-6a15a7c1e4bbf8c1</t>
        </is>
      </c>
      <c r="B115" t="inlineStr">
        <is>
          <t>Applied Scientist, Prime Video - Personalization and Discovery Science</t>
        </is>
      </c>
      <c r="C115" t="inlineStr">
        <is>
          <t>Amazon.com</t>
        </is>
      </c>
      <c r="D115" t="inlineStr">
        <is>
          <t>indeed</t>
        </is>
      </c>
      <c r="E115" t="inlineStr"/>
      <c r="F115" t="inlineStr"/>
      <c r="G115" t="inlineStr">
        <is>
          <t>Seattle, WA, US</t>
        </is>
      </c>
      <c r="H115" s="2" t="n">
        <v>45845</v>
      </c>
      <c r="I11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in-88026dea9ae3dc0d</t>
        </is>
      </c>
      <c r="B116" t="inlineStr">
        <is>
          <t>Senior Applied Scientist, Artificial General Intelligence</t>
        </is>
      </c>
      <c r="C116" t="inlineStr">
        <is>
          <t>Amazon.com</t>
        </is>
      </c>
      <c r="D116" t="inlineStr">
        <is>
          <t>indeed</t>
        </is>
      </c>
      <c r="E116" t="inlineStr"/>
      <c r="F116" t="inlineStr"/>
      <c r="G116" t="inlineStr">
        <is>
          <t>Sunnyvale, CA, US</t>
        </is>
      </c>
      <c r="H116" s="2" t="n">
        <v>45838</v>
      </c>
      <c r="I116"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in-d7b394681fc58210</t>
        </is>
      </c>
      <c r="B117" t="inlineStr">
        <is>
          <t>Senior Applied Scientist, Artificial General Intelligence</t>
        </is>
      </c>
      <c r="C117" t="inlineStr">
        <is>
          <t>Amazon.com</t>
        </is>
      </c>
      <c r="D117" t="inlineStr">
        <is>
          <t>indeed</t>
        </is>
      </c>
      <c r="E117" t="inlineStr"/>
      <c r="F117" t="inlineStr"/>
      <c r="G117" t="inlineStr">
        <is>
          <t>Boston, MA, US</t>
        </is>
      </c>
      <c r="H117" s="2" t="n">
        <v>45838</v>
      </c>
      <c r="I117"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in-b0146741eac14a22</t>
        </is>
      </c>
      <c r="B118" t="inlineStr">
        <is>
          <t>Senior Applied Scientist, Artificial General Intelligence</t>
        </is>
      </c>
      <c r="C118" t="inlineStr">
        <is>
          <t>Amazon.com</t>
        </is>
      </c>
      <c r="D118" t="inlineStr">
        <is>
          <t>indeed</t>
        </is>
      </c>
      <c r="E118" t="inlineStr"/>
      <c r="F118" t="inlineStr"/>
      <c r="G118" t="inlineStr">
        <is>
          <t>New York, NY, US</t>
        </is>
      </c>
      <c r="H118" s="2" t="n">
        <v>45838</v>
      </c>
      <c r="I118"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in-174db950f1b72c22</t>
        </is>
      </c>
      <c r="B119" t="inlineStr">
        <is>
          <t>Sr. Applied Scientist, Sales AI</t>
        </is>
      </c>
      <c r="C119" t="inlineStr">
        <is>
          <t>Amazon.com</t>
        </is>
      </c>
      <c r="D119" t="inlineStr">
        <is>
          <t>indeed</t>
        </is>
      </c>
      <c r="E119" t="inlineStr"/>
      <c r="F119" t="inlineStr"/>
      <c r="G119" t="inlineStr">
        <is>
          <t>New York, NY, US</t>
        </is>
      </c>
      <c r="H119" s="2" t="n">
        <v>45830</v>
      </c>
      <c r="I119"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in-8bbb9160b0841bf3</t>
        </is>
      </c>
      <c r="B120" t="inlineStr">
        <is>
          <t>Sr. Applied Scientist, Sales AI</t>
        </is>
      </c>
      <c r="C120" t="inlineStr">
        <is>
          <t>Amazon.com</t>
        </is>
      </c>
      <c r="D120" t="inlineStr">
        <is>
          <t>indeed</t>
        </is>
      </c>
      <c r="E120" t="inlineStr"/>
      <c r="F120" t="inlineStr"/>
      <c r="G120" t="inlineStr">
        <is>
          <t>Seattle, WA, US</t>
        </is>
      </c>
      <c r="H120" s="2" t="n">
        <v>45830</v>
      </c>
      <c r="I120"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in-11e203ba4e555139</t>
        </is>
      </c>
      <c r="B121" t="inlineStr">
        <is>
          <t>Sr. Applied Scientist, Sales AI</t>
        </is>
      </c>
      <c r="C121" t="inlineStr">
        <is>
          <t>Amazon.com</t>
        </is>
      </c>
      <c r="D121" t="inlineStr">
        <is>
          <t>indeed</t>
        </is>
      </c>
      <c r="E121" t="inlineStr"/>
      <c r="F121" t="inlineStr"/>
      <c r="G121" t="inlineStr">
        <is>
          <t>Sunnyvale, CA, US</t>
        </is>
      </c>
      <c r="H121" s="2" t="n">
        <v>45830</v>
      </c>
      <c r="I121"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in-bca37ac4a5f75ffc</t>
        </is>
      </c>
      <c r="B122" t="inlineStr">
        <is>
          <t>Principal Applied Scientist, Delivery Foundation Model</t>
        </is>
      </c>
      <c r="C122" t="inlineStr">
        <is>
          <t>Amazon.com</t>
        </is>
      </c>
      <c r="D122" t="inlineStr">
        <is>
          <t>indeed</t>
        </is>
      </c>
      <c r="E122" t="inlineStr"/>
      <c r="F122" t="inlineStr"/>
      <c r="G122" t="inlineStr">
        <is>
          <t>Austin, TX, US</t>
        </is>
      </c>
      <c r="H122" s="2" t="n">
        <v>45810</v>
      </c>
      <c r="I12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in-51df260bab5c4997</t>
        </is>
      </c>
      <c r="B123" t="inlineStr">
        <is>
          <t>Principal Applied Scientist, Delivery Foundation Model</t>
        </is>
      </c>
      <c r="C123" t="inlineStr">
        <is>
          <t>Amazon.com</t>
        </is>
      </c>
      <c r="D123" t="inlineStr">
        <is>
          <t>indeed</t>
        </is>
      </c>
      <c r="E123" t="inlineStr"/>
      <c r="F123" t="inlineStr"/>
      <c r="G123" t="inlineStr">
        <is>
          <t>Santa Clara, CA, US</t>
        </is>
      </c>
      <c r="H123" s="2" t="n">
        <v>45810</v>
      </c>
      <c r="I12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in-deecc7da0ecd7b20</t>
        </is>
      </c>
      <c r="B124" t="inlineStr">
        <is>
          <t>Principal Applied Scientist, Delivery Foundation Model</t>
        </is>
      </c>
      <c r="C124" t="inlineStr">
        <is>
          <t>Amazon.com</t>
        </is>
      </c>
      <c r="D124" t="inlineStr">
        <is>
          <t>indeed</t>
        </is>
      </c>
      <c r="E124" t="inlineStr"/>
      <c r="F124" t="inlineStr"/>
      <c r="G124" t="inlineStr">
        <is>
          <t>Bellevue, WA, US</t>
        </is>
      </c>
      <c r="H124" s="2" t="n">
        <v>45810</v>
      </c>
      <c r="I12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in-2e100d5aa747c424</t>
        </is>
      </c>
      <c r="B125" t="inlineStr">
        <is>
          <t>Principal Applied Scientist, Delivery Foundation Model</t>
        </is>
      </c>
      <c r="C125" t="inlineStr">
        <is>
          <t>Amazon.com</t>
        </is>
      </c>
      <c r="D125" t="inlineStr">
        <is>
          <t>indeed</t>
        </is>
      </c>
      <c r="E125" t="inlineStr"/>
      <c r="F125" t="inlineStr"/>
      <c r="G125" t="inlineStr">
        <is>
          <t>New York, NY, US</t>
        </is>
      </c>
      <c r="H125" s="2" t="n">
        <v>45810</v>
      </c>
      <c r="I12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in-581bbba8b226f9cf</t>
        </is>
      </c>
      <c r="B126" t="inlineStr">
        <is>
          <t>Senior Applied Scientist, Delivery Foundation Model</t>
        </is>
      </c>
      <c r="C126" t="inlineStr">
        <is>
          <t>Amazon.com</t>
        </is>
      </c>
      <c r="D126" t="inlineStr">
        <is>
          <t>indeed</t>
        </is>
      </c>
      <c r="E126" t="inlineStr"/>
      <c r="F126" t="inlineStr"/>
      <c r="G126" t="inlineStr">
        <is>
          <t>New York, NY, US</t>
        </is>
      </c>
      <c r="H126" s="2" t="n">
        <v>45806</v>
      </c>
      <c r="I12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in-d64333c362648f39</t>
        </is>
      </c>
      <c r="B127" t="inlineStr">
        <is>
          <t>Senior Applied Scientist, Delivery Foundation Model</t>
        </is>
      </c>
      <c r="C127" t="inlineStr">
        <is>
          <t>Amazon.com</t>
        </is>
      </c>
      <c r="D127" t="inlineStr">
        <is>
          <t>indeed</t>
        </is>
      </c>
      <c r="E127" t="inlineStr"/>
      <c r="F127" t="inlineStr"/>
      <c r="G127" t="inlineStr">
        <is>
          <t>Santa Clara, CA, US</t>
        </is>
      </c>
      <c r="H127" s="2" t="n">
        <v>45806</v>
      </c>
      <c r="I12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in-d62607bd16c5320e</t>
        </is>
      </c>
      <c r="B128" t="inlineStr">
        <is>
          <t>Senior Applied Scientist, Delivery Foundation Model</t>
        </is>
      </c>
      <c r="C128" t="inlineStr">
        <is>
          <t>Amazon.com</t>
        </is>
      </c>
      <c r="D128" t="inlineStr">
        <is>
          <t>indeed</t>
        </is>
      </c>
      <c r="E128" t="inlineStr"/>
      <c r="F128" t="inlineStr"/>
      <c r="G128" t="inlineStr">
        <is>
          <t>Bellevue, WA, US</t>
        </is>
      </c>
      <c r="H128" s="2" t="n">
        <v>45806</v>
      </c>
      <c r="I12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in-4073a1224753fef8</t>
        </is>
      </c>
      <c r="B129" t="inlineStr">
        <is>
          <t>Principal Applied Scientist, Delivery Foundation Model</t>
        </is>
      </c>
      <c r="C129" t="inlineStr">
        <is>
          <t>Amazon.com</t>
        </is>
      </c>
      <c r="D129" t="inlineStr">
        <is>
          <t>indeed</t>
        </is>
      </c>
      <c r="E129" t="inlineStr"/>
      <c r="F129" t="inlineStr"/>
      <c r="G129" t="inlineStr">
        <is>
          <t>Bellevue, WA, US</t>
        </is>
      </c>
      <c r="H129" s="2" t="n">
        <v>45757</v>
      </c>
      <c r="I12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in-61ad17877a54103f</t>
        </is>
      </c>
      <c r="B130" t="inlineStr">
        <is>
          <t>Principal Applied Scientist, Delivery Foundation Model</t>
        </is>
      </c>
      <c r="C130" t="inlineStr">
        <is>
          <t>Amazon.com</t>
        </is>
      </c>
      <c r="D130" t="inlineStr">
        <is>
          <t>indeed</t>
        </is>
      </c>
      <c r="E130" t="inlineStr"/>
      <c r="F130" t="inlineStr"/>
      <c r="G130" t="inlineStr">
        <is>
          <t>Santa Clara, CA, US</t>
        </is>
      </c>
      <c r="H130" s="2" t="n">
        <v>45757</v>
      </c>
      <c r="I13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in-79a5dfab86603640</t>
        </is>
      </c>
      <c r="B131" t="inlineStr">
        <is>
          <t>Principal Applied Scientist, Delivery Foundation Model</t>
        </is>
      </c>
      <c r="C131" t="inlineStr">
        <is>
          <t>Amazon.com</t>
        </is>
      </c>
      <c r="D131" t="inlineStr">
        <is>
          <t>indeed</t>
        </is>
      </c>
      <c r="E131" t="inlineStr"/>
      <c r="F131" t="inlineStr"/>
      <c r="G131" t="inlineStr">
        <is>
          <t>New York, NY, US</t>
        </is>
      </c>
      <c r="H131" s="2" t="n">
        <v>45757</v>
      </c>
      <c r="I13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in-a8e62d63c6a2c12f</t>
        </is>
      </c>
      <c r="B132" t="inlineStr">
        <is>
          <t>Principal Applied Scientist, FAR (Frontier AI &amp; Robotics)</t>
        </is>
      </c>
      <c r="C132" t="inlineStr">
        <is>
          <t>Amazon.com</t>
        </is>
      </c>
      <c r="D132" t="inlineStr">
        <is>
          <t>indeed</t>
        </is>
      </c>
      <c r="E132" t="inlineStr"/>
      <c r="F132" t="inlineStr"/>
      <c r="G132" t="inlineStr">
        <is>
          <t>San Francisco, CA, US</t>
        </is>
      </c>
      <c r="H132" s="2" t="n">
        <v>45740</v>
      </c>
      <c r="I132"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in-b2782a4f4bb74a43</t>
        </is>
      </c>
      <c r="B133" t="inlineStr">
        <is>
          <t>Principal Applied Scientist, FAR (Frontier AI &amp; Robotics)</t>
        </is>
      </c>
      <c r="C133" t="inlineStr">
        <is>
          <t>Amazon.com</t>
        </is>
      </c>
      <c r="D133" t="inlineStr">
        <is>
          <t>indeed</t>
        </is>
      </c>
      <c r="E133" t="inlineStr"/>
      <c r="F133" t="inlineStr"/>
      <c r="G133" t="inlineStr">
        <is>
          <t>Seattle, WA, US</t>
        </is>
      </c>
      <c r="H133" s="2" t="n">
        <v>45740</v>
      </c>
      <c r="I133"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in-beae4f2626592e07</t>
        </is>
      </c>
      <c r="B134" t="inlineStr">
        <is>
          <t>Machine Learning Engineer, WWPS ProServe Data and Machine Learning</t>
        </is>
      </c>
      <c r="C134" t="inlineStr">
        <is>
          <t>Amazon Web Services</t>
        </is>
      </c>
      <c r="D134" t="inlineStr">
        <is>
          <t>indeed</t>
        </is>
      </c>
      <c r="E134" t="inlineStr"/>
      <c r="F134" t="inlineStr"/>
      <c r="G134" t="inlineStr">
        <is>
          <t>Arlington, VA, US</t>
        </is>
      </c>
      <c r="H134" s="2" t="n">
        <v>46044</v>
      </c>
      <c r="I134"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be a US Citizen and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in professional software engineering \&amp; best practices for the full software development life cycle, including coding standards, software architectures, code reviews, source control management, continuous deployments, testing, and operational excellence
* Current, active US Government Security Clearance of TS/SCI with Polygraph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35">
      <c r="A135" t="inlineStr">
        <is>
          <t>in-b83e1ce231f9592c</t>
        </is>
      </c>
      <c r="B135" t="inlineStr">
        <is>
          <t>Machine Learning Engineer, WWPS ProServe Data and Machine Learning</t>
        </is>
      </c>
      <c r="C135" t="inlineStr">
        <is>
          <t>Amazon Web Services</t>
        </is>
      </c>
      <c r="D135" t="inlineStr">
        <is>
          <t>indeed</t>
        </is>
      </c>
      <c r="E135" t="inlineStr"/>
      <c r="F135" t="inlineStr"/>
      <c r="G135" t="inlineStr">
        <is>
          <t>Herndon, VA, US</t>
        </is>
      </c>
      <c r="H135" s="2" t="n">
        <v>46044</v>
      </c>
      <c r="I135"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be a US Citizen and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in professional software engineering \&amp; best practices for the full software development life cycle, including coding standards, software architectures, code reviews, source control management, continuous deployments, testing, and operational excellence
* Current, active US Government Security Clearance of TS/SCI with Polygraph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36">
      <c r="A136" t="inlineStr">
        <is>
          <t>in-62532aefe15fdfbc</t>
        </is>
      </c>
      <c r="B136" t="inlineStr">
        <is>
          <t>Machine Learning Engineer, WWPS ProServe Data and Machine Learning</t>
        </is>
      </c>
      <c r="C136" t="inlineStr">
        <is>
          <t>Amazon Web Services</t>
        </is>
      </c>
      <c r="D136" t="inlineStr">
        <is>
          <t>indeed</t>
        </is>
      </c>
      <c r="E136" t="inlineStr"/>
      <c r="F136" t="inlineStr"/>
      <c r="G136" t="inlineStr">
        <is>
          <t>Herndon, VA, US</t>
        </is>
      </c>
      <c r="H136" s="2" t="n">
        <v>46043</v>
      </c>
      <c r="I136"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1\+ years of working with or evaluating AI systems experience
* Knowledge of professional software engineering \&amp; best practices for full software development life cycle, including coding standards, software architectures, code reviews, source control management, continuous deployments, testing, and operational excellence
* Experience in professional software engineering \&amp; best practices for the full software development life cycle, including coding standards, software architectures, code reviews, source control management, continuous deployments, testing, and operational excellence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37">
      <c r="A137" t="inlineStr">
        <is>
          <t>in-290babdb8b3aff4f</t>
        </is>
      </c>
      <c r="B137" t="inlineStr">
        <is>
          <t>Machine Learning Engineer, WWPS ProServe Data and Machine Learning</t>
        </is>
      </c>
      <c r="C137" t="inlineStr">
        <is>
          <t>Amazon Web Services</t>
        </is>
      </c>
      <c r="D137" t="inlineStr">
        <is>
          <t>indeed</t>
        </is>
      </c>
      <c r="E137" t="inlineStr"/>
      <c r="F137" t="inlineStr"/>
      <c r="G137" t="inlineStr">
        <is>
          <t>Arlington, VA, US</t>
        </is>
      </c>
      <c r="H137" s="2" t="n">
        <v>46043</v>
      </c>
      <c r="I137"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1\+ years of working with or evaluating AI systems experience
* Knowledge of professional software engineering \&amp; best practices for full software development life cycle, including coding standards, software architectures, code reviews, source control management, continuous deployments, testing, and operational excellence
* Experience in professional software engineering \&amp; best practices for the full software development life cycle, including coding standards, software architectures, code reviews, source control management, continuous deployments, testing, and operational excellence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38">
      <c r="A138" t="inlineStr">
        <is>
          <t>in-72fe7a9722ce335f</t>
        </is>
      </c>
      <c r="B138" t="inlineStr">
        <is>
          <t>Applied Scientist, Alexa Smart Home</t>
        </is>
      </c>
      <c r="C138" t="inlineStr">
        <is>
          <t>Amazon.com</t>
        </is>
      </c>
      <c r="D138" t="inlineStr">
        <is>
          <t>indeed</t>
        </is>
      </c>
      <c r="E138" t="inlineStr"/>
      <c r="F138" t="inlineStr"/>
      <c r="G138" t="inlineStr">
        <is>
          <t>Sunnyvale, CA, US</t>
        </is>
      </c>
      <c r="H138" s="2" t="n">
        <v>46033</v>
      </c>
      <c r="I138"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39">
      <c r="A139" t="inlineStr">
        <is>
          <t>in-964d2e2c8b8a501b</t>
        </is>
      </c>
      <c r="B139" t="inlineStr">
        <is>
          <t>Applied Scientist, Alexa Smart Home</t>
        </is>
      </c>
      <c r="C139" t="inlineStr">
        <is>
          <t>Amazon.com</t>
        </is>
      </c>
      <c r="D139" t="inlineStr">
        <is>
          <t>indeed</t>
        </is>
      </c>
      <c r="E139" t="inlineStr"/>
      <c r="F139" t="inlineStr"/>
      <c r="G139" t="inlineStr">
        <is>
          <t>Seattle, WA, US</t>
        </is>
      </c>
      <c r="H139" s="2" t="n">
        <v>46033</v>
      </c>
      <c r="I139"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40">
      <c r="A140" t="inlineStr">
        <is>
          <t>in-cb7e7955000346a4</t>
        </is>
      </c>
      <c r="B140" t="inlineStr">
        <is>
          <t>Sr Applied Scientist, AWS Proactive Security</t>
        </is>
      </c>
      <c r="C140" t="inlineStr">
        <is>
          <t>Amazon.com</t>
        </is>
      </c>
      <c r="D140" t="inlineStr">
        <is>
          <t>indeed</t>
        </is>
      </c>
      <c r="E140" t="inlineStr"/>
      <c r="F140" t="inlineStr"/>
      <c r="G140" t="inlineStr">
        <is>
          <t>Sunnyvale, CA, US</t>
        </is>
      </c>
      <c r="H140" s="2" t="n">
        <v>46030</v>
      </c>
      <c r="I140"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141">
      <c r="A141" t="inlineStr">
        <is>
          <t>in-7dffbaff52e31e44</t>
        </is>
      </c>
      <c r="B141" t="inlineStr">
        <is>
          <t>Applied Scientist, Denied Party Screening, AWS Compliance &amp; Security Assurance</t>
        </is>
      </c>
      <c r="C141" t="inlineStr">
        <is>
          <t>Amazon.com</t>
        </is>
      </c>
      <c r="D141" t="inlineStr">
        <is>
          <t>indeed</t>
        </is>
      </c>
      <c r="E141" t="inlineStr"/>
      <c r="F141" t="inlineStr"/>
      <c r="G141" t="inlineStr">
        <is>
          <t>Seattle, WA, US</t>
        </is>
      </c>
      <c r="H141" s="2" t="n">
        <v>46027</v>
      </c>
      <c r="I141" t="inlineStr">
        <is>
          <t>**DESCRIPTION**
---------------
At Amazon, security is central to maintaining customer trust and delivering delightful customer experiences. Our mission is to prevent denied entities from transacting with Amazon businesses. We build automatic mechanisms to detect and prevent prohibited transactions with denied entities using a diverse set of algorithms and machine learning techniques. We screen over a billion events every day and develop algorithms which are able to scale and detect suspicious entities . We are still Day 1 and have an exciting road map to build Machine Learning (ML) and Generative AI (LLM) powered detection and resolution systems to help scale Amazon for years to come.
We are seeking an Applied Scientist to join our team and help tackle challenging problems at the forefront of machine learning and artificial intelligence. Working closely with a multidisciplinary team of engineers, data scientists, and domain experts, you will play a crucial role in defining cutting\-edge ML/AI\-powered customer experiences and solutions. If you have an entrepreneurial mindset, the technical depth to deliver impactful results, and a passion for innovation, we want to hear from you.
Key job responsibilities  
In this role, you will:
* Drive the research, design, and development of novel ML/AI models and systems to power critical products and services
* Collaborate cross\-functionally to deeply understand business requirements, customer needs, and technical constraints
* Rapidly prototype, test, and iterate on ML/AI solutions, iterating quickly based on data and feedback
• Communicate complex technical concepts to technical and non\-technical stakeholders • Mentor and grow a team of talented ML scientists and engineers
* Stay up\-to\-date on the latest advancements in AI/ML and identify opportunities to apply emerging techniques
A day in the life  
* Starting the day by reviewing the latest model performance metrics and identifying areas for improvement
* Brainstorming new architectures and approaches with your cross\-functional team during a whiteboard session
* Diving deep into a complex dataset, leveraging advanced statistical and AI techniques to uncover hidden insights
* Prototyping a new model and running a series of experiments to optimize its performance
* Preparing a presentation to pitch your latest research findings and recommendations to product and engineering leaders
* Mentoring a junior data scientist, providing guidance on coding best practices and problem\-solving strategies
About the team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\- 142,800\.00 \- 193,200\.00 USD annually  
USA, WA, Seattle \- 142,800\.00 \- 193,200\.00 USD annually</t>
        </is>
      </c>
    </row>
    <row r="142">
      <c r="A142" t="inlineStr">
        <is>
          <t>in-58396c0f86e8cf49</t>
        </is>
      </c>
      <c r="B142" t="inlineStr">
        <is>
          <t>Applied Scientist, Denied Party Screening, AWS Compliance &amp; Security Assurance</t>
        </is>
      </c>
      <c r="C142" t="inlineStr">
        <is>
          <t>Amazon.com</t>
        </is>
      </c>
      <c r="D142" t="inlineStr">
        <is>
          <t>indeed</t>
        </is>
      </c>
      <c r="E142" t="inlineStr"/>
      <c r="F142" t="inlineStr"/>
      <c r="G142" t="inlineStr">
        <is>
          <t>Dallas, TX, US</t>
        </is>
      </c>
      <c r="H142" s="2" t="n">
        <v>46027</v>
      </c>
      <c r="I142" t="inlineStr">
        <is>
          <t>**DESCRIPTION**
---------------
At Amazon, security is central to maintaining customer trust and delivering delightful customer experiences. Our mission is to prevent denied entities from transacting with Amazon businesses. We build automatic mechanisms to detect and prevent prohibited transactions with denied entities using a diverse set of algorithms and machine learning techniques. We screen over a billion events every day and develop algorithms which are able to scale and detect suspicious entities . We are still Day 1 and have an exciting road map to build Machine Learning (ML) and Generative AI (LLM) powered detection and resolution systems to help scale Amazon for years to come.
We are seeking an Applied Scientist to join our team and help tackle challenging problems at the forefront of machine learning and artificial intelligence. Working closely with a multidisciplinary team of engineers, data scientists, and domain experts, you will play a crucial role in defining cutting\-edge ML/AI\-powered customer experiences and solutions. If you have an entrepreneurial mindset, the technical depth to deliver impactful results, and a passion for innovation, we want to hear from you.
Key job responsibilities  
In this role, you will:
* Drive the research, design, and development of novel ML/AI models and systems to power critical products and services
* Collaborate cross\-functionally to deeply understand business requirements, customer needs, and technical constraints
* Rapidly prototype, test, and iterate on ML/AI solutions, iterating quickly based on data and feedback
• Communicate complex technical concepts to technical and non\-technical stakeholders • Mentor and grow a team of talented ML scientists and engineers
* Stay up\-to\-date on the latest advancements in AI/ML and identify opportunities to apply emerging techniques
A day in the life  
* Starting the day by reviewing the latest model performance metrics and identifying areas for improvement
* Brainstorming new architectures and approaches with your cross\-functional team during a whiteboard session
* Diving deep into a complex dataset, leveraging advanced statistical and AI techniques to uncover hidden insights
* Prototyping a new model and running a series of experiments to optimize its performance
* Preparing a presentation to pitch your latest research findings and recommendations to product and engineering leaders
* Mentoring a junior data scientist, providing guidance on coding best practices and problem\-solving strategies
About the team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\- 142,800\.00 \- 193,200\.00 USD annually  
USA, WA, Seattle \- 142,800\.00 \- 193,200\.00 USD annually</t>
        </is>
      </c>
    </row>
    <row r="143">
      <c r="A143" t="inlineStr">
        <is>
          <t>in-c84800e56ee52419</t>
        </is>
      </c>
      <c r="B143" t="inlineStr">
        <is>
          <t>Senior Applied Scientist, Amazon Industrial Robotics</t>
        </is>
      </c>
      <c r="C143" t="inlineStr">
        <is>
          <t>Amazon.com</t>
        </is>
      </c>
      <c r="D143" t="inlineStr">
        <is>
          <t>indeed</t>
        </is>
      </c>
      <c r="E143" t="inlineStr"/>
      <c r="F143" t="inlineStr"/>
      <c r="G143" t="inlineStr">
        <is>
          <t>Reading, MA, US</t>
        </is>
      </c>
      <c r="H143" s="2" t="n">
        <v>46027</v>
      </c>
      <c r="I143"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Design and implement whole body control methods for balance, locomotion, and dexterous manipulation
* Utilize state\-of\-the\-art in methods in learned and model\-based control
* Create robust and safe behaviors for different terrains and tasks
* Implement real\-time controllers with stability guarantees
* Collaborate effectively with multi\-disciplinary teams to co\-design hardware and algorithms for loco\-manipulation
* Mentor junior engineer and scientists
**BASIC QUALIFICATIONS**
------------------------
* PhD, or Master's degree and 4\+ years of applied research experience
* Experience with methods for whole\-body control such as hierarchical quadratic programming and model\-predictive control
* Experience with imitation learning and reinforcement learning for whole\-body control
* Experience with simulation environments such as IsaacLab, Mujoco, Drake, etc.
* Experience with developing and deploying code for real\-time controllers
* Experience in state estimation from multiple sensor modalities
**PREFERRED QUALIFICATIONS**
----------------------------
* Experience programming in Java, C\+\+, Python or related language
* Experience working effectively across cross\-functional teams and partnering well with people at all levels within an organization
* PhD in Robotics, with a focus on whole\-body control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144">
      <c r="A144" t="inlineStr">
        <is>
          <t>in-e0accf06cbe03c8c</t>
        </is>
      </c>
      <c r="B144" t="inlineStr">
        <is>
          <t>Senior Applied Scientist, Amazon Industrial Robotics</t>
        </is>
      </c>
      <c r="C144" t="inlineStr">
        <is>
          <t>Amazon.com</t>
        </is>
      </c>
      <c r="D144" t="inlineStr">
        <is>
          <t>indeed</t>
        </is>
      </c>
      <c r="E144" t="inlineStr"/>
      <c r="F144" t="inlineStr"/>
      <c r="G144" t="inlineStr">
        <is>
          <t>Reading, MA, US</t>
        </is>
      </c>
      <c r="H144" s="2" t="n">
        <v>46027</v>
      </c>
      <c r="I144"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Design and implement whole body control methods for balance, locomotion, and dexterous manipulation
* Utilize state\-of\-the\-art in methods in learned and model\-based control
* Create robust and safe behaviors for different terrains and tasks
* Implement real\-time controllers with stability guarantees
* Collaborate effectively with multi\-disciplinary teams to co\-design hardware and algorithms for loco\-manipulation
* Mentor junior engineer and scientists
**BASIC QUALIFICATIONS**
------------------------
* PhD, or Master's degree and 4\+ years of applied research experience
* Experience with methods for whole\-body control such as hierarchical quadratic programming and model\-predictive control
* Experience with imitation learning and reinforcement learning for whole\-body control
* Experience with simulation environments such as IsaacLab, Mujoco, Drake, etc.
* Experience with developing and deploying code for real\-time controllers
* Experience in state estimation from multiple sensor modalities
**PREFERRED QUALIFICATIONS**
----------------------------
* Experience programming in Java, C\+\+, Python or related language
* Experience working effectively across cross\-functional teams and partnering well with people at all levels within an organization
* PhD in Robotics, with a focus on whole\-body control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145">
      <c r="A145" t="inlineStr">
        <is>
          <t>in-645dbb8544f3dcf4</t>
        </is>
      </c>
      <c r="B145" t="inlineStr">
        <is>
          <t>Senior Applied Scientist, Dexterous Manipulation , Amazon Industrial Robotics</t>
        </is>
      </c>
      <c r="C145" t="inlineStr">
        <is>
          <t>Amazon.com</t>
        </is>
      </c>
      <c r="D145" t="inlineStr">
        <is>
          <t>indeed</t>
        </is>
      </c>
      <c r="E145" t="inlineStr"/>
      <c r="F145" t="inlineStr"/>
      <c r="G145" t="inlineStr">
        <is>
          <t>Reading, MA, US</t>
        </is>
      </c>
      <c r="H145" s="2" t="n">
        <v>46027</v>
      </c>
      <c r="I145"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We are pioneering the development of dexterous manipulation system that:
* Enables unprecedented generalization across diverse tasks
* Enables contact\-rich manipulation in different environments
* Seamlessly integrates low\-level skills and high\-level behaviors
* Leverage mechanical intelligence, multi\-modal sensor feedback and advanced control techniques.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Design and implement methods for dexterous manipulation with single and dual arm manipulation
* Leverage simulation and real\-world data collection to create large datasets for model development
* Develop a hierarchical system that combines low\-level control with high\-level planning
* Utilize state\-of\-the\-art manipulation models and optimal control techniques
* Collaborate effectively with multi\-disciplinary teams to co\-design hardware and algorithms for dexterous manipulation
**BASIC QUALIFICATIONS**
------------------------
* PhD, or Master's degree and 6\+ years of applied research experience
* Experience with state\-of\-the\-art in robotic manipulation models
* Experience with data generation in simulation and real world
* Experience in developing techniques that utilize multi\-modal sensor data from the arm and hands
**PREFERRED QUALIFICATIONS**
----------------------------
* Experience programming in Java, C\+\+, Python or related language
* Experience working effectively across cross\-functional teams and partnering well with people at all levels within an organization
* PhD in Robotics, with focus on dexterous manipulation
* Experience in motion primitives, vision\-language\-action models, and model predictive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146">
      <c r="A146" t="inlineStr">
        <is>
          <t>in-335eb5e681b97276</t>
        </is>
      </c>
      <c r="B146" t="inlineStr">
        <is>
          <t>Senior Applied Scientist, Dexterous Manipulation , Amazon Industrial Robotics</t>
        </is>
      </c>
      <c r="C146" t="inlineStr">
        <is>
          <t>Amazon.com</t>
        </is>
      </c>
      <c r="D146" t="inlineStr">
        <is>
          <t>indeed</t>
        </is>
      </c>
      <c r="E146" t="inlineStr"/>
      <c r="F146" t="inlineStr"/>
      <c r="G146" t="inlineStr">
        <is>
          <t>Reading, MA, US</t>
        </is>
      </c>
      <c r="H146" s="2" t="n">
        <v>46027</v>
      </c>
      <c r="I146"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We are pioneering the development of dexterous manipulation system that:
* Enables unprecedented generalization across diverse tasks
* Enables contact\-rich manipulation in different environments
* Seamlessly integrates low\-level skills and high\-level behaviors
* Leverage mechanical intelligence, multi\-modal sensor feedback and advanced control techniques.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Design and implement methods for dexterous manipulation with single and dual arm manipulation
* Leverage simulation and real\-world data collection to create large datasets for model development
* Develop a hierarchical system that combines low\-level control with high\-level planning
* Utilize state\-of\-the\-art manipulation models and optimal control techniques
* Collaborate effectively with multi\-disciplinary teams to co\-design hardware and algorithms for dexterous manipulation
**BASIC QUALIFICATIONS**
------------------------
* PhD, or Master's degree and 6\+ years of applied research experience
* Experience with state\-of\-the\-art in robotic manipulation models
* Experience with data generation in simulation and real world
* Experience in developing techniques that utilize multi\-modal sensor data from the arm and hands
**PREFERRED QUALIFICATIONS**
----------------------------
* Experience programming in Java, C\+\+, Python or related language
* Experience working effectively across cross\-functional teams and partnering well with people at all levels within an organization
* PhD in Robotics, with focus on dexterous manipulation
* Experience in motion primitives, vision\-language\-action models, and model predictive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147">
      <c r="A147" t="inlineStr">
        <is>
          <t>in-def39dadb04acbea</t>
        </is>
      </c>
      <c r="B147" t="inlineStr">
        <is>
          <t>Applied Scientist, Amazon Special Projects</t>
        </is>
      </c>
      <c r="C147" t="inlineStr">
        <is>
          <t>Amazon.com</t>
        </is>
      </c>
      <c r="D147" t="inlineStr">
        <is>
          <t>indeed</t>
        </is>
      </c>
      <c r="E147" t="inlineStr"/>
      <c r="F147" t="inlineStr"/>
      <c r="G147" t="inlineStr">
        <is>
          <t>Seattle, WA, US</t>
        </is>
      </c>
      <c r="H147" s="2" t="n">
        <v>46026</v>
      </c>
      <c r="I147"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As an Applied Science, you will have access to large datasets with billions of images and video to build large\-scale machine learning systems. Additionally, you will analyze and model terabytes of text, images, and other types of data to solve real\-world problems and translate business and functional requirements into quick prototypes or proofs of concept.  
We are looking for smart scientists capable of using a variety of domain expertise combined with machine learning and statistical techniques to invent, design, evangelize, and implement state\-of\-the\-art solutions for never\-before\-solved problems.  
About the team  
Our team highly values work\-life balance, mentorship and career growth. We believe striking the right balance between your personal and professional life is critical to life\-long happiness and fulfillment. We care about your career growth and strive to assign projects and offer training that will challenge you to become your best.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in patents or publications at top\-tier peer\-reviewed conferences (NeurIPS, ICML, ICLR, CVPR) or journals
* Experience in deep learning models for life sciences; knowledge of protein biology.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8">
      <c r="A148" t="inlineStr">
        <is>
          <t>in-b87c0a3f04de6c51</t>
        </is>
      </c>
      <c r="B148" t="inlineStr">
        <is>
          <t>Applied Scientist, Amazon Special Projects</t>
        </is>
      </c>
      <c r="C148" t="inlineStr">
        <is>
          <t>Amazon.com</t>
        </is>
      </c>
      <c r="D148" t="inlineStr">
        <is>
          <t>indeed</t>
        </is>
      </c>
      <c r="E148" t="inlineStr"/>
      <c r="F148" t="inlineStr"/>
      <c r="G148" t="inlineStr">
        <is>
          <t>Boston, MA, US</t>
        </is>
      </c>
      <c r="H148" s="2" t="n">
        <v>46026</v>
      </c>
      <c r="I148"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As an Applied Science, you will have access to large datasets with billions of images and video to build large\-scale machine learning systems. Additionally, you will analyze and model terabytes of text, images, and other types of data to solve real\-world problems and translate business and functional requirements into quick prototypes or proofs of concept.  
We are looking for smart scientists capable of using a variety of domain expertise combined with machine learning and statistical techniques to invent, design, evangelize, and implement state\-of\-the\-art solutions for never\-before\-solved problems.  
About the team  
Our team highly values work\-life balance, mentorship and career growth. We believe striking the right balance between your personal and professional life is critical to life\-long happiness and fulfillment. We care about your career growth and strive to assign projects and offer training that will challenge you to become your best.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in patents or publications at top\-tier peer\-reviewed conferences (NeurIPS, ICML, ICLR, CVPR) or journals
* Experience in deep learning models for life sciences; knowledge of protein biology.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9">
      <c r="A149" t="inlineStr">
        <is>
          <t>in-854309d689e77855</t>
        </is>
      </c>
      <c r="B149" t="inlineStr">
        <is>
          <t>Applied Scientist, Last Mile Delivery Automation</t>
        </is>
      </c>
      <c r="C149" t="inlineStr">
        <is>
          <t>Amazon.com</t>
        </is>
      </c>
      <c r="D149" t="inlineStr">
        <is>
          <t>indeed</t>
        </is>
      </c>
      <c r="E149" t="inlineStr"/>
      <c r="F149" t="inlineStr"/>
      <c r="G149" t="inlineStr">
        <is>
          <t>Santa Clara, CA, US</t>
        </is>
      </c>
      <c r="H149" s="2" t="n">
        <v>46026</v>
      </c>
      <c r="I149"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0">
      <c r="A150" t="inlineStr">
        <is>
          <t>in-71993529eb943cfe</t>
        </is>
      </c>
      <c r="B150" t="inlineStr">
        <is>
          <t>Applied Scientist, Last Mile Delivery Automation</t>
        </is>
      </c>
      <c r="C150" t="inlineStr">
        <is>
          <t>Amazon.com</t>
        </is>
      </c>
      <c r="D150" t="inlineStr">
        <is>
          <t>indeed</t>
        </is>
      </c>
      <c r="E150" t="inlineStr"/>
      <c r="F150" t="inlineStr"/>
      <c r="G150" t="inlineStr">
        <is>
          <t>Bellevue, WA, US</t>
        </is>
      </c>
      <c r="H150" s="2" t="n">
        <v>46026</v>
      </c>
      <c r="I150"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1">
      <c r="A151" t="inlineStr">
        <is>
          <t>in-d5509eee3197414a</t>
        </is>
      </c>
      <c r="B151" t="inlineStr">
        <is>
          <t>Senior Applied Scientist, Distributed SQL</t>
        </is>
      </c>
      <c r="C151" t="inlineStr">
        <is>
          <t>Amazon Web Services</t>
        </is>
      </c>
      <c r="D151" t="inlineStr">
        <is>
          <t>indeed</t>
        </is>
      </c>
      <c r="E151" t="inlineStr"/>
      <c r="F151" t="inlineStr"/>
      <c r="G151" t="inlineStr">
        <is>
          <t>Seattle, WA, US</t>
        </is>
      </c>
      <c r="H151" s="2" t="n">
        <v>46012</v>
      </c>
      <c r="I151"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152">
      <c r="A152" t="inlineStr">
        <is>
          <t>in-6390c97206340c35</t>
        </is>
      </c>
      <c r="B152" t="inlineStr">
        <is>
          <t>Senior Applied Scientist, Distributed SQL</t>
        </is>
      </c>
      <c r="C152" t="inlineStr">
        <is>
          <t>Amazon Web Services</t>
        </is>
      </c>
      <c r="D152" t="inlineStr">
        <is>
          <t>indeed</t>
        </is>
      </c>
      <c r="E152" t="inlineStr"/>
      <c r="F152" t="inlineStr"/>
      <c r="G152" t="inlineStr">
        <is>
          <t>East Palo Alto, CA, US</t>
        </is>
      </c>
      <c r="H152" s="2" t="n">
        <v>46012</v>
      </c>
      <c r="I152"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153">
      <c r="A153" t="inlineStr">
        <is>
          <t>in-f76e2ac9c01bd99e</t>
        </is>
      </c>
      <c r="B153" t="inlineStr">
        <is>
          <t>Sr. Applied Scientist, Amazon Ads</t>
        </is>
      </c>
      <c r="C153" t="inlineStr">
        <is>
          <t>Amazon.com</t>
        </is>
      </c>
      <c r="D153" t="inlineStr">
        <is>
          <t>indeed</t>
        </is>
      </c>
      <c r="E153" t="inlineStr"/>
      <c r="F153" t="inlineStr"/>
      <c r="G153" t="inlineStr">
        <is>
          <t>Sunnyvale, CA, US</t>
        </is>
      </c>
      <c r="H153" s="2" t="n">
        <v>45998</v>
      </c>
      <c r="I15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54">
      <c r="A154" t="inlineStr">
        <is>
          <t>in-bdeccc55b8f3b369</t>
        </is>
      </c>
      <c r="B154" t="inlineStr">
        <is>
          <t>Sr. Applied Scientist, Amazon Ads</t>
        </is>
      </c>
      <c r="C154" t="inlineStr">
        <is>
          <t>Amazon.com</t>
        </is>
      </c>
      <c r="D154" t="inlineStr">
        <is>
          <t>indeed</t>
        </is>
      </c>
      <c r="E154" t="inlineStr"/>
      <c r="F154" t="inlineStr"/>
      <c r="G154" t="inlineStr">
        <is>
          <t>New York, NY, US</t>
        </is>
      </c>
      <c r="H154" s="2" t="n">
        <v>45998</v>
      </c>
      <c r="I15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55">
      <c r="A155" t="inlineStr">
        <is>
          <t>in-a5c7ce00d1327e3e</t>
        </is>
      </c>
      <c r="B155" t="inlineStr">
        <is>
          <t>Sr. Applied Scientist, Amazon Ads</t>
        </is>
      </c>
      <c r="C155" t="inlineStr">
        <is>
          <t>Amazon.com</t>
        </is>
      </c>
      <c r="D155" t="inlineStr">
        <is>
          <t>indeed</t>
        </is>
      </c>
      <c r="E155" t="inlineStr"/>
      <c r="F155" t="inlineStr"/>
      <c r="G155" t="inlineStr">
        <is>
          <t>Seattle, WA, US</t>
        </is>
      </c>
      <c r="H155" s="2" t="n">
        <v>45998</v>
      </c>
      <c r="I15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56">
      <c r="A156" t="inlineStr">
        <is>
          <t>in-6b1201154042c1b7</t>
        </is>
      </c>
      <c r="B156" t="inlineStr">
        <is>
          <t>Sr. Applied Scientist, Amazon Ads</t>
        </is>
      </c>
      <c r="C156" t="inlineStr">
        <is>
          <t>Amazon.com</t>
        </is>
      </c>
      <c r="D156" t="inlineStr">
        <is>
          <t>indeed</t>
        </is>
      </c>
      <c r="E156" t="inlineStr"/>
      <c r="F156" t="inlineStr"/>
      <c r="G156" t="inlineStr">
        <is>
          <t>Brooklyn, NY, US</t>
        </is>
      </c>
      <c r="H156" s="2" t="n">
        <v>45998</v>
      </c>
      <c r="I15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57">
      <c r="A157" t="inlineStr">
        <is>
          <t>in-aed558dbf9bebc04</t>
        </is>
      </c>
      <c r="B157" t="inlineStr">
        <is>
          <t>Sr. Applied Scientist, Amazon Ads</t>
        </is>
      </c>
      <c r="C157" t="inlineStr">
        <is>
          <t>Amazon.com</t>
        </is>
      </c>
      <c r="D157" t="inlineStr">
        <is>
          <t>indeed</t>
        </is>
      </c>
      <c r="E157" t="inlineStr"/>
      <c r="F157" t="inlineStr"/>
      <c r="G157" t="inlineStr">
        <is>
          <t>Palo Alto, CA, US</t>
        </is>
      </c>
      <c r="H157" s="2" t="n">
        <v>45998</v>
      </c>
      <c r="I15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58">
      <c r="A158" t="inlineStr">
        <is>
          <t>in-fbed8339b22d18c6</t>
        </is>
      </c>
      <c r="B158" t="inlineStr">
        <is>
          <t>Sr. Applied Scientist, Amazon Ads</t>
        </is>
      </c>
      <c r="C158" t="inlineStr">
        <is>
          <t>Amazon.com</t>
        </is>
      </c>
      <c r="D158" t="inlineStr">
        <is>
          <t>indeed</t>
        </is>
      </c>
      <c r="E158" t="inlineStr"/>
      <c r="F158" t="inlineStr"/>
      <c r="G158" t="inlineStr">
        <is>
          <t>Tukwila, WA, US</t>
        </is>
      </c>
      <c r="H158" s="2" t="n">
        <v>45998</v>
      </c>
      <c r="I15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59">
      <c r="A159" t="inlineStr">
        <is>
          <t>in-3c4c69b5a25c6643</t>
        </is>
      </c>
      <c r="B159" t="inlineStr">
        <is>
          <t>Sr. Applied Scientist, Amazon Ads</t>
        </is>
      </c>
      <c r="C159" t="inlineStr">
        <is>
          <t>Amazon.com</t>
        </is>
      </c>
      <c r="D159" t="inlineStr">
        <is>
          <t>indeed</t>
        </is>
      </c>
      <c r="E159" t="inlineStr"/>
      <c r="F159" t="inlineStr"/>
      <c r="G159" t="inlineStr">
        <is>
          <t>Corvallis, OR, US</t>
        </is>
      </c>
      <c r="H159" s="2" t="n">
        <v>45998</v>
      </c>
      <c r="I15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0">
      <c r="A160" t="inlineStr">
        <is>
          <t>in-0ce1f069395aca41</t>
        </is>
      </c>
      <c r="B160" t="inlineStr">
        <is>
          <t>Sr. Applied Scientist, Amazon Ads</t>
        </is>
      </c>
      <c r="C160" t="inlineStr">
        <is>
          <t>Amazon.com</t>
        </is>
      </c>
      <c r="D160" t="inlineStr">
        <is>
          <t>indeed</t>
        </is>
      </c>
      <c r="E160" t="inlineStr"/>
      <c r="F160" t="inlineStr"/>
      <c r="G160" t="inlineStr">
        <is>
          <t>Boulder, CO, US</t>
        </is>
      </c>
      <c r="H160" s="2" t="n">
        <v>45998</v>
      </c>
      <c r="I16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1">
      <c r="A161" t="inlineStr">
        <is>
          <t>in-a8745af9f818b78c</t>
        </is>
      </c>
      <c r="B161" t="inlineStr">
        <is>
          <t>Sr. Applied Scientist, Amazon Ads</t>
        </is>
      </c>
      <c r="C161" t="inlineStr">
        <is>
          <t>Amazon.com</t>
        </is>
      </c>
      <c r="D161" t="inlineStr">
        <is>
          <t>indeed</t>
        </is>
      </c>
      <c r="E161" t="inlineStr"/>
      <c r="F161" t="inlineStr"/>
      <c r="G161" t="inlineStr">
        <is>
          <t>Santa Monica, CA, US</t>
        </is>
      </c>
      <c r="H161" s="2" t="n">
        <v>45998</v>
      </c>
      <c r="I16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2">
      <c r="A162" t="inlineStr">
        <is>
          <t>in-4b9aa2cf6df18d38</t>
        </is>
      </c>
      <c r="B162" t="inlineStr">
        <is>
          <t>Sr. Applied Scientist, Amazon Ads</t>
        </is>
      </c>
      <c r="C162" t="inlineStr">
        <is>
          <t>Amazon.com</t>
        </is>
      </c>
      <c r="D162" t="inlineStr">
        <is>
          <t>indeed</t>
        </is>
      </c>
      <c r="E162" t="inlineStr"/>
      <c r="F162" t="inlineStr"/>
      <c r="G162" t="inlineStr">
        <is>
          <t>Boston, MA, US</t>
        </is>
      </c>
      <c r="H162" s="2" t="n">
        <v>45998</v>
      </c>
      <c r="I16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3">
      <c r="A163" t="inlineStr">
        <is>
          <t>in-adc8f1cfe9f2e045</t>
        </is>
      </c>
      <c r="B163" t="inlineStr">
        <is>
          <t>Applied Scientist, ML Compiler</t>
        </is>
      </c>
      <c r="C163" t="inlineStr">
        <is>
          <t>Amazon Web Services</t>
        </is>
      </c>
      <c r="D163" t="inlineStr">
        <is>
          <t>indeed</t>
        </is>
      </c>
      <c r="E163" t="inlineStr"/>
      <c r="F163" t="inlineStr"/>
      <c r="G163" t="inlineStr">
        <is>
          <t>Seattle, WA, US</t>
        </is>
      </c>
      <c r="H163" s="2" t="n">
        <v>45993</v>
      </c>
      <c r="I163"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4">
      <c r="A164" t="inlineStr">
        <is>
          <t>in-1b705eaa07d30bc5</t>
        </is>
      </c>
      <c r="B164" t="inlineStr">
        <is>
          <t>Applied Scientist, ML Compiler</t>
        </is>
      </c>
      <c r="C164" t="inlineStr">
        <is>
          <t>Amazon Web Services</t>
        </is>
      </c>
      <c r="D164" t="inlineStr">
        <is>
          <t>indeed</t>
        </is>
      </c>
      <c r="E164" t="inlineStr"/>
      <c r="F164" t="inlineStr"/>
      <c r="G164" t="inlineStr">
        <is>
          <t>Cupertino, CA, US</t>
        </is>
      </c>
      <c r="H164" s="2" t="n">
        <v>45993</v>
      </c>
      <c r="I164"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5">
      <c r="A165" t="inlineStr">
        <is>
          <t>in-fc69fdaa019594fb</t>
        </is>
      </c>
      <c r="B165" t="inlineStr">
        <is>
          <t>Senior Applied Scientist, Locomotion, Amazon Industrial Robotics</t>
        </is>
      </c>
      <c r="C165" t="inlineStr">
        <is>
          <t>Amazon.com</t>
        </is>
      </c>
      <c r="D165" t="inlineStr">
        <is>
          <t>indeed</t>
        </is>
      </c>
      <c r="E165" t="inlineStr"/>
      <c r="F165" t="inlineStr"/>
      <c r="G165" t="inlineStr">
        <is>
          <t>Reading, MA, US</t>
        </is>
      </c>
      <c r="H165" s="2" t="n">
        <v>45992</v>
      </c>
      <c r="I165"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Lead design and implement control algorithms for robot locomotion
* Develop behaviors that enable the robot to traverse diverse terrain
* Develop methods that seamlessly integrate stability, locomotion, and manipulation tasks
* Create dynamics models and simulations that enable sim2real transfer of algorithms
* Collaborate effectively with multi\-disciplinary teams to co\-design hardware and algorithms for loco\-manipulation
* Mentor junior engineer and scientists
**BASIC QUALIFICATIONS**
------------------------
* PhD, or Master's degree and 4\+ years of CS, CE, ML or related field experience
* Strong foundation in robot dynamics and control theory
* Experience with model\-predictive control and reinforcement learning for locomotion
* Experience with simulation environments such as IsaacLab, Mujoco, Drake, etc.
* Experience with developing and deploying code for real\-time controllers
**PREFERRED QUALIFICATIONS**
----------------------------
* Experience programming in Java, C\+\+, Python or related language
* Experience working effectively across cross\-functional teams and partnering well with people at all levels within an organization
* PhD in Robotics with a focus on locomotion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6">
      <c r="A166" t="inlineStr">
        <is>
          <t>in-bb50e2f6c628c13b</t>
        </is>
      </c>
      <c r="B166" t="inlineStr">
        <is>
          <t>Senior Applied Scientist, Locomotion, Amazon Industrial Robotics</t>
        </is>
      </c>
      <c r="C166" t="inlineStr">
        <is>
          <t>Amazon.com</t>
        </is>
      </c>
      <c r="D166" t="inlineStr">
        <is>
          <t>indeed</t>
        </is>
      </c>
      <c r="E166" t="inlineStr"/>
      <c r="F166" t="inlineStr"/>
      <c r="G166" t="inlineStr">
        <is>
          <t>Reading, MA, US</t>
        </is>
      </c>
      <c r="H166" s="2" t="n">
        <v>45992</v>
      </c>
      <c r="I166"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Lead design and implement control algorithms for robot locomotion
* Develop behaviors that enable the robot to traverse diverse terrain
* Develop methods that seamlessly integrate stability, locomotion, and manipulation tasks
* Create dynamics models and simulations that enable sim2real transfer of algorithms
* Collaborate effectively with multi\-disciplinary teams to co\-design hardware and algorithms for loco\-manipulation
* Mentor junior engineer and scientists
**BASIC QUALIFICATIONS**
------------------------
* PhD, or Master's degree and 4\+ years of CS, CE, ML or related field experience
* Strong foundation in robot dynamics and control theory
* Experience with model\-predictive control and reinforcement learning for locomotion
* Experience with simulation environments such as IsaacLab, Mujoco, Drake, etc.
* Experience with developing and deploying code for real\-time controllers
**PREFERRED QUALIFICATIONS**
----------------------------
* Experience programming in Java, C\+\+, Python or related language
* Experience working effectively across cross\-functional teams and partnering well with people at all levels within an organization
* PhD in Robotics with a focus on locomotion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7">
      <c r="A167" t="inlineStr">
        <is>
          <t>in-da51b4bf64f64db9</t>
        </is>
      </c>
      <c r="B167" t="inlineStr">
        <is>
          <t>Sr. Machine Learning Engineer, AGIF | Finetuning</t>
        </is>
      </c>
      <c r="C167" t="inlineStr">
        <is>
          <t>Amazon.com</t>
        </is>
      </c>
      <c r="D167" t="inlineStr">
        <is>
          <t>indeed</t>
        </is>
      </c>
      <c r="E167" t="inlineStr"/>
      <c r="F167" t="inlineStr"/>
      <c r="G167" t="inlineStr">
        <is>
          <t>New York, NY, US</t>
        </is>
      </c>
      <c r="H167" s="2" t="n">
        <v>45984</v>
      </c>
      <c r="I167"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8">
      <c r="A168" t="inlineStr">
        <is>
          <t>in-ad5cc25497059153</t>
        </is>
      </c>
      <c r="B168" t="inlineStr">
        <is>
          <t>Sr. Machine Learning Engineer, AGIF | Finetuning</t>
        </is>
      </c>
      <c r="C168" t="inlineStr">
        <is>
          <t>Amazon.com</t>
        </is>
      </c>
      <c r="D168" t="inlineStr">
        <is>
          <t>indeed</t>
        </is>
      </c>
      <c r="E168" t="inlineStr"/>
      <c r="F168" t="inlineStr"/>
      <c r="G168" t="inlineStr">
        <is>
          <t>Bellevue, WA, US</t>
        </is>
      </c>
      <c r="H168" s="2" t="n">
        <v>45984</v>
      </c>
      <c r="I168"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9">
      <c r="A169" t="inlineStr">
        <is>
          <t>in-4cc31de811e376b6</t>
        </is>
      </c>
      <c r="B169" t="inlineStr">
        <is>
          <t>Sr. Machine Learning Engineer, AGIF | Finetuning</t>
        </is>
      </c>
      <c r="C169" t="inlineStr">
        <is>
          <t>Amazon.com</t>
        </is>
      </c>
      <c r="D169" t="inlineStr">
        <is>
          <t>indeed</t>
        </is>
      </c>
      <c r="E169" t="inlineStr"/>
      <c r="F169" t="inlineStr"/>
      <c r="G169" t="inlineStr">
        <is>
          <t>Sunnyvale, CA, US</t>
        </is>
      </c>
      <c r="H169" s="2" t="n">
        <v>45984</v>
      </c>
      <c r="I169"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0">
      <c r="A170" t="inlineStr">
        <is>
          <t>in-ee10934dcf9a3d6d</t>
        </is>
      </c>
      <c r="B170" t="inlineStr">
        <is>
          <t>Principal Applied Scientist, Amazon Special Projects</t>
        </is>
      </c>
      <c r="C170" t="inlineStr">
        <is>
          <t>Amazon.com</t>
        </is>
      </c>
      <c r="D170" t="inlineStr">
        <is>
          <t>indeed</t>
        </is>
      </c>
      <c r="E170" t="inlineStr"/>
      <c r="F170" t="inlineStr"/>
      <c r="G170" t="inlineStr">
        <is>
          <t>Boston, MA, US</t>
        </is>
      </c>
      <c r="H170" s="2" t="n">
        <v>45982</v>
      </c>
      <c r="I170"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1">
      <c r="A171" t="inlineStr">
        <is>
          <t>in-29a24f7466c4404f</t>
        </is>
      </c>
      <c r="B171" t="inlineStr">
        <is>
          <t>Principal Applied Scientist, Amazon Special Projects</t>
        </is>
      </c>
      <c r="C171" t="inlineStr">
        <is>
          <t>Amazon.com</t>
        </is>
      </c>
      <c r="D171" t="inlineStr">
        <is>
          <t>indeed</t>
        </is>
      </c>
      <c r="E171" t="inlineStr"/>
      <c r="F171" t="inlineStr"/>
      <c r="G171" t="inlineStr">
        <is>
          <t>Seattle, WA, US</t>
        </is>
      </c>
      <c r="H171" s="2" t="n">
        <v>45982</v>
      </c>
      <c r="I171"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2">
      <c r="A172" t="inlineStr">
        <is>
          <t>in-ef9be19bad23a05f</t>
        </is>
      </c>
      <c r="B172" t="inlineStr">
        <is>
          <t>Senior Applied Scientist, Artificial General Intelligence</t>
        </is>
      </c>
      <c r="C172" t="inlineStr">
        <is>
          <t>Amazon.com</t>
        </is>
      </c>
      <c r="D172" t="inlineStr">
        <is>
          <t>indeed</t>
        </is>
      </c>
      <c r="E172" t="inlineStr"/>
      <c r="F172" t="inlineStr"/>
      <c r="G172" t="inlineStr">
        <is>
          <t>Boston, MA, US</t>
        </is>
      </c>
      <c r="H172" s="2" t="n">
        <v>45980</v>
      </c>
      <c r="I172"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3">
      <c r="A173" t="inlineStr">
        <is>
          <t>in-19c627f1a5de00ea</t>
        </is>
      </c>
      <c r="B173" t="inlineStr">
        <is>
          <t>Senior Applied Scientist, Artificial General Intelligence</t>
        </is>
      </c>
      <c r="C173" t="inlineStr">
        <is>
          <t>Amazon.com</t>
        </is>
      </c>
      <c r="D173" t="inlineStr">
        <is>
          <t>indeed</t>
        </is>
      </c>
      <c r="E173" t="inlineStr"/>
      <c r="F173" t="inlineStr"/>
      <c r="G173" t="inlineStr">
        <is>
          <t>Sunnyvale, CA, US</t>
        </is>
      </c>
      <c r="H173" s="2" t="n">
        <v>45980</v>
      </c>
      <c r="I173"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4">
      <c r="A174" t="inlineStr">
        <is>
          <t>in-af68b88f93ecf008</t>
        </is>
      </c>
      <c r="B174" t="inlineStr">
        <is>
          <t>Senior Applied Scientist, Artificial General Intelligence</t>
        </is>
      </c>
      <c r="C174" t="inlineStr">
        <is>
          <t>Amazon.com</t>
        </is>
      </c>
      <c r="D174" t="inlineStr">
        <is>
          <t>indeed</t>
        </is>
      </c>
      <c r="E174" t="inlineStr"/>
      <c r="F174" t="inlineStr"/>
      <c r="G174" t="inlineStr">
        <is>
          <t>New York, NY, US</t>
        </is>
      </c>
      <c r="H174" s="2" t="n">
        <v>45980</v>
      </c>
      <c r="I174"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5">
      <c r="A175" t="inlineStr">
        <is>
          <t>in-0c13a0cb8e74b994</t>
        </is>
      </c>
      <c r="B175" t="inlineStr">
        <is>
          <t>Senior Applied Scientist, Artificial General Intelligence</t>
        </is>
      </c>
      <c r="C175" t="inlineStr">
        <is>
          <t>Amazon.com</t>
        </is>
      </c>
      <c r="D175" t="inlineStr">
        <is>
          <t>indeed</t>
        </is>
      </c>
      <c r="E175" t="inlineStr"/>
      <c r="F175" t="inlineStr"/>
      <c r="G175" t="inlineStr">
        <is>
          <t>Seattle, WA, US</t>
        </is>
      </c>
      <c r="H175" s="2" t="n">
        <v>45980</v>
      </c>
      <c r="I175"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6">
      <c r="A176" t="inlineStr">
        <is>
          <t>in-4cf640f7de7308f0</t>
        </is>
      </c>
      <c r="B176" t="inlineStr">
        <is>
          <t>Applied Scientist II, SPB Advertiser Guidance</t>
        </is>
      </c>
      <c r="C176" t="inlineStr">
        <is>
          <t>Amazon.com</t>
        </is>
      </c>
      <c r="D176" t="inlineStr">
        <is>
          <t>indeed</t>
        </is>
      </c>
      <c r="E176" t="inlineStr"/>
      <c r="F176" t="inlineStr"/>
      <c r="G176" t="inlineStr">
        <is>
          <t>Seattle, WA, US</t>
        </is>
      </c>
      <c r="H176" s="2" t="n">
        <v>45980</v>
      </c>
      <c r="I176"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7">
      <c r="A177" t="inlineStr">
        <is>
          <t>in-3cf0948a140c74a9</t>
        </is>
      </c>
      <c r="B177" t="inlineStr">
        <is>
          <t>Applied Scientist II, SPB Advertiser Guidance</t>
        </is>
      </c>
      <c r="C177" t="inlineStr">
        <is>
          <t>Amazon.com</t>
        </is>
      </c>
      <c r="D177" t="inlineStr">
        <is>
          <t>indeed</t>
        </is>
      </c>
      <c r="E177" t="inlineStr"/>
      <c r="F177" t="inlineStr"/>
      <c r="G177" t="inlineStr">
        <is>
          <t>New York, NY, US</t>
        </is>
      </c>
      <c r="H177" s="2" t="n">
        <v>45980</v>
      </c>
      <c r="I177"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8">
      <c r="A178" t="inlineStr">
        <is>
          <t>in-6e41cb6ea54820ef</t>
        </is>
      </c>
      <c r="B178" t="inlineStr">
        <is>
          <t>Applied Scientist II, SPB Advertiser Guidance</t>
        </is>
      </c>
      <c r="C178" t="inlineStr">
        <is>
          <t>Amazon.com</t>
        </is>
      </c>
      <c r="D178" t="inlineStr">
        <is>
          <t>indeed</t>
        </is>
      </c>
      <c r="E178" t="inlineStr"/>
      <c r="F178" t="inlineStr"/>
      <c r="G178" t="inlineStr">
        <is>
          <t>Palo Alto, CA, US</t>
        </is>
      </c>
      <c r="H178" s="2" t="n">
        <v>45980</v>
      </c>
      <c r="I178"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9">
      <c r="A179" t="inlineStr">
        <is>
          <t>in-8cc3e2813a24c08c</t>
        </is>
      </c>
      <c r="B179" t="inlineStr">
        <is>
          <t>Principal Applied Scientist, Sponsored Products and Brands</t>
        </is>
      </c>
      <c r="C179" t="inlineStr">
        <is>
          <t>Amazon.com</t>
        </is>
      </c>
      <c r="D179" t="inlineStr">
        <is>
          <t>indeed</t>
        </is>
      </c>
      <c r="E179" t="inlineStr"/>
      <c r="F179" t="inlineStr"/>
      <c r="G179" t="inlineStr">
        <is>
          <t>Seattle, WA, US</t>
        </is>
      </c>
      <c r="H179" s="2" t="n">
        <v>45979</v>
      </c>
      <c r="I179"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0">
      <c r="A180" t="inlineStr">
        <is>
          <t>in-917d68606eab6dbd</t>
        </is>
      </c>
      <c r="B180" t="inlineStr">
        <is>
          <t>Principal Applied Scientist, Sponsored Products and Brands</t>
        </is>
      </c>
      <c r="C180" t="inlineStr">
        <is>
          <t>Amazon.com</t>
        </is>
      </c>
      <c r="D180" t="inlineStr">
        <is>
          <t>indeed</t>
        </is>
      </c>
      <c r="E180" t="inlineStr"/>
      <c r="F180" t="inlineStr"/>
      <c r="G180" t="inlineStr">
        <is>
          <t>New York, NY, US</t>
        </is>
      </c>
      <c r="H180" s="2" t="n">
        <v>45979</v>
      </c>
      <c r="I180"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1">
      <c r="A181" t="inlineStr">
        <is>
          <t>in-bc5de21e22c6e182</t>
        </is>
      </c>
      <c r="B181" t="inlineStr">
        <is>
          <t>Applied Scientist, Personalization, DTx Science</t>
        </is>
      </c>
      <c r="C181" t="inlineStr">
        <is>
          <t>Amazon.com</t>
        </is>
      </c>
      <c r="D181" t="inlineStr">
        <is>
          <t>indeed</t>
        </is>
      </c>
      <c r="E181" t="inlineStr"/>
      <c r="F181" t="inlineStr"/>
      <c r="G181" t="inlineStr">
        <is>
          <t>New York, NY, US</t>
        </is>
      </c>
      <c r="H181" s="2" t="n">
        <v>45979</v>
      </c>
      <c r="I181"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82">
      <c r="A182" t="inlineStr">
        <is>
          <t>in-0cad3929455c3839</t>
        </is>
      </c>
      <c r="B182" t="inlineStr">
        <is>
          <t>Applied Scientist, Personalization, DTx Science</t>
        </is>
      </c>
      <c r="C182" t="inlineStr">
        <is>
          <t>Amazon.com</t>
        </is>
      </c>
      <c r="D182" t="inlineStr">
        <is>
          <t>indeed</t>
        </is>
      </c>
      <c r="E182" t="inlineStr"/>
      <c r="F182" t="inlineStr"/>
      <c r="G182" t="inlineStr">
        <is>
          <t>Seattle, WA, US</t>
        </is>
      </c>
      <c r="H182" s="2" t="n">
        <v>45979</v>
      </c>
      <c r="I182"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83">
      <c r="A183" t="inlineStr">
        <is>
          <t>in-927aa996458e1414</t>
        </is>
      </c>
      <c r="B183" t="inlineStr">
        <is>
          <t>Sr. Applied Scientist, AGI Foundations</t>
        </is>
      </c>
      <c r="C183" t="inlineStr">
        <is>
          <t>Amazon.com</t>
        </is>
      </c>
      <c r="D183" t="inlineStr">
        <is>
          <t>indeed</t>
        </is>
      </c>
      <c r="E183" t="inlineStr"/>
      <c r="F183" t="inlineStr"/>
      <c r="G183" t="inlineStr">
        <is>
          <t>Sunnyvale, CA, US</t>
        </is>
      </c>
      <c r="H183" s="2" t="n">
        <v>45978</v>
      </c>
      <c r="I183"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4">
      <c r="A184" t="inlineStr">
        <is>
          <t>in-f6e7d9e61865c428</t>
        </is>
      </c>
      <c r="B184" t="inlineStr">
        <is>
          <t>Sr. Applied Scientist, AGI Foundations</t>
        </is>
      </c>
      <c r="C184" t="inlineStr">
        <is>
          <t>Amazon.com</t>
        </is>
      </c>
      <c r="D184" t="inlineStr">
        <is>
          <t>indeed</t>
        </is>
      </c>
      <c r="E184" t="inlineStr"/>
      <c r="F184" t="inlineStr"/>
      <c r="G184" t="inlineStr">
        <is>
          <t>Bellevue, WA, US</t>
        </is>
      </c>
      <c r="H184" s="2" t="n">
        <v>45978</v>
      </c>
      <c r="I184"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5">
      <c r="A185" t="inlineStr">
        <is>
          <t>in-c0680c6daa6b86c7</t>
        </is>
      </c>
      <c r="B185" t="inlineStr">
        <is>
          <t>Sr. Applied Scientist, AGI Foundations</t>
        </is>
      </c>
      <c r="C185" t="inlineStr">
        <is>
          <t>Amazon.com</t>
        </is>
      </c>
      <c r="D185" t="inlineStr">
        <is>
          <t>indeed</t>
        </is>
      </c>
      <c r="E185" t="inlineStr"/>
      <c r="F185" t="inlineStr"/>
      <c r="G185" t="inlineStr">
        <is>
          <t>Boston, MA, US</t>
        </is>
      </c>
      <c r="H185" s="2" t="n">
        <v>45978</v>
      </c>
      <c r="I185"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6">
      <c r="A186" t="inlineStr">
        <is>
          <t>in-69924712ab6f579b</t>
        </is>
      </c>
      <c r="B186" t="inlineStr">
        <is>
          <t>Sr. Applied Scientist, AGI Foundations</t>
        </is>
      </c>
      <c r="C186" t="inlineStr">
        <is>
          <t>Amazon.com</t>
        </is>
      </c>
      <c r="D186" t="inlineStr">
        <is>
          <t>indeed</t>
        </is>
      </c>
      <c r="E186" t="inlineStr"/>
      <c r="F186" t="inlineStr"/>
      <c r="G186" t="inlineStr">
        <is>
          <t>New York, NY, US</t>
        </is>
      </c>
      <c r="H186" s="2" t="n">
        <v>45978</v>
      </c>
      <c r="I186"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7">
      <c r="A187" t="inlineStr">
        <is>
          <t>in-a9012df11911dd5b</t>
        </is>
      </c>
      <c r="B187" t="inlineStr">
        <is>
          <t>Applied Scientist II, Robotics and ML, Amazon Industrial Robotics</t>
        </is>
      </c>
      <c r="C187" t="inlineStr">
        <is>
          <t>Amazon.com</t>
        </is>
      </c>
      <c r="D187" t="inlineStr">
        <is>
          <t>indeed</t>
        </is>
      </c>
      <c r="E187" t="inlineStr"/>
      <c r="F187" t="inlineStr"/>
      <c r="G187" t="inlineStr">
        <is>
          <t>Reading, MA, US</t>
        </is>
      </c>
      <c r="H187" s="2" t="n">
        <v>45975</v>
      </c>
      <c r="I187"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manipulation, locomotion, and human\-robot interaction.
We're seeking an Applied Scientist to join our Robotics team. This role focuses on developing innovative machine learning solutions that enable robots to perform complex manipulation tasks in real\-world environments. You will work on creating adaptive learning approaches that combine traditional robotics with modern ML techniques to improve robot performance and reliability. In this role, you will collaborate with multidisciplinary teams to advance the state\-of\-the\-art in robotic manipulation, contributing to the development of next\-generation autonomous systems that can operate safely and efficiently within Amazon fulfillment centers.
Key job responsibilities  
* Lead design, adapt, and implement novel machine learning solutions for manipulation robots
* Create hybrid approaches combining classical methods with learning\-based solutions
* Design learning algorithms for automated parameter tuning and adaptation
* Develop data collection pipelines and methodologies for capturing high\-quality demonstrations of dexterous tasks
* Build and test prototype robotic workcell setups to validate the performance of the solution
* Partner with cross\-functional teams to rapidly create new concepts and prototypes
* Work with Amazon's robotics engineering and operations teams to grasp their requirements and develop tailored solutions
* Document the architecture, performance, and validation of the final system
**BASIC QUALIFICATIONS**
------------------------
* PhD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Experience building machine learning models or developing algorithms for business application
* Experience applying theoretical models in an applied environment
**PREFERRED QUALIFICATIONS**
----------------------------
* Experience using Unix/Linux
* Experience in professional software development
* Experience working effectively across cross\-functional teams and partnering well with people at all levels within an organization
* PhD in Robotics, Computer Science, or related field with focus on machine learning and robot control
* Experience developing and implementing machine learning approaches for robotic systems, particularly in imitation learning or reinforcement learning
* Strong background in robot control systems, particularly in force/impedance control and contact\-rich manipulation
* Experience with real\-time control systems and robot motion planning
* Track record of translating research concepts into practical robotic applications
* Strong programming skills and experience with modern ML frameworks
* Experience with demonstration\-based learning and data collection for robotic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8">
      <c r="A188" t="inlineStr">
        <is>
          <t>in-2fed3b296cb3c175</t>
        </is>
      </c>
      <c r="B188" t="inlineStr">
        <is>
          <t>Applied Scientist II, Robotics and ML, Amazon Industrial Robotics</t>
        </is>
      </c>
      <c r="C188" t="inlineStr">
        <is>
          <t>Amazon.com</t>
        </is>
      </c>
      <c r="D188" t="inlineStr">
        <is>
          <t>indeed</t>
        </is>
      </c>
      <c r="E188" t="inlineStr"/>
      <c r="F188" t="inlineStr"/>
      <c r="G188" t="inlineStr">
        <is>
          <t>Reading, MA, US</t>
        </is>
      </c>
      <c r="H188" s="2" t="n">
        <v>45975</v>
      </c>
      <c r="I188"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manipulation, locomotion, and human\-robot interaction.
We're seeking an Applied Scientist to join our Robotics team. This role focuses on developing innovative machine learning solutions that enable robots to perform complex manipulation tasks in real\-world environments. You will work on creating adaptive learning approaches that combine traditional robotics with modern ML techniques to improve robot performance and reliability. In this role, you will collaborate with multidisciplinary teams to advance the state\-of\-the\-art in robotic manipulation, contributing to the development of next\-generation autonomous systems that can operate safely and efficiently within Amazon fulfillment centers.
Key job responsibilities  
* Lead design, adapt, and implement novel machine learning solutions for manipulation robots
* Create hybrid approaches combining classical methods with learning\-based solutions
* Design learning algorithms for automated parameter tuning and adaptation
* Develop data collection pipelines and methodologies for capturing high\-quality demonstrations of dexterous tasks
* Build and test prototype robotic workcell setups to validate the performance of the solution
* Partner with cross\-functional teams to rapidly create new concepts and prototypes
* Work with Amazon's robotics engineering and operations teams to grasp their requirements and develop tailored solutions
* Document the architecture, performance, and validation of the final system
**BASIC QUALIFICATIONS**
------------------------
* PhD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Experience building machine learning models or developing algorithms for business application
* Experience applying theoretical models in an applied environment
**PREFERRED QUALIFICATIONS**
----------------------------
* Experience using Unix/Linux
* Experience in professional software development
* Experience working effectively across cross\-functional teams and partnering well with people at all levels within an organization
* PhD in Robotics, Computer Science, or related field with focus on machine learning and robot control
* Experience developing and implementing machine learning approaches for robotic systems, particularly in imitation learning or reinforcement learning
* Strong background in robot control systems, particularly in force/impedance control and contact\-rich manipulation
* Experience with real\-time control systems and robot motion planning
* Track record of translating research concepts into practical robotic applications
* Strong programming skills and experience with modern ML frameworks
* Experience with demonstration\-based learning and data collection for robotic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9">
      <c r="A189" t="inlineStr">
        <is>
          <t>in-2dc3df58b620a226</t>
        </is>
      </c>
      <c r="B189" t="inlineStr">
        <is>
          <t>Principal Applied Scientist, Amazon AGI</t>
        </is>
      </c>
      <c r="C189" t="inlineStr">
        <is>
          <t>Amazon.com</t>
        </is>
      </c>
      <c r="D189" t="inlineStr">
        <is>
          <t>indeed</t>
        </is>
      </c>
      <c r="E189" t="inlineStr"/>
      <c r="F189" t="inlineStr"/>
      <c r="G189" t="inlineStr">
        <is>
          <t>San Francisco, CA, US</t>
        </is>
      </c>
      <c r="H189" s="2" t="n">
        <v>45964</v>
      </c>
      <c r="I189"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0">
      <c r="A190" t="inlineStr">
        <is>
          <t>in-9ea76a1781acd45a</t>
        </is>
      </c>
      <c r="B190" t="inlineStr">
        <is>
          <t>Principal Applied Scientist, Amazon AGI</t>
        </is>
      </c>
      <c r="C190" t="inlineStr">
        <is>
          <t>Amazon.com</t>
        </is>
      </c>
      <c r="D190" t="inlineStr">
        <is>
          <t>indeed</t>
        </is>
      </c>
      <c r="E190" t="inlineStr"/>
      <c r="F190" t="inlineStr"/>
      <c r="G190" t="inlineStr">
        <is>
          <t>Boston, MA, US</t>
        </is>
      </c>
      <c r="H190" s="2" t="n">
        <v>45964</v>
      </c>
      <c r="I190"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1">
      <c r="A191" t="inlineStr">
        <is>
          <t>in-822fc8cea2453ed0</t>
        </is>
      </c>
      <c r="B191" t="inlineStr">
        <is>
          <t>Sr. Applied Scientist, AGI Foundations</t>
        </is>
      </c>
      <c r="C191" t="inlineStr">
        <is>
          <t>Amazon.com</t>
        </is>
      </c>
      <c r="D191" t="inlineStr">
        <is>
          <t>indeed</t>
        </is>
      </c>
      <c r="E191" t="inlineStr"/>
      <c r="F191" t="inlineStr"/>
      <c r="G191" t="inlineStr">
        <is>
          <t>Boston, MA, US</t>
        </is>
      </c>
      <c r="H191" s="2" t="n">
        <v>45963</v>
      </c>
      <c r="I191"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2">
      <c r="A192" t="inlineStr">
        <is>
          <t>in-bb4fc93964fa287b</t>
        </is>
      </c>
      <c r="B192" t="inlineStr">
        <is>
          <t>Sr. Applied Scientist, AGI Foundations</t>
        </is>
      </c>
      <c r="C192" t="inlineStr">
        <is>
          <t>Amazon.com</t>
        </is>
      </c>
      <c r="D192" t="inlineStr">
        <is>
          <t>indeed</t>
        </is>
      </c>
      <c r="E192" t="inlineStr"/>
      <c r="F192" t="inlineStr"/>
      <c r="G192" t="inlineStr">
        <is>
          <t>Bellevue, WA, US</t>
        </is>
      </c>
      <c r="H192" s="2" t="n">
        <v>45963</v>
      </c>
      <c r="I192"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3">
      <c r="A193" t="inlineStr">
        <is>
          <t>in-c45ae1b9762ad33c</t>
        </is>
      </c>
      <c r="B193" t="inlineStr">
        <is>
          <t>Sr. Applied Scientist, AGI Foundations</t>
        </is>
      </c>
      <c r="C193" t="inlineStr">
        <is>
          <t>Amazon.com</t>
        </is>
      </c>
      <c r="D193" t="inlineStr">
        <is>
          <t>indeed</t>
        </is>
      </c>
      <c r="E193" t="inlineStr"/>
      <c r="F193" t="inlineStr"/>
      <c r="G193" t="inlineStr">
        <is>
          <t>New York, NY, US</t>
        </is>
      </c>
      <c r="H193" s="2" t="n">
        <v>45963</v>
      </c>
      <c r="I193"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4">
      <c r="A194" t="inlineStr">
        <is>
          <t>in-2b2395ad1b6faf0b</t>
        </is>
      </c>
      <c r="B194" t="inlineStr">
        <is>
          <t>Sr. Applied Scientist, Sponsored Product Off-Search</t>
        </is>
      </c>
      <c r="C194" t="inlineStr">
        <is>
          <t>Amazon.com</t>
        </is>
      </c>
      <c r="D194" t="inlineStr">
        <is>
          <t>indeed</t>
        </is>
      </c>
      <c r="E194" t="inlineStr"/>
      <c r="F194" t="inlineStr"/>
      <c r="G194" t="inlineStr">
        <is>
          <t>New York, NY, US</t>
        </is>
      </c>
      <c r="H194" s="2" t="n">
        <v>45963</v>
      </c>
      <c r="I194"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PhD, or Master's degree and 6\+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5">
      <c r="A195" t="inlineStr">
        <is>
          <t>in-1cd6cb46aa7d2731</t>
        </is>
      </c>
      <c r="B195" t="inlineStr">
        <is>
          <t>Sr. Applied Scientist, Sponsored Product Off-Search</t>
        </is>
      </c>
      <c r="C195" t="inlineStr">
        <is>
          <t>Amazon.com</t>
        </is>
      </c>
      <c r="D195" t="inlineStr">
        <is>
          <t>indeed</t>
        </is>
      </c>
      <c r="E195" t="inlineStr"/>
      <c r="F195" t="inlineStr"/>
      <c r="G195" t="inlineStr">
        <is>
          <t>Seattle, WA, US</t>
        </is>
      </c>
      <c r="H195" s="2" t="n">
        <v>45963</v>
      </c>
      <c r="I195"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PhD, or Master's degree and 6\+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6">
      <c r="A196" t="inlineStr">
        <is>
          <t>in-e1ce4c78340e6464</t>
        </is>
      </c>
      <c r="B196" t="inlineStr">
        <is>
          <t>Applied Scientist, AWS Agentic AI</t>
        </is>
      </c>
      <c r="C196" t="inlineStr">
        <is>
          <t>Amazon Web Services</t>
        </is>
      </c>
      <c r="D196" t="inlineStr">
        <is>
          <t>indeed</t>
        </is>
      </c>
      <c r="E196" t="inlineStr"/>
      <c r="F196" t="inlineStr"/>
      <c r="G196" t="inlineStr">
        <is>
          <t>Seattle, WA, US</t>
        </is>
      </c>
      <c r="H196" s="2" t="n">
        <v>45962</v>
      </c>
      <c r="I196"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7">
      <c r="A197" t="inlineStr">
        <is>
          <t>in-fc1704d98ccf5f9c</t>
        </is>
      </c>
      <c r="B197" t="inlineStr">
        <is>
          <t>Applied Scientist, AWS Agentic AI</t>
        </is>
      </c>
      <c r="C197" t="inlineStr">
        <is>
          <t>Amazon Web Services</t>
        </is>
      </c>
      <c r="D197" t="inlineStr">
        <is>
          <t>indeed</t>
        </is>
      </c>
      <c r="E197" t="inlineStr"/>
      <c r="F197" t="inlineStr"/>
      <c r="G197" t="inlineStr">
        <is>
          <t>New York, NY, US</t>
        </is>
      </c>
      <c r="H197" s="2" t="n">
        <v>45962</v>
      </c>
      <c r="I197"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8">
      <c r="A198" t="inlineStr">
        <is>
          <t>in-0672e374bff9a470</t>
        </is>
      </c>
      <c r="B198" t="inlineStr">
        <is>
          <t>Applied Scientist, AWS Agentic AI</t>
        </is>
      </c>
      <c r="C198" t="inlineStr">
        <is>
          <t>Amazon Web Services</t>
        </is>
      </c>
      <c r="D198" t="inlineStr">
        <is>
          <t>indeed</t>
        </is>
      </c>
      <c r="E198" t="inlineStr"/>
      <c r="F198" t="inlineStr"/>
      <c r="G198" t="inlineStr">
        <is>
          <t>Santa Clara, CA, US</t>
        </is>
      </c>
      <c r="H198" s="2" t="n">
        <v>45962</v>
      </c>
      <c r="I198"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9">
      <c r="A199" t="inlineStr">
        <is>
          <t>in-b95634ee2ca80d5c</t>
        </is>
      </c>
      <c r="B199" t="inlineStr">
        <is>
          <t>Applied Scientist, Prime Video - Content Understanding, Localization &amp; Enrichment Team</t>
        </is>
      </c>
      <c r="C199" t="inlineStr">
        <is>
          <t>Amazon.com</t>
        </is>
      </c>
      <c r="D199" t="inlineStr">
        <is>
          <t>indeed</t>
        </is>
      </c>
      <c r="E199" t="inlineStr"/>
      <c r="F199" t="inlineStr"/>
      <c r="G199" t="inlineStr">
        <is>
          <t>San Francisco, CA, US</t>
        </is>
      </c>
      <c r="H199" s="2" t="n">
        <v>45943</v>
      </c>
      <c r="I19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200">
      <c r="A200" t="inlineStr">
        <is>
          <t>in-8b14b7c2d046bbb1</t>
        </is>
      </c>
      <c r="B200" t="inlineStr">
        <is>
          <t>Applied Scientist, Prime Video - Content Understanding, Localization &amp; Enrichment Team</t>
        </is>
      </c>
      <c r="C200" t="inlineStr">
        <is>
          <t>Amazon.com</t>
        </is>
      </c>
      <c r="D200" t="inlineStr">
        <is>
          <t>indeed</t>
        </is>
      </c>
      <c r="E200" t="inlineStr"/>
      <c r="F200" t="inlineStr"/>
      <c r="G200" t="inlineStr">
        <is>
          <t>Seattle, WA, US</t>
        </is>
      </c>
      <c r="H200" s="2" t="n">
        <v>45943</v>
      </c>
      <c r="I20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201">
      <c r="A201" t="inlineStr">
        <is>
          <t>in-00ca2781a5811eac</t>
        </is>
      </c>
      <c r="B201" t="inlineStr">
        <is>
          <t>Principal Applied Scientist, Advertiser Growth, Amazon Sponsored Products &amp; Brands</t>
        </is>
      </c>
      <c r="C201" t="inlineStr">
        <is>
          <t>Amazon.com</t>
        </is>
      </c>
      <c r="D201" t="inlineStr">
        <is>
          <t>indeed</t>
        </is>
      </c>
      <c r="E201" t="inlineStr"/>
      <c r="F201" t="inlineStr"/>
      <c r="G201" t="inlineStr">
        <is>
          <t>Palo Alto, CA, US</t>
        </is>
      </c>
      <c r="H201" s="2" t="n">
        <v>45942</v>
      </c>
      <c r="I201"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2">
      <c r="A202" t="inlineStr">
        <is>
          <t>in-b457ecfc7cf10d45</t>
        </is>
      </c>
      <c r="B202" t="inlineStr">
        <is>
          <t>Principal Applied Scientist, Advertiser Growth, Amazon Sponsored Products &amp; Brands</t>
        </is>
      </c>
      <c r="C202" t="inlineStr">
        <is>
          <t>Amazon.com</t>
        </is>
      </c>
      <c r="D202" t="inlineStr">
        <is>
          <t>indeed</t>
        </is>
      </c>
      <c r="E202" t="inlineStr"/>
      <c r="F202" t="inlineStr"/>
      <c r="G202" t="inlineStr">
        <is>
          <t>New York, NY, US</t>
        </is>
      </c>
      <c r="H202" s="2" t="n">
        <v>45942</v>
      </c>
      <c r="I202"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3">
      <c r="A203" t="inlineStr">
        <is>
          <t>in-817538c3fc21b9a3</t>
        </is>
      </c>
      <c r="B203" t="inlineStr">
        <is>
          <t>Principal Applied Scientist, Advertiser Growth, Amazon Sponsored Products &amp; Brands</t>
        </is>
      </c>
      <c r="C203" t="inlineStr">
        <is>
          <t>Amazon.com</t>
        </is>
      </c>
      <c r="D203" t="inlineStr">
        <is>
          <t>indeed</t>
        </is>
      </c>
      <c r="E203" t="inlineStr"/>
      <c r="F203" t="inlineStr"/>
      <c r="G203" t="inlineStr">
        <is>
          <t>Seattle, WA, US</t>
        </is>
      </c>
      <c r="H203" s="2" t="n">
        <v>45942</v>
      </c>
      <c r="I203"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4">
      <c r="A204" t="inlineStr">
        <is>
          <t>in-24cf7de8f66ee8ea</t>
        </is>
      </c>
      <c r="B204" t="inlineStr">
        <is>
          <t>Applied Scientist</t>
        </is>
      </c>
      <c r="C204" t="inlineStr">
        <is>
          <t>Amazon.com</t>
        </is>
      </c>
      <c r="D204" t="inlineStr">
        <is>
          <t>indeed</t>
        </is>
      </c>
      <c r="E204" t="inlineStr"/>
      <c r="F204" t="inlineStr"/>
      <c r="G204" t="inlineStr">
        <is>
          <t>Seattle, WA, US</t>
        </is>
      </c>
      <c r="H204" s="2" t="n">
        <v>45939</v>
      </c>
      <c r="I204"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5">
      <c r="A205" t="inlineStr">
        <is>
          <t>in-ae85d216d67a4d06</t>
        </is>
      </c>
      <c r="B205" t="inlineStr">
        <is>
          <t>Applied Scientist</t>
        </is>
      </c>
      <c r="C205" t="inlineStr">
        <is>
          <t>Amazon.com</t>
        </is>
      </c>
      <c r="D205" t="inlineStr">
        <is>
          <t>indeed</t>
        </is>
      </c>
      <c r="E205" t="inlineStr"/>
      <c r="F205" t="inlineStr"/>
      <c r="G205" t="inlineStr">
        <is>
          <t>New York, NY, US</t>
        </is>
      </c>
      <c r="H205" s="2" t="n">
        <v>45939</v>
      </c>
      <c r="I205"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6">
      <c r="A206" t="inlineStr">
        <is>
          <t>in-512e3c638947ca31</t>
        </is>
      </c>
      <c r="B206" t="inlineStr">
        <is>
          <t>Sr. Applied Scientist, SPB Advertiser Guidance</t>
        </is>
      </c>
      <c r="C206" t="inlineStr">
        <is>
          <t>Amazon.com</t>
        </is>
      </c>
      <c r="D206" t="inlineStr">
        <is>
          <t>indeed</t>
        </is>
      </c>
      <c r="E206" t="inlineStr"/>
      <c r="F206" t="inlineStr"/>
      <c r="G206" t="inlineStr">
        <is>
          <t>Seattle, WA, US</t>
        </is>
      </c>
      <c r="H206" s="2" t="n">
        <v>45939</v>
      </c>
      <c r="I206"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7">
      <c r="A207" t="inlineStr">
        <is>
          <t>in-5912a0757393bc23</t>
        </is>
      </c>
      <c r="B207" t="inlineStr">
        <is>
          <t>Sr. Applied Scientist, SPB Advertiser Guidance</t>
        </is>
      </c>
      <c r="C207" t="inlineStr">
        <is>
          <t>Amazon.com</t>
        </is>
      </c>
      <c r="D207" t="inlineStr">
        <is>
          <t>indeed</t>
        </is>
      </c>
      <c r="E207" t="inlineStr"/>
      <c r="F207" t="inlineStr"/>
      <c r="G207" t="inlineStr">
        <is>
          <t>New York, NY, US</t>
        </is>
      </c>
      <c r="H207" s="2" t="n">
        <v>45939</v>
      </c>
      <c r="I207"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8">
      <c r="A208" t="inlineStr">
        <is>
          <t>in-40d90bb824b59b17</t>
        </is>
      </c>
      <c r="B208" t="inlineStr">
        <is>
          <t>Sr. Applied Scientist, SPB Advertiser Guidance</t>
        </is>
      </c>
      <c r="C208" t="inlineStr">
        <is>
          <t>Amazon.com</t>
        </is>
      </c>
      <c r="D208" t="inlineStr">
        <is>
          <t>indeed</t>
        </is>
      </c>
      <c r="E208" t="inlineStr"/>
      <c r="F208" t="inlineStr"/>
      <c r="G208" t="inlineStr">
        <is>
          <t>Palo Alto, CA, US</t>
        </is>
      </c>
      <c r="H208" s="2" t="n">
        <v>45939</v>
      </c>
      <c r="I208"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9">
      <c r="A209" t="inlineStr">
        <is>
          <t>in-0763db14899927cd</t>
        </is>
      </c>
      <c r="B209" t="inlineStr">
        <is>
          <t>Applied Scientist</t>
        </is>
      </c>
      <c r="C209" t="inlineStr">
        <is>
          <t>Amazon.com</t>
        </is>
      </c>
      <c r="D209" t="inlineStr">
        <is>
          <t>indeed</t>
        </is>
      </c>
      <c r="E209" t="inlineStr"/>
      <c r="F209" t="inlineStr"/>
      <c r="G209" t="inlineStr">
        <is>
          <t>Palo Alto, CA, US</t>
        </is>
      </c>
      <c r="H209" s="2" t="n">
        <v>45939</v>
      </c>
      <c r="I209"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0">
      <c r="A210" t="inlineStr">
        <is>
          <t>in-e8dad79876f6c20e</t>
        </is>
      </c>
      <c r="B210" t="inlineStr">
        <is>
          <t>Applied Scientist II, Prime Video - Personalization and Discovery Science, Personalization and Discovery Science</t>
        </is>
      </c>
      <c r="C210" t="inlineStr">
        <is>
          <t>Amazon.com</t>
        </is>
      </c>
      <c r="D210" t="inlineStr">
        <is>
          <t>indeed</t>
        </is>
      </c>
      <c r="E210" t="inlineStr"/>
      <c r="F210" t="inlineStr"/>
      <c r="G210" t="inlineStr">
        <is>
          <t>Seattle, WA, US</t>
        </is>
      </c>
      <c r="H210" s="2" t="n">
        <v>45930</v>
      </c>
      <c r="I21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1">
      <c r="A211" t="inlineStr">
        <is>
          <t>in-d4ed4b1721cecfb2</t>
        </is>
      </c>
      <c r="B211" t="inlineStr">
        <is>
          <t>Applied Scientist II, Prime Video - Personalization and Discovery Science, Personalization and Discovery Science</t>
        </is>
      </c>
      <c r="C211" t="inlineStr">
        <is>
          <t>Amazon.com</t>
        </is>
      </c>
      <c r="D211" t="inlineStr">
        <is>
          <t>indeed</t>
        </is>
      </c>
      <c r="E211" t="inlineStr"/>
      <c r="F211" t="inlineStr"/>
      <c r="G211" t="inlineStr">
        <is>
          <t>New York, NY, US</t>
        </is>
      </c>
      <c r="H211" s="2" t="n">
        <v>45930</v>
      </c>
      <c r="I21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2">
      <c r="A212" t="inlineStr">
        <is>
          <t>in-ed0cf6f7f55e19c0</t>
        </is>
      </c>
      <c r="B212" t="inlineStr">
        <is>
          <t>Applied Scientist II, Prime Video - Personalization and Discovery Science, Personalization and Discovery Science</t>
        </is>
      </c>
      <c r="C212" t="inlineStr">
        <is>
          <t>Amazon.com</t>
        </is>
      </c>
      <c r="D212" t="inlineStr">
        <is>
          <t>indeed</t>
        </is>
      </c>
      <c r="E212" t="inlineStr"/>
      <c r="F212" t="inlineStr"/>
      <c r="G212" t="inlineStr">
        <is>
          <t>Sunnyvale, CA, US</t>
        </is>
      </c>
      <c r="H212" s="2" t="n">
        <v>45930</v>
      </c>
      <c r="I21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3">
      <c r="A213" t="inlineStr">
        <is>
          <t>in-6b9ed07cde2681d3</t>
        </is>
      </c>
      <c r="B213" t="inlineStr">
        <is>
          <t>Senior Applied Scientist, Sponsored Products and Brands</t>
        </is>
      </c>
      <c r="C213" t="inlineStr">
        <is>
          <t>Amazon.com</t>
        </is>
      </c>
      <c r="D213" t="inlineStr">
        <is>
          <t>indeed</t>
        </is>
      </c>
      <c r="E213" t="inlineStr"/>
      <c r="F213" t="inlineStr"/>
      <c r="G213" t="inlineStr">
        <is>
          <t>Seattle, WA, US</t>
        </is>
      </c>
      <c r="H213" s="2" t="n">
        <v>45922</v>
      </c>
      <c r="I213"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4">
      <c r="A214" t="inlineStr">
        <is>
          <t>in-496941c11bfc1f95</t>
        </is>
      </c>
      <c r="B214" t="inlineStr">
        <is>
          <t>Senior Applied Scientist, Sponsored Products and Brands</t>
        </is>
      </c>
      <c r="C214" t="inlineStr">
        <is>
          <t>Amazon.com</t>
        </is>
      </c>
      <c r="D214" t="inlineStr">
        <is>
          <t>indeed</t>
        </is>
      </c>
      <c r="E214" t="inlineStr"/>
      <c r="F214" t="inlineStr"/>
      <c r="G214" t="inlineStr">
        <is>
          <t>New York, NY, US</t>
        </is>
      </c>
      <c r="H214" s="2" t="n">
        <v>45922</v>
      </c>
      <c r="I214"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5">
      <c r="A215" t="inlineStr">
        <is>
          <t>in-99863748d6cc1c86</t>
        </is>
      </c>
      <c r="B215" t="inlineStr">
        <is>
          <t>Applied Scientist, Workplace Health &amp; Safety</t>
        </is>
      </c>
      <c r="C215" t="inlineStr">
        <is>
          <t>Amazon.com</t>
        </is>
      </c>
      <c r="D215" t="inlineStr">
        <is>
          <t>indeed</t>
        </is>
      </c>
      <c r="E215" t="inlineStr"/>
      <c r="F215" t="inlineStr"/>
      <c r="G215" t="inlineStr">
        <is>
          <t>Nashville, TN, US</t>
        </is>
      </c>
      <c r="H215" s="2" t="n">
        <v>45917</v>
      </c>
      <c r="I215"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6">
      <c r="A216" t="inlineStr">
        <is>
          <t>in-f40249932d9ddebe</t>
        </is>
      </c>
      <c r="B216" t="inlineStr">
        <is>
          <t>Applied Scientist, Workplace Health &amp; Safety</t>
        </is>
      </c>
      <c r="C216" t="inlineStr">
        <is>
          <t>Amazon.com</t>
        </is>
      </c>
      <c r="D216" t="inlineStr">
        <is>
          <t>indeed</t>
        </is>
      </c>
      <c r="E216" t="inlineStr"/>
      <c r="F216" t="inlineStr"/>
      <c r="G216" t="inlineStr">
        <is>
          <t>Bellevue, WA, US</t>
        </is>
      </c>
      <c r="H216" s="2" t="n">
        <v>45917</v>
      </c>
      <c r="I216"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7">
      <c r="A217" t="inlineStr">
        <is>
          <t>in-f094f00d27eed1d4</t>
        </is>
      </c>
      <c r="B217" t="inlineStr">
        <is>
          <t>Applied Scientist II, Prime Video - Personalization and Discovery Science</t>
        </is>
      </c>
      <c r="C217" t="inlineStr">
        <is>
          <t>Amazon.com</t>
        </is>
      </c>
      <c r="D217" t="inlineStr">
        <is>
          <t>indeed</t>
        </is>
      </c>
      <c r="E217" t="inlineStr"/>
      <c r="F217" t="inlineStr"/>
      <c r="G217" t="inlineStr">
        <is>
          <t>Sunnyvale, CA, US</t>
        </is>
      </c>
      <c r="H217" s="2" t="n">
        <v>45881</v>
      </c>
      <c r="I21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8">
      <c r="A218" t="inlineStr">
        <is>
          <t>in-6324c48e259fde04</t>
        </is>
      </c>
      <c r="B218" t="inlineStr">
        <is>
          <t>Applied Scientist II, Prime Video - Personalization and Discovery Science</t>
        </is>
      </c>
      <c r="C218" t="inlineStr">
        <is>
          <t>Amazon.com</t>
        </is>
      </c>
      <c r="D218" t="inlineStr">
        <is>
          <t>indeed</t>
        </is>
      </c>
      <c r="E218" t="inlineStr"/>
      <c r="F218" t="inlineStr"/>
      <c r="G218" t="inlineStr">
        <is>
          <t>Seattle, WA, US</t>
        </is>
      </c>
      <c r="H218" s="2" t="n">
        <v>45881</v>
      </c>
      <c r="I21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9">
      <c r="A219" t="inlineStr">
        <is>
          <t>in-4198139dc8d154a7</t>
        </is>
      </c>
      <c r="B219" t="inlineStr">
        <is>
          <t>Sr. Applied Scientist, Prime Video - Personalization and Discovery Science</t>
        </is>
      </c>
      <c r="C219" t="inlineStr">
        <is>
          <t>Amazon.com</t>
        </is>
      </c>
      <c r="D219" t="inlineStr">
        <is>
          <t>indeed</t>
        </is>
      </c>
      <c r="E219" t="inlineStr"/>
      <c r="F219" t="inlineStr"/>
      <c r="G219" t="inlineStr">
        <is>
          <t>New York, NY, US</t>
        </is>
      </c>
      <c r="H219" s="2" t="n">
        <v>45881</v>
      </c>
      <c r="I2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0">
      <c r="A220" t="inlineStr">
        <is>
          <t>in-d715f0eecc8213fa</t>
        </is>
      </c>
      <c r="B220" t="inlineStr">
        <is>
          <t>Applied Scientist II, Prime Video - Personalization and Discovery Science</t>
        </is>
      </c>
      <c r="C220" t="inlineStr">
        <is>
          <t>Amazon.com</t>
        </is>
      </c>
      <c r="D220" t="inlineStr">
        <is>
          <t>indeed</t>
        </is>
      </c>
      <c r="E220" t="inlineStr"/>
      <c r="F220" t="inlineStr"/>
      <c r="G220" t="inlineStr">
        <is>
          <t>New York, NY, US</t>
        </is>
      </c>
      <c r="H220" s="2" t="n">
        <v>45881</v>
      </c>
      <c r="I22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1">
      <c r="A221" t="inlineStr">
        <is>
          <t>in-c3c1fc1bfa857b4e</t>
        </is>
      </c>
      <c r="B221" t="inlineStr">
        <is>
          <t>Sr. Applied Scientist, Prime Video - Personalization and Discovery Science</t>
        </is>
      </c>
      <c r="C221" t="inlineStr">
        <is>
          <t>Amazon.com</t>
        </is>
      </c>
      <c r="D221" t="inlineStr">
        <is>
          <t>indeed</t>
        </is>
      </c>
      <c r="E221" t="inlineStr"/>
      <c r="F221" t="inlineStr"/>
      <c r="G221" t="inlineStr">
        <is>
          <t>Sunnyvale, CA, US</t>
        </is>
      </c>
      <c r="H221" s="2" t="n">
        <v>45881</v>
      </c>
      <c r="I22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2">
      <c r="A222" t="inlineStr">
        <is>
          <t>in-243b85dfc3377ee4</t>
        </is>
      </c>
      <c r="B222" t="inlineStr">
        <is>
          <t>Sr. Applied Scientist, Prime Video - Personalization and Discovery Science</t>
        </is>
      </c>
      <c r="C222" t="inlineStr">
        <is>
          <t>Amazon.com</t>
        </is>
      </c>
      <c r="D222" t="inlineStr">
        <is>
          <t>indeed</t>
        </is>
      </c>
      <c r="E222" t="inlineStr"/>
      <c r="F222" t="inlineStr"/>
      <c r="G222" t="inlineStr">
        <is>
          <t>Seattle, WA, US</t>
        </is>
      </c>
      <c r="H222" s="2" t="n">
        <v>45881</v>
      </c>
      <c r="I2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3">
      <c r="A223" t="inlineStr">
        <is>
          <t>in-62beb57bbfca4c68</t>
        </is>
      </c>
      <c r="B223" t="inlineStr">
        <is>
          <t>Sr. Applied Scientist, Amazon Advertising</t>
        </is>
      </c>
      <c r="C223" t="inlineStr">
        <is>
          <t>Amazon.com</t>
        </is>
      </c>
      <c r="D223" t="inlineStr">
        <is>
          <t>indeed</t>
        </is>
      </c>
      <c r="E223" t="inlineStr"/>
      <c r="F223" t="inlineStr"/>
      <c r="G223" t="inlineStr">
        <is>
          <t>Simi Valley, CA, US</t>
        </is>
      </c>
      <c r="H223" s="2" t="n">
        <v>45851</v>
      </c>
      <c r="I22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4">
      <c r="A224" t="inlineStr">
        <is>
          <t>in-8139e637ed84955f</t>
        </is>
      </c>
      <c r="B224" t="inlineStr">
        <is>
          <t>Sr. Applied Scientist, Amazon Advertising</t>
        </is>
      </c>
      <c r="C224" t="inlineStr">
        <is>
          <t>Amazon.com</t>
        </is>
      </c>
      <c r="D224" t="inlineStr">
        <is>
          <t>indeed</t>
        </is>
      </c>
      <c r="E224" t="inlineStr"/>
      <c r="F224" t="inlineStr"/>
      <c r="G224" t="inlineStr">
        <is>
          <t>New York, NY, US</t>
        </is>
      </c>
      <c r="H224" s="2" t="n">
        <v>45851</v>
      </c>
      <c r="I22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5">
      <c r="A225" t="inlineStr">
        <is>
          <t>in-42afca78303bc345</t>
        </is>
      </c>
      <c r="B225" t="inlineStr">
        <is>
          <t>Sr. Applied Scientist, Amazon Advertising</t>
        </is>
      </c>
      <c r="C225" t="inlineStr">
        <is>
          <t>Amazon.com</t>
        </is>
      </c>
      <c r="D225" t="inlineStr">
        <is>
          <t>indeed</t>
        </is>
      </c>
      <c r="E225" t="inlineStr"/>
      <c r="F225" t="inlineStr"/>
      <c r="G225" t="inlineStr">
        <is>
          <t>Palo Alto, CA, US</t>
        </is>
      </c>
      <c r="H225" s="2" t="n">
        <v>45851</v>
      </c>
      <c r="I22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6">
      <c r="A226" t="inlineStr">
        <is>
          <t>in-66daa4113e9e3375</t>
        </is>
      </c>
      <c r="B226" t="inlineStr">
        <is>
          <t>Sr. Applied Scientist, Amazon Advertising</t>
        </is>
      </c>
      <c r="C226" t="inlineStr">
        <is>
          <t>Amazon.com</t>
        </is>
      </c>
      <c r="D226" t="inlineStr">
        <is>
          <t>indeed</t>
        </is>
      </c>
      <c r="E226" t="inlineStr"/>
      <c r="F226" t="inlineStr"/>
      <c r="G226" t="inlineStr">
        <is>
          <t>Austin, TX, US</t>
        </is>
      </c>
      <c r="H226" s="2" t="n">
        <v>45851</v>
      </c>
      <c r="I22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7">
      <c r="A227" t="inlineStr">
        <is>
          <t>in-c3e31e1d37105a12</t>
        </is>
      </c>
      <c r="B227" t="inlineStr">
        <is>
          <t>Sr. Applied Scientist, Amazon Advertising</t>
        </is>
      </c>
      <c r="C227" t="inlineStr">
        <is>
          <t>Amazon.com</t>
        </is>
      </c>
      <c r="D227" t="inlineStr">
        <is>
          <t>indeed</t>
        </is>
      </c>
      <c r="E227" t="inlineStr"/>
      <c r="F227" t="inlineStr"/>
      <c r="G227" t="inlineStr">
        <is>
          <t>West Hollywood, CA, US</t>
        </is>
      </c>
      <c r="H227" s="2" t="n">
        <v>45851</v>
      </c>
      <c r="I22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8">
      <c r="A228" t="inlineStr">
        <is>
          <t>in-c11111a1b66cd9c0</t>
        </is>
      </c>
      <c r="B228" t="inlineStr">
        <is>
          <t>Sr. Applied Scientist, Amazon Advertising</t>
        </is>
      </c>
      <c r="C228" t="inlineStr">
        <is>
          <t>Amazon.com</t>
        </is>
      </c>
      <c r="D228" t="inlineStr">
        <is>
          <t>indeed</t>
        </is>
      </c>
      <c r="E228" t="inlineStr"/>
      <c r="F228" t="inlineStr"/>
      <c r="G228" t="inlineStr">
        <is>
          <t>Arlington, VA, US</t>
        </is>
      </c>
      <c r="H228" s="2" t="n">
        <v>45851</v>
      </c>
      <c r="I22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9">
      <c r="A229" t="inlineStr">
        <is>
          <t>in-aa394a76cd446e92</t>
        </is>
      </c>
      <c r="B229" t="inlineStr">
        <is>
          <t>Sr. Applied Scientist, Amazon Advertising</t>
        </is>
      </c>
      <c r="C229" t="inlineStr">
        <is>
          <t>Amazon.com</t>
        </is>
      </c>
      <c r="D229" t="inlineStr">
        <is>
          <t>indeed</t>
        </is>
      </c>
      <c r="E229" t="inlineStr"/>
      <c r="F229" t="inlineStr"/>
      <c r="G229" t="inlineStr">
        <is>
          <t>Los Angeles, CA, US</t>
        </is>
      </c>
      <c r="H229" s="2" t="n">
        <v>45851</v>
      </c>
      <c r="I22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0">
      <c r="A230" t="inlineStr">
        <is>
          <t>in-48cf5413e35b8d63</t>
        </is>
      </c>
      <c r="B230" t="inlineStr">
        <is>
          <t>Sr. Applied Scientist, Amazon Advertising</t>
        </is>
      </c>
      <c r="C230" t="inlineStr">
        <is>
          <t>Amazon.com</t>
        </is>
      </c>
      <c r="D230" t="inlineStr">
        <is>
          <t>indeed</t>
        </is>
      </c>
      <c r="E230" t="inlineStr"/>
      <c r="F230" t="inlineStr"/>
      <c r="G230" t="inlineStr">
        <is>
          <t>Seattle, WA, US</t>
        </is>
      </c>
      <c r="H230" s="2" t="n">
        <v>45851</v>
      </c>
      <c r="I23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1">
      <c r="A231" t="inlineStr">
        <is>
          <t>in-85e92fb454944716</t>
        </is>
      </c>
      <c r="B231" t="inlineStr">
        <is>
          <t>Applied Scientist, Prime Video - Personalization and Discovery Science</t>
        </is>
      </c>
      <c r="C231" t="inlineStr">
        <is>
          <t>Amazon.com</t>
        </is>
      </c>
      <c r="D231" t="inlineStr">
        <is>
          <t>indeed</t>
        </is>
      </c>
      <c r="E231" t="inlineStr"/>
      <c r="F231" t="inlineStr"/>
      <c r="G231" t="inlineStr">
        <is>
          <t>Seattle, WA, US</t>
        </is>
      </c>
      <c r="H231" s="2" t="n">
        <v>45845</v>
      </c>
      <c r="I23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2">
      <c r="A232" t="inlineStr">
        <is>
          <t>in-9e60c1168371cbce</t>
        </is>
      </c>
      <c r="B232" t="inlineStr">
        <is>
          <t>Applied Scientist, Prime Video - Personalization and Discovery Science</t>
        </is>
      </c>
      <c r="C232" t="inlineStr">
        <is>
          <t>Amazon.com</t>
        </is>
      </c>
      <c r="D232" t="inlineStr">
        <is>
          <t>indeed</t>
        </is>
      </c>
      <c r="E232" t="inlineStr"/>
      <c r="F232" t="inlineStr"/>
      <c r="G232" t="inlineStr">
        <is>
          <t>Sunnyvale, CA, US</t>
        </is>
      </c>
      <c r="H232" s="2" t="n">
        <v>45845</v>
      </c>
      <c r="I23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3">
      <c r="A233" t="inlineStr">
        <is>
          <t>in-4d203517eb8176c9</t>
        </is>
      </c>
      <c r="B233" t="inlineStr">
        <is>
          <t>Applied Scientist, Prime Video - Personalization and Discovery Science</t>
        </is>
      </c>
      <c r="C233" t="inlineStr">
        <is>
          <t>Amazon.com</t>
        </is>
      </c>
      <c r="D233" t="inlineStr">
        <is>
          <t>indeed</t>
        </is>
      </c>
      <c r="E233" t="inlineStr"/>
      <c r="F233" t="inlineStr"/>
      <c r="G233" t="inlineStr">
        <is>
          <t>New York, NY, US</t>
        </is>
      </c>
      <c r="H233" s="2" t="n">
        <v>45845</v>
      </c>
      <c r="I23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4">
      <c r="A234" t="inlineStr">
        <is>
          <t>in-6b86d87aa898dffa</t>
        </is>
      </c>
      <c r="B234" t="inlineStr">
        <is>
          <t>Senior Applied Scientist, Artificial General Intelligence</t>
        </is>
      </c>
      <c r="C234" t="inlineStr">
        <is>
          <t>Amazon.com</t>
        </is>
      </c>
      <c r="D234" t="inlineStr">
        <is>
          <t>indeed</t>
        </is>
      </c>
      <c r="E234" t="inlineStr"/>
      <c r="F234" t="inlineStr"/>
      <c r="G234" t="inlineStr">
        <is>
          <t>Boston, MA, US</t>
        </is>
      </c>
      <c r="H234" s="2" t="n">
        <v>45838</v>
      </c>
      <c r="I234"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5">
      <c r="A235" t="inlineStr">
        <is>
          <t>in-2d4484749c999904</t>
        </is>
      </c>
      <c r="B235" t="inlineStr">
        <is>
          <t>Senior Applied Scientist, Artificial General Intelligence</t>
        </is>
      </c>
      <c r="C235" t="inlineStr">
        <is>
          <t>Amazon.com</t>
        </is>
      </c>
      <c r="D235" t="inlineStr">
        <is>
          <t>indeed</t>
        </is>
      </c>
      <c r="E235" t="inlineStr"/>
      <c r="F235" t="inlineStr"/>
      <c r="G235" t="inlineStr">
        <is>
          <t>Sunnyvale, CA, US</t>
        </is>
      </c>
      <c r="H235" s="2" t="n">
        <v>45838</v>
      </c>
      <c r="I235"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6">
      <c r="A236" t="inlineStr">
        <is>
          <t>in-bf44c1c236bcf819</t>
        </is>
      </c>
      <c r="B236" t="inlineStr">
        <is>
          <t>Senior Applied Scientist, Artificial General Intelligence</t>
        </is>
      </c>
      <c r="C236" t="inlineStr">
        <is>
          <t>Amazon.com</t>
        </is>
      </c>
      <c r="D236" t="inlineStr">
        <is>
          <t>indeed</t>
        </is>
      </c>
      <c r="E236" t="inlineStr"/>
      <c r="F236" t="inlineStr"/>
      <c r="G236" t="inlineStr">
        <is>
          <t>New York, NY, US</t>
        </is>
      </c>
      <c r="H236" s="2" t="n">
        <v>45838</v>
      </c>
      <c r="I236"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7">
      <c r="A237" t="inlineStr">
        <is>
          <t>in-e68b3b263fbe2e7f</t>
        </is>
      </c>
      <c r="B237" t="inlineStr">
        <is>
          <t>Sr. Applied Scientist, Sales AI</t>
        </is>
      </c>
      <c r="C237" t="inlineStr">
        <is>
          <t>Amazon.com</t>
        </is>
      </c>
      <c r="D237" t="inlineStr">
        <is>
          <t>indeed</t>
        </is>
      </c>
      <c r="E237" t="inlineStr"/>
      <c r="F237" t="inlineStr"/>
      <c r="G237" t="inlineStr">
        <is>
          <t>Sunnyvale, CA, US</t>
        </is>
      </c>
      <c r="H237" s="2" t="n">
        <v>45830</v>
      </c>
      <c r="I237"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8">
      <c r="A238" t="inlineStr">
        <is>
          <t>in-c3c4d4ef9c5c0925</t>
        </is>
      </c>
      <c r="B238" t="inlineStr">
        <is>
          <t>Sr. Applied Scientist, Sales AI</t>
        </is>
      </c>
      <c r="C238" t="inlineStr">
        <is>
          <t>Amazon.com</t>
        </is>
      </c>
      <c r="D238" t="inlineStr">
        <is>
          <t>indeed</t>
        </is>
      </c>
      <c r="E238" t="inlineStr"/>
      <c r="F238" t="inlineStr"/>
      <c r="G238" t="inlineStr">
        <is>
          <t>Seattle, WA, US</t>
        </is>
      </c>
      <c r="H238" s="2" t="n">
        <v>45830</v>
      </c>
      <c r="I238"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9">
      <c r="A239" t="inlineStr">
        <is>
          <t>in-bad7070f383dfee4</t>
        </is>
      </c>
      <c r="B239" t="inlineStr">
        <is>
          <t>Sr. Applied Scientist, Sales AI</t>
        </is>
      </c>
      <c r="C239" t="inlineStr">
        <is>
          <t>Amazon.com</t>
        </is>
      </c>
      <c r="D239" t="inlineStr">
        <is>
          <t>indeed</t>
        </is>
      </c>
      <c r="E239" t="inlineStr"/>
      <c r="F239" t="inlineStr"/>
      <c r="G239" t="inlineStr">
        <is>
          <t>New York, NY, US</t>
        </is>
      </c>
      <c r="H239" s="2" t="n">
        <v>45830</v>
      </c>
      <c r="I239"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0">
      <c r="A240" t="inlineStr">
        <is>
          <t>in-f17de5601fa09582</t>
        </is>
      </c>
      <c r="B240" t="inlineStr">
        <is>
          <t>Principal Applied Scientist, Delivery Foundation Model</t>
        </is>
      </c>
      <c r="C240" t="inlineStr">
        <is>
          <t>Amazon.com</t>
        </is>
      </c>
      <c r="D240" t="inlineStr">
        <is>
          <t>indeed</t>
        </is>
      </c>
      <c r="E240" t="inlineStr"/>
      <c r="F240" t="inlineStr"/>
      <c r="G240" t="inlineStr">
        <is>
          <t>Austin, TX, US</t>
        </is>
      </c>
      <c r="H240" s="2" t="n">
        <v>45810</v>
      </c>
      <c r="I24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1">
      <c r="A241" t="inlineStr">
        <is>
          <t>in-1ca5ca6fba3fb5ff</t>
        </is>
      </c>
      <c r="B241" t="inlineStr">
        <is>
          <t>Principal Applied Scientist, Delivery Foundation Model</t>
        </is>
      </c>
      <c r="C241" t="inlineStr">
        <is>
          <t>Amazon.com</t>
        </is>
      </c>
      <c r="D241" t="inlineStr">
        <is>
          <t>indeed</t>
        </is>
      </c>
      <c r="E241" t="inlineStr"/>
      <c r="F241" t="inlineStr"/>
      <c r="G241" t="inlineStr">
        <is>
          <t>Santa Clara, CA, US</t>
        </is>
      </c>
      <c r="H241" s="2" t="n">
        <v>45810</v>
      </c>
      <c r="I24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2">
      <c r="A242" t="inlineStr">
        <is>
          <t>in-e055b4cd38e021c4</t>
        </is>
      </c>
      <c r="B242" t="inlineStr">
        <is>
          <t>Principal Applied Scientist, Delivery Foundation Model</t>
        </is>
      </c>
      <c r="C242" t="inlineStr">
        <is>
          <t>Amazon.com</t>
        </is>
      </c>
      <c r="D242" t="inlineStr">
        <is>
          <t>indeed</t>
        </is>
      </c>
      <c r="E242" t="inlineStr"/>
      <c r="F242" t="inlineStr"/>
      <c r="G242" t="inlineStr">
        <is>
          <t>New York, NY, US</t>
        </is>
      </c>
      <c r="H242" s="2" t="n">
        <v>45810</v>
      </c>
      <c r="I24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3">
      <c r="A243" t="inlineStr">
        <is>
          <t>in-899bc621f87b5856</t>
        </is>
      </c>
      <c r="B243" t="inlineStr">
        <is>
          <t>Principal Applied Scientist, Delivery Foundation Model</t>
        </is>
      </c>
      <c r="C243" t="inlineStr">
        <is>
          <t>Amazon.com</t>
        </is>
      </c>
      <c r="D243" t="inlineStr">
        <is>
          <t>indeed</t>
        </is>
      </c>
      <c r="E243" t="inlineStr"/>
      <c r="F243" t="inlineStr"/>
      <c r="G243" t="inlineStr">
        <is>
          <t>Bellevue, WA, US</t>
        </is>
      </c>
      <c r="H243" s="2" t="n">
        <v>45810</v>
      </c>
      <c r="I24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4">
      <c r="A244" t="inlineStr">
        <is>
          <t>in-2d3c2364b6c1ec13</t>
        </is>
      </c>
      <c r="B244" t="inlineStr">
        <is>
          <t>Senior Applied Scientist, Delivery Foundation Model</t>
        </is>
      </c>
      <c r="C244" t="inlineStr">
        <is>
          <t>Amazon.com</t>
        </is>
      </c>
      <c r="D244" t="inlineStr">
        <is>
          <t>indeed</t>
        </is>
      </c>
      <c r="E244" t="inlineStr"/>
      <c r="F244" t="inlineStr"/>
      <c r="G244" t="inlineStr">
        <is>
          <t>New York, NY, US</t>
        </is>
      </c>
      <c r="H244" s="2" t="n">
        <v>45806</v>
      </c>
      <c r="I24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5">
      <c r="A245" t="inlineStr">
        <is>
          <t>in-9dd0c47eb12305c1</t>
        </is>
      </c>
      <c r="B245" t="inlineStr">
        <is>
          <t>Senior Applied Scientist, Delivery Foundation Model</t>
        </is>
      </c>
      <c r="C245" t="inlineStr">
        <is>
          <t>Amazon.com</t>
        </is>
      </c>
      <c r="D245" t="inlineStr">
        <is>
          <t>indeed</t>
        </is>
      </c>
      <c r="E245" t="inlineStr"/>
      <c r="F245" t="inlineStr"/>
      <c r="G245" t="inlineStr">
        <is>
          <t>Santa Clara, CA, US</t>
        </is>
      </c>
      <c r="H245" s="2" t="n">
        <v>45806</v>
      </c>
      <c r="I24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6">
      <c r="A246" t="inlineStr">
        <is>
          <t>in-02e0650090331579</t>
        </is>
      </c>
      <c r="B246" t="inlineStr">
        <is>
          <t>Senior Applied Scientist, Delivery Foundation Model</t>
        </is>
      </c>
      <c r="C246" t="inlineStr">
        <is>
          <t>Amazon.com</t>
        </is>
      </c>
      <c r="D246" t="inlineStr">
        <is>
          <t>indeed</t>
        </is>
      </c>
      <c r="E246" t="inlineStr"/>
      <c r="F246" t="inlineStr"/>
      <c r="G246" t="inlineStr">
        <is>
          <t>Bellevue, WA, US</t>
        </is>
      </c>
      <c r="H246" s="2" t="n">
        <v>45806</v>
      </c>
      <c r="I24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7">
      <c r="A247" t="inlineStr">
        <is>
          <t>in-c8ddba2752f4d9d7</t>
        </is>
      </c>
      <c r="B247" t="inlineStr">
        <is>
          <t>Principal Applied Scientist, Delivery Foundation Model</t>
        </is>
      </c>
      <c r="C247" t="inlineStr">
        <is>
          <t>Amazon.com</t>
        </is>
      </c>
      <c r="D247" t="inlineStr">
        <is>
          <t>indeed</t>
        </is>
      </c>
      <c r="E247" t="inlineStr"/>
      <c r="F247" t="inlineStr"/>
      <c r="G247" t="inlineStr">
        <is>
          <t>Santa Clara, CA, US</t>
        </is>
      </c>
      <c r="H247" s="2" t="n">
        <v>45757</v>
      </c>
      <c r="I24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8">
      <c r="A248" t="inlineStr">
        <is>
          <t>in-bd17de3b6437cee7</t>
        </is>
      </c>
      <c r="B248" t="inlineStr">
        <is>
          <t>Principal Applied Scientist, Delivery Foundation Model</t>
        </is>
      </c>
      <c r="C248" t="inlineStr">
        <is>
          <t>Amazon.com</t>
        </is>
      </c>
      <c r="D248" t="inlineStr">
        <is>
          <t>indeed</t>
        </is>
      </c>
      <c r="E248" t="inlineStr"/>
      <c r="F248" t="inlineStr"/>
      <c r="G248" t="inlineStr">
        <is>
          <t>New York, NY, US</t>
        </is>
      </c>
      <c r="H248" s="2" t="n">
        <v>45757</v>
      </c>
      <c r="I24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9">
      <c r="A249" t="inlineStr">
        <is>
          <t>in-ce066232eadc6fa9</t>
        </is>
      </c>
      <c r="B249" t="inlineStr">
        <is>
          <t>Principal Applied Scientist, Delivery Foundation Model</t>
        </is>
      </c>
      <c r="C249" t="inlineStr">
        <is>
          <t>Amazon.com</t>
        </is>
      </c>
      <c r="D249" t="inlineStr">
        <is>
          <t>indeed</t>
        </is>
      </c>
      <c r="E249" t="inlineStr"/>
      <c r="F249" t="inlineStr"/>
      <c r="G249" t="inlineStr">
        <is>
          <t>Bellevue, WA, US</t>
        </is>
      </c>
      <c r="H249" s="2" t="n">
        <v>45757</v>
      </c>
      <c r="I24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0">
      <c r="A250" t="inlineStr">
        <is>
          <t>in-6a236a709950d0f5</t>
        </is>
      </c>
      <c r="B250" t="inlineStr">
        <is>
          <t>Principal Applied Scientist, FAR (Frontier AI &amp; Robotics)</t>
        </is>
      </c>
      <c r="C250" t="inlineStr">
        <is>
          <t>Amazon.com</t>
        </is>
      </c>
      <c r="D250" t="inlineStr">
        <is>
          <t>indeed</t>
        </is>
      </c>
      <c r="E250" t="inlineStr"/>
      <c r="F250" t="inlineStr"/>
      <c r="G250" t="inlineStr">
        <is>
          <t>San Francisco, CA, US</t>
        </is>
      </c>
      <c r="H250" s="2" t="n">
        <v>45740</v>
      </c>
      <c r="I250"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1">
      <c r="A251" t="inlineStr">
        <is>
          <t>in-54633d0e577ac824</t>
        </is>
      </c>
      <c r="B251" t="inlineStr">
        <is>
          <t>Principal Applied Scientist, FAR (Frontier AI &amp; Robotics)</t>
        </is>
      </c>
      <c r="C251" t="inlineStr">
        <is>
          <t>Amazon.com</t>
        </is>
      </c>
      <c r="D251" t="inlineStr">
        <is>
          <t>indeed</t>
        </is>
      </c>
      <c r="E251" t="inlineStr"/>
      <c r="F251" t="inlineStr"/>
      <c r="G251" t="inlineStr">
        <is>
          <t>Seattle, WA, US</t>
        </is>
      </c>
      <c r="H251" s="2" t="n">
        <v>45740</v>
      </c>
      <c r="I251"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2">
      <c r="A252" t="inlineStr">
        <is>
          <t>in-a138e587a1a1240a</t>
        </is>
      </c>
      <c r="B252" t="inlineStr">
        <is>
          <t>Staff AI/ML Engineer</t>
        </is>
      </c>
      <c r="C252" t="inlineStr">
        <is>
          <t>Sigma Computing</t>
        </is>
      </c>
      <c r="D252" t="inlineStr">
        <is>
          <t>indeed</t>
        </is>
      </c>
      <c r="E252" t="inlineStr"/>
      <c r="F252" t="inlineStr"/>
      <c r="G252" t="inlineStr">
        <is>
          <t>San Francisco, CA, US</t>
        </is>
      </c>
      <c r="H252" s="2" t="n">
        <v>46053</v>
      </c>
      <c r="I252" t="inlineStr">
        <is>
          <t>#### **About the Role**
At Sigma, we're not just adding AI—we're building the future of how people work with data. Our platform already lets users explore billions of rows of data in seconds with a spreadsheet\-like interface, analyze and present their data in workbooks, and build data apps and workflows. Now we're pushing further, applying AI to reshape how people build in Sigma, discover insights, and make smarter decisions—fast.
That's where you come in. As an AI/ML Engineer, you'll join a growing team focused on building the AI foundation that will power Sigma for the future. Your work will become an integral part of the workflow for the thousands of enterprises that run on Sigma.
### **What You'll Do**
* Partner with product, design, and engineering teams to identify high\-impact AI/ML opportunities
* Prototype and productionize AI systems that feel intuitive but do a lot under the hood—recommendations, natural language interfaces, agentic workflows, and more
* Develop and scale AI/ML infrastructure that powers both internal tooling and customer\-facing features
* Tackle novel UX problems at the intersection of AI, BI, and apps
### **What You Bring**
* Bachelor's degree in Computer Science, Engineering, Mathematics, or a related field (required)
* 10\+ years of experience building and deploying production\-grade AI/ML systems
* Deep knowledge of machine learning, deep learning, and applied AI
* Experience across the full ML lifecycle: data curation, training, deployment, monitoring
* A track record of building things that ship—whether it's recommendations, search, machine translation, or something equally complex
* Experience adapting or training foundation models (language or multimodal) for novel domains
### **Bonus Points (or skills you'll build here)**
* You've built agents that can plan, reason, and use tools
* You know your way around cloud infrastructure (AWS, GCP, Azure)
* You've worked in a fast\-moving startup or high\-growth environment
**Additional Job details**
The base salary range for this position is $240k \- $270k annually.
Compensation may vary outside of this range depending on a number of factors, including a candidate's qualifications, skills, competencies and experience. Base pay is one part of the Total Package that is provided to compensate and recognize employees for their work at Sigma Computing. This role is eligible for stock options, as well as a comprehensive benefits package.
#### **About us:**
Sigma is the AI apps and analytics platform connected to the cloud data warehouse. Using Sigma, business and technical teams can build intelligent, production\-ready AI apps that accelerate and automate operational workflows. Sigma provides a spreadsheet interface, SQL and Python editors, visual builders, and native AI to help teams turn live data into interactive applications, analysis, reports, and embedded experiences.
Sigma announced its $200M in Series D financing in May 2024, to continue transforming BI through its innovations in AI infrastructure, data application development, enterprise\-wide collaboration, and business user adoption. Spark Capital and Avenir Growth Capital co\-led the Series D funding round, with additional participation from a group of past investors including Snowflake Ventures and Sutter Hill Ventures.The Series D funding, raised at a valuation 60% higher than the company's Series C round three years ago, promises to further accelerate Sigma's growth.
Come join us!
#### **Benefits For Our Full\-Time Employees:**
* Equity
* Generous health benefits
* Flexible time off policy. Take the time off you need!
* Paid bonding time for all new parents
* Traditional and Roth 401k
* Commuter and FSA benefits
* Lunch Program
* Dog friendly office
Sigma Computing is an equal opportunity employer. We are committed to building a smart and strong team regardless of race, color, ancestry, religion, sex, national origin, sexual orientation, age, citizenship, marital status, disability, gender, gender identity or expression, or veteran status. We look forward to learning how your experience can enable all of us to grow*.*
*Note: We have an in\-office work environment in all our offices in SF, NYC, and London.*
**Our Privacy Practices**
When you submit a job application on this site, Sigma processes your personal data for the purposes of evaluating your candidacy for employment at Sigma and as otherwise needed throughout the recruitment and hiring process. Please review Sigma's Candidate Privacy Notice for more details. Please note that your personal data may be transferred to a country other than the one in which it was provided (including to USA, the UK, and Canada).
**Sigma's use of AI**
This hiring process utilizes artificial intelligence tools to assist in candidate screening and assessment. Our AI tools are designed to complement, not replace, human decision\-making.</t>
        </is>
      </c>
    </row>
    <row r="253">
      <c r="A253" t="inlineStr">
        <is>
          <t>in-53d5256c1fada559</t>
        </is>
      </c>
      <c r="B253" t="inlineStr">
        <is>
          <t>Senior AI/ML Engineer</t>
        </is>
      </c>
      <c r="C253" t="inlineStr">
        <is>
          <t>Sigma Computing</t>
        </is>
      </c>
      <c r="D253" t="inlineStr">
        <is>
          <t>indeed</t>
        </is>
      </c>
      <c r="E253" t="inlineStr"/>
      <c r="F253" t="inlineStr"/>
      <c r="G253" t="inlineStr">
        <is>
          <t>San Francisco, CA, US</t>
        </is>
      </c>
      <c r="H253" s="2" t="n">
        <v>46053</v>
      </c>
      <c r="I253" t="inlineStr">
        <is>
          <t>#### **About the Role**
At Sigma, we're not just adding AI—we're building the future of how people work with data. Our platform already lets users explore billions of rows of data in seconds with a spreadsheet\-like interface, analyze and present their data in workbooks, and build data apps and workflows. Now we're pushing further, applying AI to reshape how people build in Sigma, discover insights, and make smarter decisions—fast.
That's where you come in. As an AI/ML Engineer, you'll join a growing team focused on building the AI foundation that will power Sigma for the future. Your work will become an integral part of the workflow for the thousands of enterprises that run on Sigma.
### **What You'll Do**
* Partner with product, design, and engineering teams to identify high\-impact AI/ML opportunities
* Prototype and productionize AI systems that feel intuitive but do a lot under the hood—recommendations, natural language interfaces, agentic workflows, and more
* Develop and scale AI/ML infrastructure that powers both internal tooling and customer\-facing features
* Tackle novel UX problems at the intersection of AI, BI, and apps
### **What You Bring**
* Bachelor's degree in Computer Science, Engineering, Mathematics, or a related field (required)
* 10\+ years of experience building and deploying production\-grade AI/ML systems
* Deep knowledge of machine learning, deep learning, and applied AI
* Experience across the full ML lifecycle: data curation, training, deployment, monitoring
* A track record of building things that ship—whether it's recommendations, search, machine translation, or something equally complex
* Experience adapting or training foundation models (language or multimodal) for novel domains
### **Bonus Points (or skills you'll build here)**
* You've built agents that can plan, reason, and use tools
* You know your way around cloud infrastructure (AWS, GCP, Azure)
* You've worked in a fast\-moving startup or high\-growth environment
**Additional Job details**
The base salary range for this position is $240k \- $270k annually.
Compensation may vary outside of this range depending on a number of factors, including a candidate's qualifications, skills, competencies and experience. Base pay is one part of the Total Package that is provided to compensate and recognize employees for their work at Sigma Computing. This role is eligible for stock options, as well as a comprehensive benefits package.
#### **About us:**
Sigma is the AI apps and analytics platform connected to the cloud data warehouse. Using Sigma, business and technical teams can build intelligent, production\-ready AI apps that accelerate and automate operational workflows. Sigma provides a spreadsheet interface, SQL and Python editors, visual builders, and native AI to help teams turn live data into interactive applications, analysis, reports, and embedded experiences.
Sigma announced its $200M in Series D financing in May 2024, to continue transforming BI through its innovations in AI infrastructure, data application development, enterprise\-wide collaboration, and business user adoption. Spark Capital and Avenir Growth Capital co\-led the Series D funding round, with additional participation from a group of past investors including Snowflake Ventures and Sutter Hill Ventures.The Series D funding, raised at a valuation 60% higher than the company's Series C round three years ago, promises to further accelerate Sigma's growth.
Come join us!
#### **Benefits For Our Full\-Time Employees:**
* Equity
* Generous health benefits
* Flexible time off policy. Take the time off you need!
* Paid bonding time for all new parents
* Traditional and Roth 401k
* Commuter and FSA benefits
* Lunch Program
* Dog friendly office
Sigma Computing is an equal opportunity employer. We are committed to building a smart and strong team regardless of race, color, ancestry, religion, sex, national origin, sexual orientation, age, citizenship, marital status, disability, gender, gender identity or expression, or veteran status. We look forward to learning how your experience can enable all of us to grow*.*
*Note: We have an in\-office work environment in all our offices in SF, NYC, and London.*
**Our Privacy Practices**
When you submit a job application on this site, Sigma processes your personal data for the purposes of evaluating your candidacy for employment at Sigma and as otherwise needed throughout the recruitment and hiring process. Please review Sigma's Candidate Privacy Notice for more details. Please note that your personal data may be transferred to a country other than the one in which it was provided (including to USA, the UK, and Canada).
**Sigma's use of AI**
This hiring process utilizes artificial intelligence tools to assist in candidate screening and assessment. Our AI tools are designed to complement, not replace, human decision\-making.</t>
        </is>
      </c>
    </row>
    <row r="254">
      <c r="A254" t="inlineStr">
        <is>
          <t>in-431c065033e789e0</t>
        </is>
      </c>
      <c r="B254" t="inlineStr">
        <is>
          <t>Staff AI/ML Engineer</t>
        </is>
      </c>
      <c r="C254" t="inlineStr">
        <is>
          <t>Sigma Computing</t>
        </is>
      </c>
      <c r="D254" t="inlineStr">
        <is>
          <t>indeed</t>
        </is>
      </c>
      <c r="E254" t="inlineStr"/>
      <c r="F254" t="inlineStr"/>
      <c r="G254" t="inlineStr">
        <is>
          <t>San Francisco, CA, US</t>
        </is>
      </c>
      <c r="H254" s="2" t="n">
        <v>46053</v>
      </c>
      <c r="I254" t="inlineStr">
        <is>
          <t>#### **About the Role**
At Sigma, we're not just adding AI—we're building the future of how people work with data. Our platform already lets users explore billions of rows of data in seconds with a spreadsheet\-like interface, analyze and present their data in workbooks, and build data apps and workflows. Now we're pushing further, applying AI to reshape how people build in Sigma, discover insights, and make smarter decisions—fast.
That's where you come in. As an AI/ML Engineer, you'll join a growing team focused on building the AI foundation that will power Sigma for the future. Your work will become an integral part of the workflow for the thousands of enterprises that run on Sigma.
### **What You'll Do**
* Partner with product, design, and engineering teams to identify high\-impact AI/ML opportunities
* Prototype and productionize AI systems that feel intuitive but do a lot under the hood—recommendations, natural language interfaces, agentic workflows, and more
* Develop and scale AI/ML infrastructure that powers both internal tooling and customer\-facing features
* Tackle novel UX problems at the intersection of AI, BI, and apps
### **What You Bring**
* Bachelor's degree in Computer Science, Engineering, Mathematics, or a related field (required)
* 10\+ years of experience building and deploying production\-grade AI/ML systems
* Deep knowledge of machine learning, deep learning, and applied AI
* Experience across the full ML lifecycle: data curation, training, deployment, monitoring
* A track record of building things that ship—whether it's recommendations, search, machine translation, or something equally complex
* Experience adapting or training foundation models (language or multimodal) for novel domains
### **Bonus Points (or skills you'll build here)**
* You've built agents that can plan, reason, and use tools
* You know your way around cloud infrastructure (AWS, GCP, Azure)
* You've worked in a fast\-moving startup or high\-growth environment
**Additional Job details**
The base salary range for this position is $240k \- $270k annually.
Compensation may vary outside of this range depending on a number of factors, including a candidate's qualifications, skills, competencies and experience. Base pay is one part of the Total Package that is provided to compensate and recognize employees for their work at Sigma Computing. This role is eligible for stock options, as well as a comprehensive benefits package.
#### **About us:**
Sigma is the AI apps and analytics platform connected to the cloud data warehouse. Using Sigma, business and technical teams can build intelligent, production\-ready AI apps that accelerate and automate operational workflows. Sigma provides a spreadsheet interface, SQL and Python editors, visual builders, and native AI to help teams turn live data into interactive applications, analysis, reports, and embedded experiences.
Sigma announced its $200M in Series D financing in May 2024, to continue transforming BI through its innovations in AI infrastructure, data application development, enterprise\-wide collaboration, and business user adoption. Spark Capital and Avenir Growth Capital co\-led the Series D funding round, with additional participation from a group of past investors including Snowflake Ventures and Sutter Hill Ventures.The Series D funding, raised at a valuation 60% higher than the company's Series C round three years ago, promises to further accelerate Sigma's growth.
Come join us!
#### **Benefits For Our Full\-Time Employees:**
* Equity
* Generous health benefits
* Flexible time off policy. Take the time off you need!
* Paid bonding time for all new parents
* Traditional and Roth 401k
* Commuter and FSA benefits
* Lunch Program
* Dog friendly office
Sigma Computing is an equal opportunity employer. We are committed to building a smart and strong team regardless of race, color, ancestry, religion, sex, national origin, sexual orientation, age, citizenship, marital status, disability, gender, gender identity or expression, or veteran status. We look forward to learning how your experience can enable all of us to grow*.*
*Note: We have an in\-office work environment in all our offices in SF, NYC, and London.*
**Our Privacy Practices**
When you submit a job application on this site, Sigma processes your personal data for the purposes of evaluating your candidacy for employment at Sigma and as otherwise needed throughout the recruitment and hiring process. Please review Sigma's Candidate Privacy Notice for more details. Please note that your personal data may be transferred to a country other than the one in which it was provided (including to USA, the UK, and Canada).
**Sigma's use of AI**
This hiring process utilizes artificial intelligence tools to assist in candidate screening and assessment. Our AI tools are designed to complement, not replace, human decision\-making.</t>
        </is>
      </c>
    </row>
    <row r="255">
      <c r="A255" t="inlineStr">
        <is>
          <t>in-ec5075988e01dcc4</t>
        </is>
      </c>
      <c r="B255" t="inlineStr">
        <is>
          <t>Staff AI/ML Engineer</t>
        </is>
      </c>
      <c r="C255" t="inlineStr">
        <is>
          <t>Sigma Computing</t>
        </is>
      </c>
      <c r="D255" t="inlineStr">
        <is>
          <t>indeed</t>
        </is>
      </c>
      <c r="E255" t="inlineStr"/>
      <c r="F255" t="inlineStr"/>
      <c r="G255" t="inlineStr">
        <is>
          <t>San Francisco, CA, US</t>
        </is>
      </c>
      <c r="H255" s="2" t="n">
        <v>46053</v>
      </c>
      <c r="I255" t="inlineStr">
        <is>
          <t>#### **About the Role**
At Sigma, we're not just adding AI—we're building the future of how people work with data. Our platform already lets users explore billions of rows of data in seconds with a spreadsheet\-like interface, analyze and present their data in workbooks, and build data apps and workflows. Now we're pushing further, applying AI to reshape how people build in Sigma, discover insights, and make smarter decisions—fast.
That's where you come in. As an AI/ML Engineer, you'll join a growing team focused on building the AI foundation that will power Sigma for the future. Your work will become an integral part of the workflow for the thousands of enterprises that run on Sigma.
### **What You'll Do**
* Partner with product, design, and engineering teams to identify high\-impact AI/ML opportunities
* Prototype and productionize AI systems that feel intuitive but do a lot under the hood—recommendations, natural language interfaces, agentic workflows, and more
* Develop and scale AI/ML infrastructure that powers both internal tooling and customer\-facing features
* Tackle novel UX problems at the intersection of AI, BI, and apps
### **What You Bring**
* Bachelor's degree in Computer Science, Engineering, Mathematics, or a related field (required)
* 10\+ years of experience building and deploying production\-grade AI/ML systems
* Deep knowledge of machine learning, deep learning, and applied AI
* Experience across the full ML lifecycle: data curation, training, deployment, monitoring
* A track record of building things that ship—whether it's recommendations, search, machine translation, or something equally complex
* Experience adapting or training foundation models (language or multimodal) for novel domains
### **Bonus Points (or skills you'll build here)**
* You've built agents that can plan, reason, and use tools
* You know your way around cloud infrastructure (AWS, GCP, Azure)
* You've worked in a fast\-moving startup or high\-growth environment
**Additional Job details**
The base salary range for this position is $240k \- $270k annually.
Compensation may vary outside of this range depending on a number of factors, including a candidate's qualifications, skills, competencies and experience. Base pay is one part of the Total Package that is provided to compensate and recognize employees for their work at Sigma Computing. This role is eligible for stock options, as well as a comprehensive benefits package.
#### **About us:**
Sigma is the AI apps and analytics platform connected to the cloud data warehouse. Using Sigma, business and technical teams can build intelligent, production\-ready AI apps that accelerate and automate operational workflows. Sigma provides a spreadsheet interface, SQL and Python editors, visual builders, and native AI to help teams turn live data into interactive applications, analysis, reports, and embedded experiences.
Sigma announced its $200M in Series D financing in May 2024, to continue transforming BI through its innovations in AI infrastructure, data application development, enterprise\-wide collaboration, and business user adoption. Spark Capital and Avenir Growth Capital co\-led the Series D funding round, with additional participation from a group of past investors including Snowflake Ventures and Sutter Hill Ventures.The Series D funding, raised at a valuation 60% higher than the company's Series C round three years ago, promises to further accelerate Sigma's growth.
Come join us!
#### **Benefits For Our Full\-Time Employees:**
* Equity
* Generous health benefits
* Flexible time off policy. Take the time off you need!
* Paid bonding time for all new parents
* Traditional and Roth 401k
* Commuter and FSA benefits
* Lunch Program
* Dog friendly office
Sigma Computing is an equal opportunity employer. We are committed to building a smart and strong team regardless of race, color, ancestry, religion, sex, national origin, sexual orientation, age, citizenship, marital status, disability, gender, gender identity or expression, or veteran status. We look forward to learning how your experience can enable all of us to grow*.*
*Note: We have an in\-office work environment in all our offices in SF, NYC, and London.*
**Our Privacy Practices**
When you submit a job application on this site, Sigma processes your personal data for the purposes of evaluating your candidacy for employment at Sigma and as otherwise needed throughout the recruitment and hiring process. Please review Sigma's Candidate Privacy Notice for more details. Please note that your personal data may be transferred to a country other than the one in which it was provided (including to USA, the UK, and Canada).
**Sigma's use of AI**
This hiring process utilizes artificial intelligence tools to assist in candidate screening and assessment. Our AI tools are designed to complement, not replace, human decision\-making.</t>
        </is>
      </c>
    </row>
    <row r="256">
      <c r="A256" t="inlineStr">
        <is>
          <t>in-8d1901b97aa6ea48</t>
        </is>
      </c>
      <c r="B256" t="inlineStr">
        <is>
          <t>Machine Learning Engineer, WWPS ProServe Data and Machine Learning</t>
        </is>
      </c>
      <c r="C256" t="inlineStr">
        <is>
          <t>Amazon Web Services</t>
        </is>
      </c>
      <c r="D256" t="inlineStr">
        <is>
          <t>indeed</t>
        </is>
      </c>
      <c r="E256" t="inlineStr"/>
      <c r="F256" t="inlineStr"/>
      <c r="G256" t="inlineStr">
        <is>
          <t>Arlington, VA, US</t>
        </is>
      </c>
      <c r="H256" s="2" t="n">
        <v>46044</v>
      </c>
      <c r="I256"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be a US Citizen and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in professional software engineering \&amp; best practices for the full software development life cycle, including coding standards, software architectures, code reviews, source control management, continuous deployments, testing, and operational excellence
* Current, active US Government Security Clearance of TS/SCI with Polygraph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257">
      <c r="A257" t="inlineStr">
        <is>
          <t>in-8b2388696c345bf5</t>
        </is>
      </c>
      <c r="B257" t="inlineStr">
        <is>
          <t>Machine Learning Engineer, WWPS ProServe Data and Machine Learning</t>
        </is>
      </c>
      <c r="C257" t="inlineStr">
        <is>
          <t>Amazon Web Services</t>
        </is>
      </c>
      <c r="D257" t="inlineStr">
        <is>
          <t>indeed</t>
        </is>
      </c>
      <c r="E257" t="inlineStr"/>
      <c r="F257" t="inlineStr"/>
      <c r="G257" t="inlineStr">
        <is>
          <t>Herndon, VA, US</t>
        </is>
      </c>
      <c r="H257" s="2" t="n">
        <v>46044</v>
      </c>
      <c r="I257"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be a US Citizen and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in professional software engineering \&amp; best practices for the full software development life cycle, including coding standards, software architectures, code reviews, source control management, continuous deployments, testing, and operational excellence
* Current, active US Government Security Clearance of TS/SCI with Polygraph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258">
      <c r="A258" t="inlineStr">
        <is>
          <t>in-2cb52e1729e1ae5c</t>
        </is>
      </c>
      <c r="B258" t="inlineStr">
        <is>
          <t>Machine Learning Engineer, WWPS ProServe Data and Machine Learning</t>
        </is>
      </c>
      <c r="C258" t="inlineStr">
        <is>
          <t>Amazon Web Services</t>
        </is>
      </c>
      <c r="D258" t="inlineStr">
        <is>
          <t>indeed</t>
        </is>
      </c>
      <c r="E258" t="inlineStr"/>
      <c r="F258" t="inlineStr"/>
      <c r="G258" t="inlineStr">
        <is>
          <t>Herndon, VA, US</t>
        </is>
      </c>
      <c r="H258" s="2" t="n">
        <v>46043</v>
      </c>
      <c r="I258"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1\+ years of working with or evaluating AI systems experience
* Knowledge of professional software engineering \&amp; best practices for full software development life cycle, including coding standards, software architectures, code reviews, source control management, continuous deployments, testing, and operational excellence
* Experience in professional software engineering \&amp; best practices for the full software development life cycle, including coding standards, software architectures, code reviews, source control management, continuous deployments, testing, and operational excellence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259">
      <c r="A259" t="inlineStr">
        <is>
          <t>in-cb8e031b9b971f0f</t>
        </is>
      </c>
      <c r="B259" t="inlineStr">
        <is>
          <t>Machine Learning Engineer, WWPS ProServe Data and Machine Learning</t>
        </is>
      </c>
      <c r="C259" t="inlineStr">
        <is>
          <t>Amazon Web Services</t>
        </is>
      </c>
      <c r="D259" t="inlineStr">
        <is>
          <t>indeed</t>
        </is>
      </c>
      <c r="E259" t="inlineStr"/>
      <c r="F259" t="inlineStr"/>
      <c r="G259" t="inlineStr">
        <is>
          <t>Arlington, VA, US</t>
        </is>
      </c>
      <c r="H259" s="2" t="n">
        <v>46043</v>
      </c>
      <c r="I259"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1\+ years of working with or evaluating AI systems experience
* Knowledge of professional software engineering \&amp; best practices for full software development life cycle, including coding standards, software architectures, code reviews, source control management, continuous deployments, testing, and operational excellence
* Experience in professional software engineering \&amp; best practices for the full software development life cycle, including coding standards, software architectures, code reviews, source control management, continuous deployments, testing, and operational excellence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260">
      <c r="A260" t="inlineStr">
        <is>
          <t>in-7a1f69e7248e8ecf</t>
        </is>
      </c>
      <c r="B260" t="inlineStr">
        <is>
          <t>Applied Scientist, Alexa Smart Home</t>
        </is>
      </c>
      <c r="C260" t="inlineStr">
        <is>
          <t>Amazon.com</t>
        </is>
      </c>
      <c r="D260" t="inlineStr">
        <is>
          <t>indeed</t>
        </is>
      </c>
      <c r="E260" t="inlineStr"/>
      <c r="F260" t="inlineStr"/>
      <c r="G260" t="inlineStr">
        <is>
          <t>Seattle, WA, US</t>
        </is>
      </c>
      <c r="H260" s="2" t="n">
        <v>46033</v>
      </c>
      <c r="I260"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261">
      <c r="A261" t="inlineStr">
        <is>
          <t>in-29d65a580d586784</t>
        </is>
      </c>
      <c r="B261" t="inlineStr">
        <is>
          <t>Applied Scientist, Alexa Smart Home</t>
        </is>
      </c>
      <c r="C261" t="inlineStr">
        <is>
          <t>Amazon.com</t>
        </is>
      </c>
      <c r="D261" t="inlineStr">
        <is>
          <t>indeed</t>
        </is>
      </c>
      <c r="E261" t="inlineStr"/>
      <c r="F261" t="inlineStr"/>
      <c r="G261" t="inlineStr">
        <is>
          <t>Sunnyvale, CA, US</t>
        </is>
      </c>
      <c r="H261" s="2" t="n">
        <v>46033</v>
      </c>
      <c r="I261"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262">
      <c r="A262" t="inlineStr">
        <is>
          <t>in-1db0f37913c36fae</t>
        </is>
      </c>
      <c r="B262" t="inlineStr">
        <is>
          <t>Sr Applied Scientist, AWS Proactive Security</t>
        </is>
      </c>
      <c r="C262" t="inlineStr">
        <is>
          <t>Amazon.com</t>
        </is>
      </c>
      <c r="D262" t="inlineStr">
        <is>
          <t>indeed</t>
        </is>
      </c>
      <c r="E262" t="inlineStr"/>
      <c r="F262" t="inlineStr"/>
      <c r="G262" t="inlineStr">
        <is>
          <t>Arlington, VA, US</t>
        </is>
      </c>
      <c r="H262" s="2" t="n">
        <v>46030</v>
      </c>
      <c r="I262"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263">
      <c r="A263" t="inlineStr">
        <is>
          <t>in-9d779eac7dcf9db3</t>
        </is>
      </c>
      <c r="B263" t="inlineStr">
        <is>
          <t>Sr Applied Scientist, AWS Proactive Security</t>
        </is>
      </c>
      <c r="C263" t="inlineStr">
        <is>
          <t>Amazon.com</t>
        </is>
      </c>
      <c r="D263" t="inlineStr">
        <is>
          <t>indeed</t>
        </is>
      </c>
      <c r="E263" t="inlineStr"/>
      <c r="F263" t="inlineStr"/>
      <c r="G263" t="inlineStr">
        <is>
          <t>Sunnyvale, CA, US</t>
        </is>
      </c>
      <c r="H263" s="2" t="n">
        <v>46030</v>
      </c>
      <c r="I263"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264">
      <c r="A264" t="inlineStr">
        <is>
          <t>in-33af9189561bd46f</t>
        </is>
      </c>
      <c r="B264" t="inlineStr">
        <is>
          <t>Sr Applied Scientist, AWS Proactive Security</t>
        </is>
      </c>
      <c r="C264" t="inlineStr">
        <is>
          <t>Amazon.com</t>
        </is>
      </c>
      <c r="D264" t="inlineStr">
        <is>
          <t>indeed</t>
        </is>
      </c>
      <c r="E264" t="inlineStr"/>
      <c r="F264" t="inlineStr"/>
      <c r="G264" t="inlineStr">
        <is>
          <t>Herndon, VA, US</t>
        </is>
      </c>
      <c r="H264" s="2" t="n">
        <v>46030</v>
      </c>
      <c r="I264"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265">
      <c r="A265" t="inlineStr">
        <is>
          <t>in-f76e2ac9c01bd99e</t>
        </is>
      </c>
      <c r="B265" t="inlineStr">
        <is>
          <t>Sr. Applied Scientist, Amazon Ads</t>
        </is>
      </c>
      <c r="C265" t="inlineStr">
        <is>
          <t>Amazon.com</t>
        </is>
      </c>
      <c r="D265" t="inlineStr">
        <is>
          <t>indeed</t>
        </is>
      </c>
      <c r="E265">
        <f>HYPERLINK("https://www.indeed.com/viewjob?jk=f76e2ac9c01bd99e", "https://www.indeed.com/viewjob?jk=f76e2ac9c01bd99e")</f>
        <v/>
      </c>
      <c r="F265">
        <f>HYPERLINK("https://www.amazon.jobs/jobs/3139328/sr-applied-scientist-amazon-ads?cmpid=DA_INAD200785B", "https://www.amazon.jobs/jobs/3139328/sr-applied-scientist-amazon-ads?cmpid=DA_INAD200785B")</f>
        <v/>
      </c>
      <c r="G265" t="inlineStr">
        <is>
          <t>Sunnyvale, CA, US</t>
        </is>
      </c>
      <c r="H265" s="3" t="n">
        <v>45998</v>
      </c>
      <c r="I26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66">
      <c r="A266" t="inlineStr">
        <is>
          <t>in-bdeccc55b8f3b369</t>
        </is>
      </c>
      <c r="B266" t="inlineStr">
        <is>
          <t>Sr. Applied Scientist, Amazon Ads</t>
        </is>
      </c>
      <c r="C266" t="inlineStr">
        <is>
          <t>Amazon.com</t>
        </is>
      </c>
      <c r="D266" t="inlineStr">
        <is>
          <t>indeed</t>
        </is>
      </c>
      <c r="E266">
        <f>HYPERLINK("https://www.indeed.com/viewjob?jk=bdeccc55b8f3b369", "https://www.indeed.com/viewjob?jk=bdeccc55b8f3b369")</f>
        <v/>
      </c>
      <c r="F266">
        <f>HYPERLINK("https://www.amazon.jobs/jobs/3139328/sr-applied-scientist-amazon-ads?cmpid=DA_INAD200785B", "https://www.amazon.jobs/jobs/3139328/sr-applied-scientist-amazon-ads?cmpid=DA_INAD200785B")</f>
        <v/>
      </c>
      <c r="G266" t="inlineStr">
        <is>
          <t>New York, NY, US</t>
        </is>
      </c>
      <c r="H266" s="3" t="n">
        <v>45998</v>
      </c>
      <c r="I26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67">
      <c r="A267" t="inlineStr">
        <is>
          <t>in-a5c7ce00d1327e3e</t>
        </is>
      </c>
      <c r="B267" t="inlineStr">
        <is>
          <t>Sr. Applied Scientist, Amazon Ads</t>
        </is>
      </c>
      <c r="C267" t="inlineStr">
        <is>
          <t>Amazon.com</t>
        </is>
      </c>
      <c r="D267" t="inlineStr">
        <is>
          <t>indeed</t>
        </is>
      </c>
      <c r="E267">
        <f>HYPERLINK("https://www.indeed.com/viewjob?jk=a5c7ce00d1327e3e", "https://www.indeed.com/viewjob?jk=a5c7ce00d1327e3e")</f>
        <v/>
      </c>
      <c r="F267">
        <f>HYPERLINK("https://www.amazon.jobs/jobs/3139328/sr-applied-scientist-amazon-ads?cmpid=DA_INAD200785B", "https://www.amazon.jobs/jobs/3139328/sr-applied-scientist-amazon-ads?cmpid=DA_INAD200785B")</f>
        <v/>
      </c>
      <c r="G267" t="inlineStr">
        <is>
          <t>Seattle, WA, US</t>
        </is>
      </c>
      <c r="H267" s="3" t="n">
        <v>45998</v>
      </c>
      <c r="I26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68">
      <c r="A268" t="inlineStr">
        <is>
          <t>in-6b1201154042c1b7</t>
        </is>
      </c>
      <c r="B268" t="inlineStr">
        <is>
          <t>Sr. Applied Scientist, Amazon Ads</t>
        </is>
      </c>
      <c r="C268" t="inlineStr">
        <is>
          <t>Amazon.com</t>
        </is>
      </c>
      <c r="D268" t="inlineStr">
        <is>
          <t>indeed</t>
        </is>
      </c>
      <c r="E268">
        <f>HYPERLINK("https://www.indeed.com/viewjob?jk=6b1201154042c1b7", "https://www.indeed.com/viewjob?jk=6b1201154042c1b7")</f>
        <v/>
      </c>
      <c r="F268">
        <f>HYPERLINK("https://www.amazon.jobs/jobs/3139328/sr-applied-scientist-amazon-ads?cmpid=DA_INAD200785B", "https://www.amazon.jobs/jobs/3139328/sr-applied-scientist-amazon-ads?cmpid=DA_INAD200785B")</f>
        <v/>
      </c>
      <c r="G268" t="inlineStr">
        <is>
          <t>Brooklyn, NY, US</t>
        </is>
      </c>
      <c r="H268" s="3" t="n">
        <v>45998</v>
      </c>
      <c r="I26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69">
      <c r="A269" t="inlineStr">
        <is>
          <t>in-aed558dbf9bebc04</t>
        </is>
      </c>
      <c r="B269" t="inlineStr">
        <is>
          <t>Sr. Applied Scientist, Amazon Ads</t>
        </is>
      </c>
      <c r="C269" t="inlineStr">
        <is>
          <t>Amazon.com</t>
        </is>
      </c>
      <c r="D269" t="inlineStr">
        <is>
          <t>indeed</t>
        </is>
      </c>
      <c r="E269">
        <f>HYPERLINK("https://www.indeed.com/viewjob?jk=aed558dbf9bebc04", "https://www.indeed.com/viewjob?jk=aed558dbf9bebc04")</f>
        <v/>
      </c>
      <c r="F269">
        <f>HYPERLINK("https://www.amazon.jobs/jobs/3139328/sr-applied-scientist-amazon-ads?cmpid=DA_INAD200785B", "https://www.amazon.jobs/jobs/3139328/sr-applied-scientist-amazon-ads?cmpid=DA_INAD200785B")</f>
        <v/>
      </c>
      <c r="G269" t="inlineStr">
        <is>
          <t>Palo Alto, CA, US</t>
        </is>
      </c>
      <c r="H269" s="3" t="n">
        <v>45998</v>
      </c>
      <c r="I26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70">
      <c r="A270" t="inlineStr">
        <is>
          <t>in-fbed8339b22d18c6</t>
        </is>
      </c>
      <c r="B270" t="inlineStr">
        <is>
          <t>Sr. Applied Scientist, Amazon Ads</t>
        </is>
      </c>
      <c r="C270" t="inlineStr">
        <is>
          <t>Amazon.com</t>
        </is>
      </c>
      <c r="D270" t="inlineStr">
        <is>
          <t>indeed</t>
        </is>
      </c>
      <c r="E270">
        <f>HYPERLINK("https://www.indeed.com/viewjob?jk=fbed8339b22d18c6", "https://www.indeed.com/viewjob?jk=fbed8339b22d18c6")</f>
        <v/>
      </c>
      <c r="F270">
        <f>HYPERLINK("https://www.amazon.jobs/jobs/3139328/sr-applied-scientist-amazon-ads?cmpid=DA_INAD200785B", "https://www.amazon.jobs/jobs/3139328/sr-applied-scientist-amazon-ads?cmpid=DA_INAD200785B")</f>
        <v/>
      </c>
      <c r="G270" t="inlineStr">
        <is>
          <t>Tukwila, WA, US</t>
        </is>
      </c>
      <c r="H270" s="3" t="n">
        <v>45998</v>
      </c>
      <c r="I27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71">
      <c r="A271" t="inlineStr">
        <is>
          <t>in-3c4c69b5a25c6643</t>
        </is>
      </c>
      <c r="B271" t="inlineStr">
        <is>
          <t>Sr. Applied Scientist, Amazon Ads</t>
        </is>
      </c>
      <c r="C271" t="inlineStr">
        <is>
          <t>Amazon.com</t>
        </is>
      </c>
      <c r="D271" t="inlineStr">
        <is>
          <t>indeed</t>
        </is>
      </c>
      <c r="E271">
        <f>HYPERLINK("https://www.indeed.com/viewjob?jk=3c4c69b5a25c6643", "https://www.indeed.com/viewjob?jk=3c4c69b5a25c6643")</f>
        <v/>
      </c>
      <c r="F271">
        <f>HYPERLINK("https://www.amazon.jobs/jobs/3139328/sr-applied-scientist-amazon-ads?cmpid=DA_INAD200785B", "https://www.amazon.jobs/jobs/3139328/sr-applied-scientist-amazon-ads?cmpid=DA_INAD200785B")</f>
        <v/>
      </c>
      <c r="G271" t="inlineStr">
        <is>
          <t>Corvallis, OR, US</t>
        </is>
      </c>
      <c r="H271" s="3" t="n">
        <v>45998</v>
      </c>
      <c r="I27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72">
      <c r="A272" t="inlineStr">
        <is>
          <t>in-0ce1f069395aca41</t>
        </is>
      </c>
      <c r="B272" t="inlineStr">
        <is>
          <t>Sr. Applied Scientist, Amazon Ads</t>
        </is>
      </c>
      <c r="C272" t="inlineStr">
        <is>
          <t>Amazon.com</t>
        </is>
      </c>
      <c r="D272" t="inlineStr">
        <is>
          <t>indeed</t>
        </is>
      </c>
      <c r="E272">
        <f>HYPERLINK("https://www.indeed.com/viewjob?jk=0ce1f069395aca41", "https://www.indeed.com/viewjob?jk=0ce1f069395aca41")</f>
        <v/>
      </c>
      <c r="F272">
        <f>HYPERLINK("https://www.amazon.jobs/jobs/3139328/sr-applied-scientist-amazon-ads?cmpid=DA_INAD200785B", "https://www.amazon.jobs/jobs/3139328/sr-applied-scientist-amazon-ads?cmpid=DA_INAD200785B")</f>
        <v/>
      </c>
      <c r="G272" t="inlineStr">
        <is>
          <t>Boulder, CO, US</t>
        </is>
      </c>
      <c r="H272" s="3" t="n">
        <v>45998</v>
      </c>
      <c r="I27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73">
      <c r="A273" t="inlineStr">
        <is>
          <t>in-a8745af9f818b78c</t>
        </is>
      </c>
      <c r="B273" t="inlineStr">
        <is>
          <t>Sr. Applied Scientist, Amazon Ads</t>
        </is>
      </c>
      <c r="C273" t="inlineStr">
        <is>
          <t>Amazon.com</t>
        </is>
      </c>
      <c r="D273" t="inlineStr">
        <is>
          <t>indeed</t>
        </is>
      </c>
      <c r="E273">
        <f>HYPERLINK("https://www.indeed.com/viewjob?jk=a8745af9f818b78c", "https://www.indeed.com/viewjob?jk=a8745af9f818b78c")</f>
        <v/>
      </c>
      <c r="F273">
        <f>HYPERLINK("https://www.amazon.jobs/jobs/3139328/sr-applied-scientist-amazon-ads?cmpid=DA_INAD200785B", "https://www.amazon.jobs/jobs/3139328/sr-applied-scientist-amazon-ads?cmpid=DA_INAD200785B")</f>
        <v/>
      </c>
      <c r="G273" t="inlineStr">
        <is>
          <t>Santa Monica, CA, US</t>
        </is>
      </c>
      <c r="H273" s="3" t="n">
        <v>45998</v>
      </c>
      <c r="I27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74">
      <c r="A274" t="inlineStr">
        <is>
          <t>in-4b9aa2cf6df18d38</t>
        </is>
      </c>
      <c r="B274" t="inlineStr">
        <is>
          <t>Sr. Applied Scientist, Amazon Ads</t>
        </is>
      </c>
      <c r="C274" t="inlineStr">
        <is>
          <t>Amazon.com</t>
        </is>
      </c>
      <c r="D274" t="inlineStr">
        <is>
          <t>indeed</t>
        </is>
      </c>
      <c r="E274">
        <f>HYPERLINK("https://www.indeed.com/viewjob?jk=4b9aa2cf6df18d38", "https://www.indeed.com/viewjob?jk=4b9aa2cf6df18d38")</f>
        <v/>
      </c>
      <c r="F274">
        <f>HYPERLINK("https://www.amazon.jobs/jobs/3139328/sr-applied-scientist-amazon-ads?cmpid=DA_INAD200785B", "https://www.amazon.jobs/jobs/3139328/sr-applied-scientist-amazon-ads?cmpid=DA_INAD200785B")</f>
        <v/>
      </c>
      <c r="G274" t="inlineStr">
        <is>
          <t>Boston, MA, US</t>
        </is>
      </c>
      <c r="H274" s="3" t="n">
        <v>45998</v>
      </c>
      <c r="I27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75">
      <c r="A275" t="inlineStr">
        <is>
          <t>in-ee10934dcf9a3d6d</t>
        </is>
      </c>
      <c r="B275" t="inlineStr">
        <is>
          <t>Principal Applied Scientist, Amazon Special Projects</t>
        </is>
      </c>
      <c r="C275" t="inlineStr">
        <is>
          <t>Amazon.com</t>
        </is>
      </c>
      <c r="D275" t="inlineStr">
        <is>
          <t>indeed</t>
        </is>
      </c>
      <c r="E275">
        <f>HYPERLINK("https://www.indeed.com/viewjob?jk=ee10934dcf9a3d6d", "https://www.indeed.com/viewjob?jk=ee10934dcf9a3d6d")</f>
        <v/>
      </c>
      <c r="F275">
        <f>HYPERLINK("https://www.amazon.jobs/jobs/3132566/principal-applied-scientist-amazon-special-projects?cmpid=DA_INAD200785B", "https://www.amazon.jobs/jobs/3132566/principal-applied-scientist-amazon-special-projects?cmpid=DA_INAD200785B")</f>
        <v/>
      </c>
      <c r="G275" t="inlineStr">
        <is>
          <t>Boston, MA, US</t>
        </is>
      </c>
      <c r="H275" s="3" t="n">
        <v>45982</v>
      </c>
      <c r="I275"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6">
      <c r="A276" t="inlineStr">
        <is>
          <t>in-29a24f7466c4404f</t>
        </is>
      </c>
      <c r="B276" t="inlineStr">
        <is>
          <t>Principal Applied Scientist, Amazon Special Projects</t>
        </is>
      </c>
      <c r="C276" t="inlineStr">
        <is>
          <t>Amazon.com</t>
        </is>
      </c>
      <c r="D276" t="inlineStr">
        <is>
          <t>indeed</t>
        </is>
      </c>
      <c r="E276">
        <f>HYPERLINK("https://www.indeed.com/viewjob?jk=29a24f7466c4404f", "https://www.indeed.com/viewjob?jk=29a24f7466c4404f")</f>
        <v/>
      </c>
      <c r="F276">
        <f>HYPERLINK("https://www.amazon.jobs/jobs/3132566/principal-applied-scientist-amazon-special-projects?cmpid=DA_INAD200785B", "https://www.amazon.jobs/jobs/3132566/principal-applied-scientist-amazon-special-projects?cmpid=DA_INAD200785B")</f>
        <v/>
      </c>
      <c r="G276" t="inlineStr">
        <is>
          <t>Seattle, WA, US</t>
        </is>
      </c>
      <c r="H276" s="3" t="n">
        <v>45982</v>
      </c>
      <c r="I276"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7">
      <c r="A277" t="inlineStr">
        <is>
          <t>in-927aa996458e1414</t>
        </is>
      </c>
      <c r="B277" t="inlineStr">
        <is>
          <t>Sr. Applied Scientist, AGI Foundations</t>
        </is>
      </c>
      <c r="C277" t="inlineStr">
        <is>
          <t>Amazon.com</t>
        </is>
      </c>
      <c r="D277" t="inlineStr">
        <is>
          <t>indeed</t>
        </is>
      </c>
      <c r="E277">
        <f>HYPERLINK("https://www.indeed.com/viewjob?jk=927aa996458e1414", "https://www.indeed.com/viewjob?jk=927aa996458e1414")</f>
        <v/>
      </c>
      <c r="F277">
        <f>HYPERLINK("https://www.amazon.jobs/jobs/3128807/sr-applied-scientist-agi-foundations?cmpid=DA_INAD200785B", "https://www.amazon.jobs/jobs/3128807/sr-applied-scientist-agi-foundations?cmpid=DA_INAD200785B")</f>
        <v/>
      </c>
      <c r="G277" t="inlineStr">
        <is>
          <t>Sunnyvale, CA, US</t>
        </is>
      </c>
      <c r="H277" s="3" t="n">
        <v>45978</v>
      </c>
      <c r="I277"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8">
      <c r="A278" t="inlineStr">
        <is>
          <t>in-f6e7d9e61865c428</t>
        </is>
      </c>
      <c r="B278" t="inlineStr">
        <is>
          <t>Sr. Applied Scientist, AGI Foundations</t>
        </is>
      </c>
      <c r="C278" t="inlineStr">
        <is>
          <t>Amazon.com</t>
        </is>
      </c>
      <c r="D278" t="inlineStr">
        <is>
          <t>indeed</t>
        </is>
      </c>
      <c r="E278">
        <f>HYPERLINK("https://www.indeed.com/viewjob?jk=f6e7d9e61865c428", "https://www.indeed.com/viewjob?jk=f6e7d9e61865c428")</f>
        <v/>
      </c>
      <c r="F278">
        <f>HYPERLINK("https://www.amazon.jobs/jobs/3128807/sr-applied-scientist-agi-foundations?cmpid=DA_INAD200785B", "https://www.amazon.jobs/jobs/3128807/sr-applied-scientist-agi-foundations?cmpid=DA_INAD200785B")</f>
        <v/>
      </c>
      <c r="G278" t="inlineStr">
        <is>
          <t>Bellevue, WA, US</t>
        </is>
      </c>
      <c r="H278" s="3" t="n">
        <v>45978</v>
      </c>
      <c r="I278"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9">
      <c r="A279" t="inlineStr">
        <is>
          <t>in-c0680c6daa6b86c7</t>
        </is>
      </c>
      <c r="B279" t="inlineStr">
        <is>
          <t>Sr. Applied Scientist, AGI Foundations</t>
        </is>
      </c>
      <c r="C279" t="inlineStr">
        <is>
          <t>Amazon.com</t>
        </is>
      </c>
      <c r="D279" t="inlineStr">
        <is>
          <t>indeed</t>
        </is>
      </c>
      <c r="E279">
        <f>HYPERLINK("https://www.indeed.com/viewjob?jk=c0680c6daa6b86c7", "https://www.indeed.com/viewjob?jk=c0680c6daa6b86c7")</f>
        <v/>
      </c>
      <c r="F279">
        <f>HYPERLINK("https://www.amazon.jobs/jobs/3128807/sr-applied-scientist-agi-foundations?cmpid=DA_INAD200785B", "https://www.amazon.jobs/jobs/3128807/sr-applied-scientist-agi-foundations?cmpid=DA_INAD200785B")</f>
        <v/>
      </c>
      <c r="G279" t="inlineStr">
        <is>
          <t>Boston, MA, US</t>
        </is>
      </c>
      <c r="H279" s="3" t="n">
        <v>45978</v>
      </c>
      <c r="I279"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0">
      <c r="A280" t="inlineStr">
        <is>
          <t>in-69924712ab6f579b</t>
        </is>
      </c>
      <c r="B280" t="inlineStr">
        <is>
          <t>Sr. Applied Scientist, AGI Foundations</t>
        </is>
      </c>
      <c r="C280" t="inlineStr">
        <is>
          <t>Amazon.com</t>
        </is>
      </c>
      <c r="D280" t="inlineStr">
        <is>
          <t>indeed</t>
        </is>
      </c>
      <c r="E280">
        <f>HYPERLINK("https://www.indeed.com/viewjob?jk=69924712ab6f579b", "https://www.indeed.com/viewjob?jk=69924712ab6f579b")</f>
        <v/>
      </c>
      <c r="F280">
        <f>HYPERLINK("https://www.amazon.jobs/jobs/3128807/sr-applied-scientist-agi-foundations?cmpid=DA_INAD200785B", "https://www.amazon.jobs/jobs/3128807/sr-applied-scientist-agi-foundations?cmpid=DA_INAD200785B")</f>
        <v/>
      </c>
      <c r="G280" t="inlineStr">
        <is>
          <t>New York, NY, US</t>
        </is>
      </c>
      <c r="H280" s="3" t="n">
        <v>45978</v>
      </c>
      <c r="I280"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1">
      <c r="A281" t="inlineStr">
        <is>
          <t>in-822fc8cea2453ed0</t>
        </is>
      </c>
      <c r="B281" t="inlineStr">
        <is>
          <t>Sr. Applied Scientist, AGI Foundations</t>
        </is>
      </c>
      <c r="C281" t="inlineStr">
        <is>
          <t>Amazon.com</t>
        </is>
      </c>
      <c r="D281" t="inlineStr">
        <is>
          <t>indeed</t>
        </is>
      </c>
      <c r="E281">
        <f>HYPERLINK("https://www.indeed.com/viewjob?jk=822fc8cea2453ed0", "https://www.indeed.com/viewjob?jk=822fc8cea2453ed0")</f>
        <v/>
      </c>
      <c r="F281">
        <f>HYPERLINK("https://www.amazon.jobs/jobs/3123268/sr-applied-scientist-agi-foundations?cmpid=DA_INAD200785B", "https://www.amazon.jobs/jobs/3123268/sr-applied-scientist-agi-foundations?cmpid=DA_INAD200785B")</f>
        <v/>
      </c>
      <c r="G281" t="inlineStr">
        <is>
          <t>Boston, MA, US</t>
        </is>
      </c>
      <c r="H281" s="3" t="n">
        <v>45963</v>
      </c>
      <c r="I281"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2">
      <c r="A282" t="inlineStr">
        <is>
          <t>in-bb4fc93964fa287b</t>
        </is>
      </c>
      <c r="B282" t="inlineStr">
        <is>
          <t>Sr. Applied Scientist, AGI Foundations</t>
        </is>
      </c>
      <c r="C282" t="inlineStr">
        <is>
          <t>Amazon.com</t>
        </is>
      </c>
      <c r="D282" t="inlineStr">
        <is>
          <t>indeed</t>
        </is>
      </c>
      <c r="E282">
        <f>HYPERLINK("https://www.indeed.com/viewjob?jk=bb4fc93964fa287b", "https://www.indeed.com/viewjob?jk=bb4fc93964fa287b")</f>
        <v/>
      </c>
      <c r="F282">
        <f>HYPERLINK("https://www.amazon.jobs/jobs/3123268/sr-applied-scientist-agi-foundations?cmpid=DA_INAD200785B", "https://www.amazon.jobs/jobs/3123268/sr-applied-scientist-agi-foundations?cmpid=DA_INAD200785B")</f>
        <v/>
      </c>
      <c r="G282" t="inlineStr">
        <is>
          <t>Bellevue, WA, US</t>
        </is>
      </c>
      <c r="H282" s="3" t="n">
        <v>45963</v>
      </c>
      <c r="I282"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3">
      <c r="A283" t="inlineStr">
        <is>
          <t>in-c45ae1b9762ad33c</t>
        </is>
      </c>
      <c r="B283" t="inlineStr">
        <is>
          <t>Sr. Applied Scientist, AGI Foundations</t>
        </is>
      </c>
      <c r="C283" t="inlineStr">
        <is>
          <t>Amazon.com</t>
        </is>
      </c>
      <c r="D283" t="inlineStr">
        <is>
          <t>indeed</t>
        </is>
      </c>
      <c r="E283">
        <f>HYPERLINK("https://www.indeed.com/viewjob?jk=c45ae1b9762ad33c", "https://www.indeed.com/viewjob?jk=c45ae1b9762ad33c")</f>
        <v/>
      </c>
      <c r="F283">
        <f>HYPERLINK("https://www.amazon.jobs/jobs/3123268/sr-applied-scientist-agi-foundations?cmpid=DA_INAD200785B", "https://www.amazon.jobs/jobs/3123268/sr-applied-scientist-agi-foundations?cmpid=DA_INAD200785B")</f>
        <v/>
      </c>
      <c r="G283" t="inlineStr">
        <is>
          <t>New York, NY, US</t>
        </is>
      </c>
      <c r="H283" s="3" t="n">
        <v>45963</v>
      </c>
      <c r="I283"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4">
      <c r="A284" t="inlineStr">
        <is>
          <t>in-e8dad79876f6c20e</t>
        </is>
      </c>
      <c r="B284" t="inlineStr">
        <is>
          <t>Applied Scientist II, Prime Video - Personalization and Discovery Science, Personalization and Discovery Science</t>
        </is>
      </c>
      <c r="C284" t="inlineStr">
        <is>
          <t>Amazon.com</t>
        </is>
      </c>
      <c r="D284" t="inlineStr">
        <is>
          <t>indeed</t>
        </is>
      </c>
      <c r="E284">
        <f>HYPERLINK("https://www.indeed.com/viewjob?jk=e8dad79876f6c20e", "https://www.indeed.com/viewjob?jk=e8dad79876f6c20e")</f>
        <v/>
      </c>
      <c r="F284">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284" t="inlineStr">
        <is>
          <t>Seattle, WA, US</t>
        </is>
      </c>
      <c r="H284" s="3" t="n">
        <v>45930</v>
      </c>
      <c r="I28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5">
      <c r="A285" t="inlineStr">
        <is>
          <t>in-d4ed4b1721cecfb2</t>
        </is>
      </c>
      <c r="B285" t="inlineStr">
        <is>
          <t>Applied Scientist II, Prime Video - Personalization and Discovery Science, Personalization and Discovery Science</t>
        </is>
      </c>
      <c r="C285" t="inlineStr">
        <is>
          <t>Amazon.com</t>
        </is>
      </c>
      <c r="D285" t="inlineStr">
        <is>
          <t>indeed</t>
        </is>
      </c>
      <c r="E285">
        <f>HYPERLINK("https://www.indeed.com/viewjob?jk=d4ed4b1721cecfb2", "https://www.indeed.com/viewjob?jk=d4ed4b1721cecfb2")</f>
        <v/>
      </c>
      <c r="F285">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285" t="inlineStr">
        <is>
          <t>New York, NY, US</t>
        </is>
      </c>
      <c r="H285" s="3" t="n">
        <v>45930</v>
      </c>
      <c r="I28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6">
      <c r="A286" t="inlineStr">
        <is>
          <t>in-ed0cf6f7f55e19c0</t>
        </is>
      </c>
      <c r="B286" t="inlineStr">
        <is>
          <t>Applied Scientist II, Prime Video - Personalization and Discovery Science, Personalization and Discovery Science</t>
        </is>
      </c>
      <c r="C286" t="inlineStr">
        <is>
          <t>Amazon.com</t>
        </is>
      </c>
      <c r="D286" t="inlineStr">
        <is>
          <t>indeed</t>
        </is>
      </c>
      <c r="E286">
        <f>HYPERLINK("https://www.indeed.com/viewjob?jk=ed0cf6f7f55e19c0", "https://www.indeed.com/viewjob?jk=ed0cf6f7f55e19c0")</f>
        <v/>
      </c>
      <c r="F286">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286" t="inlineStr">
        <is>
          <t>Sunnyvale, CA, US</t>
        </is>
      </c>
      <c r="H286" s="3" t="n">
        <v>45930</v>
      </c>
      <c r="I28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7">
      <c r="A287" t="inlineStr">
        <is>
          <t>in-f094f00d27eed1d4</t>
        </is>
      </c>
      <c r="B287" t="inlineStr">
        <is>
          <t>Applied Scientist II, Prime Video - Personalization and Discovery Science</t>
        </is>
      </c>
      <c r="C287" t="inlineStr">
        <is>
          <t>Amazon.com</t>
        </is>
      </c>
      <c r="D287" t="inlineStr">
        <is>
          <t>indeed</t>
        </is>
      </c>
      <c r="E287">
        <f>HYPERLINK("https://www.indeed.com/viewjob?jk=f094f00d27eed1d4", "https://www.indeed.com/viewjob?jk=f094f00d27eed1d4")</f>
        <v/>
      </c>
      <c r="F287">
        <f>HYPERLINK("https://www.amazon.jobs/jobs/3059253/applied-scientist-ii-prime-video--personalization-and-discovery-science?cmpid=DA_INAD200785B", "https://www.amazon.jobs/jobs/3059253/applied-scientist-ii-prime-video--personalization-and-discovery-science?cmpid=DA_INAD200785B")</f>
        <v/>
      </c>
      <c r="G287" t="inlineStr">
        <is>
          <t>Sunnyvale, CA, US</t>
        </is>
      </c>
      <c r="H287" s="3" t="n">
        <v>45881</v>
      </c>
      <c r="I28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8">
      <c r="A288" t="inlineStr">
        <is>
          <t>in-6324c48e259fde04</t>
        </is>
      </c>
      <c r="B288" t="inlineStr">
        <is>
          <t>Applied Scientist II, Prime Video - Personalization and Discovery Science</t>
        </is>
      </c>
      <c r="C288" t="inlineStr">
        <is>
          <t>Amazon.com</t>
        </is>
      </c>
      <c r="D288" t="inlineStr">
        <is>
          <t>indeed</t>
        </is>
      </c>
      <c r="E288">
        <f>HYPERLINK("https://www.indeed.com/viewjob?jk=6324c48e259fde04", "https://www.indeed.com/viewjob?jk=6324c48e259fde04")</f>
        <v/>
      </c>
      <c r="F288">
        <f>HYPERLINK("https://www.amazon.jobs/jobs/3059253/applied-scientist-ii-prime-video--personalization-and-discovery-science?cmpid=DA_INAD200785B", "https://www.amazon.jobs/jobs/3059253/applied-scientist-ii-prime-video--personalization-and-discovery-science?cmpid=DA_INAD200785B")</f>
        <v/>
      </c>
      <c r="G288" t="inlineStr">
        <is>
          <t>Seattle, WA, US</t>
        </is>
      </c>
      <c r="H288" s="3" t="n">
        <v>45881</v>
      </c>
      <c r="I28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9">
      <c r="A289" t="inlineStr">
        <is>
          <t>in-4198139dc8d154a7</t>
        </is>
      </c>
      <c r="B289" t="inlineStr">
        <is>
          <t>Sr. Applied Scientist, Prime Video - Personalization and Discovery Science</t>
        </is>
      </c>
      <c r="C289" t="inlineStr">
        <is>
          <t>Amazon.com</t>
        </is>
      </c>
      <c r="D289" t="inlineStr">
        <is>
          <t>indeed</t>
        </is>
      </c>
      <c r="E289">
        <f>HYPERLINK("https://www.indeed.com/viewjob?jk=4198139dc8d154a7", "https://www.indeed.com/viewjob?jk=4198139dc8d154a7")</f>
        <v/>
      </c>
      <c r="F289">
        <f>HYPERLINK("https://www.amazon.jobs/jobs/3059256/sr-applied-scientist-prime-video--personalization-and-discovery-science?cmpid=DA_INAD200785B", "https://www.amazon.jobs/jobs/3059256/sr-applied-scientist-prime-video--personalization-and-discovery-science?cmpid=DA_INAD200785B")</f>
        <v/>
      </c>
      <c r="G289" t="inlineStr">
        <is>
          <t>New York, NY, US</t>
        </is>
      </c>
      <c r="H289" s="3" t="n">
        <v>45881</v>
      </c>
      <c r="I28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0">
      <c r="A290" t="inlineStr">
        <is>
          <t>in-d715f0eecc8213fa</t>
        </is>
      </c>
      <c r="B290" t="inlineStr">
        <is>
          <t>Applied Scientist II, Prime Video - Personalization and Discovery Science</t>
        </is>
      </c>
      <c r="C290" t="inlineStr">
        <is>
          <t>Amazon.com</t>
        </is>
      </c>
      <c r="D290" t="inlineStr">
        <is>
          <t>indeed</t>
        </is>
      </c>
      <c r="E290">
        <f>HYPERLINK("https://www.indeed.com/viewjob?jk=d715f0eecc8213fa", "https://www.indeed.com/viewjob?jk=d715f0eecc8213fa")</f>
        <v/>
      </c>
      <c r="F290">
        <f>HYPERLINK("https://www.amazon.jobs/jobs/3059253/applied-scientist-ii-prime-video--personalization-and-discovery-science?cmpid=DA_INAD200785B", "https://www.amazon.jobs/jobs/3059253/applied-scientist-ii-prime-video--personalization-and-discovery-science?cmpid=DA_INAD200785B")</f>
        <v/>
      </c>
      <c r="G290" t="inlineStr">
        <is>
          <t>New York, NY, US</t>
        </is>
      </c>
      <c r="H290" s="3" t="n">
        <v>45881</v>
      </c>
      <c r="I29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1">
      <c r="A291" t="inlineStr">
        <is>
          <t>in-c3c1fc1bfa857b4e</t>
        </is>
      </c>
      <c r="B291" t="inlineStr">
        <is>
          <t>Sr. Applied Scientist, Prime Video - Personalization and Discovery Science</t>
        </is>
      </c>
      <c r="C291" t="inlineStr">
        <is>
          <t>Amazon.com</t>
        </is>
      </c>
      <c r="D291" t="inlineStr">
        <is>
          <t>indeed</t>
        </is>
      </c>
      <c r="E291">
        <f>HYPERLINK("https://www.indeed.com/viewjob?jk=c3c1fc1bfa857b4e", "https://www.indeed.com/viewjob?jk=c3c1fc1bfa857b4e")</f>
        <v/>
      </c>
      <c r="F291">
        <f>HYPERLINK("https://www.amazon.jobs/jobs/3059256/sr-applied-scientist-prime-video--personalization-and-discovery-science?cmpid=DA_INAD200785B", "https://www.amazon.jobs/jobs/3059256/sr-applied-scientist-prime-video--personalization-and-discovery-science?cmpid=DA_INAD200785B")</f>
        <v/>
      </c>
      <c r="G291" t="inlineStr">
        <is>
          <t>Sunnyvale, CA, US</t>
        </is>
      </c>
      <c r="H291" s="3" t="n">
        <v>45881</v>
      </c>
      <c r="I29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2">
      <c r="A292" t="inlineStr">
        <is>
          <t>in-243b85dfc3377ee4</t>
        </is>
      </c>
      <c r="B292" t="inlineStr">
        <is>
          <t>Sr. Applied Scientist, Prime Video - Personalization and Discovery Science</t>
        </is>
      </c>
      <c r="C292" t="inlineStr">
        <is>
          <t>Amazon.com</t>
        </is>
      </c>
      <c r="D292" t="inlineStr">
        <is>
          <t>indeed</t>
        </is>
      </c>
      <c r="E292">
        <f>HYPERLINK("https://www.indeed.com/viewjob?jk=243b85dfc3377ee4", "https://www.indeed.com/viewjob?jk=243b85dfc3377ee4")</f>
        <v/>
      </c>
      <c r="F292">
        <f>HYPERLINK("https://www.amazon.jobs/jobs/3059256/sr-applied-scientist-prime-video--personalization-and-discovery-science?cmpid=DA_INAD200785B", "https://www.amazon.jobs/jobs/3059256/sr-applied-scientist-prime-video--personalization-and-discovery-science?cmpid=DA_INAD200785B")</f>
        <v/>
      </c>
      <c r="G292" t="inlineStr">
        <is>
          <t>Seattle, WA, US</t>
        </is>
      </c>
      <c r="H292" s="3" t="n">
        <v>45881</v>
      </c>
      <c r="I29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3">
      <c r="A293" t="inlineStr">
        <is>
          <t>in-85e92fb454944716</t>
        </is>
      </c>
      <c r="B293" t="inlineStr">
        <is>
          <t>Applied Scientist, Prime Video - Personalization and Discovery Science</t>
        </is>
      </c>
      <c r="C293" t="inlineStr">
        <is>
          <t>Amazon.com</t>
        </is>
      </c>
      <c r="D293" t="inlineStr">
        <is>
          <t>indeed</t>
        </is>
      </c>
      <c r="E293">
        <f>HYPERLINK("https://www.indeed.com/viewjob?jk=85e92fb454944716", "https://www.indeed.com/viewjob?jk=85e92fb454944716")</f>
        <v/>
      </c>
      <c r="F293">
        <f>HYPERLINK("https://www.amazon.jobs/jobs/3033050/applied-scientist-prime-video--personalization-and-discovery-science?cmpid=DA_INAD200785B", "https://www.amazon.jobs/jobs/3033050/applied-scientist-prime-video--personalization-and-discovery-science?cmpid=DA_INAD200785B")</f>
        <v/>
      </c>
      <c r="G293" t="inlineStr">
        <is>
          <t>Seattle, WA, US</t>
        </is>
      </c>
      <c r="H293" s="3" t="n">
        <v>45845</v>
      </c>
      <c r="I29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4">
      <c r="A294" t="inlineStr">
        <is>
          <t>in-9e60c1168371cbce</t>
        </is>
      </c>
      <c r="B294" t="inlineStr">
        <is>
          <t>Applied Scientist, Prime Video - Personalization and Discovery Science</t>
        </is>
      </c>
      <c r="C294" t="inlineStr">
        <is>
          <t>Amazon.com</t>
        </is>
      </c>
      <c r="D294" t="inlineStr">
        <is>
          <t>indeed</t>
        </is>
      </c>
      <c r="E294">
        <f>HYPERLINK("https://www.indeed.com/viewjob?jk=9e60c1168371cbce", "https://www.indeed.com/viewjob?jk=9e60c1168371cbce")</f>
        <v/>
      </c>
      <c r="F294">
        <f>HYPERLINK("https://www.amazon.jobs/jobs/3033050/applied-scientist-prime-video--personalization-and-discovery-science?cmpid=DA_INAD200785B", "https://www.amazon.jobs/jobs/3033050/applied-scientist-prime-video--personalization-and-discovery-science?cmpid=DA_INAD200785B")</f>
        <v/>
      </c>
      <c r="G294" t="inlineStr">
        <is>
          <t>Sunnyvale, CA, US</t>
        </is>
      </c>
      <c r="H294" s="3" t="n">
        <v>45845</v>
      </c>
      <c r="I29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5">
      <c r="A295" t="inlineStr">
        <is>
          <t>in-4d203517eb8176c9</t>
        </is>
      </c>
      <c r="B295" t="inlineStr">
        <is>
          <t>Applied Scientist, Prime Video - Personalization and Discovery Science</t>
        </is>
      </c>
      <c r="C295" t="inlineStr">
        <is>
          <t>Amazon.com</t>
        </is>
      </c>
      <c r="D295" t="inlineStr">
        <is>
          <t>indeed</t>
        </is>
      </c>
      <c r="E295">
        <f>HYPERLINK("https://www.indeed.com/viewjob?jk=4d203517eb8176c9", "https://www.indeed.com/viewjob?jk=4d203517eb8176c9")</f>
        <v/>
      </c>
      <c r="F295">
        <f>HYPERLINK("https://www.amazon.jobs/jobs/3033050/applied-scientist-prime-video--personalization-and-discovery-science?cmpid=DA_INAD200785B", "https://www.amazon.jobs/jobs/3033050/applied-scientist-prime-video--personalization-and-discovery-science?cmpid=DA_INAD200785B")</f>
        <v/>
      </c>
      <c r="G295" t="inlineStr">
        <is>
          <t>New York, NY, US</t>
        </is>
      </c>
      <c r="H295" s="3" t="n">
        <v>45845</v>
      </c>
      <c r="I29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6">
      <c r="A296" t="inlineStr">
        <is>
          <t>in-a4c59318bcfd9876</t>
        </is>
      </c>
      <c r="B296" t="inlineStr">
        <is>
          <t>AI Engineering Specialist</t>
        </is>
      </c>
      <c r="C296" t="inlineStr">
        <is>
          <t>ZS Associates</t>
        </is>
      </c>
      <c r="D296" t="inlineStr">
        <is>
          <t>indeed</t>
        </is>
      </c>
      <c r="E296">
        <f>HYPERLINK("https://www.indeed.com/viewjob?jk=a4c59318bcfd9876", "https://www.indeed.com/viewjob?jk=a4c59318bcfd9876")</f>
        <v/>
      </c>
      <c r="F296">
        <f>HYPERLINK("https://jobs.zs.com/jobs/24236/job?utm_source=indeed_integration&amp;iis=Job%20Board&amp;iisn=Indeed&amp;indeed-apply-token=73a2d2b2a8d6d5c0a62696875eaebd669103652d3f0c2cd5445d3e66b1592b0f", "https://jobs.zs.com/jobs/24236/job?utm_source=indeed_integration&amp;iis=Job%20Board&amp;iisn=Indeed&amp;indeed-apply-token=73a2d2b2a8d6d5c0a62696875eaebd669103652d3f0c2cd5445d3e66b1592b0f")</f>
        <v/>
      </c>
      <c r="G296" t="inlineStr">
        <is>
          <t>Evanston, IL, US</t>
        </is>
      </c>
      <c r="H296" s="3" t="n">
        <v>46053</v>
      </c>
      <c r="I296" t="inlineStr">
        <is>
          <t>:
**ZS**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collective of thinkers and experts shaping life\-changing solutions for patients, caregivers and consumers, worldwide. ZSers drive impact by bringing a **client\-first mentality** to each and every engagement. We partner collaboratively with our clients to develop custom solutions and technology products that create value and deliver company results across critical areas of their business. Bring your curiosity for learning, bold ideas, courage and passion to drive life\-changing impact to ZS.
 :
**Engineering Specialist \- Gen AI and ML** **ZS's Scaled AI**practice is part of ZS's rich and advanced AI ecosystem, in the Architecture \&amp; Engineering Expertise Center, focused on creating continuous business value for clients using a range of innovative machine learning, deep learning, and engineering capabilities.
Being part of Scaled AI practice allows you to collaborate with data scientists to create state\-of\-the\-art AI models, create and use cutting\-edge ML platforms, create and deploy advanced ML pipelines and manage the complete ML lifecycle. **What** **You’ll** **Do*** Oversee task planning and workload distribution across project teams
* Serve as a trusted technical advisor to clients, translating complex AI/ML concepts into clear recommendations
* Manage client expectations throughout the project lifecycle
* Lead and mentor junior team members
* Facilitate technical discussions with both internal teams and client stakeholders to drive decision‑making and ensure project success.
* Work with technical architects on the team to validate design and implementation approach
* Take ownership of architecture design and development of scalable and distributed software systems.
* Own technical execution, ensuring code quality, adherence to deadlines, and efficient resource allocation
* Data driven decision making skills with focus on achieving product goals
* Design, develop and deploy LLM based pipelines involving patterns like RAG, Agentic workflows, PEFT (e.g. LORA, QLORA, etc.)
* Responsible for the complete software development lifecycle, including requirements analysis, design, coding, testing, and deployment.
* Utilize AWS services/ Azure services like IAM, Monitoring, Load Balancing, Autoscaling, Database, Networking, storage, ECR, AKS, ACR etc.
* Utilize Databricks capabilities, esp. Unity Catalog and be able to architect the governance layer from data all\-the\-way to the AI model output
* Design, develop and deploy prompt and response guardrails to enable responsible AI requirements
* Implement DevOps practices using tools like Docker, Kubernetes to ensure continuous integration and delivery. Develop DevOps scripts for automation and monitoring.
* Collaborate with cross\-functional teams, conduct code reviews, and provide guidance on software design and best practices.
 **What You'll Bring:*** Bachelor’s degree in computer science, Information Technology, or a related field (or equivalent work experience).
* 6\+ years of relevant experience
* Strong coding skills with proficiency in Python and Javascript
* Experience with API frameworks both stateless and stateful such as Fast API, Django
* Proficient in cloud platforms, specifically AWS, Databricks and Azure
* Proficient in Infra\-as\-Code, esp. focused on developing Terraform scripts and Cloudformation
* Knowledge and hands\-on experience with front\-end development (React JS, Next JS, Tailwind CSS) preferred
* Strong experience in LLM patterns like RAG, Vector DB, Hybrid Search, Agent development, Agentic workflows, prompt engineering, etc.
* Strong experience with LLM APIs (Open AI, Anthropic, AWS Bedrock), SDKs (Langchain, DSPy)
* Hands\-on experience with DevOps tools including Docker, Kubernetes, and AWS services (Redshift, RDS, S3\).
* Hands\-on experience with Databricks solutions including Unity Catalog.
* Experience in production deployments involving thousands of users, esp with capabilities like Redis, Vector Search, etc.
* Strong understanding of scalable application design principles and experience with security best practices and compliance with privacy regulations.
* Good knowledge of software engineering practices like version control (GIT), DevOps (Azure DevOps preferred) and Agile or Scrum.
* Strong communication skills, with the ability to effectively convey complex technical concepts to a diverse audience.
* Experience of SDLC and best practices while development
* Experience with Agile methodology for continuous product development and delivery
* Fluency in English
* Client\-first mentality
* Intense work ethic
* Collaborative spirit and problem\-solving approach
: **How you’ll grow:*** Cross\-functional skills development \&amp; custom learning pathways
* Milestone training programs aligned to career progression opportunities
* Internal mobility paths that empower growth via s\-curves, individual contribution and role expansions
 **Hybrid working model:**ZS is committed to a Flexible and Connected way of working. ZSers are onsite at clients or ZS offices three days a week. Combined flexibility to work remotely two days a week is also available. The magic of ZS culture and innovation thrives in both planned and spontaneous face\-to\-face connections. **Perks \&amp; Benefits:**
ZS offers a comprehensive total rewards package including health and well\-being, financial planning, annual leave, personal growth and professional development. Our robust skills development programs, multiple career progression options and internal mobility paths and collaborative culture empowers you to thrive as an individual and global team member.  
**Travel:**
Travel is a requirement at ZS for client facing ZSers; business needs of your project and client are the priority. While some projects may be local, all client\-facing ZSers should be prepared to travel as needed. Travel provides opportunities to strengthen client relationships, gain diverse experiences, and enhance professional growth by working in different environments and cultures. **Considering applying?**
At ZS, we honor the visible and invisible elements of our identities, personal experiences, and belief systems—the ones that comprise us as individuals, shape who we are, and make us unique. We believe your personal interests, identities, and desire to learn are integral to your success here. We are committed to building a team that reflects a broad variety of backgrounds, perspectives, and experiences. Learn more about our inclusion and belonging efforts and the networks ZS supports to assist our ZSers in cultivating community spaces and obtaining the resources they need to thrive.  
If you’re eager to grow, contribute, and bring your unique self to our work, we encourage you to apply.  
ZS is an equal opportunity employer and is committed to providing equal employment and advancement opportunities without regard to any class protected by applicable law.  
**To complete your application:**  
Candidates must possess or be able to obtain work authorization for their intended country of employment. An on\-line application, including a full set of transcripts (official or unofficial), is required to be considered.  
NO AGENCY CALLS, PLEASE.  
Find Out More At:  
www.zs.com
\#LI\-MM2</t>
        </is>
      </c>
    </row>
    <row r="297">
      <c r="A297" t="inlineStr">
        <is>
          <t>in-7dffbaff52e31e44</t>
        </is>
      </c>
      <c r="B297" t="inlineStr">
        <is>
          <t>Applied Scientist, Denied Party Screening, AWS Compliance &amp; Security Assurance</t>
        </is>
      </c>
      <c r="C297" t="inlineStr">
        <is>
          <t>Amazon.com</t>
        </is>
      </c>
      <c r="D297" t="inlineStr">
        <is>
          <t>indeed</t>
        </is>
      </c>
      <c r="E297">
        <f>HYPERLINK("https://www.indeed.com/viewjob?jk=7dffbaff52e31e44", "https://www.indeed.com/viewjob?jk=7dffbaff52e31e44")</f>
        <v/>
      </c>
      <c r="F297">
        <f>HYPERLINK("https://www.amazon.jobs/jobs/3157154/applied-scientist-denied-party-screening-aws-compliance--security-assurance?cmpid=DA_INAD200785B", "https://www.amazon.jobs/jobs/3157154/applied-scientist-denied-party-screening-aws-compliance--security-assurance?cmpid=DA_INAD200785B")</f>
        <v/>
      </c>
      <c r="G297" t="inlineStr">
        <is>
          <t>Seattle, WA, US</t>
        </is>
      </c>
      <c r="H297" s="3" t="n">
        <v>46027</v>
      </c>
      <c r="I297" t="inlineStr">
        <is>
          <t>**DESCRIPTION**
---------------
At Amazon, security is central to maintaining customer trust and delivering delightful customer experiences. Our mission is to prevent denied entities from transacting with Amazon businesses. We build automatic mechanisms to detect and prevent prohibited transactions with denied entities using a diverse set of algorithms and machine learning techniques. We screen over a billion events every day and develop algorithms which are able to scale and detect suspicious entities . We are still Day 1 and have an exciting road map to build Machine Learning (ML) and Generative AI (LLM) powered detection and resolution systems to help scale Amazon for years to come.
We are seeking an Applied Scientist to join our team and help tackle challenging problems at the forefront of machine learning and artificial intelligence. Working closely with a multidisciplinary team of engineers, data scientists, and domain experts, you will play a crucial role in defining cutting\-edge ML/AI\-powered customer experiences and solutions. If you have an entrepreneurial mindset, the technical depth to deliver impactful results, and a passion for innovation, we want to hear from you.
Key job responsibilities  
In this role, you will:
* Drive the research, design, and development of novel ML/AI models and systems to power critical products and services
* Collaborate cross\-functionally to deeply understand business requirements, customer needs, and technical constraints
* Rapidly prototype, test, and iterate on ML/AI solutions, iterating quickly based on data and feedback
• Communicate complex technical concepts to technical and non\-technical stakeholders • Mentor and grow a team of talented ML scientists and engineers
* Stay up\-to\-date on the latest advancements in AI/ML and identify opportunities to apply emerging techniques
A day in the life  
* Starting the day by reviewing the latest model performance metrics and identifying areas for improvement
* Brainstorming new architectures and approaches with your cross\-functional team during a whiteboard session
* Diving deep into a complex dataset, leveraging advanced statistical and AI techniques to uncover hidden insights
* Prototyping a new model and running a series of experiments to optimize its performance
* Preparing a presentation to pitch your latest research findings and recommendations to product and engineering leaders
* Mentoring a junior data scientist, providing guidance on coding best practices and problem\-solving strategies
About the team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\- 142,800\.00 \- 193,200\.00 USD annually  
USA, WA, Seattle \- 142,800\.00 \- 193,200\.00 USD annually</t>
        </is>
      </c>
    </row>
    <row r="298">
      <c r="A298" t="inlineStr">
        <is>
          <t>in-58396c0f86e8cf49</t>
        </is>
      </c>
      <c r="B298" t="inlineStr">
        <is>
          <t>Applied Scientist, Denied Party Screening, AWS Compliance &amp; Security Assurance</t>
        </is>
      </c>
      <c r="C298" t="inlineStr">
        <is>
          <t>Amazon.com</t>
        </is>
      </c>
      <c r="D298" t="inlineStr">
        <is>
          <t>indeed</t>
        </is>
      </c>
      <c r="E298">
        <f>HYPERLINK("https://www.indeed.com/viewjob?jk=58396c0f86e8cf49", "https://www.indeed.com/viewjob?jk=58396c0f86e8cf49")</f>
        <v/>
      </c>
      <c r="F298">
        <f>HYPERLINK("https://www.amazon.jobs/jobs/3157154/applied-scientist-denied-party-screening-aws-compliance--security-assurance?cmpid=DA_INAD200785B", "https://www.amazon.jobs/jobs/3157154/applied-scientist-denied-party-screening-aws-compliance--security-assurance?cmpid=DA_INAD200785B")</f>
        <v/>
      </c>
      <c r="G298" t="inlineStr">
        <is>
          <t>Dallas, TX, US</t>
        </is>
      </c>
      <c r="H298" s="3" t="n">
        <v>46027</v>
      </c>
      <c r="I298" t="inlineStr">
        <is>
          <t>**DESCRIPTION**
---------------
At Amazon, security is central to maintaining customer trust and delivering delightful customer experiences. Our mission is to prevent denied entities from transacting with Amazon businesses. We build automatic mechanisms to detect and prevent prohibited transactions with denied entities using a diverse set of algorithms and machine learning techniques. We screen over a billion events every day and develop algorithms which are able to scale and detect suspicious entities . We are still Day 1 and have an exciting road map to build Machine Learning (ML) and Generative AI (LLM) powered detection and resolution systems to help scale Amazon for years to come.
We are seeking an Applied Scientist to join our team and help tackle challenging problems at the forefront of machine learning and artificial intelligence. Working closely with a multidisciplinary team of engineers, data scientists, and domain experts, you will play a crucial role in defining cutting\-edge ML/AI\-powered customer experiences and solutions. If you have an entrepreneurial mindset, the technical depth to deliver impactful results, and a passion for innovation, we want to hear from you.
Key job responsibilities  
In this role, you will:
* Drive the research, design, and development of novel ML/AI models and systems to power critical products and services
* Collaborate cross\-functionally to deeply understand business requirements, customer needs, and technical constraints
* Rapidly prototype, test, and iterate on ML/AI solutions, iterating quickly based on data and feedback
• Communicate complex technical concepts to technical and non\-technical stakeholders • Mentor and grow a team of talented ML scientists and engineers
* Stay up\-to\-date on the latest advancements in AI/ML and identify opportunities to apply emerging techniques
A day in the life  
* Starting the day by reviewing the latest model performance metrics and identifying areas for improvement
* Brainstorming new architectures and approaches with your cross\-functional team during a whiteboard session
* Diving deep into a complex dataset, leveraging advanced statistical and AI techniques to uncover hidden insights
* Prototyping a new model and running a series of experiments to optimize its performance
* Preparing a presentation to pitch your latest research findings and recommendations to product and engineering leaders
* Mentoring a junior data scientist, providing guidance on coding best practices and problem\-solving strategies
About the team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\- 142,800\.00 \- 193,200\.00 USD annually  
USA, WA, Seattle \- 142,800\.00 \- 193,200\.00 USD annually</t>
        </is>
      </c>
    </row>
    <row r="299">
      <c r="A299" t="inlineStr">
        <is>
          <t>in-c84800e56ee52419</t>
        </is>
      </c>
      <c r="B299" t="inlineStr">
        <is>
          <t>Senior Applied Scientist, Amazon Industrial Robotics</t>
        </is>
      </c>
      <c r="C299" t="inlineStr">
        <is>
          <t>Amazon.com</t>
        </is>
      </c>
      <c r="D299" t="inlineStr">
        <is>
          <t>indeed</t>
        </is>
      </c>
      <c r="E299">
        <f>HYPERLINK("https://www.indeed.com/viewjob?jk=c84800e56ee52419", "https://www.indeed.com/viewjob?jk=c84800e56ee52419")</f>
        <v/>
      </c>
      <c r="F299">
        <f>HYPERLINK("https://www.amazon.jobs/jobs/3154866/senior-applied-scientist-amazon-industrial-robotics?cmpid=DA_INAD200785B", "https://www.amazon.jobs/jobs/3154866/senior-applied-scientist-amazon-industrial-robotics?cmpid=DA_INAD200785B")</f>
        <v/>
      </c>
      <c r="G299" t="inlineStr">
        <is>
          <t>Reading, MA, US</t>
        </is>
      </c>
      <c r="H299" s="3" t="n">
        <v>46027</v>
      </c>
      <c r="I299"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Design and implement whole body control methods for balance, locomotion, and dexterous manipulation
* Utilize state\-of\-the\-art in methods in learned and model\-based control
* Create robust and safe behaviors for different terrains and tasks
* Implement real\-time controllers with stability guarantees
* Collaborate effectively with multi\-disciplinary teams to co\-design hardware and algorithms for loco\-manipulation
* Mentor junior engineer and scientists
**BASIC QUALIFICATIONS**
------------------------
* PhD, or Master's degree and 4\+ years of applied research experience
* Experience with methods for whole\-body control such as hierarchical quadratic programming and model\-predictive control
* Experience with imitation learning and reinforcement learning for whole\-body control
* Experience with simulation environments such as IsaacLab, Mujoco, Drake, etc.
* Experience with developing and deploying code for real\-time controllers
* Experience in state estimation from multiple sensor modalities
**PREFERRED QUALIFICATIONS**
----------------------------
* Experience programming in Java, C\+\+, Python or related language
* Experience working effectively across cross\-functional teams and partnering well with people at all levels within an organization
* PhD in Robotics, with a focus on whole\-body control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300">
      <c r="A300" t="inlineStr">
        <is>
          <t>in-e0accf06cbe03c8c</t>
        </is>
      </c>
      <c r="B300" t="inlineStr">
        <is>
          <t>Senior Applied Scientist, Amazon Industrial Robotics</t>
        </is>
      </c>
      <c r="C300" t="inlineStr">
        <is>
          <t>Amazon.com</t>
        </is>
      </c>
      <c r="D300" t="inlineStr">
        <is>
          <t>indeed</t>
        </is>
      </c>
      <c r="E300">
        <f>HYPERLINK("https://www.indeed.com/viewjob?jk=e0accf06cbe03c8c", "https://www.indeed.com/viewjob?jk=e0accf06cbe03c8c")</f>
        <v/>
      </c>
      <c r="F300">
        <f>HYPERLINK("https://www.amazon.jobs/jobs/3154866/senior-applied-scientist-amazon-industrial-robotics?cmpid=DA_INAD200785B", "https://www.amazon.jobs/jobs/3154866/senior-applied-scientist-amazon-industrial-robotics?cmpid=DA_INAD200785B")</f>
        <v/>
      </c>
      <c r="G300" t="inlineStr">
        <is>
          <t>Reading, MA, US</t>
        </is>
      </c>
      <c r="H300" s="3" t="n">
        <v>46027</v>
      </c>
      <c r="I300"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Design and implement whole body control methods for balance, locomotion, and dexterous manipulation
* Utilize state\-of\-the\-art in methods in learned and model\-based control
* Create robust and safe behaviors for different terrains and tasks
* Implement real\-time controllers with stability guarantees
* Collaborate effectively with multi\-disciplinary teams to co\-design hardware and algorithms for loco\-manipulation
* Mentor junior engineer and scientists
**BASIC QUALIFICATIONS**
------------------------
* PhD, or Master's degree and 4\+ years of applied research experience
* Experience with methods for whole\-body control such as hierarchical quadratic programming and model\-predictive control
* Experience with imitation learning and reinforcement learning for whole\-body control
* Experience with simulation environments such as IsaacLab, Mujoco, Drake, etc.
* Experience with developing and deploying code for real\-time controllers
* Experience in state estimation from multiple sensor modalities
**PREFERRED QUALIFICATIONS**
----------------------------
* Experience programming in Java, C\+\+, Python or related language
* Experience working effectively across cross\-functional teams and partnering well with people at all levels within an organization
* PhD in Robotics, with a focus on whole\-body control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301">
      <c r="A301" t="inlineStr">
        <is>
          <t>in-645dbb8544f3dcf4</t>
        </is>
      </c>
      <c r="B301" t="inlineStr">
        <is>
          <t>Senior Applied Scientist, Dexterous Manipulation , Amazon Industrial Robotics</t>
        </is>
      </c>
      <c r="C301" t="inlineStr">
        <is>
          <t>Amazon.com</t>
        </is>
      </c>
      <c r="D301" t="inlineStr">
        <is>
          <t>indeed</t>
        </is>
      </c>
      <c r="E301">
        <f>HYPERLINK("https://www.indeed.com/viewjob?jk=645dbb8544f3dcf4", "https://www.indeed.com/viewjob?jk=645dbb8544f3dcf4")</f>
        <v/>
      </c>
      <c r="F301">
        <f>HYPERLINK("https://www.amazon.jobs/jobs/3153852/senior-applied-scientist-dexterous-manipulation--amazon-industrial-robotics?cmpid=DA_INAD200785B", "https://www.amazon.jobs/jobs/3153852/senior-applied-scientist-dexterous-manipulation--amazon-industrial-robotics?cmpid=DA_INAD200785B")</f>
        <v/>
      </c>
      <c r="G301" t="inlineStr">
        <is>
          <t>Reading, MA, US</t>
        </is>
      </c>
      <c r="H301" s="3" t="n">
        <v>46027</v>
      </c>
      <c r="I301"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We are pioneering the development of dexterous manipulation system that:
* Enables unprecedented generalization across diverse tasks
* Enables contact\-rich manipulation in different environments
* Seamlessly integrates low\-level skills and high\-level behaviors
* Leverage mechanical intelligence, multi\-modal sensor feedback and advanced control techniques.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Design and implement methods for dexterous manipulation with single and dual arm manipulation
* Leverage simulation and real\-world data collection to create large datasets for model development
* Develop a hierarchical system that combines low\-level control with high\-level planning
* Utilize state\-of\-the\-art manipulation models and optimal control techniques
* Collaborate effectively with multi\-disciplinary teams to co\-design hardware and algorithms for dexterous manipulation
**BASIC QUALIFICATIONS**
------------------------
* PhD, or Master's degree and 6\+ years of applied research experience
* Experience with state\-of\-the\-art in robotic manipulation models
* Experience with data generation in simulation and real world
* Experience in developing techniques that utilize multi\-modal sensor data from the arm and hands
**PREFERRED QUALIFICATIONS**
----------------------------
* Experience programming in Java, C\+\+, Python or related language
* Experience working effectively across cross\-functional teams and partnering well with people at all levels within an organization
* PhD in Robotics, with focus on dexterous manipulation
* Experience in motion primitives, vision\-language\-action models, and model predictive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302">
      <c r="A302" t="inlineStr">
        <is>
          <t>in-335eb5e681b97276</t>
        </is>
      </c>
      <c r="B302" t="inlineStr">
        <is>
          <t>Senior Applied Scientist, Dexterous Manipulation , Amazon Industrial Robotics</t>
        </is>
      </c>
      <c r="C302" t="inlineStr">
        <is>
          <t>Amazon.com</t>
        </is>
      </c>
      <c r="D302" t="inlineStr">
        <is>
          <t>indeed</t>
        </is>
      </c>
      <c r="E302">
        <f>HYPERLINK("https://www.indeed.com/viewjob?jk=335eb5e681b97276", "https://www.indeed.com/viewjob?jk=335eb5e681b97276")</f>
        <v/>
      </c>
      <c r="F302">
        <f>HYPERLINK("https://www.amazon.jobs/jobs/3153852/senior-applied-scientist-dexterous-manipulation--amazon-industrial-robotics?cmpid=DA_INAD200785B", "https://www.amazon.jobs/jobs/3153852/senior-applied-scientist-dexterous-manipulation--amazon-industrial-robotics?cmpid=DA_INAD200785B")</f>
        <v/>
      </c>
      <c r="G302" t="inlineStr">
        <is>
          <t>Reading, MA, US</t>
        </is>
      </c>
      <c r="H302" s="3" t="n">
        <v>46027</v>
      </c>
      <c r="I302"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We are pioneering the development of dexterous manipulation system that:
* Enables unprecedented generalization across diverse tasks
* Enables contact\-rich manipulation in different environments
* Seamlessly integrates low\-level skills and high\-level behaviors
* Leverage mechanical intelligence, multi\-modal sensor feedback and advanced control techniques.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Design and implement methods for dexterous manipulation with single and dual arm manipulation
* Leverage simulation and real\-world data collection to create large datasets for model development
* Develop a hierarchical system that combines low\-level control with high\-level planning
* Utilize state\-of\-the\-art manipulation models and optimal control techniques
* Collaborate effectively with multi\-disciplinary teams to co\-design hardware and algorithms for dexterous manipulation
**BASIC QUALIFICATIONS**
------------------------
* PhD, or Master's degree and 6\+ years of applied research experience
* Experience with state\-of\-the\-art in robotic manipulation models
* Experience with data generation in simulation and real world
* Experience in developing techniques that utilize multi\-modal sensor data from the arm and hands
**PREFERRED QUALIFICATIONS**
----------------------------
* Experience programming in Java, C\+\+, Python or related language
* Experience working effectively across cross\-functional teams and partnering well with people at all levels within an organization
* PhD in Robotics, with focus on dexterous manipulation
* Experience in motion primitives, vision\-language\-action models, and model predictive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303">
      <c r="A303" t="inlineStr">
        <is>
          <t>in-def39dadb04acbea</t>
        </is>
      </c>
      <c r="B303" t="inlineStr">
        <is>
          <t>Applied Scientist, Amazon Special Projects</t>
        </is>
      </c>
      <c r="C303" t="inlineStr">
        <is>
          <t>Amazon.com</t>
        </is>
      </c>
      <c r="D303" t="inlineStr">
        <is>
          <t>indeed</t>
        </is>
      </c>
      <c r="E303">
        <f>HYPERLINK("https://www.indeed.com/viewjob?jk=def39dadb04acbea", "https://www.indeed.com/viewjob?jk=def39dadb04acbea")</f>
        <v/>
      </c>
      <c r="F303">
        <f>HYPERLINK("https://www.amazon.jobs/jobs/3152795/applied-scientist-amazon-special-projects?cmpid=DA_INAD200785B", "https://www.amazon.jobs/jobs/3152795/applied-scientist-amazon-special-projects?cmpid=DA_INAD200785B")</f>
        <v/>
      </c>
      <c r="G303" t="inlineStr">
        <is>
          <t>Seattle, WA, US</t>
        </is>
      </c>
      <c r="H303" s="3" t="n">
        <v>46026</v>
      </c>
      <c r="I303"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As an Applied Science, you will have access to large datasets with billions of images and video to build large\-scale machine learning systems. Additionally, you will analyze and model terabytes of text, images, and other types of data to solve real\-world problems and translate business and functional requirements into quick prototypes or proofs of concept.  
We are looking for smart scientists capable of using a variety of domain expertise combined with machine learning and statistical techniques to invent, design, evangelize, and implement state\-of\-the\-art solutions for never\-before\-solved problems.  
About the team  
Our team highly values work\-life balance, mentorship and career growth. We believe striking the right balance between your personal and professional life is critical to life\-long happiness and fulfillment. We care about your career growth and strive to assign projects and offer training that will challenge you to become your best.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in patents or publications at top\-tier peer\-reviewed conferences (NeurIPS, ICML, ICLR, CVPR) or journals
* Experience in deep learning models for life sciences; knowledge of protein biology.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4">
      <c r="A304" t="inlineStr">
        <is>
          <t>in-b87c0a3f04de6c51</t>
        </is>
      </c>
      <c r="B304" t="inlineStr">
        <is>
          <t>Applied Scientist, Amazon Special Projects</t>
        </is>
      </c>
      <c r="C304" t="inlineStr">
        <is>
          <t>Amazon.com</t>
        </is>
      </c>
      <c r="D304" t="inlineStr">
        <is>
          <t>indeed</t>
        </is>
      </c>
      <c r="E304">
        <f>HYPERLINK("https://www.indeed.com/viewjob?jk=b87c0a3f04de6c51", "https://www.indeed.com/viewjob?jk=b87c0a3f04de6c51")</f>
        <v/>
      </c>
      <c r="F304">
        <f>HYPERLINK("https://www.amazon.jobs/jobs/3152795/applied-scientist-amazon-special-projects?cmpid=DA_INAD200785B", "https://www.amazon.jobs/jobs/3152795/applied-scientist-amazon-special-projects?cmpid=DA_INAD200785B")</f>
        <v/>
      </c>
      <c r="G304" t="inlineStr">
        <is>
          <t>Boston, MA, US</t>
        </is>
      </c>
      <c r="H304" s="3" t="n">
        <v>46026</v>
      </c>
      <c r="I304"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As an Applied Science, you will have access to large datasets with billions of images and video to build large\-scale machine learning systems. Additionally, you will analyze and model terabytes of text, images, and other types of data to solve real\-world problems and translate business and functional requirements into quick prototypes or proofs of concept.  
We are looking for smart scientists capable of using a variety of domain expertise combined with machine learning and statistical techniques to invent, design, evangelize, and implement state\-of\-the\-art solutions for never\-before\-solved problems.  
About the team  
Our team highly values work\-life balance, mentorship and career growth. We believe striking the right balance between your personal and professional life is critical to life\-long happiness and fulfillment. We care about your career growth and strive to assign projects and offer training that will challenge you to become your best.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in patents or publications at top\-tier peer\-reviewed conferences (NeurIPS, ICML, ICLR, CVPR) or journals
* Experience in deep learning models for life sciences; knowledge of protein biology.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5">
      <c r="A305" t="inlineStr">
        <is>
          <t>in-854309d689e77855</t>
        </is>
      </c>
      <c r="B305" t="inlineStr">
        <is>
          <t>Applied Scientist, Last Mile Delivery Automation</t>
        </is>
      </c>
      <c r="C305" t="inlineStr">
        <is>
          <t>Amazon.com</t>
        </is>
      </c>
      <c r="D305" t="inlineStr">
        <is>
          <t>indeed</t>
        </is>
      </c>
      <c r="E305">
        <f>HYPERLINK("https://www.indeed.com/viewjob?jk=854309d689e77855", "https://www.indeed.com/viewjob?jk=854309d689e77855")</f>
        <v/>
      </c>
      <c r="F305">
        <f>HYPERLINK("https://www.amazon.jobs/jobs/3155354/applied-scientist-last-mile-delivery-automation?cmpid=DA_INAD200785B", "https://www.amazon.jobs/jobs/3155354/applied-scientist-last-mile-delivery-automation?cmpid=DA_INAD200785B")</f>
        <v/>
      </c>
      <c r="G305" t="inlineStr">
        <is>
          <t>Santa Clara, CA, US</t>
        </is>
      </c>
      <c r="H305" s="3" t="n">
        <v>46026</v>
      </c>
      <c r="I305"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6">
      <c r="A306" t="inlineStr">
        <is>
          <t>in-71993529eb943cfe</t>
        </is>
      </c>
      <c r="B306" t="inlineStr">
        <is>
          <t>Applied Scientist, Last Mile Delivery Automation</t>
        </is>
      </c>
      <c r="C306" t="inlineStr">
        <is>
          <t>Amazon.com</t>
        </is>
      </c>
      <c r="D306" t="inlineStr">
        <is>
          <t>indeed</t>
        </is>
      </c>
      <c r="E306">
        <f>HYPERLINK("https://www.indeed.com/viewjob?jk=71993529eb943cfe", "https://www.indeed.com/viewjob?jk=71993529eb943cfe")</f>
        <v/>
      </c>
      <c r="F306">
        <f>HYPERLINK("https://www.amazon.jobs/jobs/3155354/applied-scientist-last-mile-delivery-automation?cmpid=DA_INAD200785B", "https://www.amazon.jobs/jobs/3155354/applied-scientist-last-mile-delivery-automation?cmpid=DA_INAD200785B")</f>
        <v/>
      </c>
      <c r="G306" t="inlineStr">
        <is>
          <t>Bellevue, WA, US</t>
        </is>
      </c>
      <c r="H306" s="3" t="n">
        <v>46026</v>
      </c>
      <c r="I306"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7">
      <c r="A307" t="inlineStr">
        <is>
          <t>in-d5509eee3197414a</t>
        </is>
      </c>
      <c r="B307" t="inlineStr">
        <is>
          <t>Senior Applied Scientist, Distributed SQL</t>
        </is>
      </c>
      <c r="C307" t="inlineStr">
        <is>
          <t>Amazon Web Services</t>
        </is>
      </c>
      <c r="D307" t="inlineStr">
        <is>
          <t>indeed</t>
        </is>
      </c>
      <c r="E307">
        <f>HYPERLINK("https://www.indeed.com/viewjob?jk=d5509eee3197414a", "https://www.indeed.com/viewjob?jk=d5509eee3197414a")</f>
        <v/>
      </c>
      <c r="F307">
        <f>HYPERLINK("https://www.amazon.jobs/jobs/3148444/senior-applied-scientist-distributed-sql?cmpid=DA_INAD200785B", "https://www.amazon.jobs/jobs/3148444/senior-applied-scientist-distributed-sql?cmpid=DA_INAD200785B")</f>
        <v/>
      </c>
      <c r="G307" t="inlineStr">
        <is>
          <t>Seattle, WA, US</t>
        </is>
      </c>
      <c r="H307" s="3" t="n">
        <v>46012</v>
      </c>
      <c r="I307"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308">
      <c r="A308" t="inlineStr">
        <is>
          <t>in-6390c97206340c35</t>
        </is>
      </c>
      <c r="B308" t="inlineStr">
        <is>
          <t>Senior Applied Scientist, Distributed SQL</t>
        </is>
      </c>
      <c r="C308" t="inlineStr">
        <is>
          <t>Amazon Web Services</t>
        </is>
      </c>
      <c r="D308" t="inlineStr">
        <is>
          <t>indeed</t>
        </is>
      </c>
      <c r="E308">
        <f>HYPERLINK("https://www.indeed.com/viewjob?jk=6390c97206340c35", "https://www.indeed.com/viewjob?jk=6390c97206340c35")</f>
        <v/>
      </c>
      <c r="F308">
        <f>HYPERLINK("https://www.amazon.jobs/jobs/3148444/senior-applied-scientist-distributed-sql?cmpid=DA_INAD200785B", "https://www.amazon.jobs/jobs/3148444/senior-applied-scientist-distributed-sql?cmpid=DA_INAD200785B")</f>
        <v/>
      </c>
      <c r="G308" t="inlineStr">
        <is>
          <t>East Palo Alto, CA, US</t>
        </is>
      </c>
      <c r="H308" s="3" t="n">
        <v>46012</v>
      </c>
      <c r="I308"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309">
      <c r="A309" t="inlineStr">
        <is>
          <t>in-adc8f1cfe9f2e045</t>
        </is>
      </c>
      <c r="B309" t="inlineStr">
        <is>
          <t>Applied Scientist, ML Compiler</t>
        </is>
      </c>
      <c r="C309" t="inlineStr">
        <is>
          <t>Amazon Web Services</t>
        </is>
      </c>
      <c r="D309" t="inlineStr">
        <is>
          <t>indeed</t>
        </is>
      </c>
      <c r="E309">
        <f>HYPERLINK("https://www.indeed.com/viewjob?jk=adc8f1cfe9f2e045", "https://www.indeed.com/viewjob?jk=adc8f1cfe9f2e045")</f>
        <v/>
      </c>
      <c r="F309">
        <f>HYPERLINK("https://www.amazon.jobs/jobs/3136884/applied-scientist-ml-compiler?cmpid=DA_INAD200785B", "https://www.amazon.jobs/jobs/3136884/applied-scientist-ml-compiler?cmpid=DA_INAD200785B")</f>
        <v/>
      </c>
      <c r="G309" t="inlineStr">
        <is>
          <t>Seattle, WA, US</t>
        </is>
      </c>
      <c r="H309" s="3" t="n">
        <v>45993</v>
      </c>
      <c r="I309"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0">
      <c r="A310" t="inlineStr">
        <is>
          <t>in-1b705eaa07d30bc5</t>
        </is>
      </c>
      <c r="B310" t="inlineStr">
        <is>
          <t>Applied Scientist, ML Compiler</t>
        </is>
      </c>
      <c r="C310" t="inlineStr">
        <is>
          <t>Amazon Web Services</t>
        </is>
      </c>
      <c r="D310" t="inlineStr">
        <is>
          <t>indeed</t>
        </is>
      </c>
      <c r="E310">
        <f>HYPERLINK("https://www.indeed.com/viewjob?jk=1b705eaa07d30bc5", "https://www.indeed.com/viewjob?jk=1b705eaa07d30bc5")</f>
        <v/>
      </c>
      <c r="F310">
        <f>HYPERLINK("https://www.amazon.jobs/jobs/3136884/applied-scientist-ml-compiler?cmpid=DA_INAD200785B", "https://www.amazon.jobs/jobs/3136884/applied-scientist-ml-compiler?cmpid=DA_INAD200785B")</f>
        <v/>
      </c>
      <c r="G310" t="inlineStr">
        <is>
          <t>Cupertino, CA, US</t>
        </is>
      </c>
      <c r="H310" s="3" t="n">
        <v>45993</v>
      </c>
      <c r="I310"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1">
      <c r="A311" t="inlineStr">
        <is>
          <t>in-fc69fdaa019594fb</t>
        </is>
      </c>
      <c r="B311" t="inlineStr">
        <is>
          <t>Senior Applied Scientist, Locomotion, Amazon Industrial Robotics</t>
        </is>
      </c>
      <c r="C311" t="inlineStr">
        <is>
          <t>Amazon.com</t>
        </is>
      </c>
      <c r="D311" t="inlineStr">
        <is>
          <t>indeed</t>
        </is>
      </c>
      <c r="E311">
        <f>HYPERLINK("https://www.indeed.com/viewjob?jk=fc69fdaa019594fb", "https://www.indeed.com/viewjob?jk=fc69fdaa019594fb")</f>
        <v/>
      </c>
      <c r="F311">
        <f>HYPERLINK("https://www.amazon.jobs/jobs/3134751/senior-applied-scientist-locomotion-amazon-industrial-robotics?cmpid=DA_INAD200785B", "https://www.amazon.jobs/jobs/3134751/senior-applied-scientist-locomotion-amazon-industrial-robotics?cmpid=DA_INAD200785B")</f>
        <v/>
      </c>
      <c r="G311" t="inlineStr">
        <is>
          <t>Reading, MA, US</t>
        </is>
      </c>
      <c r="H311" s="3" t="n">
        <v>45992</v>
      </c>
      <c r="I311"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Lead design and implement control algorithms for robot locomotion
* Develop behaviors that enable the robot to traverse diverse terrain
* Develop methods that seamlessly integrate stability, locomotion, and manipulation tasks
* Create dynamics models and simulations that enable sim2real transfer of algorithms
* Collaborate effectively with multi\-disciplinary teams to co\-design hardware and algorithms for loco\-manipulation
* Mentor junior engineer and scientists
**BASIC QUALIFICATIONS**
------------------------
* PhD, or Master's degree and 4\+ years of CS, CE, ML or related field experience
* Strong foundation in robot dynamics and control theory
* Experience with model\-predictive control and reinforcement learning for locomotion
* Experience with simulation environments such as IsaacLab, Mujoco, Drake, etc.
* Experience with developing and deploying code for real\-time controllers
**PREFERRED QUALIFICATIONS**
----------------------------
* Experience programming in Java, C\+\+, Python or related language
* Experience working effectively across cross\-functional teams and partnering well with people at all levels within an organization
* PhD in Robotics with a focus on locomotion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2">
      <c r="A312" t="inlineStr">
        <is>
          <t>in-bb50e2f6c628c13b</t>
        </is>
      </c>
      <c r="B312" t="inlineStr">
        <is>
          <t>Senior Applied Scientist, Locomotion, Amazon Industrial Robotics</t>
        </is>
      </c>
      <c r="C312" t="inlineStr">
        <is>
          <t>Amazon.com</t>
        </is>
      </c>
      <c r="D312" t="inlineStr">
        <is>
          <t>indeed</t>
        </is>
      </c>
      <c r="E312">
        <f>HYPERLINK("https://www.indeed.com/viewjob?jk=bb50e2f6c628c13b", "https://www.indeed.com/viewjob?jk=bb50e2f6c628c13b")</f>
        <v/>
      </c>
      <c r="F312">
        <f>HYPERLINK("https://www.amazon.jobs/jobs/3134751/senior-applied-scientist-locomotion-amazon-industrial-robotics?cmpid=DA_INAD200785B", "https://www.amazon.jobs/jobs/3134751/senior-applied-scientist-locomotion-amazon-industrial-robotics?cmpid=DA_INAD200785B")</f>
        <v/>
      </c>
      <c r="G312" t="inlineStr">
        <is>
          <t>Reading, MA, US</t>
        </is>
      </c>
      <c r="H312" s="3" t="n">
        <v>45992</v>
      </c>
      <c r="I312"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Lead design and implement control algorithms for robot locomotion
* Develop behaviors that enable the robot to traverse diverse terrain
* Develop methods that seamlessly integrate stability, locomotion, and manipulation tasks
* Create dynamics models and simulations that enable sim2real transfer of algorithms
* Collaborate effectively with multi\-disciplinary teams to co\-design hardware and algorithms for loco\-manipulation
* Mentor junior engineer and scientists
**BASIC QUALIFICATIONS**
------------------------
* PhD, or Master's degree and 4\+ years of CS, CE, ML or related field experience
* Strong foundation in robot dynamics and control theory
* Experience with model\-predictive control and reinforcement learning for locomotion
* Experience with simulation environments such as IsaacLab, Mujoco, Drake, etc.
* Experience with developing and deploying code for real\-time controllers
**PREFERRED QUALIFICATIONS**
----------------------------
* Experience programming in Java, C\+\+, Python or related language
* Experience working effectively across cross\-functional teams and partnering well with people at all levels within an organization
* PhD in Robotics with a focus on locomotion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3">
      <c r="A313" t="inlineStr">
        <is>
          <t>in-da51b4bf64f64db9</t>
        </is>
      </c>
      <c r="B313" t="inlineStr">
        <is>
          <t>Sr. Machine Learning Engineer, AGIF | Finetuning</t>
        </is>
      </c>
      <c r="C313" t="inlineStr">
        <is>
          <t>Amazon.com</t>
        </is>
      </c>
      <c r="D313" t="inlineStr">
        <is>
          <t>indeed</t>
        </is>
      </c>
      <c r="E313">
        <f>HYPERLINK("https://www.indeed.com/viewjob?jk=da51b4bf64f64db9", "https://www.indeed.com/viewjob?jk=da51b4bf64f64db9")</f>
        <v/>
      </c>
      <c r="F313">
        <f>HYPERLINK("https://www.amazon.jobs/jobs/3145989/sr-machine-learning-engineer-agif--finetuning?cmpid=DA_INAD200785B", "https://www.amazon.jobs/jobs/3145989/sr-machine-learning-engineer-agif--finetuning?cmpid=DA_INAD200785B")</f>
        <v/>
      </c>
      <c r="G313" t="inlineStr">
        <is>
          <t>New York, NY, US</t>
        </is>
      </c>
      <c r="H313" s="3" t="n">
        <v>45984</v>
      </c>
      <c r="I313"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4">
      <c r="A314" t="inlineStr">
        <is>
          <t>in-ad5cc25497059153</t>
        </is>
      </c>
      <c r="B314" t="inlineStr">
        <is>
          <t>Sr. Machine Learning Engineer, AGIF | Finetuning</t>
        </is>
      </c>
      <c r="C314" t="inlineStr">
        <is>
          <t>Amazon.com</t>
        </is>
      </c>
      <c r="D314" t="inlineStr">
        <is>
          <t>indeed</t>
        </is>
      </c>
      <c r="E314">
        <f>HYPERLINK("https://www.indeed.com/viewjob?jk=ad5cc25497059153", "https://www.indeed.com/viewjob?jk=ad5cc25497059153")</f>
        <v/>
      </c>
      <c r="F314">
        <f>HYPERLINK("https://www.amazon.jobs/jobs/3145989/sr-machine-learning-engineer-agif--finetuning?cmpid=DA_INAD200785B", "https://www.amazon.jobs/jobs/3145989/sr-machine-learning-engineer-agif--finetuning?cmpid=DA_INAD200785B")</f>
        <v/>
      </c>
      <c r="G314" t="inlineStr">
        <is>
          <t>Bellevue, WA, US</t>
        </is>
      </c>
      <c r="H314" s="3" t="n">
        <v>45984</v>
      </c>
      <c r="I314"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5">
      <c r="A315" t="inlineStr">
        <is>
          <t>in-4cc31de811e376b6</t>
        </is>
      </c>
      <c r="B315" t="inlineStr">
        <is>
          <t>Sr. Machine Learning Engineer, AGIF | Finetuning</t>
        </is>
      </c>
      <c r="C315" t="inlineStr">
        <is>
          <t>Amazon.com</t>
        </is>
      </c>
      <c r="D315" t="inlineStr">
        <is>
          <t>indeed</t>
        </is>
      </c>
      <c r="E315">
        <f>HYPERLINK("https://www.indeed.com/viewjob?jk=4cc31de811e376b6", "https://www.indeed.com/viewjob?jk=4cc31de811e376b6")</f>
        <v/>
      </c>
      <c r="F315">
        <f>HYPERLINK("https://www.amazon.jobs/jobs/3145989/sr-machine-learning-engineer-agif--finetuning?cmpid=DA_INAD200785B", "https://www.amazon.jobs/jobs/3145989/sr-machine-learning-engineer-agif--finetuning?cmpid=DA_INAD200785B")</f>
        <v/>
      </c>
      <c r="G315" t="inlineStr">
        <is>
          <t>Sunnyvale, CA, US</t>
        </is>
      </c>
      <c r="H315" s="3" t="n">
        <v>45984</v>
      </c>
      <c r="I315"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6">
      <c r="A316" t="inlineStr">
        <is>
          <t>in-ef9be19bad23a05f</t>
        </is>
      </c>
      <c r="B316" t="inlineStr">
        <is>
          <t>Senior Applied Scientist, Artificial General Intelligence</t>
        </is>
      </c>
      <c r="C316" t="inlineStr">
        <is>
          <t>Amazon.com</t>
        </is>
      </c>
      <c r="D316" t="inlineStr">
        <is>
          <t>indeed</t>
        </is>
      </c>
      <c r="E316">
        <f>HYPERLINK("https://www.indeed.com/viewjob?jk=ef9be19bad23a05f", "https://www.indeed.com/viewjob?jk=ef9be19bad23a05f")</f>
        <v/>
      </c>
      <c r="F316">
        <f>HYPERLINK("https://www.amazon.jobs/jobs/3131971/senior-applied-scientist-artificial-general-intelligence?cmpid=DA_INAD200785B", "https://www.amazon.jobs/jobs/3131971/senior-applied-scientist-artificial-general-intelligence?cmpid=DA_INAD200785B")</f>
        <v/>
      </c>
      <c r="G316" t="inlineStr">
        <is>
          <t>Boston, MA, US</t>
        </is>
      </c>
      <c r="H316" s="3" t="n">
        <v>45980</v>
      </c>
      <c r="I316"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7">
      <c r="A317" t="inlineStr">
        <is>
          <t>in-19c627f1a5de00ea</t>
        </is>
      </c>
      <c r="B317" t="inlineStr">
        <is>
          <t>Senior Applied Scientist, Artificial General Intelligence</t>
        </is>
      </c>
      <c r="C317" t="inlineStr">
        <is>
          <t>Amazon.com</t>
        </is>
      </c>
      <c r="D317" t="inlineStr">
        <is>
          <t>indeed</t>
        </is>
      </c>
      <c r="E317">
        <f>HYPERLINK("https://www.indeed.com/viewjob?jk=19c627f1a5de00ea", "https://www.indeed.com/viewjob?jk=19c627f1a5de00ea")</f>
        <v/>
      </c>
      <c r="F317">
        <f>HYPERLINK("https://www.amazon.jobs/jobs/3131971/senior-applied-scientist-artificial-general-intelligence?cmpid=DA_INAD200785B", "https://www.amazon.jobs/jobs/3131971/senior-applied-scientist-artificial-general-intelligence?cmpid=DA_INAD200785B")</f>
        <v/>
      </c>
      <c r="G317" t="inlineStr">
        <is>
          <t>Sunnyvale, CA, US</t>
        </is>
      </c>
      <c r="H317" s="3" t="n">
        <v>45980</v>
      </c>
      <c r="I317"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8">
      <c r="A318" t="inlineStr">
        <is>
          <t>in-af68b88f93ecf008</t>
        </is>
      </c>
      <c r="B318" t="inlineStr">
        <is>
          <t>Senior Applied Scientist, Artificial General Intelligence</t>
        </is>
      </c>
      <c r="C318" t="inlineStr">
        <is>
          <t>Amazon.com</t>
        </is>
      </c>
      <c r="D318" t="inlineStr">
        <is>
          <t>indeed</t>
        </is>
      </c>
      <c r="E318">
        <f>HYPERLINK("https://www.indeed.com/viewjob?jk=af68b88f93ecf008", "https://www.indeed.com/viewjob?jk=af68b88f93ecf008")</f>
        <v/>
      </c>
      <c r="F318">
        <f>HYPERLINK("https://www.amazon.jobs/jobs/3131971/senior-applied-scientist-artificial-general-intelligence?cmpid=DA_INAD200785B", "https://www.amazon.jobs/jobs/3131971/senior-applied-scientist-artificial-general-intelligence?cmpid=DA_INAD200785B")</f>
        <v/>
      </c>
      <c r="G318" t="inlineStr">
        <is>
          <t>New York, NY, US</t>
        </is>
      </c>
      <c r="H318" s="3" t="n">
        <v>45980</v>
      </c>
      <c r="I318"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9">
      <c r="A319" t="inlineStr">
        <is>
          <t>in-0c13a0cb8e74b994</t>
        </is>
      </c>
      <c r="B319" t="inlineStr">
        <is>
          <t>Senior Applied Scientist, Artificial General Intelligence</t>
        </is>
      </c>
      <c r="C319" t="inlineStr">
        <is>
          <t>Amazon.com</t>
        </is>
      </c>
      <c r="D319" t="inlineStr">
        <is>
          <t>indeed</t>
        </is>
      </c>
      <c r="E319">
        <f>HYPERLINK("https://www.indeed.com/viewjob?jk=0c13a0cb8e74b994", "https://www.indeed.com/viewjob?jk=0c13a0cb8e74b994")</f>
        <v/>
      </c>
      <c r="F319">
        <f>HYPERLINK("https://www.amazon.jobs/jobs/3131971/senior-applied-scientist-artificial-general-intelligence?cmpid=DA_INAD200785B", "https://www.amazon.jobs/jobs/3131971/senior-applied-scientist-artificial-general-intelligence?cmpid=DA_INAD200785B")</f>
        <v/>
      </c>
      <c r="G319" t="inlineStr">
        <is>
          <t>Seattle, WA, US</t>
        </is>
      </c>
      <c r="H319" s="3" t="n">
        <v>45980</v>
      </c>
      <c r="I319"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0">
      <c r="A320" t="inlineStr">
        <is>
          <t>in-4cf640f7de7308f0</t>
        </is>
      </c>
      <c r="B320" t="inlineStr">
        <is>
          <t>Applied Scientist II, SPB Advertiser Guidance</t>
        </is>
      </c>
      <c r="C320" t="inlineStr">
        <is>
          <t>Amazon.com</t>
        </is>
      </c>
      <c r="D320" t="inlineStr">
        <is>
          <t>indeed</t>
        </is>
      </c>
      <c r="E320">
        <f>HYPERLINK("https://www.indeed.com/viewjob?jk=4cf640f7de7308f0", "https://www.indeed.com/viewjob?jk=4cf640f7de7308f0")</f>
        <v/>
      </c>
      <c r="F320">
        <f>HYPERLINK("https://www.amazon.jobs/jobs/3131876/applied-scientist-ii-spb-advertiser-guidance?cmpid=DA_INAD200785B", "https://www.amazon.jobs/jobs/3131876/applied-scientist-ii-spb-advertiser-guidance?cmpid=DA_INAD200785B")</f>
        <v/>
      </c>
      <c r="G320" t="inlineStr">
        <is>
          <t>Seattle, WA, US</t>
        </is>
      </c>
      <c r="H320" s="3" t="n">
        <v>45980</v>
      </c>
      <c r="I320"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1">
      <c r="A321" t="inlineStr">
        <is>
          <t>in-3cf0948a140c74a9</t>
        </is>
      </c>
      <c r="B321" t="inlineStr">
        <is>
          <t>Applied Scientist II, SPB Advertiser Guidance</t>
        </is>
      </c>
      <c r="C321" t="inlineStr">
        <is>
          <t>Amazon.com</t>
        </is>
      </c>
      <c r="D321" t="inlineStr">
        <is>
          <t>indeed</t>
        </is>
      </c>
      <c r="E321">
        <f>HYPERLINK("https://www.indeed.com/viewjob?jk=3cf0948a140c74a9", "https://www.indeed.com/viewjob?jk=3cf0948a140c74a9")</f>
        <v/>
      </c>
      <c r="F321">
        <f>HYPERLINK("https://www.amazon.jobs/jobs/3131876/applied-scientist-ii-spb-advertiser-guidance?cmpid=DA_INAD200785B", "https://www.amazon.jobs/jobs/3131876/applied-scientist-ii-spb-advertiser-guidance?cmpid=DA_INAD200785B")</f>
        <v/>
      </c>
      <c r="G321" t="inlineStr">
        <is>
          <t>New York, NY, US</t>
        </is>
      </c>
      <c r="H321" s="3" t="n">
        <v>45980</v>
      </c>
      <c r="I321"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2">
      <c r="A322" t="inlineStr">
        <is>
          <t>in-6e41cb6ea54820ef</t>
        </is>
      </c>
      <c r="B322" t="inlineStr">
        <is>
          <t>Applied Scientist II, SPB Advertiser Guidance</t>
        </is>
      </c>
      <c r="C322" t="inlineStr">
        <is>
          <t>Amazon.com</t>
        </is>
      </c>
      <c r="D322" t="inlineStr">
        <is>
          <t>indeed</t>
        </is>
      </c>
      <c r="E322">
        <f>HYPERLINK("https://www.indeed.com/viewjob?jk=6e41cb6ea54820ef", "https://www.indeed.com/viewjob?jk=6e41cb6ea54820ef")</f>
        <v/>
      </c>
      <c r="F322">
        <f>HYPERLINK("https://www.amazon.jobs/jobs/3131876/applied-scientist-ii-spb-advertiser-guidance?cmpid=DA_INAD200785B", "https://www.amazon.jobs/jobs/3131876/applied-scientist-ii-spb-advertiser-guidance?cmpid=DA_INAD200785B")</f>
        <v/>
      </c>
      <c r="G322" t="inlineStr">
        <is>
          <t>Palo Alto, CA, US</t>
        </is>
      </c>
      <c r="H322" s="3" t="n">
        <v>45980</v>
      </c>
      <c r="I322"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3">
      <c r="A323" t="inlineStr">
        <is>
          <t>in-8cc3e2813a24c08c</t>
        </is>
      </c>
      <c r="B323" t="inlineStr">
        <is>
          <t>Principal Applied Scientist, Sponsored Products and Brands</t>
        </is>
      </c>
      <c r="C323" t="inlineStr">
        <is>
          <t>Amazon.com</t>
        </is>
      </c>
      <c r="D323" t="inlineStr">
        <is>
          <t>indeed</t>
        </is>
      </c>
      <c r="E323">
        <f>HYPERLINK("https://www.indeed.com/viewjob?jk=8cc3e2813a24c08c", "https://www.indeed.com/viewjob?jk=8cc3e2813a24c08c")</f>
        <v/>
      </c>
      <c r="F323">
        <f>HYPERLINK("https://www.amazon.jobs/jobs/3130855/principal-applied-scientist-sponsored-products-and-brands?cmpid=DA_INAD200785B", "https://www.amazon.jobs/jobs/3130855/principal-applied-scientist-sponsored-products-and-brands?cmpid=DA_INAD200785B")</f>
        <v/>
      </c>
      <c r="G323" t="inlineStr">
        <is>
          <t>Seattle, WA, US</t>
        </is>
      </c>
      <c r="H323" s="3" t="n">
        <v>45979</v>
      </c>
      <c r="I323"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4">
      <c r="A324" t="inlineStr">
        <is>
          <t>in-917d68606eab6dbd</t>
        </is>
      </c>
      <c r="B324" t="inlineStr">
        <is>
          <t>Principal Applied Scientist, Sponsored Products and Brands</t>
        </is>
      </c>
      <c r="C324" t="inlineStr">
        <is>
          <t>Amazon.com</t>
        </is>
      </c>
      <c r="D324" t="inlineStr">
        <is>
          <t>indeed</t>
        </is>
      </c>
      <c r="E324">
        <f>HYPERLINK("https://www.indeed.com/viewjob?jk=917d68606eab6dbd", "https://www.indeed.com/viewjob?jk=917d68606eab6dbd")</f>
        <v/>
      </c>
      <c r="F324">
        <f>HYPERLINK("https://www.amazon.jobs/jobs/3130855/principal-applied-scientist-sponsored-products-and-brands?cmpid=DA_INAD200785B", "https://www.amazon.jobs/jobs/3130855/principal-applied-scientist-sponsored-products-and-brands?cmpid=DA_INAD200785B")</f>
        <v/>
      </c>
      <c r="G324" t="inlineStr">
        <is>
          <t>New York, NY, US</t>
        </is>
      </c>
      <c r="H324" s="3" t="n">
        <v>45979</v>
      </c>
      <c r="I324"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5">
      <c r="A325" t="inlineStr">
        <is>
          <t>in-bc5de21e22c6e182</t>
        </is>
      </c>
      <c r="B325" t="inlineStr">
        <is>
          <t>Applied Scientist, Personalization, DTx Science</t>
        </is>
      </c>
      <c r="C325" t="inlineStr">
        <is>
          <t>Amazon.com</t>
        </is>
      </c>
      <c r="D325" t="inlineStr">
        <is>
          <t>indeed</t>
        </is>
      </c>
      <c r="E325">
        <f>HYPERLINK("https://www.indeed.com/viewjob?jk=bc5de21e22c6e182", "https://www.indeed.com/viewjob?jk=bc5de21e22c6e182")</f>
        <v/>
      </c>
      <c r="F325">
        <f>HYPERLINK("https://www.amazon.jobs/jobs/3136853/applied-scientist-personalization-dtx-science?cmpid=DA_INAD200785B", "https://www.amazon.jobs/jobs/3136853/applied-scientist-personalization-dtx-science?cmpid=DA_INAD200785B")</f>
        <v/>
      </c>
      <c r="G325" t="inlineStr">
        <is>
          <t>New York, NY, US</t>
        </is>
      </c>
      <c r="H325" s="3" t="n">
        <v>45979</v>
      </c>
      <c r="I325"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326">
      <c r="A326" t="inlineStr">
        <is>
          <t>in-0cad3929455c3839</t>
        </is>
      </c>
      <c r="B326" t="inlineStr">
        <is>
          <t>Applied Scientist, Personalization, DTx Science</t>
        </is>
      </c>
      <c r="C326" t="inlineStr">
        <is>
          <t>Amazon.com</t>
        </is>
      </c>
      <c r="D326" t="inlineStr">
        <is>
          <t>indeed</t>
        </is>
      </c>
      <c r="E326">
        <f>HYPERLINK("https://www.indeed.com/viewjob?jk=0cad3929455c3839", "https://www.indeed.com/viewjob?jk=0cad3929455c3839")</f>
        <v/>
      </c>
      <c r="F326">
        <f>HYPERLINK("https://www.amazon.jobs/jobs/3136853/applied-scientist-personalization-dtx-science?cmpid=DA_INAD200785B", "https://www.amazon.jobs/jobs/3136853/applied-scientist-personalization-dtx-science?cmpid=DA_INAD200785B")</f>
        <v/>
      </c>
      <c r="G326" t="inlineStr">
        <is>
          <t>Seattle, WA, US</t>
        </is>
      </c>
      <c r="H326" s="3" t="n">
        <v>45979</v>
      </c>
      <c r="I326"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327">
      <c r="A327" t="inlineStr">
        <is>
          <t>in-a9012df11911dd5b</t>
        </is>
      </c>
      <c r="B327" t="inlineStr">
        <is>
          <t>Applied Scientist II, Robotics and ML, Amazon Industrial Robotics</t>
        </is>
      </c>
      <c r="C327" t="inlineStr">
        <is>
          <t>Amazon.com</t>
        </is>
      </c>
      <c r="D327" t="inlineStr">
        <is>
          <t>indeed</t>
        </is>
      </c>
      <c r="E327">
        <f>HYPERLINK("https://www.indeed.com/viewjob?jk=a9012df11911dd5b", "https://www.indeed.com/viewjob?jk=a9012df11911dd5b")</f>
        <v/>
      </c>
      <c r="F327">
        <f>HYPERLINK("https://www.amazon.jobs/jobs/3128219/applied-scientist-ii-robotics-and-ml-amazon-industrial-robotics?cmpid=DA_INAD200785B", "https://www.amazon.jobs/jobs/3128219/applied-scientist-ii-robotics-and-ml-amazon-industrial-robotics?cmpid=DA_INAD200785B")</f>
        <v/>
      </c>
      <c r="G327" t="inlineStr">
        <is>
          <t>Reading, MA, US</t>
        </is>
      </c>
      <c r="H327" s="3" t="n">
        <v>45975</v>
      </c>
      <c r="I327"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manipulation, locomotion, and human\-robot interaction.
We're seeking an Applied Scientist to join our Robotics team. This role focuses on developing innovative machine learning solutions that enable robots to perform complex manipulation tasks in real\-world environments. You will work on creating adaptive learning approaches that combine traditional robotics with modern ML techniques to improve robot performance and reliability. In this role, you will collaborate with multidisciplinary teams to advance the state\-of\-the\-art in robotic manipulation, contributing to the development of next\-generation autonomous systems that can operate safely and efficiently within Amazon fulfillment centers.
Key job responsibilities  
* Lead design, adapt, and implement novel machine learning solutions for manipulation robots
* Create hybrid approaches combining classical methods with learning\-based solutions
* Design learning algorithms for automated parameter tuning and adaptation
* Develop data collection pipelines and methodologies for capturing high\-quality demonstrations of dexterous tasks
* Build and test prototype robotic workcell setups to validate the performance of the solution
* Partner with cross\-functional teams to rapidly create new concepts and prototypes
* Work with Amazon's robotics engineering and operations teams to grasp their requirements and develop tailored solutions
* Document the architecture, performance, and validation of the final system
**BASIC QUALIFICATIONS**
------------------------
* PhD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Experience building machine learning models or developing algorithms for business application
* Experience applying theoretical models in an applied environment
**PREFERRED QUALIFICATIONS**
----------------------------
* Experience using Unix/Linux
* Experience in professional software development
* Experience working effectively across cross\-functional teams and partnering well with people at all levels within an organization
* PhD in Robotics, Computer Science, or related field with focus on machine learning and robot control
* Experience developing and implementing machine learning approaches for robotic systems, particularly in imitation learning or reinforcement learning
* Strong background in robot control systems, particularly in force/impedance control and contact\-rich manipulation
* Experience with real\-time control systems and robot motion planning
* Track record of translating research concepts into practical robotic applications
* Strong programming skills and experience with modern ML frameworks
* Experience with demonstration\-based learning and data collection for robotic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8">
      <c r="A328" t="inlineStr">
        <is>
          <t>in-2fed3b296cb3c175</t>
        </is>
      </c>
      <c r="B328" t="inlineStr">
        <is>
          <t>Applied Scientist II, Robotics and ML, Amazon Industrial Robotics</t>
        </is>
      </c>
      <c r="C328" t="inlineStr">
        <is>
          <t>Amazon.com</t>
        </is>
      </c>
      <c r="D328" t="inlineStr">
        <is>
          <t>indeed</t>
        </is>
      </c>
      <c r="E328">
        <f>HYPERLINK("https://www.indeed.com/viewjob?jk=2fed3b296cb3c175", "https://www.indeed.com/viewjob?jk=2fed3b296cb3c175")</f>
        <v/>
      </c>
      <c r="F328">
        <f>HYPERLINK("https://www.amazon.jobs/jobs/3128219/applied-scientist-ii-robotics-and-ml-amazon-industrial-robotics?cmpid=DA_INAD200785B", "https://www.amazon.jobs/jobs/3128219/applied-scientist-ii-robotics-and-ml-amazon-industrial-robotics?cmpid=DA_INAD200785B")</f>
        <v/>
      </c>
      <c r="G328" t="inlineStr">
        <is>
          <t>Reading, MA, US</t>
        </is>
      </c>
      <c r="H328" s="3" t="n">
        <v>45975</v>
      </c>
      <c r="I328"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manipulation, locomotion, and human\-robot interaction.
We're seeking an Applied Scientist to join our Robotics team. This role focuses on developing innovative machine learning solutions that enable robots to perform complex manipulation tasks in real\-world environments. You will work on creating adaptive learning approaches that combine traditional robotics with modern ML techniques to improve robot performance and reliability. In this role, you will collaborate with multidisciplinary teams to advance the state\-of\-the\-art in robotic manipulation, contributing to the development of next\-generation autonomous systems that can operate safely and efficiently within Amazon fulfillment centers.
Key job responsibilities  
* Lead design, adapt, and implement novel machine learning solutions for manipulation robots
* Create hybrid approaches combining classical methods with learning\-based solutions
* Design learning algorithms for automated parameter tuning and adaptation
* Develop data collection pipelines and methodologies for capturing high\-quality demonstrations of dexterous tasks
* Build and test prototype robotic workcell setups to validate the performance of the solution
* Partner with cross\-functional teams to rapidly create new concepts and prototypes
* Work with Amazon's robotics engineering and operations teams to grasp their requirements and develop tailored solutions
* Document the architecture, performance, and validation of the final system
**BASIC QUALIFICATIONS**
------------------------
* PhD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Experience building machine learning models or developing algorithms for business application
* Experience applying theoretical models in an applied environment
**PREFERRED QUALIFICATIONS**
----------------------------
* Experience using Unix/Linux
* Experience in professional software development
* Experience working effectively across cross\-functional teams and partnering well with people at all levels within an organization
* PhD in Robotics, Computer Science, or related field with focus on machine learning and robot control
* Experience developing and implementing machine learning approaches for robotic systems, particularly in imitation learning or reinforcement learning
* Strong background in robot control systems, particularly in force/impedance control and contact\-rich manipulation
* Experience with real\-time control systems and robot motion planning
* Track record of translating research concepts into practical robotic applications
* Strong programming skills and experience with modern ML frameworks
* Experience with demonstration\-based learning and data collection for robotic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9">
      <c r="A329" t="inlineStr">
        <is>
          <t>in-2dc3df58b620a226</t>
        </is>
      </c>
      <c r="B329" t="inlineStr">
        <is>
          <t>Principal Applied Scientist, Amazon AGI</t>
        </is>
      </c>
      <c r="C329" t="inlineStr">
        <is>
          <t>Amazon.com</t>
        </is>
      </c>
      <c r="D329" t="inlineStr">
        <is>
          <t>indeed</t>
        </is>
      </c>
      <c r="E329">
        <f>HYPERLINK("https://www.indeed.com/viewjob?jk=2dc3df58b620a226", "https://www.indeed.com/viewjob?jk=2dc3df58b620a226")</f>
        <v/>
      </c>
      <c r="F329">
        <f>HYPERLINK("https://www.amazon.jobs/jobs/3128808/principal-applied-scientist-amazon-agi?cmpid=DA_INAD200785B", "https://www.amazon.jobs/jobs/3128808/principal-applied-scientist-amazon-agi?cmpid=DA_INAD200785B")</f>
        <v/>
      </c>
      <c r="G329" t="inlineStr">
        <is>
          <t>San Francisco, CA, US</t>
        </is>
      </c>
      <c r="H329" s="3" t="n">
        <v>45964</v>
      </c>
      <c r="I329"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0">
      <c r="A330" t="inlineStr">
        <is>
          <t>in-9ea76a1781acd45a</t>
        </is>
      </c>
      <c r="B330" t="inlineStr">
        <is>
          <t>Principal Applied Scientist, Amazon AGI</t>
        </is>
      </c>
      <c r="C330" t="inlineStr">
        <is>
          <t>Amazon.com</t>
        </is>
      </c>
      <c r="D330" t="inlineStr">
        <is>
          <t>indeed</t>
        </is>
      </c>
      <c r="E330">
        <f>HYPERLINK("https://www.indeed.com/viewjob?jk=9ea76a1781acd45a", "https://www.indeed.com/viewjob?jk=9ea76a1781acd45a")</f>
        <v/>
      </c>
      <c r="F330">
        <f>HYPERLINK("https://www.amazon.jobs/jobs/3128808/principal-applied-scientist-amazon-agi?cmpid=DA_INAD200785B", "https://www.amazon.jobs/jobs/3128808/principal-applied-scientist-amazon-agi?cmpid=DA_INAD200785B")</f>
        <v/>
      </c>
      <c r="G330" t="inlineStr">
        <is>
          <t>Boston, MA, US</t>
        </is>
      </c>
      <c r="H330" s="3" t="n">
        <v>45964</v>
      </c>
      <c r="I330"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1">
      <c r="A331" t="inlineStr">
        <is>
          <t>in-2b2395ad1b6faf0b</t>
        </is>
      </c>
      <c r="B331" t="inlineStr">
        <is>
          <t>Sr. Applied Scientist, Sponsored Product Off-Search</t>
        </is>
      </c>
      <c r="C331" t="inlineStr">
        <is>
          <t>Amazon.com</t>
        </is>
      </c>
      <c r="D331" t="inlineStr">
        <is>
          <t>indeed</t>
        </is>
      </c>
      <c r="E331">
        <f>HYPERLINK("https://www.indeed.com/viewjob?jk=2b2395ad1b6faf0b", "https://www.indeed.com/viewjob?jk=2b2395ad1b6faf0b")</f>
        <v/>
      </c>
      <c r="F331">
        <f>HYPERLINK("https://www.amazon.jobs/jobs/3120815/sr-applied-scientist-sponsored-product-offsearch-?cmpid=DA_INAD200785B", "https://www.amazon.jobs/jobs/3120815/sr-applied-scientist-sponsored-product-offsearch-?cmpid=DA_INAD200785B")</f>
        <v/>
      </c>
      <c r="G331" t="inlineStr">
        <is>
          <t>New York, NY, US</t>
        </is>
      </c>
      <c r="H331" s="3" t="n">
        <v>45963</v>
      </c>
      <c r="I331"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PhD, or Master's degree and 6\+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2">
      <c r="A332" t="inlineStr">
        <is>
          <t>in-1cd6cb46aa7d2731</t>
        </is>
      </c>
      <c r="B332" t="inlineStr">
        <is>
          <t>Sr. Applied Scientist, Sponsored Product Off-Search</t>
        </is>
      </c>
      <c r="C332" t="inlineStr">
        <is>
          <t>Amazon.com</t>
        </is>
      </c>
      <c r="D332" t="inlineStr">
        <is>
          <t>indeed</t>
        </is>
      </c>
      <c r="E332">
        <f>HYPERLINK("https://www.indeed.com/viewjob?jk=1cd6cb46aa7d2731", "https://www.indeed.com/viewjob?jk=1cd6cb46aa7d2731")</f>
        <v/>
      </c>
      <c r="F332">
        <f>HYPERLINK("https://www.amazon.jobs/jobs/3120815/sr-applied-scientist-sponsored-product-offsearch-?cmpid=DA_INAD200785B", "https://www.amazon.jobs/jobs/3120815/sr-applied-scientist-sponsored-product-offsearch-?cmpid=DA_INAD200785B")</f>
        <v/>
      </c>
      <c r="G332" t="inlineStr">
        <is>
          <t>Seattle, WA, US</t>
        </is>
      </c>
      <c r="H332" s="3" t="n">
        <v>45963</v>
      </c>
      <c r="I332"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PhD, or Master's degree and 6\+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3">
      <c r="A333" t="inlineStr">
        <is>
          <t>in-e1ce4c78340e6464</t>
        </is>
      </c>
      <c r="B333" t="inlineStr">
        <is>
          <t>Applied Scientist, AWS Agentic AI</t>
        </is>
      </c>
      <c r="C333" t="inlineStr">
        <is>
          <t>Amazon Web Services</t>
        </is>
      </c>
      <c r="D333" t="inlineStr">
        <is>
          <t>indeed</t>
        </is>
      </c>
      <c r="E333">
        <f>HYPERLINK("https://www.indeed.com/viewjob?jk=e1ce4c78340e6464", "https://www.indeed.com/viewjob?jk=e1ce4c78340e6464")</f>
        <v/>
      </c>
      <c r="F333">
        <f>HYPERLINK("https://www.amazon.jobs/jobs/3141517/applied-scientist-aws-agentic-ai-?cmpid=DA_INAD200785B", "https://www.amazon.jobs/jobs/3141517/applied-scientist-aws-agentic-ai-?cmpid=DA_INAD200785B")</f>
        <v/>
      </c>
      <c r="G333" t="inlineStr">
        <is>
          <t>Seattle, WA, US</t>
        </is>
      </c>
      <c r="H333" s="3" t="n">
        <v>45962</v>
      </c>
      <c r="I333"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4">
      <c r="A334" t="inlineStr">
        <is>
          <t>in-fc1704d98ccf5f9c</t>
        </is>
      </c>
      <c r="B334" t="inlineStr">
        <is>
          <t>Applied Scientist, AWS Agentic AI</t>
        </is>
      </c>
      <c r="C334" t="inlineStr">
        <is>
          <t>Amazon Web Services</t>
        </is>
      </c>
      <c r="D334" t="inlineStr">
        <is>
          <t>indeed</t>
        </is>
      </c>
      <c r="E334">
        <f>HYPERLINK("https://www.indeed.com/viewjob?jk=fc1704d98ccf5f9c", "https://www.indeed.com/viewjob?jk=fc1704d98ccf5f9c")</f>
        <v/>
      </c>
      <c r="F334">
        <f>HYPERLINK("https://www.amazon.jobs/jobs/3141517/applied-scientist-aws-agentic-ai-?cmpid=DA_INAD200785B", "https://www.amazon.jobs/jobs/3141517/applied-scientist-aws-agentic-ai-?cmpid=DA_INAD200785B")</f>
        <v/>
      </c>
      <c r="G334" t="inlineStr">
        <is>
          <t>New York, NY, US</t>
        </is>
      </c>
      <c r="H334" s="3" t="n">
        <v>45962</v>
      </c>
      <c r="I334"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5">
      <c r="A335" t="inlineStr">
        <is>
          <t>in-0672e374bff9a470</t>
        </is>
      </c>
      <c r="B335" t="inlineStr">
        <is>
          <t>Applied Scientist, AWS Agentic AI</t>
        </is>
      </c>
      <c r="C335" t="inlineStr">
        <is>
          <t>Amazon Web Services</t>
        </is>
      </c>
      <c r="D335" t="inlineStr">
        <is>
          <t>indeed</t>
        </is>
      </c>
      <c r="E335">
        <f>HYPERLINK("https://www.indeed.com/viewjob?jk=0672e374bff9a470", "https://www.indeed.com/viewjob?jk=0672e374bff9a470")</f>
        <v/>
      </c>
      <c r="F335">
        <f>HYPERLINK("https://www.amazon.jobs/jobs/3141517/applied-scientist-aws-agentic-ai-?cmpid=DA_INAD200785B", "https://www.amazon.jobs/jobs/3141517/applied-scientist-aws-agentic-ai-?cmpid=DA_INAD200785B")</f>
        <v/>
      </c>
      <c r="G335" t="inlineStr">
        <is>
          <t>Santa Clara, CA, US</t>
        </is>
      </c>
      <c r="H335" s="3" t="n">
        <v>45962</v>
      </c>
      <c r="I335"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6">
      <c r="A336" t="inlineStr">
        <is>
          <t>in-b95634ee2ca80d5c</t>
        </is>
      </c>
      <c r="B336" t="inlineStr">
        <is>
          <t>Applied Scientist, Prime Video - Content Understanding, Localization &amp; Enrichment Team</t>
        </is>
      </c>
      <c r="C336" t="inlineStr">
        <is>
          <t>Amazon.com</t>
        </is>
      </c>
      <c r="D336" t="inlineStr">
        <is>
          <t>indeed</t>
        </is>
      </c>
      <c r="E336">
        <f>HYPERLINK("https://www.indeed.com/viewjob?jk=b95634ee2ca80d5c", "https://www.indeed.com/viewjob?jk=b95634ee2ca80d5c")</f>
        <v/>
      </c>
      <c r="F336">
        <f>HYPERLINK("https://www.amazon.jobs/jobs/3111928/applied-scientist-prime-video--content-understanding-localization--enrichment-team?cmpid=DA_INAD200785B", "https://www.amazon.jobs/jobs/3111928/applied-scientist-prime-video--content-understanding-localization--enrichment-team?cmpid=DA_INAD200785B")</f>
        <v/>
      </c>
      <c r="G336" t="inlineStr">
        <is>
          <t>San Francisco, CA, US</t>
        </is>
      </c>
      <c r="H336" s="3" t="n">
        <v>45943</v>
      </c>
      <c r="I33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337">
      <c r="A337" t="inlineStr">
        <is>
          <t>in-8b14b7c2d046bbb1</t>
        </is>
      </c>
      <c r="B337" t="inlineStr">
        <is>
          <t>Applied Scientist, Prime Video - Content Understanding, Localization &amp; Enrichment Team</t>
        </is>
      </c>
      <c r="C337" t="inlineStr">
        <is>
          <t>Amazon.com</t>
        </is>
      </c>
      <c r="D337" t="inlineStr">
        <is>
          <t>indeed</t>
        </is>
      </c>
      <c r="E337">
        <f>HYPERLINK("https://www.indeed.com/viewjob?jk=8b14b7c2d046bbb1", "https://www.indeed.com/viewjob?jk=8b14b7c2d046bbb1")</f>
        <v/>
      </c>
      <c r="F337">
        <f>HYPERLINK("https://www.amazon.jobs/jobs/3111928/applied-scientist-prime-video--content-understanding-localization--enrichment-team?cmpid=DA_INAD200785B", "https://www.amazon.jobs/jobs/3111928/applied-scientist-prime-video--content-understanding-localization--enrichment-team?cmpid=DA_INAD200785B")</f>
        <v/>
      </c>
      <c r="G337" t="inlineStr">
        <is>
          <t>Seattle, WA, US</t>
        </is>
      </c>
      <c r="H337" s="3" t="n">
        <v>45943</v>
      </c>
      <c r="I33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338">
      <c r="A338" t="inlineStr">
        <is>
          <t>in-00ca2781a5811eac</t>
        </is>
      </c>
      <c r="B338" t="inlineStr">
        <is>
          <t>Principal Applied Scientist, Advertiser Growth, Amazon Sponsored Products &amp; Brands</t>
        </is>
      </c>
      <c r="C338" t="inlineStr">
        <is>
          <t>Amazon.com</t>
        </is>
      </c>
      <c r="D338" t="inlineStr">
        <is>
          <t>indeed</t>
        </is>
      </c>
      <c r="E338">
        <f>HYPERLINK("https://www.indeed.com/viewjob?jk=00ca2781a5811eac", "https://www.indeed.com/viewjob?jk=00ca2781a5811eac")</f>
        <v/>
      </c>
      <c r="F338">
        <f>HYPERLINK("https://www.amazon.jobs/jobs/3115279/principal-applied-scientist-advertiser-growth-amazon-sponsored-products--brands?cmpid=DA_INAD200785B", "https://www.amazon.jobs/jobs/3115279/principal-applied-scientist-advertiser-growth-amazon-sponsored-products--brands?cmpid=DA_INAD200785B")</f>
        <v/>
      </c>
      <c r="G338" t="inlineStr">
        <is>
          <t>Palo Alto, CA, US</t>
        </is>
      </c>
      <c r="H338" s="3" t="n">
        <v>45942</v>
      </c>
      <c r="I338"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9">
      <c r="A339" t="inlineStr">
        <is>
          <t>in-b457ecfc7cf10d45</t>
        </is>
      </c>
      <c r="B339" t="inlineStr">
        <is>
          <t>Principal Applied Scientist, Advertiser Growth, Amazon Sponsored Products &amp; Brands</t>
        </is>
      </c>
      <c r="C339" t="inlineStr">
        <is>
          <t>Amazon.com</t>
        </is>
      </c>
      <c r="D339" t="inlineStr">
        <is>
          <t>indeed</t>
        </is>
      </c>
      <c r="E339">
        <f>HYPERLINK("https://www.indeed.com/viewjob?jk=b457ecfc7cf10d45", "https://www.indeed.com/viewjob?jk=b457ecfc7cf10d45")</f>
        <v/>
      </c>
      <c r="F339">
        <f>HYPERLINK("https://www.amazon.jobs/jobs/3115279/principal-applied-scientist-advertiser-growth-amazon-sponsored-products--brands?cmpid=DA_INAD200785B", "https://www.amazon.jobs/jobs/3115279/principal-applied-scientist-advertiser-growth-amazon-sponsored-products--brands?cmpid=DA_INAD200785B")</f>
        <v/>
      </c>
      <c r="G339" t="inlineStr">
        <is>
          <t>New York, NY, US</t>
        </is>
      </c>
      <c r="H339" s="3" t="n">
        <v>45942</v>
      </c>
      <c r="I339"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0">
      <c r="A340" t="inlineStr">
        <is>
          <t>in-817538c3fc21b9a3</t>
        </is>
      </c>
      <c r="B340" t="inlineStr">
        <is>
          <t>Principal Applied Scientist, Advertiser Growth, Amazon Sponsored Products &amp; Brands</t>
        </is>
      </c>
      <c r="C340" t="inlineStr">
        <is>
          <t>Amazon.com</t>
        </is>
      </c>
      <c r="D340" t="inlineStr">
        <is>
          <t>indeed</t>
        </is>
      </c>
      <c r="E340">
        <f>HYPERLINK("https://www.indeed.com/viewjob?jk=817538c3fc21b9a3", "https://www.indeed.com/viewjob?jk=817538c3fc21b9a3")</f>
        <v/>
      </c>
      <c r="F340">
        <f>HYPERLINK("https://www.amazon.jobs/jobs/3115279/principal-applied-scientist-advertiser-growth-amazon-sponsored-products--brands?cmpid=DA_INAD200785B", "https://www.amazon.jobs/jobs/3115279/principal-applied-scientist-advertiser-growth-amazon-sponsored-products--brands?cmpid=DA_INAD200785B")</f>
        <v/>
      </c>
      <c r="G340" t="inlineStr">
        <is>
          <t>Seattle, WA, US</t>
        </is>
      </c>
      <c r="H340" s="3" t="n">
        <v>45942</v>
      </c>
      <c r="I340"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1">
      <c r="A341" t="inlineStr">
        <is>
          <t>in-24cf7de8f66ee8ea</t>
        </is>
      </c>
      <c r="B341" t="inlineStr">
        <is>
          <t>Applied Scientist</t>
        </is>
      </c>
      <c r="C341" t="inlineStr">
        <is>
          <t>Amazon.com</t>
        </is>
      </c>
      <c r="D341" t="inlineStr">
        <is>
          <t>indeed</t>
        </is>
      </c>
      <c r="E341">
        <f>HYPERLINK("https://www.indeed.com/viewjob?jk=24cf7de8f66ee8ea", "https://www.indeed.com/viewjob?jk=24cf7de8f66ee8ea")</f>
        <v/>
      </c>
      <c r="F341">
        <f>HYPERLINK("https://www.amazon.jobs/jobs/3106501/applied-scientist?cmpid=DA_INAD200785B", "https://www.amazon.jobs/jobs/3106501/applied-scientist?cmpid=DA_INAD200785B")</f>
        <v/>
      </c>
      <c r="G341" t="inlineStr">
        <is>
          <t>Seattle, WA, US</t>
        </is>
      </c>
      <c r="H341" s="3" t="n">
        <v>45939</v>
      </c>
      <c r="I341"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2">
      <c r="A342" t="inlineStr">
        <is>
          <t>in-ae85d216d67a4d06</t>
        </is>
      </c>
      <c r="B342" t="inlineStr">
        <is>
          <t>Applied Scientist</t>
        </is>
      </c>
      <c r="C342" t="inlineStr">
        <is>
          <t>Amazon.com</t>
        </is>
      </c>
      <c r="D342" t="inlineStr">
        <is>
          <t>indeed</t>
        </is>
      </c>
      <c r="E342">
        <f>HYPERLINK("https://www.indeed.com/viewjob?jk=ae85d216d67a4d06", "https://www.indeed.com/viewjob?jk=ae85d216d67a4d06")</f>
        <v/>
      </c>
      <c r="F342">
        <f>HYPERLINK("https://www.amazon.jobs/jobs/3106501/applied-scientist?cmpid=DA_INAD200785B", "https://www.amazon.jobs/jobs/3106501/applied-scientist?cmpid=DA_INAD200785B")</f>
        <v/>
      </c>
      <c r="G342" t="inlineStr">
        <is>
          <t>New York, NY, US</t>
        </is>
      </c>
      <c r="H342" s="3" t="n">
        <v>45939</v>
      </c>
      <c r="I342"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3">
      <c r="A343" t="inlineStr">
        <is>
          <t>in-512e3c638947ca31</t>
        </is>
      </c>
      <c r="B343" t="inlineStr">
        <is>
          <t>Sr. Applied Scientist, SPB Advertiser Guidance</t>
        </is>
      </c>
      <c r="C343" t="inlineStr">
        <is>
          <t>Amazon.com</t>
        </is>
      </c>
      <c r="D343" t="inlineStr">
        <is>
          <t>indeed</t>
        </is>
      </c>
      <c r="E343">
        <f>HYPERLINK("https://www.indeed.com/viewjob?jk=512e3c638947ca31", "https://www.indeed.com/viewjob?jk=512e3c638947ca31")</f>
        <v/>
      </c>
      <c r="F343">
        <f>HYPERLINK("https://www.amazon.jobs/jobs/3106497/sr-applied-scientist-spb-advertiser-guidance?cmpid=DA_INAD200785B", "https://www.amazon.jobs/jobs/3106497/sr-applied-scientist-spb-advertiser-guidance?cmpid=DA_INAD200785B")</f>
        <v/>
      </c>
      <c r="G343" t="inlineStr">
        <is>
          <t>Seattle, WA, US</t>
        </is>
      </c>
      <c r="H343" s="3" t="n">
        <v>45939</v>
      </c>
      <c r="I343"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4">
      <c r="A344" t="inlineStr">
        <is>
          <t>in-5912a0757393bc23</t>
        </is>
      </c>
      <c r="B344" t="inlineStr">
        <is>
          <t>Sr. Applied Scientist, SPB Advertiser Guidance</t>
        </is>
      </c>
      <c r="C344" t="inlineStr">
        <is>
          <t>Amazon.com</t>
        </is>
      </c>
      <c r="D344" t="inlineStr">
        <is>
          <t>indeed</t>
        </is>
      </c>
      <c r="E344">
        <f>HYPERLINK("https://www.indeed.com/viewjob?jk=5912a0757393bc23", "https://www.indeed.com/viewjob?jk=5912a0757393bc23")</f>
        <v/>
      </c>
      <c r="F344">
        <f>HYPERLINK("https://www.amazon.jobs/jobs/3106497/sr-applied-scientist-spb-advertiser-guidance?cmpid=DA_INAD200785B", "https://www.amazon.jobs/jobs/3106497/sr-applied-scientist-spb-advertiser-guidance?cmpid=DA_INAD200785B")</f>
        <v/>
      </c>
      <c r="G344" t="inlineStr">
        <is>
          <t>New York, NY, US</t>
        </is>
      </c>
      <c r="H344" s="3" t="n">
        <v>45939</v>
      </c>
      <c r="I344"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5">
      <c r="A345" t="inlineStr">
        <is>
          <t>in-40d90bb824b59b17</t>
        </is>
      </c>
      <c r="B345" t="inlineStr">
        <is>
          <t>Sr. Applied Scientist, SPB Advertiser Guidance</t>
        </is>
      </c>
      <c r="C345" t="inlineStr">
        <is>
          <t>Amazon.com</t>
        </is>
      </c>
      <c r="D345" t="inlineStr">
        <is>
          <t>indeed</t>
        </is>
      </c>
      <c r="E345">
        <f>HYPERLINK("https://www.indeed.com/viewjob?jk=40d90bb824b59b17", "https://www.indeed.com/viewjob?jk=40d90bb824b59b17")</f>
        <v/>
      </c>
      <c r="F345">
        <f>HYPERLINK("https://www.amazon.jobs/jobs/3106497/sr-applied-scientist-spb-advertiser-guidance?cmpid=DA_INAD200785B", "https://www.amazon.jobs/jobs/3106497/sr-applied-scientist-spb-advertiser-guidance?cmpid=DA_INAD200785B")</f>
        <v/>
      </c>
      <c r="G345" t="inlineStr">
        <is>
          <t>Palo Alto, CA, US</t>
        </is>
      </c>
      <c r="H345" s="3" t="n">
        <v>45939</v>
      </c>
      <c r="I345"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6">
      <c r="A346" t="inlineStr">
        <is>
          <t>in-0763db14899927cd</t>
        </is>
      </c>
      <c r="B346" t="inlineStr">
        <is>
          <t>Applied Scientist</t>
        </is>
      </c>
      <c r="C346" t="inlineStr">
        <is>
          <t>Amazon.com</t>
        </is>
      </c>
      <c r="D346" t="inlineStr">
        <is>
          <t>indeed</t>
        </is>
      </c>
      <c r="E346">
        <f>HYPERLINK("https://www.indeed.com/viewjob?jk=0763db14899927cd", "https://www.indeed.com/viewjob?jk=0763db14899927cd")</f>
        <v/>
      </c>
      <c r="F346">
        <f>HYPERLINK("https://www.amazon.jobs/jobs/3106501/applied-scientist?cmpid=DA_INAD200785B", "https://www.amazon.jobs/jobs/3106501/applied-scientist?cmpid=DA_INAD200785B")</f>
        <v/>
      </c>
      <c r="G346" t="inlineStr">
        <is>
          <t>Palo Alto, CA, US</t>
        </is>
      </c>
      <c r="H346" s="3" t="n">
        <v>45939</v>
      </c>
      <c r="I346"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7">
      <c r="A347" t="inlineStr">
        <is>
          <t>in-6b9ed07cde2681d3</t>
        </is>
      </c>
      <c r="B347" t="inlineStr">
        <is>
          <t>Senior Applied Scientist, Sponsored Products and Brands</t>
        </is>
      </c>
      <c r="C347" t="inlineStr">
        <is>
          <t>Amazon.com</t>
        </is>
      </c>
      <c r="D347" t="inlineStr">
        <is>
          <t>indeed</t>
        </is>
      </c>
      <c r="E347">
        <f>HYPERLINK("https://www.indeed.com/viewjob?jk=6b9ed07cde2681d3", "https://www.indeed.com/viewjob?jk=6b9ed07cde2681d3")</f>
        <v/>
      </c>
      <c r="F347">
        <f>HYPERLINK("https://www.amazon.jobs/jobs/3094886/senior-applied-scientist-sponsored-products-and-brands?cmpid=DA_INAD200785B", "https://www.amazon.jobs/jobs/3094886/senior-applied-scientist-sponsored-products-and-brands?cmpid=DA_INAD200785B")</f>
        <v/>
      </c>
      <c r="G347" t="inlineStr">
        <is>
          <t>Seattle, WA, US</t>
        </is>
      </c>
      <c r="H347" s="3" t="n">
        <v>45922</v>
      </c>
      <c r="I347"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8">
      <c r="A348" t="inlineStr">
        <is>
          <t>in-496941c11bfc1f95</t>
        </is>
      </c>
      <c r="B348" t="inlineStr">
        <is>
          <t>Senior Applied Scientist, Sponsored Products and Brands</t>
        </is>
      </c>
      <c r="C348" t="inlineStr">
        <is>
          <t>Amazon.com</t>
        </is>
      </c>
      <c r="D348" t="inlineStr">
        <is>
          <t>indeed</t>
        </is>
      </c>
      <c r="E348">
        <f>HYPERLINK("https://www.indeed.com/viewjob?jk=496941c11bfc1f95", "https://www.indeed.com/viewjob?jk=496941c11bfc1f95")</f>
        <v/>
      </c>
      <c r="F348">
        <f>HYPERLINK("https://www.amazon.jobs/jobs/3094886/senior-applied-scientist-sponsored-products-and-brands?cmpid=DA_INAD200785B", "https://www.amazon.jobs/jobs/3094886/senior-applied-scientist-sponsored-products-and-brands?cmpid=DA_INAD200785B")</f>
        <v/>
      </c>
      <c r="G348" t="inlineStr">
        <is>
          <t>New York, NY, US</t>
        </is>
      </c>
      <c r="H348" s="3" t="n">
        <v>45922</v>
      </c>
      <c r="I348"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9">
      <c r="A349" t="inlineStr">
        <is>
          <t>in-99863748d6cc1c86</t>
        </is>
      </c>
      <c r="B349" t="inlineStr">
        <is>
          <t>Applied Scientist, Workplace Health &amp; Safety</t>
        </is>
      </c>
      <c r="C349" t="inlineStr">
        <is>
          <t>Amazon.com</t>
        </is>
      </c>
      <c r="D349" t="inlineStr">
        <is>
          <t>indeed</t>
        </is>
      </c>
      <c r="E349">
        <f>HYPERLINK("https://www.indeed.com/viewjob?jk=99863748d6cc1c86", "https://www.indeed.com/viewjob?jk=99863748d6cc1c86")</f>
        <v/>
      </c>
      <c r="F349">
        <f>HYPERLINK("https://www.amazon.jobs/jobs/3144886/applied-scientist-workplace-health--safety-?cmpid=DA_INAD200785B", "https://www.amazon.jobs/jobs/3144886/applied-scientist-workplace-health--safety-?cmpid=DA_INAD200785B")</f>
        <v/>
      </c>
      <c r="G349" t="inlineStr">
        <is>
          <t>Nashville, TN, US</t>
        </is>
      </c>
      <c r="H349" s="3" t="n">
        <v>45917</v>
      </c>
      <c r="I349"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0">
      <c r="A350" t="inlineStr">
        <is>
          <t>in-f40249932d9ddebe</t>
        </is>
      </c>
      <c r="B350" t="inlineStr">
        <is>
          <t>Applied Scientist, Workplace Health &amp; Safety</t>
        </is>
      </c>
      <c r="C350" t="inlineStr">
        <is>
          <t>Amazon.com</t>
        </is>
      </c>
      <c r="D350" t="inlineStr">
        <is>
          <t>indeed</t>
        </is>
      </c>
      <c r="E350">
        <f>HYPERLINK("https://www.indeed.com/viewjob?jk=f40249932d9ddebe", "https://www.indeed.com/viewjob?jk=f40249932d9ddebe")</f>
        <v/>
      </c>
      <c r="F350">
        <f>HYPERLINK("https://www.amazon.jobs/jobs/3144886/applied-scientist-workplace-health--safety-?cmpid=DA_INAD200785B", "https://www.amazon.jobs/jobs/3144886/applied-scientist-workplace-health--safety-?cmpid=DA_INAD200785B")</f>
        <v/>
      </c>
      <c r="G350" t="inlineStr">
        <is>
          <t>Bellevue, WA, US</t>
        </is>
      </c>
      <c r="H350" s="3" t="n">
        <v>45917</v>
      </c>
      <c r="I350"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1">
      <c r="A351" t="inlineStr">
        <is>
          <t>in-62beb57bbfca4c68</t>
        </is>
      </c>
      <c r="B351" t="inlineStr">
        <is>
          <t>Sr. Applied Scientist, Amazon Advertising</t>
        </is>
      </c>
      <c r="C351" t="inlineStr">
        <is>
          <t>Amazon.com</t>
        </is>
      </c>
      <c r="D351" t="inlineStr">
        <is>
          <t>indeed</t>
        </is>
      </c>
      <c r="E351">
        <f>HYPERLINK("https://www.indeed.com/viewjob?jk=62beb57bbfca4c68", "https://www.indeed.com/viewjob?jk=62beb57bbfca4c68")</f>
        <v/>
      </c>
      <c r="F351">
        <f>HYPERLINK("https://www.amazon.jobs/jobs/3035686/sr-applied-scientist-amazon-advertising?cmpid=DA_INAD200785B", "https://www.amazon.jobs/jobs/3035686/sr-applied-scientist-amazon-advertising?cmpid=DA_INAD200785B")</f>
        <v/>
      </c>
      <c r="G351" t="inlineStr">
        <is>
          <t>Simi Valley, CA, US</t>
        </is>
      </c>
      <c r="H351" s="3" t="n">
        <v>45851</v>
      </c>
      <c r="I35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2">
      <c r="A352" t="inlineStr">
        <is>
          <t>in-8139e637ed84955f</t>
        </is>
      </c>
      <c r="B352" t="inlineStr">
        <is>
          <t>Sr. Applied Scientist, Amazon Advertising</t>
        </is>
      </c>
      <c r="C352" t="inlineStr">
        <is>
          <t>Amazon.com</t>
        </is>
      </c>
      <c r="D352" t="inlineStr">
        <is>
          <t>indeed</t>
        </is>
      </c>
      <c r="E352">
        <f>HYPERLINK("https://www.indeed.com/viewjob?jk=8139e637ed84955f", "https://www.indeed.com/viewjob?jk=8139e637ed84955f")</f>
        <v/>
      </c>
      <c r="F352">
        <f>HYPERLINK("https://www.amazon.jobs/jobs/3035686/sr-applied-scientist-amazon-advertising?cmpid=DA_INAD200785B", "https://www.amazon.jobs/jobs/3035686/sr-applied-scientist-amazon-advertising?cmpid=DA_INAD200785B")</f>
        <v/>
      </c>
      <c r="G352" t="inlineStr">
        <is>
          <t>New York, NY, US</t>
        </is>
      </c>
      <c r="H352" s="3" t="n">
        <v>45851</v>
      </c>
      <c r="I35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3">
      <c r="A353" t="inlineStr">
        <is>
          <t>in-42afca78303bc345</t>
        </is>
      </c>
      <c r="B353" t="inlineStr">
        <is>
          <t>Sr. Applied Scientist, Amazon Advertising</t>
        </is>
      </c>
      <c r="C353" t="inlineStr">
        <is>
          <t>Amazon.com</t>
        </is>
      </c>
      <c r="D353" t="inlineStr">
        <is>
          <t>indeed</t>
        </is>
      </c>
      <c r="E353">
        <f>HYPERLINK("https://www.indeed.com/viewjob?jk=42afca78303bc345", "https://www.indeed.com/viewjob?jk=42afca78303bc345")</f>
        <v/>
      </c>
      <c r="F353">
        <f>HYPERLINK("https://www.amazon.jobs/jobs/3035686/sr-applied-scientist-amazon-advertising?cmpid=DA_INAD200785B", "https://www.amazon.jobs/jobs/3035686/sr-applied-scientist-amazon-advertising?cmpid=DA_INAD200785B")</f>
        <v/>
      </c>
      <c r="G353" t="inlineStr">
        <is>
          <t>Palo Alto, CA, US</t>
        </is>
      </c>
      <c r="H353" s="3" t="n">
        <v>45851</v>
      </c>
      <c r="I35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4">
      <c r="A354" t="inlineStr">
        <is>
          <t>in-66daa4113e9e3375</t>
        </is>
      </c>
      <c r="B354" t="inlineStr">
        <is>
          <t>Sr. Applied Scientist, Amazon Advertising</t>
        </is>
      </c>
      <c r="C354" t="inlineStr">
        <is>
          <t>Amazon.com</t>
        </is>
      </c>
      <c r="D354" t="inlineStr">
        <is>
          <t>indeed</t>
        </is>
      </c>
      <c r="E354">
        <f>HYPERLINK("https://www.indeed.com/viewjob?jk=66daa4113e9e3375", "https://www.indeed.com/viewjob?jk=66daa4113e9e3375")</f>
        <v/>
      </c>
      <c r="F354">
        <f>HYPERLINK("https://www.amazon.jobs/jobs/3035686/sr-applied-scientist-amazon-advertising?cmpid=DA_INAD200785B", "https://www.amazon.jobs/jobs/3035686/sr-applied-scientist-amazon-advertising?cmpid=DA_INAD200785B")</f>
        <v/>
      </c>
      <c r="G354" t="inlineStr">
        <is>
          <t>Austin, TX, US</t>
        </is>
      </c>
      <c r="H354" s="3" t="n">
        <v>45851</v>
      </c>
      <c r="I35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5">
      <c r="A355" t="inlineStr">
        <is>
          <t>in-c3e31e1d37105a12</t>
        </is>
      </c>
      <c r="B355" t="inlineStr">
        <is>
          <t>Sr. Applied Scientist, Amazon Advertising</t>
        </is>
      </c>
      <c r="C355" t="inlineStr">
        <is>
          <t>Amazon.com</t>
        </is>
      </c>
      <c r="D355" t="inlineStr">
        <is>
          <t>indeed</t>
        </is>
      </c>
      <c r="E355">
        <f>HYPERLINK("https://www.indeed.com/viewjob?jk=c3e31e1d37105a12", "https://www.indeed.com/viewjob?jk=c3e31e1d37105a12")</f>
        <v/>
      </c>
      <c r="F355">
        <f>HYPERLINK("https://www.amazon.jobs/jobs/3035686/sr-applied-scientist-amazon-advertising?cmpid=DA_INAD200785B", "https://www.amazon.jobs/jobs/3035686/sr-applied-scientist-amazon-advertising?cmpid=DA_INAD200785B")</f>
        <v/>
      </c>
      <c r="G355" t="inlineStr">
        <is>
          <t>West Hollywood, CA, US</t>
        </is>
      </c>
      <c r="H355" s="3" t="n">
        <v>45851</v>
      </c>
      <c r="I35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6">
      <c r="A356" t="inlineStr">
        <is>
          <t>in-c11111a1b66cd9c0</t>
        </is>
      </c>
      <c r="B356" t="inlineStr">
        <is>
          <t>Sr. Applied Scientist, Amazon Advertising</t>
        </is>
      </c>
      <c r="C356" t="inlineStr">
        <is>
          <t>Amazon.com</t>
        </is>
      </c>
      <c r="D356" t="inlineStr">
        <is>
          <t>indeed</t>
        </is>
      </c>
      <c r="E356">
        <f>HYPERLINK("https://www.indeed.com/viewjob?jk=c11111a1b66cd9c0", "https://www.indeed.com/viewjob?jk=c11111a1b66cd9c0")</f>
        <v/>
      </c>
      <c r="F356">
        <f>HYPERLINK("https://www.amazon.jobs/jobs/3035686/sr-applied-scientist-amazon-advertising?cmpid=DA_INAD200785B", "https://www.amazon.jobs/jobs/3035686/sr-applied-scientist-amazon-advertising?cmpid=DA_INAD200785B")</f>
        <v/>
      </c>
      <c r="G356" t="inlineStr">
        <is>
          <t>Arlington, VA, US</t>
        </is>
      </c>
      <c r="H356" s="3" t="n">
        <v>45851</v>
      </c>
      <c r="I35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7">
      <c r="A357" t="inlineStr">
        <is>
          <t>in-aa394a76cd446e92</t>
        </is>
      </c>
      <c r="B357" t="inlineStr">
        <is>
          <t>Sr. Applied Scientist, Amazon Advertising</t>
        </is>
      </c>
      <c r="C357" t="inlineStr">
        <is>
          <t>Amazon.com</t>
        </is>
      </c>
      <c r="D357" t="inlineStr">
        <is>
          <t>indeed</t>
        </is>
      </c>
      <c r="E357">
        <f>HYPERLINK("https://www.indeed.com/viewjob?jk=aa394a76cd446e92", "https://www.indeed.com/viewjob?jk=aa394a76cd446e92")</f>
        <v/>
      </c>
      <c r="F357">
        <f>HYPERLINK("https://www.amazon.jobs/jobs/3035686/sr-applied-scientist-amazon-advertising?cmpid=DA_INAD200785B", "https://www.amazon.jobs/jobs/3035686/sr-applied-scientist-amazon-advertising?cmpid=DA_INAD200785B")</f>
        <v/>
      </c>
      <c r="G357" t="inlineStr">
        <is>
          <t>Los Angeles, CA, US</t>
        </is>
      </c>
      <c r="H357" s="3" t="n">
        <v>45851</v>
      </c>
      <c r="I35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8">
      <c r="A358" t="inlineStr">
        <is>
          <t>in-48cf5413e35b8d63</t>
        </is>
      </c>
      <c r="B358" t="inlineStr">
        <is>
          <t>Sr. Applied Scientist, Amazon Advertising</t>
        </is>
      </c>
      <c r="C358" t="inlineStr">
        <is>
          <t>Amazon.com</t>
        </is>
      </c>
      <c r="D358" t="inlineStr">
        <is>
          <t>indeed</t>
        </is>
      </c>
      <c r="E358">
        <f>HYPERLINK("https://www.indeed.com/viewjob?jk=48cf5413e35b8d63", "https://www.indeed.com/viewjob?jk=48cf5413e35b8d63")</f>
        <v/>
      </c>
      <c r="F358">
        <f>HYPERLINK("https://www.amazon.jobs/jobs/3035686/sr-applied-scientist-amazon-advertising?cmpid=DA_INAD200785B", "https://www.amazon.jobs/jobs/3035686/sr-applied-scientist-amazon-advertising?cmpid=DA_INAD200785B")</f>
        <v/>
      </c>
      <c r="G358" t="inlineStr">
        <is>
          <t>Seattle, WA, US</t>
        </is>
      </c>
      <c r="H358" s="3" t="n">
        <v>45851</v>
      </c>
      <c r="I35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9">
      <c r="A359" t="inlineStr">
        <is>
          <t>in-6b86d87aa898dffa</t>
        </is>
      </c>
      <c r="B359" t="inlineStr">
        <is>
          <t>Senior Applied Scientist, Artificial General Intelligence</t>
        </is>
      </c>
      <c r="C359" t="inlineStr">
        <is>
          <t>Amazon.com</t>
        </is>
      </c>
      <c r="D359" t="inlineStr">
        <is>
          <t>indeed</t>
        </is>
      </c>
      <c r="E359">
        <f>HYPERLINK("https://www.indeed.com/viewjob?jk=6b86d87aa898dffa", "https://www.indeed.com/viewjob?jk=6b86d87aa898dffa")</f>
        <v/>
      </c>
      <c r="F359">
        <f>HYPERLINK("https://www.amazon.jobs/jobs/3032183/senior-applied-scientist-artificial-general-intelligence?cmpid=DA_INAD200785B", "https://www.amazon.jobs/jobs/3032183/senior-applied-scientist-artificial-general-intelligence?cmpid=DA_INAD200785B")</f>
        <v/>
      </c>
      <c r="G359" t="inlineStr">
        <is>
          <t>Boston, MA, US</t>
        </is>
      </c>
      <c r="H359" s="3" t="n">
        <v>45838</v>
      </c>
      <c r="I359"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0">
      <c r="A360" t="inlineStr">
        <is>
          <t>in-2d4484749c999904</t>
        </is>
      </c>
      <c r="B360" t="inlineStr">
        <is>
          <t>Senior Applied Scientist, Artificial General Intelligence</t>
        </is>
      </c>
      <c r="C360" t="inlineStr">
        <is>
          <t>Amazon.com</t>
        </is>
      </c>
      <c r="D360" t="inlineStr">
        <is>
          <t>indeed</t>
        </is>
      </c>
      <c r="E360">
        <f>HYPERLINK("https://www.indeed.com/viewjob?jk=2d4484749c999904", "https://www.indeed.com/viewjob?jk=2d4484749c999904")</f>
        <v/>
      </c>
      <c r="F360">
        <f>HYPERLINK("https://www.amazon.jobs/jobs/3032183/senior-applied-scientist-artificial-general-intelligence?cmpid=DA_INAD200785B", "https://www.amazon.jobs/jobs/3032183/senior-applied-scientist-artificial-general-intelligence?cmpid=DA_INAD200785B")</f>
        <v/>
      </c>
      <c r="G360" t="inlineStr">
        <is>
          <t>Sunnyvale, CA, US</t>
        </is>
      </c>
      <c r="H360" s="3" t="n">
        <v>45838</v>
      </c>
      <c r="I360"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1">
      <c r="A361" t="inlineStr">
        <is>
          <t>in-bf44c1c236bcf819</t>
        </is>
      </c>
      <c r="B361" t="inlineStr">
        <is>
          <t>Senior Applied Scientist, Artificial General Intelligence</t>
        </is>
      </c>
      <c r="C361" t="inlineStr">
        <is>
          <t>Amazon.com</t>
        </is>
      </c>
      <c r="D361" t="inlineStr">
        <is>
          <t>indeed</t>
        </is>
      </c>
      <c r="E361">
        <f>HYPERLINK("https://www.indeed.com/viewjob?jk=bf44c1c236bcf819", "https://www.indeed.com/viewjob?jk=bf44c1c236bcf819")</f>
        <v/>
      </c>
      <c r="F361">
        <f>HYPERLINK("https://www.amazon.jobs/jobs/3032183/senior-applied-scientist-artificial-general-intelligence?cmpid=DA_INAD200785B", "https://www.amazon.jobs/jobs/3032183/senior-applied-scientist-artificial-general-intelligence?cmpid=DA_INAD200785B")</f>
        <v/>
      </c>
      <c r="G361" t="inlineStr">
        <is>
          <t>New York, NY, US</t>
        </is>
      </c>
      <c r="H361" s="3" t="n">
        <v>45838</v>
      </c>
      <c r="I361"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2">
      <c r="A362" t="inlineStr">
        <is>
          <t>in-e68b3b263fbe2e7f</t>
        </is>
      </c>
      <c r="B362" t="inlineStr">
        <is>
          <t>Sr. Applied Scientist, Sales AI</t>
        </is>
      </c>
      <c r="C362" t="inlineStr">
        <is>
          <t>Amazon.com</t>
        </is>
      </c>
      <c r="D362" t="inlineStr">
        <is>
          <t>indeed</t>
        </is>
      </c>
      <c r="E362">
        <f>HYPERLINK("https://www.indeed.com/viewjob?jk=e68b3b263fbe2e7f", "https://www.indeed.com/viewjob?jk=e68b3b263fbe2e7f")</f>
        <v/>
      </c>
      <c r="F362">
        <f>HYPERLINK("https://www.amazon.jobs/jobs/3020528/sr-applied-scientist-sales-ai?cmpid=DA_INAD200785B", "https://www.amazon.jobs/jobs/3020528/sr-applied-scientist-sales-ai?cmpid=DA_INAD200785B")</f>
        <v/>
      </c>
      <c r="G362" t="inlineStr">
        <is>
          <t>Sunnyvale, CA, US</t>
        </is>
      </c>
      <c r="H362" s="3" t="n">
        <v>45830</v>
      </c>
      <c r="I362"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3">
      <c r="A363" t="inlineStr">
        <is>
          <t>in-c3c4d4ef9c5c0925</t>
        </is>
      </c>
      <c r="B363" t="inlineStr">
        <is>
          <t>Sr. Applied Scientist, Sales AI</t>
        </is>
      </c>
      <c r="C363" t="inlineStr">
        <is>
          <t>Amazon.com</t>
        </is>
      </c>
      <c r="D363" t="inlineStr">
        <is>
          <t>indeed</t>
        </is>
      </c>
      <c r="E363">
        <f>HYPERLINK("https://www.indeed.com/viewjob?jk=c3c4d4ef9c5c0925", "https://www.indeed.com/viewjob?jk=c3c4d4ef9c5c0925")</f>
        <v/>
      </c>
      <c r="F363">
        <f>HYPERLINK("https://www.amazon.jobs/jobs/3020528/sr-applied-scientist-sales-ai?cmpid=DA_INAD200785B", "https://www.amazon.jobs/jobs/3020528/sr-applied-scientist-sales-ai?cmpid=DA_INAD200785B")</f>
        <v/>
      </c>
      <c r="G363" t="inlineStr">
        <is>
          <t>Seattle, WA, US</t>
        </is>
      </c>
      <c r="H363" s="3" t="n">
        <v>45830</v>
      </c>
      <c r="I363"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4">
      <c r="A364" t="inlineStr">
        <is>
          <t>in-bad7070f383dfee4</t>
        </is>
      </c>
      <c r="B364" t="inlineStr">
        <is>
          <t>Sr. Applied Scientist, Sales AI</t>
        </is>
      </c>
      <c r="C364" t="inlineStr">
        <is>
          <t>Amazon.com</t>
        </is>
      </c>
      <c r="D364" t="inlineStr">
        <is>
          <t>indeed</t>
        </is>
      </c>
      <c r="E364">
        <f>HYPERLINK("https://www.indeed.com/viewjob?jk=bad7070f383dfee4", "https://www.indeed.com/viewjob?jk=bad7070f383dfee4")</f>
        <v/>
      </c>
      <c r="F364">
        <f>HYPERLINK("https://www.amazon.jobs/jobs/3020528/sr-applied-scientist-sales-ai?cmpid=DA_INAD200785B", "https://www.amazon.jobs/jobs/3020528/sr-applied-scientist-sales-ai?cmpid=DA_INAD200785B")</f>
        <v/>
      </c>
      <c r="G364" t="inlineStr">
        <is>
          <t>New York, NY, US</t>
        </is>
      </c>
      <c r="H364" s="3" t="n">
        <v>45830</v>
      </c>
      <c r="I364"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5">
      <c r="A365" t="inlineStr">
        <is>
          <t>in-f17de5601fa09582</t>
        </is>
      </c>
      <c r="B365" t="inlineStr">
        <is>
          <t>Principal Applied Scientist, Delivery Foundation Model</t>
        </is>
      </c>
      <c r="C365" t="inlineStr">
        <is>
          <t>Amazon.com</t>
        </is>
      </c>
      <c r="D365" t="inlineStr">
        <is>
          <t>indeed</t>
        </is>
      </c>
      <c r="E365">
        <f>HYPERLINK("https://www.indeed.com/viewjob?jk=f17de5601fa09582", "https://www.indeed.com/viewjob?jk=f17de5601fa09582")</f>
        <v/>
      </c>
      <c r="F365">
        <f>HYPERLINK("https://www.amazon.jobs/jobs/3006938/principal-applied-scientist-delivery-foundation-model-?cmpid=DA_INAD200785B", "https://www.amazon.jobs/jobs/3006938/principal-applied-scientist-delivery-foundation-model-?cmpid=DA_INAD200785B")</f>
        <v/>
      </c>
      <c r="G365" t="inlineStr">
        <is>
          <t>Austin, TX, US</t>
        </is>
      </c>
      <c r="H365" s="3" t="n">
        <v>45810</v>
      </c>
      <c r="I36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6">
      <c r="A366" t="inlineStr">
        <is>
          <t>in-1ca5ca6fba3fb5ff</t>
        </is>
      </c>
      <c r="B366" t="inlineStr">
        <is>
          <t>Principal Applied Scientist, Delivery Foundation Model</t>
        </is>
      </c>
      <c r="C366" t="inlineStr">
        <is>
          <t>Amazon.com</t>
        </is>
      </c>
      <c r="D366" t="inlineStr">
        <is>
          <t>indeed</t>
        </is>
      </c>
      <c r="E366">
        <f>HYPERLINK("https://www.indeed.com/viewjob?jk=1ca5ca6fba3fb5ff", "https://www.indeed.com/viewjob?jk=1ca5ca6fba3fb5ff")</f>
        <v/>
      </c>
      <c r="F366">
        <f>HYPERLINK("https://www.amazon.jobs/jobs/3006938/principal-applied-scientist-delivery-foundation-model-?cmpid=DA_INAD200785B", "https://www.amazon.jobs/jobs/3006938/principal-applied-scientist-delivery-foundation-model-?cmpid=DA_INAD200785B")</f>
        <v/>
      </c>
      <c r="G366" t="inlineStr">
        <is>
          <t>Santa Clara, CA, US</t>
        </is>
      </c>
      <c r="H366" s="3" t="n">
        <v>45810</v>
      </c>
      <c r="I36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7">
      <c r="A367" t="inlineStr">
        <is>
          <t>in-e055b4cd38e021c4</t>
        </is>
      </c>
      <c r="B367" t="inlineStr">
        <is>
          <t>Principal Applied Scientist, Delivery Foundation Model</t>
        </is>
      </c>
      <c r="C367" t="inlineStr">
        <is>
          <t>Amazon.com</t>
        </is>
      </c>
      <c r="D367" t="inlineStr">
        <is>
          <t>indeed</t>
        </is>
      </c>
      <c r="E367">
        <f>HYPERLINK("https://www.indeed.com/viewjob?jk=e055b4cd38e021c4", "https://www.indeed.com/viewjob?jk=e055b4cd38e021c4")</f>
        <v/>
      </c>
      <c r="F367">
        <f>HYPERLINK("https://www.amazon.jobs/jobs/3006938/principal-applied-scientist-delivery-foundation-model-?cmpid=DA_INAD200785B", "https://www.amazon.jobs/jobs/3006938/principal-applied-scientist-delivery-foundation-model-?cmpid=DA_INAD200785B")</f>
        <v/>
      </c>
      <c r="G367" t="inlineStr">
        <is>
          <t>New York, NY, US</t>
        </is>
      </c>
      <c r="H367" s="3" t="n">
        <v>45810</v>
      </c>
      <c r="I36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8">
      <c r="A368" t="inlineStr">
        <is>
          <t>in-899bc621f87b5856</t>
        </is>
      </c>
      <c r="B368" t="inlineStr">
        <is>
          <t>Principal Applied Scientist, Delivery Foundation Model</t>
        </is>
      </c>
      <c r="C368" t="inlineStr">
        <is>
          <t>Amazon.com</t>
        </is>
      </c>
      <c r="D368" t="inlineStr">
        <is>
          <t>indeed</t>
        </is>
      </c>
      <c r="E368">
        <f>HYPERLINK("https://www.indeed.com/viewjob?jk=899bc621f87b5856", "https://www.indeed.com/viewjob?jk=899bc621f87b5856")</f>
        <v/>
      </c>
      <c r="F368">
        <f>HYPERLINK("https://www.amazon.jobs/jobs/3006938/principal-applied-scientist-delivery-foundation-model-?cmpid=DA_INAD200785B", "https://www.amazon.jobs/jobs/3006938/principal-applied-scientist-delivery-foundation-model-?cmpid=DA_INAD200785B")</f>
        <v/>
      </c>
      <c r="G368" t="inlineStr">
        <is>
          <t>Bellevue, WA, US</t>
        </is>
      </c>
      <c r="H368" s="3" t="n">
        <v>45810</v>
      </c>
      <c r="I36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9">
      <c r="A369" t="inlineStr">
        <is>
          <t>in-2d3c2364b6c1ec13</t>
        </is>
      </c>
      <c r="B369" t="inlineStr">
        <is>
          <t>Senior Applied Scientist, Delivery Foundation Model</t>
        </is>
      </c>
      <c r="C369" t="inlineStr">
        <is>
          <t>Amazon.com</t>
        </is>
      </c>
      <c r="D369" t="inlineStr">
        <is>
          <t>indeed</t>
        </is>
      </c>
      <c r="E369">
        <f>HYPERLINK("https://www.indeed.com/viewjob?jk=2d3c2364b6c1ec13", "https://www.indeed.com/viewjob?jk=2d3c2364b6c1ec13")</f>
        <v/>
      </c>
      <c r="F369">
        <f>HYPERLINK("https://www.amazon.jobs/jobs/2998435/senior-applied-scientist-delivery-foundation-model-?cmpid=DA_INAD200785B", "https://www.amazon.jobs/jobs/2998435/senior-applied-scientist-delivery-foundation-model-?cmpid=DA_INAD200785B")</f>
        <v/>
      </c>
      <c r="G369" t="inlineStr">
        <is>
          <t>New York, NY, US</t>
        </is>
      </c>
      <c r="H369" s="3" t="n">
        <v>45806</v>
      </c>
      <c r="I36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0">
      <c r="A370" t="inlineStr">
        <is>
          <t>in-9dd0c47eb12305c1</t>
        </is>
      </c>
      <c r="B370" t="inlineStr">
        <is>
          <t>Senior Applied Scientist, Delivery Foundation Model</t>
        </is>
      </c>
      <c r="C370" t="inlineStr">
        <is>
          <t>Amazon.com</t>
        </is>
      </c>
      <c r="D370" t="inlineStr">
        <is>
          <t>indeed</t>
        </is>
      </c>
      <c r="E370">
        <f>HYPERLINK("https://www.indeed.com/viewjob?jk=9dd0c47eb12305c1", "https://www.indeed.com/viewjob?jk=9dd0c47eb12305c1")</f>
        <v/>
      </c>
      <c r="F370">
        <f>HYPERLINK("https://www.amazon.jobs/jobs/2998435/senior-applied-scientist-delivery-foundation-model-?cmpid=DA_INAD200785B", "https://www.amazon.jobs/jobs/2998435/senior-applied-scientist-delivery-foundation-model-?cmpid=DA_INAD200785B")</f>
        <v/>
      </c>
      <c r="G370" t="inlineStr">
        <is>
          <t>Santa Clara, CA, US</t>
        </is>
      </c>
      <c r="H370" s="3" t="n">
        <v>45806</v>
      </c>
      <c r="I37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1">
      <c r="A371" t="inlineStr">
        <is>
          <t>in-02e0650090331579</t>
        </is>
      </c>
      <c r="B371" t="inlineStr">
        <is>
          <t>Senior Applied Scientist, Delivery Foundation Model</t>
        </is>
      </c>
      <c r="C371" t="inlineStr">
        <is>
          <t>Amazon.com</t>
        </is>
      </c>
      <c r="D371" t="inlineStr">
        <is>
          <t>indeed</t>
        </is>
      </c>
      <c r="E371">
        <f>HYPERLINK("https://www.indeed.com/viewjob?jk=02e0650090331579", "https://www.indeed.com/viewjob?jk=02e0650090331579")</f>
        <v/>
      </c>
      <c r="F371">
        <f>HYPERLINK("https://www.amazon.jobs/jobs/2998435/senior-applied-scientist-delivery-foundation-model-?cmpid=DA_INAD200785B", "https://www.amazon.jobs/jobs/2998435/senior-applied-scientist-delivery-foundation-model-?cmpid=DA_INAD200785B")</f>
        <v/>
      </c>
      <c r="G371" t="inlineStr">
        <is>
          <t>Bellevue, WA, US</t>
        </is>
      </c>
      <c r="H371" s="3" t="n">
        <v>45806</v>
      </c>
      <c r="I37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2">
      <c r="A372" t="inlineStr">
        <is>
          <t>in-c8ddba2752f4d9d7</t>
        </is>
      </c>
      <c r="B372" t="inlineStr">
        <is>
          <t>Principal Applied Scientist, Delivery Foundation Model</t>
        </is>
      </c>
      <c r="C372" t="inlineStr">
        <is>
          <t>Amazon.com</t>
        </is>
      </c>
      <c r="D372" t="inlineStr">
        <is>
          <t>indeed</t>
        </is>
      </c>
      <c r="E372">
        <f>HYPERLINK("https://www.indeed.com/viewjob?jk=c8ddba2752f4d9d7", "https://www.indeed.com/viewjob?jk=c8ddba2752f4d9d7")</f>
        <v/>
      </c>
      <c r="F372">
        <f>HYPERLINK("https://www.amazon.jobs/jobs/2998635/principal-applied-scientist-delivery-foundation-model-?cmpid=DA_INAD200785B", "https://www.amazon.jobs/jobs/2998635/principal-applied-scientist-delivery-foundation-model-?cmpid=DA_INAD200785B")</f>
        <v/>
      </c>
      <c r="G372" t="inlineStr">
        <is>
          <t>Santa Clara, CA, US</t>
        </is>
      </c>
      <c r="H372" s="3" t="n">
        <v>45757</v>
      </c>
      <c r="I37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3">
      <c r="A373" t="inlineStr">
        <is>
          <t>in-bd17de3b6437cee7</t>
        </is>
      </c>
      <c r="B373" t="inlineStr">
        <is>
          <t>Principal Applied Scientist, Delivery Foundation Model</t>
        </is>
      </c>
      <c r="C373" t="inlineStr">
        <is>
          <t>Amazon.com</t>
        </is>
      </c>
      <c r="D373" t="inlineStr">
        <is>
          <t>indeed</t>
        </is>
      </c>
      <c r="E373">
        <f>HYPERLINK("https://www.indeed.com/viewjob?jk=bd17de3b6437cee7", "https://www.indeed.com/viewjob?jk=bd17de3b6437cee7")</f>
        <v/>
      </c>
      <c r="F373">
        <f>HYPERLINK("https://www.amazon.jobs/jobs/2998635/principal-applied-scientist-delivery-foundation-model-?cmpid=DA_INAD200785B", "https://www.amazon.jobs/jobs/2998635/principal-applied-scientist-delivery-foundation-model-?cmpid=DA_INAD200785B")</f>
        <v/>
      </c>
      <c r="G373" t="inlineStr">
        <is>
          <t>New York, NY, US</t>
        </is>
      </c>
      <c r="H373" s="3" t="n">
        <v>45757</v>
      </c>
      <c r="I37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4">
      <c r="A374" t="inlineStr">
        <is>
          <t>in-ce066232eadc6fa9</t>
        </is>
      </c>
      <c r="B374" t="inlineStr">
        <is>
          <t>Principal Applied Scientist, Delivery Foundation Model</t>
        </is>
      </c>
      <c r="C374" t="inlineStr">
        <is>
          <t>Amazon.com</t>
        </is>
      </c>
      <c r="D374" t="inlineStr">
        <is>
          <t>indeed</t>
        </is>
      </c>
      <c r="E374">
        <f>HYPERLINK("https://www.indeed.com/viewjob?jk=ce066232eadc6fa9", "https://www.indeed.com/viewjob?jk=ce066232eadc6fa9")</f>
        <v/>
      </c>
      <c r="F374">
        <f>HYPERLINK("https://www.amazon.jobs/jobs/2998635/principal-applied-scientist-delivery-foundation-model-?cmpid=DA_INAD200785B", "https://www.amazon.jobs/jobs/2998635/principal-applied-scientist-delivery-foundation-model-?cmpid=DA_INAD200785B")</f>
        <v/>
      </c>
      <c r="G374" t="inlineStr">
        <is>
          <t>Bellevue, WA, US</t>
        </is>
      </c>
      <c r="H374" s="3" t="n">
        <v>45757</v>
      </c>
      <c r="I37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5">
      <c r="A375" t="inlineStr">
        <is>
          <t>in-6a236a709950d0f5</t>
        </is>
      </c>
      <c r="B375" t="inlineStr">
        <is>
          <t>Principal Applied Scientist, FAR (Frontier AI &amp; Robotics)</t>
        </is>
      </c>
      <c r="C375" t="inlineStr">
        <is>
          <t>Amazon.com</t>
        </is>
      </c>
      <c r="D375" t="inlineStr">
        <is>
          <t>indeed</t>
        </is>
      </c>
      <c r="E375">
        <f>HYPERLINK("https://www.indeed.com/viewjob?jk=6a236a709950d0f5", "https://www.indeed.com/viewjob?jk=6a236a709950d0f5")</f>
        <v/>
      </c>
      <c r="F375">
        <f>HYPERLINK("https://www.amazon.jobs/jobs/2938625/principal-applied-scientist-far-frontier-ai--robotics?cmpid=DA_INAD200785B", "https://www.amazon.jobs/jobs/2938625/principal-applied-scientist-far-frontier-ai--robotics?cmpid=DA_INAD200785B")</f>
        <v/>
      </c>
      <c r="G375" t="inlineStr">
        <is>
          <t>San Francisco, CA, US</t>
        </is>
      </c>
      <c r="H375" s="3" t="n">
        <v>45740</v>
      </c>
      <c r="I375"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6">
      <c r="A376" t="inlineStr">
        <is>
          <t>in-54633d0e577ac824</t>
        </is>
      </c>
      <c r="B376" t="inlineStr">
        <is>
          <t>Principal Applied Scientist, FAR (Frontier AI &amp; Robotics)</t>
        </is>
      </c>
      <c r="C376" t="inlineStr">
        <is>
          <t>Amazon.com</t>
        </is>
      </c>
      <c r="D376" t="inlineStr">
        <is>
          <t>indeed</t>
        </is>
      </c>
      <c r="E376">
        <f>HYPERLINK("https://www.indeed.com/viewjob?jk=54633d0e577ac824", "https://www.indeed.com/viewjob?jk=54633d0e577ac824")</f>
        <v/>
      </c>
      <c r="F376">
        <f>HYPERLINK("https://www.amazon.jobs/jobs/2938625/principal-applied-scientist-far-frontier-ai--robotics?cmpid=DA_INAD200785B", "https://www.amazon.jobs/jobs/2938625/principal-applied-scientist-far-frontier-ai--robotics?cmpid=DA_INAD200785B")</f>
        <v/>
      </c>
      <c r="G376" t="inlineStr">
        <is>
          <t>Seattle, WA, US</t>
        </is>
      </c>
      <c r="H376" s="3" t="n">
        <v>45740</v>
      </c>
      <c r="I376"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7">
      <c r="A377" t="inlineStr">
        <is>
          <t>in-8d1901b97aa6ea48</t>
        </is>
      </c>
      <c r="B377" t="inlineStr">
        <is>
          <t>Machine Learning Engineer, WWPS ProServe Data and Machine Learning</t>
        </is>
      </c>
      <c r="C377" t="inlineStr">
        <is>
          <t>Amazon Web Services</t>
        </is>
      </c>
      <c r="D377" t="inlineStr">
        <is>
          <t>indeed</t>
        </is>
      </c>
      <c r="E377">
        <f>HYPERLINK("https://www.indeed.com/viewjob?jk=8d1901b97aa6ea48", "https://www.indeed.com/viewjob?jk=8d1901b97aa6ea48")</f>
        <v/>
      </c>
      <c r="F377">
        <f>HYPERLINK("https://www.amazon.jobs/jobs/3168182/machine-learning-engineer-wwps-proserve-data-and-machine-learning?cmpid=DA_INAD200785B", "https://www.amazon.jobs/jobs/3168182/machine-learning-engineer-wwps-proserve-data-and-machine-learning?cmpid=DA_INAD200785B")</f>
        <v/>
      </c>
      <c r="G377" t="inlineStr">
        <is>
          <t>Arlington, VA, US</t>
        </is>
      </c>
      <c r="H377" s="3" t="n">
        <v>46044</v>
      </c>
      <c r="I377"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be a US Citizen and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in professional software engineering \&amp; best practices for the full software development life cycle, including coding standards, software architectures, code reviews, source control management, continuous deployments, testing, and operational excellence
* Current, active US Government Security Clearance of TS/SCI with Polygraph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378">
      <c r="A378" t="inlineStr">
        <is>
          <t>in-8b2388696c345bf5</t>
        </is>
      </c>
      <c r="B378" t="inlineStr">
        <is>
          <t>Machine Learning Engineer, WWPS ProServe Data and Machine Learning</t>
        </is>
      </c>
      <c r="C378" t="inlineStr">
        <is>
          <t>Amazon Web Services</t>
        </is>
      </c>
      <c r="D378" t="inlineStr">
        <is>
          <t>indeed</t>
        </is>
      </c>
      <c r="E378">
        <f>HYPERLINK("https://www.indeed.com/viewjob?jk=8b2388696c345bf5", "https://www.indeed.com/viewjob?jk=8b2388696c345bf5")</f>
        <v/>
      </c>
      <c r="F378">
        <f>HYPERLINK("https://www.amazon.jobs/jobs/3168182/machine-learning-engineer-wwps-proserve-data-and-machine-learning?cmpid=DA_INAD200785B", "https://www.amazon.jobs/jobs/3168182/machine-learning-engineer-wwps-proserve-data-and-machine-learning?cmpid=DA_INAD200785B")</f>
        <v/>
      </c>
      <c r="G378" t="inlineStr">
        <is>
          <t>Herndon, VA, US</t>
        </is>
      </c>
      <c r="H378" s="3" t="n">
        <v>46044</v>
      </c>
      <c r="I378"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be a US Citizen and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in professional software engineering \&amp; best practices for the full software development life cycle, including coding standards, software architectures, code reviews, source control management, continuous deployments, testing, and operational excellence
* Current, active US Government Security Clearance of TS/SCI with Polygraph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379">
      <c r="A379" t="inlineStr">
        <is>
          <t>in-2cb52e1729e1ae5c</t>
        </is>
      </c>
      <c r="B379" t="inlineStr">
        <is>
          <t>Machine Learning Engineer, WWPS ProServe Data and Machine Learning</t>
        </is>
      </c>
      <c r="C379" t="inlineStr">
        <is>
          <t>Amazon Web Services</t>
        </is>
      </c>
      <c r="D379" t="inlineStr">
        <is>
          <t>indeed</t>
        </is>
      </c>
      <c r="E379">
        <f>HYPERLINK("https://www.indeed.com/viewjob?jk=2cb52e1729e1ae5c", "https://www.indeed.com/viewjob?jk=2cb52e1729e1ae5c")</f>
        <v/>
      </c>
      <c r="F379">
        <f>HYPERLINK("https://www.amazon.jobs/jobs/3168180/machine-learning-engineer-wwps-proserve-data-and-machine-learning?cmpid=DA_INAD200785B", "https://www.amazon.jobs/jobs/3168180/machine-learning-engineer-wwps-proserve-data-and-machine-learning?cmpid=DA_INAD200785B")</f>
        <v/>
      </c>
      <c r="G379" t="inlineStr">
        <is>
          <t>Herndon, VA, US</t>
        </is>
      </c>
      <c r="H379" s="3" t="n">
        <v>46043</v>
      </c>
      <c r="I379"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1\+ years of working with or evaluating AI systems experience
* Knowledge of professional software engineering \&amp; best practices for full software development life cycle, including coding standards, software architectures, code reviews, source control management, continuous deployments, testing, and operational excellence
* Experience in professional software engineering \&amp; best practices for the full software development life cycle, including coding standards, software architectures, code reviews, source control management, continuous deployments, testing, and operational excellence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380">
      <c r="A380" t="inlineStr">
        <is>
          <t>in-cb8e031b9b971f0f</t>
        </is>
      </c>
      <c r="B380" t="inlineStr">
        <is>
          <t>Machine Learning Engineer, WWPS ProServe Data and Machine Learning</t>
        </is>
      </c>
      <c r="C380" t="inlineStr">
        <is>
          <t>Amazon Web Services</t>
        </is>
      </c>
      <c r="D380" t="inlineStr">
        <is>
          <t>indeed</t>
        </is>
      </c>
      <c r="E380">
        <f>HYPERLINK("https://www.indeed.com/viewjob?jk=cb8e031b9b971f0f", "https://www.indeed.com/viewjob?jk=cb8e031b9b971f0f")</f>
        <v/>
      </c>
      <c r="F380">
        <f>HYPERLINK("https://www.amazon.jobs/jobs/3168180/machine-learning-engineer-wwps-proserve-data-and-machine-learning?cmpid=DA_INAD200785B", "https://www.amazon.jobs/jobs/3168180/machine-learning-engineer-wwps-proserve-data-and-machine-learning?cmpid=DA_INAD200785B")</f>
        <v/>
      </c>
      <c r="G380" t="inlineStr">
        <is>
          <t>Arlington, VA, US</t>
        </is>
      </c>
      <c r="H380" s="3" t="n">
        <v>46043</v>
      </c>
      <c r="I380"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1\+ years of working with or evaluating AI systems experience
* Knowledge of professional software engineering \&amp; best practices for full software development life cycle, including coding standards, software architectures, code reviews, source control management, continuous deployments, testing, and operational excellence
* Experience in professional software engineering \&amp; best practices for the full software development life cycle, including coding standards, software architectures, code reviews, source control management, continuous deployments, testing, and operational excellence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381">
      <c r="A381" t="inlineStr">
        <is>
          <t>in-7a1f69e7248e8ecf</t>
        </is>
      </c>
      <c r="B381" t="inlineStr">
        <is>
          <t>Applied Scientist, Alexa Smart Home</t>
        </is>
      </c>
      <c r="C381" t="inlineStr">
        <is>
          <t>Amazon.com</t>
        </is>
      </c>
      <c r="D381" t="inlineStr">
        <is>
          <t>indeed</t>
        </is>
      </c>
      <c r="E381">
        <f>HYPERLINK("https://www.indeed.com/viewjob?jk=7a1f69e7248e8ecf", "https://www.indeed.com/viewjob?jk=7a1f69e7248e8ecf")</f>
        <v/>
      </c>
      <c r="F381">
        <f>HYPERLINK("https://www.amazon.jobs/jobs/3169205/applied-scientist-alexa-smart-home?cmpid=DA_INAD200785B", "https://www.amazon.jobs/jobs/3169205/applied-scientist-alexa-smart-home?cmpid=DA_INAD200785B")</f>
        <v/>
      </c>
      <c r="G381" t="inlineStr">
        <is>
          <t>Seattle, WA, US</t>
        </is>
      </c>
      <c r="H381" s="3" t="n">
        <v>46033</v>
      </c>
      <c r="I381"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382">
      <c r="A382" t="inlineStr">
        <is>
          <t>in-29d65a580d586784</t>
        </is>
      </c>
      <c r="B382" t="inlineStr">
        <is>
          <t>Applied Scientist, Alexa Smart Home</t>
        </is>
      </c>
      <c r="C382" t="inlineStr">
        <is>
          <t>Amazon.com</t>
        </is>
      </c>
      <c r="D382" t="inlineStr">
        <is>
          <t>indeed</t>
        </is>
      </c>
      <c r="E382">
        <f>HYPERLINK("https://www.indeed.com/viewjob?jk=29d65a580d586784", "https://www.indeed.com/viewjob?jk=29d65a580d586784")</f>
        <v/>
      </c>
      <c r="F382">
        <f>HYPERLINK("https://www.amazon.jobs/jobs/3169205/applied-scientist-alexa-smart-home?cmpid=DA_INAD200785B", "https://www.amazon.jobs/jobs/3169205/applied-scientist-alexa-smart-home?cmpid=DA_INAD200785B")</f>
        <v/>
      </c>
      <c r="G382" t="inlineStr">
        <is>
          <t>Sunnyvale, CA, US</t>
        </is>
      </c>
      <c r="H382" s="3" t="n">
        <v>46033</v>
      </c>
      <c r="I382"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383">
      <c r="A383" t="inlineStr">
        <is>
          <t>in-1db0f37913c36fae</t>
        </is>
      </c>
      <c r="B383" t="inlineStr">
        <is>
          <t>Sr Applied Scientist, AWS Proactive Security</t>
        </is>
      </c>
      <c r="C383" t="inlineStr">
        <is>
          <t>Amazon.com</t>
        </is>
      </c>
      <c r="D383" t="inlineStr">
        <is>
          <t>indeed</t>
        </is>
      </c>
      <c r="E383">
        <f>HYPERLINK("https://www.indeed.com/viewjob?jk=1db0f37913c36fae", "https://www.indeed.com/viewjob?jk=1db0f37913c36fae")</f>
        <v/>
      </c>
      <c r="F383">
        <f>HYPERLINK("https://www.amazon.jobs/jobs/3164664/sr-applied-scientist-aws-proactive-security?cmpid=DA_INAD200785B", "https://www.amazon.jobs/jobs/3164664/sr-applied-scientist-aws-proactive-security?cmpid=DA_INAD200785B")</f>
        <v/>
      </c>
      <c r="G383" t="inlineStr">
        <is>
          <t>Arlington, VA, US</t>
        </is>
      </c>
      <c r="H383" s="3" t="n">
        <v>46030</v>
      </c>
      <c r="I383"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384">
      <c r="A384" t="inlineStr">
        <is>
          <t>in-9d779eac7dcf9db3</t>
        </is>
      </c>
      <c r="B384" t="inlineStr">
        <is>
          <t>Sr Applied Scientist, AWS Proactive Security</t>
        </is>
      </c>
      <c r="C384" t="inlineStr">
        <is>
          <t>Amazon.com</t>
        </is>
      </c>
      <c r="D384" t="inlineStr">
        <is>
          <t>indeed</t>
        </is>
      </c>
      <c r="E384">
        <f>HYPERLINK("https://www.indeed.com/viewjob?jk=9d779eac7dcf9db3", "https://www.indeed.com/viewjob?jk=9d779eac7dcf9db3")</f>
        <v/>
      </c>
      <c r="F384">
        <f>HYPERLINK("https://www.amazon.jobs/jobs/3164664/sr-applied-scientist-aws-proactive-security?cmpid=DA_INAD200785B", "https://www.amazon.jobs/jobs/3164664/sr-applied-scientist-aws-proactive-security?cmpid=DA_INAD200785B")</f>
        <v/>
      </c>
      <c r="G384" t="inlineStr">
        <is>
          <t>Sunnyvale, CA, US</t>
        </is>
      </c>
      <c r="H384" s="3" t="n">
        <v>46030</v>
      </c>
      <c r="I384"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385">
      <c r="A385" t="inlineStr">
        <is>
          <t>in-33af9189561bd46f</t>
        </is>
      </c>
      <c r="B385" t="inlineStr">
        <is>
          <t>Sr Applied Scientist, AWS Proactive Security</t>
        </is>
      </c>
      <c r="C385" t="inlineStr">
        <is>
          <t>Amazon.com</t>
        </is>
      </c>
      <c r="D385" t="inlineStr">
        <is>
          <t>indeed</t>
        </is>
      </c>
      <c r="E385">
        <f>HYPERLINK("https://www.indeed.com/viewjob?jk=33af9189561bd46f", "https://www.indeed.com/viewjob?jk=33af9189561bd46f")</f>
        <v/>
      </c>
      <c r="F385">
        <f>HYPERLINK("https://www.amazon.jobs/jobs/3164664/sr-applied-scientist-aws-proactive-security?cmpid=DA_INAD200785B", "https://www.amazon.jobs/jobs/3164664/sr-applied-scientist-aws-proactive-security?cmpid=DA_INAD200785B")</f>
        <v/>
      </c>
      <c r="G385" t="inlineStr">
        <is>
          <t>Herndon, VA, US</t>
        </is>
      </c>
      <c r="H385" s="3" t="n">
        <v>46030</v>
      </c>
      <c r="I385"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7"/>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li-4321069266</t>
        </is>
      </c>
      <c r="B2" t="inlineStr">
        <is>
          <t>Principal Applied Scientist</t>
        </is>
      </c>
      <c r="C2" t="inlineStr">
        <is>
          <t>Viant Technology</t>
        </is>
      </c>
      <c r="D2" t="inlineStr">
        <is>
          <t>linkedin</t>
        </is>
      </c>
      <c r="E2" t="inlineStr"/>
      <c r="F2" t="inlineStr"/>
      <c r="G2" t="inlineStr">
        <is>
          <t>Irvine, CA</t>
        </is>
      </c>
      <c r="H2" t="inlineStr"/>
      <c r="I2" t="inlineStr">
        <is>
          <t>**WHAT YOU’LL DO**
 Viant’s Machine Learning team is at the forefront of transforming the Ad Tech industry through cutting\-edge machine learning and AI\-driven automation. By eliminating manual processes in digital ad creation, optimization, and measurement, we build autonomous, scalable systems that process hundreds of millions of events daily.
 We are seeking an exceptional Principal Applied Scientist to drive groundbreaking innovation in applied machine learning. In this role, you will lead end\-to\-end AI strategy, shape the applied science roadmap, and develop next\-generation models in NLP, deep learning, and large\-scale AI systems. Your expertise will push the boundaries of AI capabilities, delivering measurable business impact while fostering a research\-driven, data\-centric culture at Viant.
 THE DAY\-TO\-DAY
* Lead and Define AI Strategy – Set the vision for applied ML research and AI\-driven decision\-making across Viant’s products and services.
* Drive High\-Impact Research – Conduct advanced research in NLP, RL, LLMs, and deep learning, publishing in top\-tier conferences while applying findings to real\-world production systems.
* Architect and Deploy ML at Scale – Develop, optimize, and deploy high\-throughput, low\-latency ML models, collaborating with engineers to bring solutions into production.
* Innovate in Generative AI \&amp; Causal ML – Explore novel AI techniques, such as LLMs, reinforcement learning, and causal inference, to enhance targeting, personalization, and attribution models.
* Experimentation and Validation – Design, run, and analyze A/B experiments to test ML\-driven strategies, ensuring data\-driven decision\-making.
* Mentor and Influence – Provide technical leadership for a team of applied scientists and ML engineers, fostering a culture of innovation and excellence.
 MUST HAVE
* Experience: 7\+ years of experience building and deploying machine learning models at scale.
* Technical Leadership: Demonstrated ability to lead complex, high\-ambiguity ML projects from research to production.
* Academic \&amp; Industry Recognition: Masters \+ At least two peer\-reviewed publications in deep learning, NLP, or a related AI domain or a PhD in Computer Science, Machine Learning, Statistics, or a related quantitative field.
* Deep Expertise in ML \&amp; AI: Strong foundation in deep learning, NLP, generative AI, and causal inference.
* Programming \&amp; Frameworks: Proficiency in Python and deep learning frameworks (TensorFlow, PyTorch, LangChain, Llama Index).
* Scalability \&amp; Cloud: Experience with distributed computing, cloud ML platforms (AWS, GCP, or Azure), and real\-time AI inference.
 GREAT TO HAVE
* Industry Impact: Publications at top\-tier ML/NLP conferences (NeurIPS, ICML, ICLR, ACL, EMNLP, NAACL, AAAI).
* Ad Tech Expertise: Experience in digital advertising, real\-time bidding, or audience modeling.
* Generative AI Applications: Hands\-on experience with LLMs and multimodal AI applications.
* Optimization \&amp; Personalization: Strong background in reinforcement learning, dynamic pricing, or recommendation systems.
 LIFE AT VIANT
 Investing in our employee’s professional growth is important to us, but so is investing in their well\-being. That’s why Viant was voted one of the best places to work and some of our favorite employee benefits include
 **fully paid health insurance** 
 ,
 **paid parental leave** 
 and
 **unlimited PTO** 
 and more.
 Base compensation range: $220,000 \- $260,000
 In accordance with California law, the range provided is Viant’s reasonable estimate of the compensation for this role. Final title and compensation for the position will be based on several factors including work experience and education.
**About Viant**
 Viant Technology Inc. (NASDAQ: DSP) is a leader in CTV and AI\-powered programmatic advertising, dedicated to driving innovation in digital marketing. Viant’s omnichannel platform built for CTV allows marketers to plan, execute and measure their campaigns with unmatched precision and efficiency. With the launch of ViantAI, Viant is building the future of fully autonomous advertising solutions, empowering advertisers to achieve their boldest goals. Viant was recently awarded Best AI\-Powered Advertising Solution and Best Demand\-Side Platform by MarTech Breakthrough, Great Place to Work® certification and received the Business Intelligence Group’s AI Excellence Award. Learn more at viantinc.com.
 Viant is an equal opportunity employer and makes employment decisions on the basis of merit. Viant prohibits unlawful discrimination against employees or applicants based on race (including traits historically associated with race, such as hair texture and protective hairstyles), religion, religious creed, color, national origin, ancestry, physical disability, mental disability, medical condition, genetic information, marital status, sex, reproductive health decision making, gender, gender identity, gender expression, age, military status, veteran status, uniformed service member status, sexual orientation, transgender identity, citizenship status, pregnancy, or any other consideration made unlawful by federal, state, or local laws. Viant also prohibits unlawful discrimination based on the perception that anyone has any of those characteristics, or is associated with a person who has or is perceived as having any of those characteristics.
 By clicking “Apply for this Job” and providing any information, I accept the Viant California Personnel Privacy Notice.</t>
        </is>
      </c>
    </row>
    <row r="3">
      <c r="A3" t="inlineStr">
        <is>
          <t>li-4328287717</t>
        </is>
      </c>
      <c r="B3" t="inlineStr">
        <is>
          <t>Applied Scientist II</t>
        </is>
      </c>
      <c r="C3" t="inlineStr">
        <is>
          <t>Microsoft</t>
        </is>
      </c>
      <c r="D3" t="inlineStr">
        <is>
          <t>linkedin</t>
        </is>
      </c>
      <c r="E3" t="inlineStr"/>
      <c r="F3" t="inlineStr"/>
      <c r="G3" t="inlineStr">
        <is>
          <t>Redmond, WA</t>
        </is>
      </c>
      <c r="H3" t="inlineStr"/>
      <c r="I3" t="inlineStr">
        <is>
          <t>**Overview**
 We seek an Applied Scientist with expertise in Machine Learning, Generative AI, Agentic Modeling, Data Science, or related areas. The ideal candidate should be passionate about generative modeling, experimental prompt tuning, and large\-scale modeling optimization. The candidate should have hands\-on experience on working with LLMs, or SLMs such as Qwen, Llama or its variants. Microsoft AI unites product, engineering, and science teams to advance Bing and Consumer Copilot, aiming to provide the best generative search experience through advanced AI/ML technologies and innovative AI features.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Building and owning production machine learning models to improve results.
* Working hands on with SOTA generative models like Qwen, Llama, Mistral, GPT and others, to deliver big impact.
* Finding insights and forming hypothesis on large\-scale data with various machine learning, feature engineering, statistical, and data mining techniques: e.g. regression, classification, NLP, optimization.
* Designing experiments, understanding the resulting data, and producing actionable, trustworthy conclusions from them
* Wrangling large amounts of data (think petabytes) using various tools, including open\-source ones and your own. All programming languages are welcome, especially Python, C\#, R, C\+\+, Java, and SQL.
* Taking complex problems and the associated data and giving the answers in a concise form to assist senior executives in making key business decisions.
**Qualifications**
**Required Qualifications:**
* Bachelor's Degree in Statistics, Econometrics, Computer Science, Electrical or Computer Engineering, or related field AND 2\+ years related experience (e.g., statistics, predictive analytics, research)
+ OR Master's Degree in Statistics, Econometrics, Computer Science, Electrical or Computer Engineering, or related field AND 1\+ year(s) related experience (e.g., statistics, predictive analytics, research)
+ OR Doctorate in Statistics, Econometrics, Computer Science, Electrical or Computer Engineering, or related field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Statistics, Econometrics, Computer Science, Electrical or Computer Engineering, or related field AND 5\+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\#MicrosoftAI \#Search\#MAI \#BING \#ML\# \#NLP\#GenAI
 Applied Sciences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
      <c r="A4" t="inlineStr">
        <is>
          <t>li-4328227807</t>
        </is>
      </c>
      <c r="B4" t="inlineStr">
        <is>
          <t>Senior Applied Scientist</t>
        </is>
      </c>
      <c r="C4" t="inlineStr">
        <is>
          <t>Microsoft</t>
        </is>
      </c>
      <c r="D4" t="inlineStr">
        <is>
          <t>linkedin</t>
        </is>
      </c>
      <c r="E4" t="inlineStr"/>
      <c r="F4" t="inlineStr"/>
      <c r="G4" t="inlineStr">
        <is>
          <t>Redmond, WA</t>
        </is>
      </c>
      <c r="H4" t="inlineStr"/>
      <c r="I4" t="inlineStr">
        <is>
          <t>**Overview**
 We are building large\-scale,
 **Azure\-based intelligence platform** 
 that transforms complex data into high\-quality and rich actionable insights to Microsoft Advertising stakeholders. The system integrates advanced machine learning models with emerging agentic capabilities powered by large language models (LLMs) to model recommendations, automate analysis, generate contextual summaries, and streamline workflows across organizational tools. As a Senior Applied Scientist, you will lead the development of these Machine Learning solutions leveraging SOTA technologies in GenAI to build predictive models for generating recommendations, detecting anomalies, generating automated insights with reasoning and ensuring the platform delivers accurate, actionable intelligence at scale.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Lead the design and implementation of machine learning models for recommendations, anomaly detection, and actionable insights.
* Drive experimentation and validation of models. Mentor junior scientists and contribute to model governance and Responsible AI practices.
* Partner with engineering and BI teams to operationalize insights into dashboards and alerting systems.
* Advance feature adoption scoring and health check analytics through data\-driven approaches.
* Engineer optimal prompts for various LLM calls, using chain\-of\-thought and other advanced techniques.
* Fine\-tune SLMs to efficiently scale the solution to millions of advertisers.
* Generate account planning guidance, tailored talking points, pitch assets, follow ups using agentic orchestration.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**Preferred Qualifications**
* Master's Degree in Statistics, Econometrics, Computer Science, Electrical or Computer Engineering, or related field AND 6\+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 3\+ years of hands\-on experience developing machine learning or statistical models to solve real\-world problems (in industry or academic projects), including building and validating algorithms such as regressions, classifiers, or clustering models.
* Proficiency in programming for data science (e.g. using Python or R for data analysis and modeling) and experience with data querying languages (e.g. SQL).
* Big Data \&amp; Distributed Computing: Hands\-on experience with large\-scale data processing using tools like Apache Spark or Azure Databricks for training and inference workflows.
* Advanced Analytics: Skilled in time\-series analysis and anomaly detection techniques (e.g., ARIMA, isolation forests) applied to business contexts for actionable insights.
* LLMs \&amp; Domain Adaptation: Practical experience with prompt engineering, fine\-tuning GPT\-like models, and applying LLMs in domain\-heavy areas (healthcare, agriculture, social sciences) while ensuring privacy and Responsible AI compliance.
 \#MicrosoftAI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
      <c r="A5" t="inlineStr">
        <is>
          <t>li-4328198007</t>
        </is>
      </c>
      <c r="B5" t="inlineStr">
        <is>
          <t>Principal Applied Scientist</t>
        </is>
      </c>
      <c r="C5" t="inlineStr">
        <is>
          <t>Microsoft</t>
        </is>
      </c>
      <c r="D5" t="inlineStr">
        <is>
          <t>linkedin</t>
        </is>
      </c>
      <c r="E5" t="inlineStr"/>
      <c r="F5" t="inlineStr"/>
      <c r="G5" t="inlineStr">
        <is>
          <t>Redmond, WA</t>
        </is>
      </c>
      <c r="H5" t="inlineStr"/>
      <c r="I5" t="inlineStr">
        <is>
          <t>**Overview**
 The MSAI Search Relevance team is at the forefront of delivering world\-class search quality across Microsoft's ecosystem. We are the driving force behind the relevance of results in Copilot Search experiences and serve as the core retrieval layer in the RAG architecture powering Bizchat (CoPilot Chat). Our impact also extends to maintaining high search quality across traditional endpoints like Outlook, Teams, and SharePoint Search. Our team thrives at the intersection of innovation and applied machine learning.
 We are looking for a
 **Principal Applied Scientist** 
 to help us deliver breakthrough applied machine learning and information retrieval solutions at enterprise scale. This role is a unique opportunity to apply state\-of\-the\-art techniques\-including dense retrieval, hybrid search, multilingual large language models (LLMs), RAG (Retrieval\-Augmented Generation), and transformer\-based re\-ranking models and agentic search\-to solve complex challenges in Copilot\-driven enterprise search.
 As a Principal Applied Scientist, you'll be responsible for delivering mission\-critical innovations that directly improve Copilot experiences such as:
* Agentic Search in modern orchestrator architectures
* Adapting advanced vector search algorithms (e.g., FAISS, ANN, ScaNN) for enterprise\-scale semantic retrieval
* Improving classic and neural keyword search quality through deep language understanding
* Designing and training relevance models, including LLM fine\-tuning and learning\-to\-rank (LTR) approaches
* Building robust evaluation pipelines using offline metrics and online A/B experimentation
* Driving cross\-org collaboration with platform partners, other applied science teams, and product teams across time zones
 This role requires a mix of technical depth, strategic execution, and people management to shape the next generation of AI\-powered search experiences.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Drive end\-to\-end applied science projects: From ideation and design to implementation, experimentation, and shipping, you will lead high\-impact projects that directly improve Copilot Chat, Copilot Search, and BizChat experiences. This includes identifying search and relevance gaps, formulating innovative hypotheses, and delivering scalable solutions.
* Inspire help to grow a high\-performing applied science team: mentor, and empower a team of applied scientists\-owning their technical direction, project execution, and career development. You will guide day\-to\-day work, ensure scientific and engineering rigor, and be accountable for the team's output and impact.
* Innovate with scientific rigor: Invent and apply cutting\-edge techniques in machine learning, natural language processing, and information retrieval to address real\-world challenges at enterprise scale. You will design novel approaches for improving retrieval, ranking, query understanding, and semantic search in Copilot systems.
* Document, share, and amplify learnings: Promote a culture of transparency and innovation by capturing experimental results, documenting methodology, and publishing internal learnings. You'll drive knowledge sharing that enables broader impact across the organization.
* Translate business goals into scientific strategy: Partner closely with product and business stakeholders to align team efforts with high\-priority objectives. You will translate ambiguous product requirements into clear, data\-driven, and technically feasible directions.
* Collaborate across organizations and time zones: Work cross\-functionally with platform engineering teams, peer science orgs, and product managers to ensure alignment, resolve dependencies, and unblock progress. You'll be a key bridge between applied science innovation and product delivery.
* Embody our Culture and Values
**Qualifications**
**Required Qualifications:**
* Bachelor's Degree in Statistics, Econometrics, Computer Science, Electrical or Computer Engineering, or related field AND 6\+ years related experience (e.g., statistics, predictive analytics, research)
+ OR Master's Degree in Statistics, Econometrics, Computer Science, Electrical or Computer Engineering, or related field AND 4\+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**Preferred Qualifications**
* Master's Degree in Statistics, Econometrics, Computer Science, Electrical or Computer Engineering, or related field AND 9\+ years related experience (e.g., statistics, predictive analytics, research)
+ OR Doctorate in Statistics, Econometrics, Computer Science, Electrical or Computer Engineering, or related field AND 6\+ years related experience (e.g., statistics, predictive analytics, research)
+ OR equivalent experience.
* 4\+ years experience in applied science projects from ideation to production\-in high\-scale environments such as search, recommendation, or conversational AI.
* 4\+ years experience in data analysis at scale, including working with logs, telemetry, and large datasets to uncover behavioral patterns, build evaluation datasets, and derive insights.
* 5\+ years experience creating publications (e.g., patents, libraries, peer\-reviewed academic papers).
* 2\+ years experience presenting at conferences or other events in the outside research/industry community as an invited speaker.
* 5\+ years experience conducting research as part of a research program (in academic or industry settings).
* 3\+ years experience developing and deploying live production systems, as part of a product team.
* 3\+ years experience developing and deploying products or systems at multiple points in the product cycle from ideation to shipping.
* Experience in search and ranking systems, semantic retrieval, and information retrieval at scale.
* Applied experience with state\-of\-the\-art sparse and dense retrieval and ranking techniques.
* Experience with RAG (Retrieval\-Augmented Generation) architectures using LLMs such as OpenAI GPT, T5, or Llama.
* Experience with Fine\-tuning or prompt engineering of large\-scale language models for query rewriting, summarization, and document reranking.
* Familiarity with hybrid search strategies, learning\-to\-rank (LTR) frameworks, and evaluation methodologies for IR systems (offline metrics, A/B testing, relevance judgments).
 Applied Sciences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6">
      <c r="A6" t="inlineStr">
        <is>
          <t>li-4328207796</t>
        </is>
      </c>
      <c r="B6" t="inlineStr">
        <is>
          <t>Principal Applied Scientist</t>
        </is>
      </c>
      <c r="C6" t="inlineStr">
        <is>
          <t>Microsoft</t>
        </is>
      </c>
      <c r="D6" t="inlineStr">
        <is>
          <t>linkedin</t>
        </is>
      </c>
      <c r="E6" t="inlineStr"/>
      <c r="F6" t="inlineStr"/>
      <c r="G6" t="inlineStr">
        <is>
          <t>Redmond, WA</t>
        </is>
      </c>
      <c r="H6" t="inlineStr"/>
      <c r="I6" t="inlineStr">
        <is>
          <t>**Overview**
 We are building large scale, Azure\-based intelligence platform that transforms complex data into high\-quality and rich actionable insights to Microsoft Advertising stakeholders. The system integrates advanced machine learning models with emerging agentic capabilities powered by large language models (LLMs) to model recommendations, automate analysis, generate contextual summaries, and streamline workflows across organizational tools. As a Principal Applied Scientist, you will define scientific vision and lead the development of both ML and LLM components. This includes designing robust models, driving experimentation, ensuring statistical rigor, and guiding the platform’s evolution toward greater automation, accuracy, and scalability. You will partner closely with engineering and product teams to translate research into reliable production systems, influence long\-term strategy, and deliver intelligence that enables smarter, faster, and more informed decisions.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Define and drive the modeling strategy for the advertising recommendations platform, spanning classical machine learning (for analytics on structured data) and the use of generative AI. You will set the direction on which problems to tackle with ML (e.g. predictive modeling, anomaly detection, clustering) and how to leverage LLMs to maximize user understanding and value.
* Architect end\-to\-end machine learning pipelines – oversee the design of data processing workflows, feature stores, model training/validation routines, and deployment mechanisms that can reliably produce daily insights for all customers. Ensure these pipelines are scalable, efficient, and maintainable, working closely with data engineering leaders on implementation.
* Lead the incorporation of LLM\-based components for the platform’s intelligent narrative generation. This includes guiding the development of prompt frameworks, fine\-tuning strategies, and retrieval\-augmented techniques so that the system can answer complex sales questions and explain insights in conversational language.
* Oversee cross\-team initiatives and collaboration, coordinating with engineering, program management, and stakeholder teams. You will chair technical design reviews, balance priorities, and guarantee that the data science efforts align with product requirements and timelines.
* Mentor and develop the applied science team, providing technical guidance to other scientists and engineers. Champion best practices in experimentation, coding, and MLOps, and foster a culture of scientific excellence and continuous learning.
* Ensure robust evaluation and governance of all AI/ML solutions. You will establish metrics for success (accuracy, precision of alerts, coverage of insights), closely monitor model performance in production, and implement processes for periodic retraining, validation, and Responsible AI compliance (addressing bias, fairness, and transparency).
* Stay ahead of the curve by tracking emerging trends in AI, whether it’s new algorithms in anomaly detection or breakthroughs in large language models, and assess their potential to enhance the platform. Drive the incubation of innovative ideas, experimentally verify their benefits, and incorporate promising approaches to keep the platform technologically ahead and highly effective.
**Qualifications**
**Required Qualifications:**
* Bachelor's Degree in Statistics, Econometrics, Computer Science, Electrical or Computer Engineering, or related field AND 6\+ years related experience (e.g., statistics, predictive analytics, research) OR Master's Degree in Statistics, Econometrics, Computer Science, Electrical or Computer Engineering, or related field AND 4\+ years related experience (e.g., statistics, predictive analytics, research) OR Doctorate in Statistics, Econometrics, Computer Science, Electrical or Computer Engineering, or related field AND 3\+ years related experience (e.g., statistics, predictive analytics, research) OR equivalent experience.
**Preferred Qualifications**
* 5\+ years of experience with developing and deploying machine learning solutions in production, with proven ownership of complex projects end\-to\-end (from problem formulation and data acquisition to model deployment and monitoring).
* 3\+ years of technical leadership experience in an applied science or data science team setting – this could include leading a team of scientists or acting as the key technical decision\-maker on cross\-discipline projects, with responsibility for delivering major features or systems.
* Extensive hands\-on expertise in ML techniques for predictive analytics, pattern recognition, and optimization. You should be comfortable selecting and tuning algorithms for regression, classification, clustering, time\-series forecasting, etc., and understand their trade\-offs.
* Strategic thinking and excellent communication abilities – capable of translating high\-level business objectives into technical plans and articulating complex AI concepts and project updates to senior leadership and non\-technical stakeholders.
* Proficiency in programming and data infrastructure – solid coding skills in a programming language commonly used in ML (Python, etc.), experience with machine learning frameworks (e.g. PyTorch, Tensorflow), and familiarity with data pipelines and databases.
* Experience with natural language processing and LLMs – a deep understanding of how large language models can be applied, and practical experience either using pre\-trained LLM APIs or training/fine\-tuning NLP models for tasks such as summarization, question\-answering, or conversational interfaces.
* Practical exposure applying LLMs to domain heavy contexts such as medical/health, farming/agriculture, social sciences, or related settings (e.g., domain adaptation, terminology grounding, retrieval augmented patterns) while adhering to privacy and Responsible AI expectations.
* Solid background in big data and cloud technologies – experience with Azure or similar cloud platforms for big data (Azure Synapse, Data Lake, etc.) and ML ops (Azure ML, MLflow), including building pipelines that handle streaming or real\-time data for immediate insights.
* Proven track record of innovation and impact – for example, contributions to significant AI products or platforms, authorship of influential research publications or patents, or recognized leadership in the data science community.
* High proficiency in MLOps and AI governance – experience setting up automated training, implementing continuous monitoring and alerting for model performance, and ensuring models meet security, compliance, and ethical standards.
* Excellent cross\-organizational leadership – ability to influence and drive alignment among teams with different priorities (engineering, sales, marketing, etc.), and to build consensus for ambitious technical initiatives that span multiple orgs or disciplines.
 \#MicrosoftAI
 Applied Sciences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7">
      <c r="A7" t="inlineStr">
        <is>
          <t>li-4328430090</t>
        </is>
      </c>
      <c r="B7" t="inlineStr">
        <is>
          <t>Machine Learning Engineer</t>
        </is>
      </c>
      <c r="C7" t="inlineStr">
        <is>
          <t>Microsoft</t>
        </is>
      </c>
      <c r="D7" t="inlineStr">
        <is>
          <t>linkedin</t>
        </is>
      </c>
      <c r="E7" t="inlineStr"/>
      <c r="F7" t="inlineStr"/>
      <c r="G7" t="inlineStr">
        <is>
          <t>Redmond, WA</t>
        </is>
      </c>
      <c r="H7" t="inlineStr"/>
      <c r="I7" t="inlineStr">
        <is>
          <t>**Overview**
 Come build community, explore your passions, and do your best work at Microsoft while helping a team deliver machine learning (ML) capabilities that are reliable, measurable, and ready to integrate into real products and services. This opportunity will allow you to bring your aspirations, talent, potential and excitement for the journey ahead.
 As a Machine Learning Engineer (MLE), you will contribute—under guidance and with support from teammates—to understand ML requirements for a feature, prepare data, train baseline models, and evaluate results using standard metrics. This opportunity will allow you to grow your skills in ML workflows, model integration, and engineering practices that support security, privacy, accessibility, and responsible AI.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**The target start date range for this role is May\-September 2026\.**
**Responsibilities**
* Implements data preprocessing steps, baseline models, and evaluation approaches under supervision.
* Contributes small, well\-defined components of ML workflows (e.g., dataset preparation, training utilities, evaluation scripts) with guidance.
* Supports integration of ML models into existing systems and services, coordinating with engineering partners as needed.
* Follows established practices for reproducibility, logging, monitoring, and secure development throughout the ML lifecycle.
* Collaborates with teammates and partner teams to validate end\-to\-end functionality prior to release.
* Learns and applies team processes related to security, privacy, accessibility, and responsible AI in day\-to\-day work.
**Qualifications**
**Required Qualifications**
* Bachelor's Degree in Computer Science, or related technical discipline with proven experience coding in languages including, but not limited to, C, C\+\+, C\#, Java, JavaScript, or Python OR equivalent experience.
**Preferred Qualifications**
* Master's Degree in Computer Science or related technical field with proven experience coding in languages including, but not limited to, C, C\+\+, C\#, Java, JavaScript, or Python OR Bachelor's Degree in Computer Science or related technical field AND 1\+ year(s) technical engineering experience with coding in languages including, but not limited to, C, C\+\+, C\#, Java, JavaScript, or Python OR equivalent experience.
* Proficiency in one programming language (Python preferred) and common ML libraries (e.g., scikit\-learn, PyTorch, TensorFlow).
* Understanding of ML and GenAI fundamentals (e.g., supervised learning, evaluation metrics, overfitting/underfitting, regularization, embeddings, tokenization, transformers).
* Ability to manipulate structured and unstructured data (e.g., pandas, SQL).
* Familiarity with Git, code reviews, testing, and debugging in a collaborative environment.
* Interest in learning deployment patterns, monitoring/observability, and responsible AI practices.
 \#EiP \#IC2SWE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8">
      <c r="A8" t="inlineStr">
        <is>
          <t>li-4368120519</t>
        </is>
      </c>
      <c r="B8" t="inlineStr">
        <is>
          <t>Machine Learning Engineer</t>
        </is>
      </c>
      <c r="C8" t="inlineStr">
        <is>
          <t>Block</t>
        </is>
      </c>
      <c r="D8" t="inlineStr">
        <is>
          <t>linkedin</t>
        </is>
      </c>
      <c r="E8" t="inlineStr"/>
      <c r="F8" t="inlineStr"/>
      <c r="G8" t="inlineStr"/>
      <c r="H8" t="inlineStr"/>
      <c r="I8" t="inlineStr">
        <is>
          <t>**About The Company**
 Block, Inc. is a leading technology company dedicated to building innovative financial products that empower individuals and businesses worldwide. With a diverse portfolio of brands including Square, Cash App, Afterpay, TIDAL, Bitkey, and Proto, the company aims to increase access to the global economy through cutting\-edge technology solutions. Committed to fostering an inclusive and dynamic work environment, Block leverages its expertise in payments, commerce, and financial services to create seamless, secure, and scalable platforms that serve millions of users globally. The company's culture emphasizes innovation, collaboration, and integrity, ensuring that its teams are equipped to tackle complex challenges and deliver impactful solutions.
**About The Role**
 As a Staff Machine Learning Engineer on the Predictive Systems team, you will play a pivotal role in shaping the technical strategy for machine learning and decisioning systems that address risk, fraud, and abuse across Block's suite of products. Acting as a domain owner for platforms such as Cash App, Square, and Afterpay, you will influence how AI solutions are architected, integrated, and operationalized to support scalable, real\-time risk management. Your leadership will ensure that risk functions act as enablers for rapid product development while maintaining a trusted ecosystem. You will oversee the entire lifecycle of production ML systems, orchestrating data, features, models, and controls into robust defenses. Operating at an ecosystem level, you will establish durable abstractions and decisioning patterns that standardize risk strategies across multiple domains. Additionally, you will contribute to the evolution of Block's core ML infrastructure, ensuring it meets the demands of high\-volume, complex decisioning workloads.
**Qualifications**
* Extensive experience designing and leading large\-scale machine learning systems with organizational impact.
* Proven ability to set technical vision and align multiple teams and disciplines.
* Deep understanding of ML systems, data platforms, and real\-time decisioning at scale.
* Strong judgment in balancing risk, trust, and product velocity considerations.
* Experience mentoring senior engineers and developing future technical leaders.
* Systems\-level mindset with a focus on durable, high\-leverage solutions.
* Proficiency in programming languages such as Python, Java, and Kotlin.
* Experience with ML frameworks like TensorFlow and PyTorch.
* Familiarity with cloud and data technologies including AWS, Databricks, Kubernetes, MySQL, DynamoDB, Kafka, and Spark.
**Responsibilities**
* Act as a technical lead across multiple Risk ML engineering teams, guiding the application of ML and AI to fraud, abuse, and risk decisioning.
* Design and enhance real\-time and batch ML systems leveraging Block's core ML platforms for scalable risk solutions.
* Drive architectural decisions related to feature utilization, contextual signals, and ML\-driven controls in collaboration with modeling, product, and platform teams.
* Translate ambiguous risk problems into clear technical strategies and actionable plans.
* Lead cross\-team initiatives to integrate new data sources, signals, and event hooks into production risk systems.
* Establish standards for data quality, observability, and correctness in ML inputs and decision outputs.
* Provide technical leadership during emerging threat scenarios, guiding rapid mitigation efforts while safeguarding system health.
* Influence and improve ML and AI engineering practices across Risk teams to enhance consistency, reliability, and development velocity.
**Benefits**
* Comprehensive healthcare coverage including Medical, Vision, and Dental insurance.
* Health Savings Account (HSA) and Flexible Spending Account (FSA).
* Retirement plans with company matching contributions.
* Employee Stock Purchase Program to participate in company growth.
* Wellness programs, including mental health support, access to financial planners, and a monthly wellness allowance.
* Paid parental and caregiving leave policies.
* Paid time off, including holidays and sick leave, with flexible options for exempt employees.
* Access to learning and development resources to support career growth.
* Paid life insurance, accidental death \&amp; dismemberment (AD\&amp;D), and disability benefits.
* Eligibility to participate in Block's equity plans and potential sign\-on bonuses.
 Equal Opportunity
 Block, Inc. is an equal opportunity employer. We are committed to evaluating all employees and job applicants based solely on the core competencies required for each role, without regard to any legally protected characteristics. We strive to create an inclusive interview experience and provide reasonable accommodations to disabled applicants throughout the recruitment process. If you require accommodations, please share your needs with your recruiter. We believe diversity and inclusion drive innovation and are dedicated to fostering a workplace where everyone can thrive.</t>
        </is>
      </c>
    </row>
    <row r="9">
      <c r="A9" t="inlineStr">
        <is>
          <t>li-4368124393</t>
        </is>
      </c>
      <c r="B9" t="inlineStr">
        <is>
          <t>Machine Learning Engineer, Sr.</t>
        </is>
      </c>
      <c r="C9" t="inlineStr">
        <is>
          <t>Red Hat</t>
        </is>
      </c>
      <c r="D9" t="inlineStr">
        <is>
          <t>linkedin</t>
        </is>
      </c>
      <c r="E9" t="inlineStr"/>
      <c r="F9" t="inlineStr"/>
      <c r="G9" t="inlineStr"/>
      <c r="H9" t="inlineStr"/>
      <c r="I9" t="inlineStr">
        <is>
          <t>**About The Company** 
 Red Hat is a global leader in enterprise open source software solutions, renowned for its innovative approach to delivering high\-performing Linux, cloud, container, and Kubernetes technologies. Operating across more than 40 countries, Red Hat fosters a community\-powered environment that emphasizes transparency, collaboration, and inclusion. The company is committed to empowering organizations to build, deploy, and manage their digital infrastructure with open\-source solutions that are flexible, scalable, and secure. Red Hat’s culture encourages creativity, diversity, and continuous learning, making it an ideal workplace for passionate professionals eager to contribute to cutting\-edge technology and open source communities.
**About The Role** 
 We are seeking a highly skilled Senior Machine Learning Engineer to join our AI Inference Engineering team at Red Hat. In this pivotal role, you will focus on developing and enhancing distributed vLLM infrastructure within the llm\-d project, driving innovations in scalable inference systems and Kubernetes\-native deployments. Your expertise will contribute to designing, developing, and maintaining high\-performance inference solutions that leverage cloud\-native technologies and advanced networking protocols. You will collaborate with cross\-functional teams, participate in upstream communities, and influence the future of AI deployment by creating robust, efficient, and scalable software platforms. This role offers a unique opportunity to work at the forefront of AI technology, impacting enterprise AI strategies worldwide.
**Qualifications** 
* Proficiency in Python and GoLang or similar programming languages
* Experience with cloud\-native Kubernetes service mesh technologies such as Istio, Cilium, Envoy (WASM filters), and CNI
* Strong understanding of Layer 7 networking, HTTP/2, gRPC, API gateways, and reverse proxies
* Knowledge of serving runtime technologies for hosting LLMs like vLLM, SGLang, TensorRT\-LLM
* Excellent written and verbal communication skills for effective stakeholder interaction
* Experience leading technical initiatives within a global team environment
* Ability to work independently in a fast\-paced, dynamic setting
* Active engagement in open source communities or ML research is a plus
* Deep understanding of GPU hardware, high\-performance networking protocols (UCX, RoCE, InfiniBand, RDMA), and distributed computing concepts is advantageous
* Bachelor’s degree in computer science or related field preferred; extensive hands\-on experience may suffice
**Responsibilities** 
* Design, develop, and test new features and solutions for Red Hat’s AI inference platform
* Participate in upstream open source communities to drive innovation in inference technologies
* Build and maintain distributed inference infrastructure utilizing Kubernetes APIs, operators, and Gateway Inference Extension API
* Develop system components in Go and/or Rust to support vLLM and manage distributed inference workloads efficiently
* Implement KV cache\-aware routing and scoring algorithms to optimize memory utilization and request distribution at scale
* Enhance resource utilization, fault tolerance, and overall stability of the inference stack
* Research and develop inference optimization algorithms to improve performance
* Engage in technical design discussions, propose innovative solutions, and contribute to high\-impact projects
* Share technical knowledge and best practices with team members to foster a culture of continuous improvement
* Collaborate with product management and cross\-functional teams to interpret business requirements and translate them into technical solutions
* Mentor and coach junior engineers, providing code reviews and technical guidance
* Represent Red Hat AI in industry events, customer meetings, and open source communities to promote our solutions and collaborate on industry standards
**Benefits** 
* Competitive salary range of $170,770 to $281,770, commensurate with experience and qualifications
* Comprehensive medical, dental, and vision coverage
* Flexible Spending Accounts (FSA) for healthcare and dependent care expenses
* Health Savings Account (HSA) for high deductible health plans
* Retirement 401(k) plan with employer matching contributions
* Paid time off, holidays, and paid parental leave for new parents
* Additional benefits including disability leave, family medical leave, military leave, employee stock purchase plans, tuition reimbursement, and transportation expense accounts
* Supportive work environment that promotes work\-life balance and professional growth
 Equal Opportunity
 Red Hat is an equal opportunity employer committed to fostering an inclusive environment for all employees and applicants. We do not discriminate based on race, color, religion, sex, sexual orientation, gender identity, national origin, ancestry, citizenship, age, veteran status, genetic information, physical or mental disability, medical condition, marital status, or any other protected characteristic.</t>
        </is>
      </c>
    </row>
    <row r="10">
      <c r="A10" t="inlineStr">
        <is>
          <t>li-4368112680</t>
        </is>
      </c>
      <c r="B10" t="inlineStr">
        <is>
          <t>AI Engineer</t>
        </is>
      </c>
      <c r="C10" t="inlineStr">
        <is>
          <t>Nxt Level</t>
        </is>
      </c>
      <c r="D10" t="inlineStr">
        <is>
          <t>linkedin</t>
        </is>
      </c>
      <c r="E10" t="inlineStr"/>
      <c r="F10" t="inlineStr"/>
      <c r="G10" t="inlineStr"/>
      <c r="H10" t="inlineStr"/>
      <c r="I10" t="inlineStr">
        <is>
          <t>AI Engineer (GenAI Workflows for OTC Derivatives)
**Location:** 
 New York City (SoHo) — In\-Person
 About Our Client
 Our client is building the next\-generation platform for institutional finance. The OTC derivatives market moves
 **trillions of dollars daily** 
 on infrastructure that hasn’t fundamentally changed in decades—and this team is rebuilding that foundation with a
 **modern stack** 
 , a
 **delightful product experience** 
 , and an
 **AI\-native architecture** 
 .
 The founding team comes from trading, quantitative, and engineering roles at tier\-one financial institutions and has built some of the most innovative products in the market. Their clients include sophisticated banks, hedge funds, and asset managers—meaning the problems are complex, the scale is massive, and the software will shape how this market operates for years to come.
 Tech Stack
* Cloud\-native, serverless\-first architecture \+ Infrastructure\-as\-Code (IaC)
* Backend services in
 **Python** 
 and
 **Java**
* Frontend in
 **TypeScript / React**
* Modern foundation models \+ AI tooling
* Automated SDLC using tools like
 **GitHub** 
 ,
 **Logfire** 
 ,
 **Vercel** 
 , and rapid intraday deployment practices
 The Role
 Our client is hiring an
 **AI Engineer** 
 to build and productionize generative AI workflows that increase efficiency across the OTC derivatives lifecycle. You’ll own key parts of the
 **evaluation and context engineering** 
 infrastructure, ensuring model outputs are high\-quality, reliable, and explainable.
 You’ll work closely with financial engineers and domain experts to design
 **retrieval, grounding, and validation** 
 pipelines for complex derivatives data. The work includes building tools for knowledge extraction from trade documents, improving data consistency across the trade lifecycle, and integrating AI reasoning into workflows like settlement, valuation, and risk management.
 What You’ll Do
* Build GenAI workflows that automate and enhance OTC derivatives processes end\-to\-end
* Own
 **context engineering** 
 (retrieval, grounding, memory, and data shaping) to improve response quality and reliability
* Build evaluation systems (offline \+ online) to measure accuracy, consistency, and explainability
* Design structured output patterns (schemas, constrained generation, validation) for production\-grade AI
* Create pipelines to extract and normalize data from unstructured trade documents (confirmations, term sheets, etc.)
* Integrate AI reasoning into downstream workflows (settlement, valuation, risk, cashflows, reconciliation)
* Collaborate with domain experts to translate financial requirements into robust AI systems
* Contribute to a high\-velocity engineering culture with strong SDLC practices and rapid deployments
 Requirements
* Bachelor’s degree in Computer Science, Engineering, Mathematics, Financial Engineering, or related field
* **In\-person** 
 role in NYC (SoHo)
* Strong proficiency in
 **Python** 
 (Java experience is a plus)
* Proficiency in prompt engineering and
 **structured output generation** 
 (JSON, Pydantic schemas, validation)
* Experience with NoSQL databases (e.g.,
 **MongoDB** 
 ,
 **DynamoDB** 
 )
* Familiarity with cloud infrastructure and deployment tools (CDK, Terraform) and cloud providers (AWS, GCP, Azure)
* Strong understanding of both traditional SDLC and AI SDLC (versioning, testing, rollout, monitoring)
* Strong software design fundamentals
* Excellent problem\-solving and communication skills
 Bonus Qualifications
* Experience fine\-tuning or deploying LLMs (OpenAI, Anthropic, Gemini, etc.)
* Familiarity with vector databases and
 **RAG** 
 pipelines
* Experience building AI agents or workflow orchestration for financial data tasks
* Understanding of OTC derivatives data models and trade representations (e.g., ISDA concepts)
* Experience integrating AI systems with pricing, settlements, risk, or cashflow infrastructure
* Familiarity with LangChain, PydanticAI, LlamaIndex, or similar frameworks
* Experience extracting data from unstructured financial documents (confirmations, term sheets, schedules)
* Strong grasp of evaluation, hallucination mitigation, and data quality management in production AI systems
 Why This Role
 This is a rare chance to build
 **production\-grade AI systems** 
 in a domain where correctness matters and the upside is massive. If you want to own foundational AI infrastructure, work alongside domain experts, and modernize a trillion\-dollar market—this role is built for high\-impact engineers.</t>
        </is>
      </c>
    </row>
    <row r="11">
      <c r="A11" t="inlineStr">
        <is>
          <t>li-4333291067</t>
        </is>
      </c>
      <c r="B11" t="inlineStr">
        <is>
          <t>AI Engineer</t>
        </is>
      </c>
      <c r="C11" t="inlineStr">
        <is>
          <t>Hippocratic AI</t>
        </is>
      </c>
      <c r="D11" t="inlineStr">
        <is>
          <t>linkedin</t>
        </is>
      </c>
      <c r="E11" t="inlineStr"/>
      <c r="F11" t="inlineStr"/>
      <c r="G11" t="inlineStr">
        <is>
          <t>Palo Alto, CA</t>
        </is>
      </c>
      <c r="H11" t="inlineStr"/>
      <c r="I11" t="inlineStr">
        <is>
          <t>**About Us**
 Hippocratic AI is the leading generative AI company in healthcare. We have the only system that can have safe, autonomous, clinical conversations with patients. We have trained our own LLMs as part of our Polaris constellation, resulting in a system with over 99\.9% accuracy.
**Why Join Our Team**
**Reinvent healthcare with AI that puts safety first.** 
 We’re building the world’s first healthcare‑only, safety‑focused LLM — a breakthrough platform designed to transform patient outcomes at a global scale. This is category creation.
**Work with the people shaping the future.** 
 Hippocratic AI was co‑founded by CEO Munjal Shah and a team of physicians, hospital leaders, AI pioneers, and researchers from institutions like El Camino Health, Johns Hopkins, Washington University in St. Louis, Stanford, Google, Meta, Microsoft, and NVIDIA.
**Backed by the world’s leading healthcare and AI investors.** 
 We recently raised a $126M Series C at a $3\.5B valuation, led by Avenir Growth, bringing total funding to $404M with participation from CapitalG, General Catalyst, a16z, Kleiner Perkins, Premji Invest, UHS, Cincinnati Children’s, WellSpan Health, John Doerr, Rick Klausner, and others.
**Build alongside the best in healthcare and AI.** 
 Join experts who’ve spent their careers improving care, advancing science, and building world‑changing technologies — ensuring our platform is powerful, trusted, and truly transformative.
**Location Requirement**
 We believe the best ideas happen together. To support fast collaboration and a strong team culture, this role is expected to be in our Palo Alto office five days a week, unless otherwise specified.
**About The Role**
 As an
 **AI Engineer at Hippocratic AI** 
 , you’ll play a pivotal role in shaping the future of
 **voice\-based generative AI in healthcare** 
 . You’ll design and build the intelligent systems that power our
 **clinically safe healthcare agents** 
 , working at the intersection of large language models, real\-time voice, and human\-centered product design.
 This is a deeply
 **hands\-on and cross\-functional role** 
 , partnering closely with
 **AI researchers, product managers, and clinical experts** 
 to bring advanced language and speech models into production. From building scalable RAG and multi\-agent pipelines to conversational interactions, your work will directly influence how patients and providers safely interact with generative AI at scale.
 We’re looking for experienced engineers who are passionate about
 **AI in the real world** 
 —people who love taking cutting\-edge research, turning it into robust products, and advancing the frontier of what’s possible in
 **safe, agentic healthcare systems** 
 .
 What You'll Do:
* Design, build, and optimize production\-grade AI pipelines that power our voice\-based generative healthcare agents—from retrieval\-augmented generation (RAG) to multi\-step reasoning systems.
* Collaborate cross\-functionally with product, clinical, and engineering teams to translate healthcare workflows into safe, scalable, and human\-centered AI experiences.
* Prototype and deploy zero\-to\-one features using state\-of\-the\-art LLMs, retrieval systems, and streaming architectures—balancing innovation with reliability.
* Develop and refine AI\-native workflows that support real\-time, conversational, and long\-running interactions across diverse healthcare contexts.
* Drive continuous improvement in model evaluation, safety testing, and observability, ensuring every agent interaction meets clinical safety standards
 What You Bring
**Must Have:**
* 3\+ years of professional experience in software, ML, or AI engineering.
* Proven track record building and shipping AI\- or ML\-powered products in production environments.
* Strong programming skills in Python with experience in distributed systems, APIs, and data pipelines.
* Deep understanding of prompt engineering, vector databases, and retrieval systems (RAG), voice agents or willingness to learn rapidly.
* Experience with cloud environments (AWS/GCP/Azure) and modern DevOps practices (Terraform, CI/CD, monitoring).
* Excellent communication, cross\-functional collaboration, and an ability to move fast in high\-impact domains.
 Nice\-to\-Have:
* Experience building or deploying LLM\-based or multi\-agent systems at scale.
* Hands\-on work with speech recognition, text\-to\-speech, or streaming architectures for real\-time AI experiences.
* Prior exposure to healthcare, safety\-critical domains, or regulated product development.
 If you’re an
 **AI engineer** 
 who thrives at the intersection of
 **cutting\-edge research and real\-world product impact** 
 , we’d love to hear from you.
 Join
 **Hippocratic AI** 
 and help shape the future of
 **clinically safe, voice\-enabled AI systems** 
 that are already transforming patient care at scale.
*Please be aware of recruitment scams impersonating Hippocratic AI. All recruiting communication will come from @* 
*hippocraticai.com* 
*email addresses. We will never request payment or sensitive personal information during the hiring process.*</t>
        </is>
      </c>
    </row>
    <row r="12">
      <c r="A12" t="inlineStr">
        <is>
          <t>li-4368107348</t>
        </is>
      </c>
      <c r="B12" t="inlineStr">
        <is>
          <t>AI Engineer</t>
        </is>
      </c>
      <c r="C12" t="inlineStr">
        <is>
          <t>Best Job Tool</t>
        </is>
      </c>
      <c r="D12" t="inlineStr">
        <is>
          <t>linkedin</t>
        </is>
      </c>
      <c r="E12" t="inlineStr"/>
      <c r="F12" t="inlineStr"/>
      <c r="G12" t="inlineStr"/>
      <c r="H12" t="inlineStr"/>
      <c r="I12" t="inlineStr">
        <is>
          <t>**About The Company**
 Cognizant is a global leader in technology and consulting services, dedicated to helping organizations modernize their technology infrastructure and innovate for the future. With a strong presence across multiple industries including healthcare, banking, retail, and manufacturing, Cognizant leverages its expertise to deliver transformative solutions that drive business growth and operational efficiency. The company prides itself on fostering a collaborative and inclusive work environment, encouraging diversity of thought and nurturing talent to meet the evolving needs of its clients worldwide.
**About The Role**
 We are seeking a highly motivated and detail\-oriented Software Engineer to join our dynamic team at Cognizant. In this role, you will be responsible for designing, developing, and maintaining software applications that meet our clients' needs. You will collaborate with cross\-functional teams to deliver high\-quality solutions, troubleshoot issues, and implement best practices in software development. The ideal candidate will have a strong technical background, excellent problem\-solving skills, and a passion for innovation. This position offers an exciting opportunity to work on cutting\-edge projects in a fast\-paced environment, contributing to the digital transformation initiatives of leading organizations.
**Qualifications**
* Bachelor's degree in Computer Science, Information Technology, or a related field. A master’s degree is a plus.
* Proven experience in software development, with proficiency in programming languages such as Java, C\#, Python, or JavaScript.
* Strong understanding of software development life cycle (SDLC) and Agile methodologies.
* Experience with cloud platforms like AWS, Azure, or Google Cloud is preferred.
* Excellent analytical and problem\-solving skills, with the ability to work independently and as part of a team.
* Effective communication skills to articulate technical concepts to non\-technical stakeholders.
**Responsibilities**
* Design, develop, and implement software solutions according to project specifications and client requirements.
* Participate in code reviews to ensure code quality and adherence to best practices.
* Collaborate with cross\-functional teams including product managers, designers, and QA engineers to deliver seamless solutions.
* Identify and troubleshoot software defects, bugs, and performance issues, providing timely resolutions.
* Maintain and update existing applications to enhance functionality and performance.
* Contribute to the continuous improvement of development processes and tools.
* Document technical specifications, architecture, and user manuals as needed.
* Stay current with emerging technologies and industry trends to incorporate innovative solutions into projects.
**Benefits**
 Cognizant offers a comprehensive benefits package designed to support the well\-being and professional growth of its employees. This includes competitive salary packages, health insurance plans, retirement savings options, and paid time off. Employees have access to ongoing training and development programs, mentorship opportunities, and participation in industry conferences. The company promotes a healthy work\-life balance through flexible working arrangements and wellness initiatives. Additionally, Cognizant fosters a collaborative culture that values diversity and inclusion, ensuring every employee feels valued and empowered to contribute to the company's success.
 Equal Opportunity
 Cognizant is an equal opportunity employer committed to creating an inclusive environment for all employees. We celebrate diversity and are dedicated to providing equal employment opportunities regardless of race, color, religion, gender, sexual orientation, gender identity, national origin, age, disability, or any other protected characteristic. We believe that a diverse workforce enhances our ability to innovate and serve our clients effectively. All qualified applicants will receive consideration for employment without regard to any protected status, and we are committed to fostering an inclusive workplace where everyone can thrive and succeed.</t>
        </is>
      </c>
    </row>
    <row r="13">
      <c r="A13" t="inlineStr">
        <is>
          <t>li-4367761299</t>
        </is>
      </c>
      <c r="B13" t="inlineStr">
        <is>
          <t>AI Engineer</t>
        </is>
      </c>
      <c r="C13" t="inlineStr">
        <is>
          <t>Haystack</t>
        </is>
      </c>
      <c r="D13" t="inlineStr">
        <is>
          <t>linkedin</t>
        </is>
      </c>
      <c r="E13" t="inlineStr"/>
      <c r="F13" t="inlineStr"/>
      <c r="G13" t="inlineStr"/>
      <c r="H13" t="inlineStr"/>
      <c r="I13" t="inlineStr">
        <is>
          <t>**Solutions Architect, Agentic AI \| US, CA \| Remote\-Friendly** 
 We're working with NVIDIA on this exciting opportunity.
 Revolutionize AI by building and deploying cutting\-edge agentic AI applications at scale! Join the NVIDIA AI Enterprise (NVAIE) SA Segment Team and redefine how enterprises leverage the newest advancements in Machine Learning, Deep Learning, and Generative AI to create intelligent agents.
**The Role** 
 • Deliver innovative and optimized AI agents using techniques like Test Time Compute, Reinforcement Learning, and inference optimization.
 • Develop applications with agentic frameworks to retrieve and generate insights from enterprise data, creating high\-impact solutions such as deep research assistants and multi\-modal dialogue systems.
 • Engage with engineering teams, staying ahead of AI advancements and applying strong technical judgment to all deliverables.
 • Provide direct feedback to improve software products and educate teams on NVIDIA AI software products.
**What You'll Need** 
 • 5\+ years of experience in Deep Learning and Machine Learning, with strong software engineering and debugging skills (Python, C/C\+\+, Linux).
 • Expertise with GPUs and deep learning frameworks such as TensorFlow or PyTorch.
 • Proficiency in rapid prototyping using Python, with a strong foundational knowledge of data structures, algorithms, and software engineering principles.
 • Experience building advanced multi\-agent systems using libraries like LangGraph, LlamaIndex, or CrewAI.
 • Ability to multitask effectively and communicate clearly with executives and engineering teams.
**What's On Offer** 
 • Be at the forefront of agentic AI development, driving the future of enterprise AI.
 • Competitive base salary with eligibility for equity and benefits.
 • Opportunity to work within a dynamic and innovative team at a leader in AI technology.
 • Engage with cutting\-edge technologies and contribute to groundbreaking solutions.
**Apply via Haystack today!**</t>
        </is>
      </c>
    </row>
    <row r="14">
      <c r="A14" t="inlineStr">
        <is>
          <t>li-4328460392</t>
        </is>
      </c>
      <c r="B14" t="inlineStr">
        <is>
          <t>Machine Learning Engineer - VP</t>
        </is>
      </c>
      <c r="C14" t="inlineStr">
        <is>
          <t>Citi</t>
        </is>
      </c>
      <c r="D14" t="inlineStr">
        <is>
          <t>linkedin</t>
        </is>
      </c>
      <c r="E14" t="inlineStr"/>
      <c r="F14" t="inlineStr"/>
      <c r="G14" t="inlineStr">
        <is>
          <t>Jersey City, NJ</t>
        </is>
      </c>
      <c r="H14" t="inlineStr"/>
      <c r="I14" t="inlineStr">
        <is>
          <t>We are seeking a highly skilled and motivated Machine Learning Engineer to join our technology team. The ideal candidate will be responsible for designing, developing, and deploying cutting\-edge applications that leverage Generative AI and Large Language Models (LLMs). This role involves architecting end\-to\-end platform services with a focus on scalability, reliability, and performance. You will be a key player in driving the implementation of new AI\-driven systems and programs that will impact all business line at Citi globally.
**Responsibilities**
* Architect and Build AI Solutions: Design and architect end\-to\-end platform capabilities and services that integrate with Generative AI technologies.
* Implement RAG Solutions: Develop and deploy solutions using VectorRAG and GraphRAG techniques with both open\-source and commercial Large Language Models.
* Develop AI Workflows: Apply a strong understanding of Agentic AI workflows and frameworks to build sophisticated, automated systems.
* Drive DevOps Best Practices: Implement robust CI/CD pipelines, automated testing, and containerization (Docker, Kubernetes) to streamline the development and deployment of machine learning models.
* End\-to\-End Project Ownership: Manage your deliverables from conception to deployment, proactively identifying and mitigating risks to ensure project goals are met.
* Rapid Prototyping: Perform and lead quick proof\-of\-concept (POC) projects to evaluate and demonstrate the feasibility of new GenAI use cases.
* Ensure System Integrity: Appropriately assess and manage risk in all technical and business decisions, ensuring compliance with applicable laws, rules, and regulations, and maintaining transparency in reporting and managing control issues.
* Collaborate and Innovate: Work closely with cross\-functional teams to solve complex problems, adapt quickly to changing priorities, and contribute to a culture of innovation.
**Required Qualifications**
* Experience: 5\+ years of relevant experience in Software Development or a Systems Analysis role, with a strong focus on machine learning.
* Programming Skills: Strong object\-oriented programming skills with expert\-level proficiency in Python.
* AI/ML Expertise: Deep experience with AI/ML frameworks (e.g., Langchain) and hands\-on experience with Generative AI technologies and Large Language Models.
* Application Development: Proven experience building applications that apply LLMs and GenAI to use cases such as search, chat agents, and guided analytics.
* DevOps Knowledge: Strong, working knowledge of DevOps tools (e.g., Jenkins, GitLab, Docker, Kubernetes) and Infrastructure as Code (IaC) practices.
* Architectural Understanding: Solid understanding of modern software development practices, including microservices architecture and API design principles.
* Data Proficiency: Experience with various data storage solutions (e.g., NoSQL, SQL, data lakes) and data pipeline orchestration.
* Problem\-Solving: Excellent analytical and problem\-solving skills with a proven ability to troubleshoot complex technical issues and provide innovative solutions.
**Preferred Qualifications**
* Cloud Architecture: Experience with various cloud platforms (e.g., AWS, GCP, Azure) and architectures (e.g., single/multi\-tenant).
* Large\-Scale Systems: Experience designing and implementing microservices\-based architectures for large\-scale platforms in complex environments.
* Leadership: Demonstrated leadership, project management skills, and a proven track record of self\-motivation and continuous learning.
 \-\-\-\-\-\-\-\-\-\-\-\-\-\-\-\-\-\-\-\-\-\-\-\-\-\-\-\-\-\-\-\-\-\-\-\-\-\-\-\-\-\-\-\-\-\-\-\-\-\-\-\-\-\-
**Job Family Group:**
 Technology
 \-\-\-\-\-\-\-\-\-\-\-\-\-\-\-\-\-\-\-\-\-\-\-\-\-\-\-\-\-\-\-\-\-\-\-\-\-\-\-\-\-\-\-\-\-\-\-\-\-\-\-\-\-\-
**Job Family:**
 Applications Development
 \-\-\-\-\-\-\-\-\-\-\-\-\-\-\-\-\-\-\-\-\-\-\-\-\-\-\-\-\-\-\-\-\-\-\-\-\-\-\-\-\-\-\-\-\-\-\-\-\-\-\-\-\-\-
**Time Type:**
 Full time
 \-\-\-\-\-\-\-\-\-\-\-\-\-\-\-\-\-\-\-\-\-\-\-\-\-\-\-\-\-\-\-\-\-\-\-\-\-\-\-\-\-\-\-\-\-\-\-\-\-\-\-\-\-\-
**Primary Location:**
 Jersey City New Jersey United States
 \-\-\-\-\-\-\-\-\-\-\-\-\-\-\-\-\-\-\-\-\-\-\-\-\-\-\-\-\-\-\-\-\-\-\-\-\-\-\-\-\-\-\-\-\-\-\-\-\-\-\-\-\-\-
**Primary Location Full Time Salary Range:**
 $142,320\.00 \- $213,480\.00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**Most Relevant Skills**
 Please see the requirements listed above.
 \-\-\-\-\-\-\-\-\-\-\-\-\-\-\-\-\-\-\-\-\-\-\-\-\-\-\-\-\-\-\-\-\-\-\-\-\-\-\-\-\-\-\-\-\-\-\-\-\-\-\-\-\-\-
**Other Relevant Skills**
 AI Frameworks, Generative AI, Large Language Model (LLM) Fine\-Tuning, ML Frameworks, Python (Programming Language).
 \-\-\-\-\-\-\-\-\-\-\-\-\-\-\-\-\-\-\-\-\-\-\-\-\-\-\-\-\-\-\-\-\-\-\-\-\-\-\-\-\-\-\-\-\-\-\-\-\-\-\-\-\-\-
**Anticipated Posting Close Date:**
 Dec 26, 2025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row>
    <row r="15">
      <c r="A15" t="inlineStr">
        <is>
          <t>li-4367752392</t>
        </is>
      </c>
      <c r="B15" t="inlineStr">
        <is>
          <t>AI Engineer</t>
        </is>
      </c>
      <c r="C15" t="inlineStr">
        <is>
          <t>Haystack</t>
        </is>
      </c>
      <c r="D15" t="inlineStr">
        <is>
          <t>linkedin</t>
        </is>
      </c>
      <c r="E15" t="inlineStr"/>
      <c r="F15" t="inlineStr"/>
      <c r="G15" t="inlineStr"/>
      <c r="H15" t="inlineStr"/>
      <c r="I15" t="inlineStr">
        <is>
          <t>**Solutions Architect, Agentic AI \| US, CA \| Remote\-Friendly** 
 We're working with NVIDIA on this exciting opportunity.
 Revolutionize AI by building and deploying cutting\-edge agentic AI applications at scale! Join the NVIDIA AI Enterprise (NVAIE) SA Segment Team and redefine how enterprises leverage the newest advancements in Machine Learning, Deep Learning, and Generative AI to create intelligent agents.
**The Role** 
 • Deliver innovative and optimized AI agents using techniques like Test Time Compute, Reinforcement Learning, and inference optimization.
 • Develop applications with agentic frameworks to retrieve and generate insights from enterprise data, creating high\-impact solutions such as deep research assistants and multi\-modal dialogue systems.
 • Engage with engineering teams, staying ahead of AI advancements and applying strong technical judgment to all deliverables.
 • Provide direct feedback to improve software products and educate teams on NVIDIA AI software products.
**What You'll Need** 
 • 5\+ years of experience in Deep Learning and Machine Learning, with strong software engineering and debugging skills (Python, C/C\+\+, Linux).
 • Expertise with GPUs and deep learning frameworks such as TensorFlow or PyTorch.
 • Proficiency in rapid prototyping using Python, with a strong foundational knowledge of data structures, algorithms, and software engineering principles.
 • Experience building advanced multi\-agent systems using libraries like LangGraph, LlamaIndex, or CrewAI.
 • Ability to multitask effectively and communicate clearly with executives and engineering teams.
**What's On Offer** 
 • Be at the forefront of agentic AI development, driving the future of enterprise AI.
 • Competitive base salary with eligibility for equity and benefits.
 • Opportunity to work within a dynamic and innovative team at a leader in AI technology.
 • Engage with cutting\-edge technologies and contribute to groundbreaking solutions.
**Apply via Haystack today!**</t>
        </is>
      </c>
    </row>
    <row r="16">
      <c r="A16" t="inlineStr">
        <is>
          <t>li-4328580408</t>
        </is>
      </c>
      <c r="B16" t="inlineStr">
        <is>
          <t>Machine Learning Engineer - VP</t>
        </is>
      </c>
      <c r="C16" t="inlineStr">
        <is>
          <t>Citi</t>
        </is>
      </c>
      <c r="D16" t="inlineStr">
        <is>
          <t>linkedin</t>
        </is>
      </c>
      <c r="E16" t="inlineStr"/>
      <c r="F16" t="inlineStr"/>
      <c r="G16" t="inlineStr">
        <is>
          <t>Jersey City, NJ</t>
        </is>
      </c>
      <c r="H16" t="inlineStr"/>
      <c r="I16" t="inlineStr">
        <is>
          <t>We are seeking a highly skilled and motivated Machine Learning Engineer to join our technology team. The ideal candidate will be responsible for designing, developing, and deploying cutting\-edge applications that leverage Generative AI and Large Language Models (LLMs). This role involves architecting end\-to\-end platform services with a focus on scalability, reliability, and performance. You will be a key player in driving the implementation of new AI\-driven systems and programs that will impact all business line at Citi globally.
**Responsibilities**
* Architect and Build AI Solutions: Design and architect end\-to\-end platform capabilities and services that integrate with Generative AI technologies.
* Implement RAG Solutions: Develop and deploy solutions using VectorRAG and GraphRAG techniques with both open\-source and commercial Large Language Models.
* Develop AI Workflows: Apply a strong understanding of Agentic AI workflows and frameworks to build sophisticated, automated systems.
* Drive DevOps Best Practices: Implement robust CI/CD pipelines, automated testing, and containerization (Docker, Kubernetes) to streamline the development and deployment of machine learning models.
* End\-to\-End Project Ownership: Manage your deliverables from conception to deployment, proactively identifying and mitigating risks to ensure project goals are met.
* Rapid Prototyping: Perform and lead quick proof\-of\-concept (POC) projects to evaluate and demonstrate the feasibility of new GenAI use cases.
* Ensure System Integrity: Appropriately assess and manage risk in all technical and business decisions, ensuring compliance with applicable laws, rules, and regulations, and maintaining transparency in reporting and managing control issues.
* Collaborate and Innovate: Work closely with cross\-functional teams to solve complex problems, adapt quickly to changing priorities, and contribute to a culture of innovation.
**Required Qualifications**
* Experience: 5\+ years of relevant experience in Software Development or a Systems Analysis role, with a strong focus on machine learning.
* Programming Skills: Strong object\-oriented programming skills with expert\-level proficiency in Python.
* AI/ML Expertise: Deep experience with AI/ML frameworks (e.g., Langchain) and hands\-on experience with Generative AI technologies and Large Language Models.
* Application Development: Proven experience building applications that apply LLMs and GenAI to use cases such as search, chat agents, and guided analytics.
* DevOps Knowledge: Strong, working knowledge of DevOps tools (e.g., Jenkins, GitLab, Docker, Kubernetes) and Infrastructure as Code (IaC) practices.
* Architectural Understanding: Solid understanding of modern software development practices, including microservices architecture and API design principles.
* Data Proficiency: Experience with various data storage solutions (e.g., NoSQL, SQL, data lakes) and data pipeline orchestration.
* Problem\-Solving: Excellent analytical and problem\-solving skills with a proven ability to troubleshoot complex technical issues and provide innovative solutions.
**Preferred Qualifications**
* Cloud Architecture: Experience with various cloud platforms (e.g., AWS, GCP, Azure) and architectures (e.g., single/multi\-tenant).
* Large\-Scale Systems: Experience designing and implementing microservices\-based architectures for large\-scale platforms in complex environments.
* Leadership: Demonstrated leadership, project management skills, and a proven track record of self\-motivation and continuous learning.
 \-\-\-\-\-\-\-\-\-\-\-\-\-\-\-\-\-\-\-\-\-\-\-\-\-\-\-\-\-\-\-\-\-\-\-\-\-\-\-\-\-\-\-\-\-\-\-\-\-\-\-\-\-\-
**Job Family Group:**
 Technology
 \-\-\-\-\-\-\-\-\-\-\-\-\-\-\-\-\-\-\-\-\-\-\-\-\-\-\-\-\-\-\-\-\-\-\-\-\-\-\-\-\-\-\-\-\-\-\-\-\-\-\-\-\-\-
**Job Family:**
 Applications Development
 \-\-\-\-\-\-\-\-\-\-\-\-\-\-\-\-\-\-\-\-\-\-\-\-\-\-\-\-\-\-\-\-\-\-\-\-\-\-\-\-\-\-\-\-\-\-\-\-\-\-\-\-\-\-
**Time Type:**
 Full time
 \-\-\-\-\-\-\-\-\-\-\-\-\-\-\-\-\-\-\-\-\-\-\-\-\-\-\-\-\-\-\-\-\-\-\-\-\-\-\-\-\-\-\-\-\-\-\-\-\-\-\-\-\-\-
**Primary Location:**
 Jersey City New Jersey United States
 \-\-\-\-\-\-\-\-\-\-\-\-\-\-\-\-\-\-\-\-\-\-\-\-\-\-\-\-\-\-\-\-\-\-\-\-\-\-\-\-\-\-\-\-\-\-\-\-\-\-\-\-\-\-
**Primary Location Full Time Salary Range:**
 $142,320\.00 \- $213,480\.00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**Most Relevant Skills**
 Please see the requirements listed above.
 \-\-\-\-\-\-\-\-\-\-\-\-\-\-\-\-\-\-\-\-\-\-\-\-\-\-\-\-\-\-\-\-\-\-\-\-\-\-\-\-\-\-\-\-\-\-\-\-\-\-\-\-\-\-
**Other Relevant Skills**
 AI Agents, AI Frameworks, AI Ops, Generative AI, Large Language Models (LLMs), Machine Learning (ML), ML Frameworks, Python (Programming Language), Standard ML (Programming Language).
 \-\-\-\-\-\-\-\-\-\-\-\-\-\-\-\-\-\-\-\-\-\-\-\-\-\-\-\-\-\-\-\-\-\-\-\-\-\-\-\-\-\-\-\-\-\-\-\-\-\-\-\-\-\-
**Anticipated Posting Close Date:**
 Dec 26, 2025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row>
    <row r="17">
      <c r="A17" t="inlineStr">
        <is>
          <t>li-4367745509</t>
        </is>
      </c>
      <c r="B17" t="inlineStr">
        <is>
          <t>AI Engineer</t>
        </is>
      </c>
      <c r="C17" t="inlineStr">
        <is>
          <t>Haystack</t>
        </is>
      </c>
      <c r="D17" t="inlineStr">
        <is>
          <t>linkedin</t>
        </is>
      </c>
      <c r="E17" t="inlineStr"/>
      <c r="F17" t="inlineStr"/>
      <c r="G17" t="inlineStr"/>
      <c r="H17" t="inlineStr"/>
      <c r="I17" t="inlineStr">
        <is>
          <t>**Native (Agentic) AI Architect \- Remote \| Plano, TX \| Remote \| $58 \- $136/hr** 
 We're working with NTT DATA on this exciting opportunity.
 Are you a visionary AI Architect ready to shape the future? Join a leading global innovator to design and implement cutting\-edge AI solutions, transforming business needs into intelligent systems. This is your chance to make a significant impact on complex projects and advance your career in a dynamic, forward\-thinking environment.
**The Role** 
 • Design, develop, and implement advanced AI models and architectures.
 • Analyze and optimize existing AI systems for enhanced performance and scalability.
 • Research and integrate emerging AI technologies and methodologies.
 • Collaborate with data scientists and stakeholders to align AI initiatives with strategic business goals.
 • Ensure AI systems adhere to compliance and regulatory requirements.
**What You'll Need** 
 • 1\-5 years of experience in AI and related domains.
 • 1\-5 years of experience conceptualizing and architecting AI solutions.
 • 3\-5 years experience supporting professional services sales cycles, including RFP responses.
 • Strong background in implementing AI models and improving AI architectures.
 • Bachelor's in Computer Science or equivalent work experience.
**What's On Offer** 
 • Opportunity to work with a global innovator on impactful AI projects.
 • Collaborative environment with data scientists, engineers, and business leaders.
 • Chance to contribute to a company serving 75% of the Fortune Global 100\.
 • Competitive compensation with opportunities for incentive pay.
**Apply via Haystack today!**</t>
        </is>
      </c>
    </row>
    <row r="18">
      <c r="A18" t="inlineStr">
        <is>
          <t>li-4367763379</t>
        </is>
      </c>
      <c r="B18" t="inlineStr">
        <is>
          <t>AI Engineer</t>
        </is>
      </c>
      <c r="C18" t="inlineStr">
        <is>
          <t>Haystack</t>
        </is>
      </c>
      <c r="D18" t="inlineStr">
        <is>
          <t>linkedin</t>
        </is>
      </c>
      <c r="E18" t="inlineStr"/>
      <c r="F18" t="inlineStr"/>
      <c r="G18" t="inlineStr"/>
      <c r="H18" t="inlineStr"/>
      <c r="I18" t="inlineStr">
        <is>
          <t>**Native (Agentic) AI Architect \- Remote \| Plano, TX \| Remote \| $58 \- $136/hr** 
 We're working with NTT DATA on this exciting opportunity.
 Are you a visionary AI Architect ready to shape the future? Join a leading global innovator to design and implement cutting\-edge AI solutions, transforming business needs into intelligent systems. This is your chance to make a significant impact on complex projects and advance your career in a dynamic, forward\-thinking environment.
**The Role** 
 • Design, develop, and implement advanced AI models and architectures.
 • Analyze and optimize existing AI systems for enhanced performance and scalability.
 • Research and integrate emerging AI technologies and methodologies.
 • Collaborate with data scientists and stakeholders to align AI initiatives with strategic business goals.
 • Ensure AI systems adhere to compliance and regulatory requirements.
**What You'll Need** 
 • 1\-5 years of experience in AI and related domains.
 • 1\-5 years of experience conceptualizing and architecting AI solutions.
 • 3\-5 years experience supporting professional services sales cycles, including RFP responses.
 • Strong background in implementing AI models and improving AI architectures.
 • Bachelor's in Computer Science or equivalent work experience.
**What's On Offer** 
 • Opportunity to work with a global innovator on impactful AI projects.
 • Collaborative environment with data scientists, engineers, and business leaders.
 • Chance to contribute to a company serving 75% of the Fortune Global 100\.
 • Competitive compensation with opportunities for incentive pay.
**Apply via Haystack today!**</t>
        </is>
      </c>
    </row>
    <row r="19">
      <c r="A19" t="inlineStr">
        <is>
          <t>li-4206608516</t>
        </is>
      </c>
      <c r="B19" t="inlineStr">
        <is>
          <t>Staff Machine Learning Engineer, Applied Science</t>
        </is>
      </c>
      <c r="C19" t="inlineStr">
        <is>
          <t>Hippocratic AI</t>
        </is>
      </c>
      <c r="D19" t="inlineStr">
        <is>
          <t>linkedin</t>
        </is>
      </c>
      <c r="E19" t="inlineStr"/>
      <c r="F19" t="inlineStr"/>
      <c r="G19" t="inlineStr">
        <is>
          <t>Palo Alto, CA</t>
        </is>
      </c>
      <c r="H19" t="inlineStr"/>
      <c r="I19" t="inlineStr">
        <is>
          <t>**About Us**
 Hippocratic AI is the leading generative AI company in healthcare. We have the only system that can have safe, autonomous, clinical conversations with patients. We have trained our own LLMs as part of our Polaris constellation, resulting in a system with over 99\.9% accuracy.
**Why Join Our Team**
**Reinvent healthcare with AI that puts safety first.** 
 We’re building the world’s first healthcare‑only, safety‑focused LLM — a breakthrough platform designed to transform patient outcomes at a global scale. This is category creation.
**Work with the people shaping the future.** 
 Hippocratic AI was co‑founded by CEO Munjal Shah and a team of physicians, hospital leaders, AI pioneers, and researchers from institutions like El Camino Health, Johns Hopkins, Washington University in St. Louis, Stanford, Google, Meta, Microsoft, and NVIDIA.
**Backed by the world’s leading healthcare and AI investors.** 
 We recently raised a $126M Series C at a $3\.5B valuation, led by Avenir Growth, bringing total funding to $404M with participation from CapitalG, General Catalyst, a16z, Kleiner Perkins, Premji Invest, UHS, Cincinnati Children’s, WellSpan Health, John Doerr, Rick Klausner, and others.
**Build alongside the best in healthcare and AI.** 
 Join experts who’ve spent their careers improving care, advancing science, and building world‑changing technologies — ensuring our platform is powerful, trusted, and truly transformative.
**Location Requirement**
 We believe the best ideas happen together. To support fast collaboration and a strong team culture, this role is expected to be in our Palo Alto office five days a week, unless otherwise specified.
**About The Role**
 Staff Machine Learning Engineers at Hippocratic AI are foundational to the design, deployment, and optimization of cutting\-edge ML systems powering our next\-generation, safety\-focused generative AI for healthcare. You’ll work closely with research scientists and product teams to build scalable infrastructure and models that support robust, real\-time, and personalized conversational AI capabilities.
 We are seeking an experienced
 **Staff Machine Learning Engineer** 
 to lead the development of machine learning pipelines, contribute to training and inference systems for Large Language Models (LLMs), and drive the productionization of ML models that directly impact healthcare delivery and patient outcomes. This role is both strategic and hands\-on, perfect for someone excited about technical leadership in a fast\-paced, mission\-driven environment.
**What You'll Do**
 Our engineering challenges include:
* Designing scalable, high\-performance infrastructure for LLM training, fine\-tuning, and inference
* Building ML pipelines and tooling for experimentation, evaluation, and deployment
* Optimizing model performance and efficiency in production environments
* Collaborating cross\-functionally to integrate ML solutions into end\-user applications
* Maintaining compliance with healthcare standards of safety, privacy, and reliability
**What You Bring**
**Must\-Have:**
* Bachelor’s or Master’s degree in Computer Science, Engineering, or a related technical field; PhD is a plus
* 7\+ years of industry experience building and deploying ML systems, ideally with focus on LLMs or deep learning
* Strong software engineering skills and experience developing in Python
* Deep experience with ML frameworks like PyTorch or TensorFlow
* Familiarity with distributed training frameworks (e.g., DeepSpeed, FSDP, Horovod)
* Proven experience designing, implementing, and scaling ML pipelines for large models
* Experience with cloud platforms (e.g., AWS, GCP, Azure) and container orchestration (e.g., Kubernetes, Docker)
* Exposure to healthcare, clinical, or life sciences data is a strong plus
**Nice\-to\-Have:**
* Strong preference for individuals who can work onsite at our HQ located in Palo Alto, CA, but we will consider candidates throughout the U.S.
 As a Staff ML Engineer at Hippocratic AI, you’ll have a seat at the table in technical decision\-making, partner closely with product and research leads, and help define the roadmap for scalable, safe ML systems. This role offers the chance to be deeply embedded in a team of engineers and scientists pioneering the future of healthcare\-focused AI.
**References**
* Polaris: A Safety\-focused LLM Constellation Architecture for Healthcare, https://arxiv.org/abs/2403\.13313
* Polaris 2: https://www.hippocraticai.com/polaris2
* Personalized Interactions: https://www.hippocraticai.com/personalized\-interactions
* Human Touch in AI: https://www.hippocraticai.com/the\-human\-touch\-in\-ai
* Empathetic Intelligence: https://www.hippocraticai.com/empathetic\-intelligence
* Polaris 1: https://www.hippocraticai.com/research/polaris
* Research and clinical blogs: https://www.hippocraticai.com/research
*Please be aware of recruitment scams impersonating Hippocratic AI. All recruiting communication will come from @* 
*hippocraticai.com* 
*email addresses. We will never request payment or sensitive personal information during the hiring process.*</t>
        </is>
      </c>
    </row>
    <row r="20">
      <c r="A20" t="inlineStr">
        <is>
          <t>li-4357390166</t>
        </is>
      </c>
      <c r="B20" t="inlineStr">
        <is>
          <t>Senior Machine Learning Engineer, Conversion Modeling</t>
        </is>
      </c>
      <c r="C20" t="inlineStr">
        <is>
          <t>Unity South APAC (SEA, ANZ, IND Subcont.)</t>
        </is>
      </c>
      <c r="D20" t="inlineStr">
        <is>
          <t>linkedin</t>
        </is>
      </c>
      <c r="E20" t="inlineStr"/>
      <c r="F20" t="inlineStr"/>
      <c r="G20" t="inlineStr">
        <is>
          <t>San Francisco, CA</t>
        </is>
      </c>
      <c r="H20" t="inlineStr"/>
      <c r="I20" t="inlineStr">
        <is>
          <t>The opportunity
 At Unity, we’re committed to building a culture that fosters collaboration and innovation. Within our fast\-paced environment, we’re tackling complex challenges that drive meaningful impact for creators and users across our ecosystem.
 Our Vector team plays a central role in this effort by developing state\-of\-the\-art conversion rate (CVR) prediction and market price models that power our ad ranking and recommendation systems. These models help advertisers reach the right users at the right time by accurately estimating engagement and conversion likelihood. By leveraging large\-scale behavioral data, creative features, and contextual signals, we continuously improve the relevance and accuracy of our predictions. This drives key outcomes such as higher user engagement, stronger conversion performance, and better return on ad spend — enabling advertisers to achieve their goals while delivering a better experience for users.
 We are seeking a highly skilled Senior ML Engineer to drive state\-of\-the\-art bidding optimization systems that enable efficient budget pacing, goal\-aligned automated strategies, continual improvement through experimentation, and sustainable growth for Unity Ads.
 What you'll be doing
* Design, implement, and maintain high\-performance CTR and CVR prediction models that power ad ranking and recommendation systems.
* Build and refine systems for creative understanding and user behavior modeling, enabling more accurate and context\-aware engagement predictions.
* Ensure model quality and reliability by continuously monitoring performance, calibrating predictions, and addressing data drift or delayed feedback.
* Actively participate and work with other leads to set the long term direction for the team, plan and oversee engineering designs and project execution.
* Effectively communicate complex technical concepts to non\-engineering stakeholders.
 What we're looking for
* Advanced degree (MS or Ph.D.) in Computer Science, Machine Learning, Statistics, related field, or equivalent practical experience.
* 5\+ years of hands\-on experience building and operating large\-scale Ads delivery and optimization systems.
* 3\+ years of experience building CTR/CVR systems, content understanding, or behavior modeling systems.
* Significant experience in one or more general\-purpose programming languages like Python, Go, Scala, C\+\+ or similar.
* Knowledge of metric design, experimentation methodologies, and large\-scale data analysis.
 You might also have
* Experience designing and productionizing optimization algorithms in an ad serving platform and/or other marketplaces.
* Experience with state\-of\-the\-art control systems, reinforcement learning algorithms.
 Additional information
* International relocation support is not available for this position
**Benefits**
 At Unity, we want our team members to thrive. We offer a wide range of benefits designed to support well\-being and work\-life balance.
 Please note: Benefits eligibility, specific offerings, and coverage vary based on the country and employment status.
 While specific benefits vary, here are some of the ways we strive to take care of our eligible team members globally: Comprehensive health, life, and disability insurance \| Commute subsidy \| Employee stock ownership \| Competitive retirement/pension plans \| Generous vacation and personal days \| Support for new parents through leave and family\-care programs \| Office food snacks \| Mental Health and Wellbeing programs and support \| Employee Resource Groups \| Global Employee Assistance Program \| Training and development programs \| Volunteering and donation matching program
 Life at Unity
 We offer a wide range of benefits designed to support employees' well\-being and work\-life balance. You can read more about them on our career page.
 Unity \[NYSE: U] is the leading platform to create and grow games and interactive experiences. Creators, ranging from game developers to artists, architects, automotive designers, infrastructure experts, filmmakers, and more, use Unity to bring their imaginations to life across multiple platforms, from mobile, PC, and console, to spatial computing.
 As of the third quarter of 2024, more than 70% of the top 1,000 mobile games were made with Unity, and in 2024, Made with Unity applications had an average of 3\.7 billion downloads per month. For more information, please visit Unity.
*Unity is a proud equal opportunity employer. We are committed to fostering an inclusive, innovative environment and celebrate our employees across age, race, color, ancestry, national origin, religion, disability, sex, gender identity or expression, sexual orientation, or any other protected status in accordance with applicable law. Our differences are strengths that enable us to support the growing and evolving needs of our customers, partners, and collaborators. If you have a disability that means there are preparations or accommodations we can make to help ensure you have a comfortable and positive interview experience, please fill out this form to let us know.*
*Pursuant to the San Francisco Fair Chance Ordinance, we will consider for employment qualified applicants with arrest and conviction records.*
*This position requires the incumbent to have a sufficient knowledge of English to have professional verbal and written exchanges in this language since the performance of the duties related to this position requires frequent and regular communication with colleagues and partners located worldwide and whose common language is English.*
*Headhunters and recruitment agencies may not submit resumes/CVs through this Web site or directly to managers. Unity does not accept unsolicited headhunter and agency resumes. Unity will not pay fees to any third\-party agency or company that does not have a signed agreement with Unity.*
*Your privacy is important to us. Please take a moment to review our Prospect Privacy Policy and Applicant Privacy Policy. Should you have any concerns about your privacy, please contact us at DPO@unity.com.*
 \#SEN
* Note: Certain locations require a good faith disclosure of the base salary range for the role. The actual salary for the successful candidate may differ based on location, experience, and other job\-related factors. Gross pay salary$164,000—$312,000 USD</t>
        </is>
      </c>
    </row>
    <row r="21">
      <c r="A21" t="inlineStr">
        <is>
          <t>li-4368109550</t>
        </is>
      </c>
      <c r="B21" t="inlineStr">
        <is>
          <t>Remote Lead ML Engineer</t>
        </is>
      </c>
      <c r="C21" t="inlineStr">
        <is>
          <t>Jobgether</t>
        </is>
      </c>
      <c r="D21" t="inlineStr">
        <is>
          <t>linkedin</t>
        </is>
      </c>
      <c r="E21" t="inlineStr"/>
      <c r="F21" t="inlineStr"/>
      <c r="G21" t="inlineStr">
        <is>
          <t>Texas, United States</t>
        </is>
      </c>
      <c r="H21" t="inlineStr"/>
      <c r="I21" t="inlineStr">
        <is>
          <t>This position is posted by Jobgether on behalf of a partner company. We are currently looking for a Machine Learning Architect \- REMOTE. In this role, you will significantly impact by creating innovative AI/ML solutions tailored to meet our customers' needs. You will be leveraging your extensive experience in cloud technologies, specifically AWS, to design and implement robust machine learning projects that drive measurable business value. This position requires strong interpersonal skills, as you will collaborate directly with clients, ensuring that your technical solutions align closely with their strategic goals. You'll be responsible for the end\-to\-end execution of ML projects, from initial concept to final deployment, fostering innovation and efficiency.
**Accountabilities**
* Design machine learning solutions and execute projects from proof\-of\-concept to production.
* Collaborate with business representatives to gather and understand requirements.
* Oversee all project phases including problem definition, data annotation, and training documentation.
* Architect ML solutions on cloud platforms such as AWS, Azure, and GCP.
* Stay updated on the latest machine learning research and adapt models to client needs.
* Build credibility through technical excellence and strong customer relationships.
**Requirements**
* Master's degree with 10\+ years of experience or PhD with 6\+ years in machine learning.
* 5\+ years of experience in architecting machine learning solutions.
* Experience with cloud platforms: AWS, GCP, Azure.
* Proficient in building ML models and familiar with ML techniques.
* Experience with tools such as Hugging Face, TensorFlow/PyTorch, and transformer architectures.
* Strong coding skills in Python and knowledge of architectural patterns like microservices.
* Solid understanding of agile methodologies and experience in ML project planning.
* Exceptional problem\-solving skills and leadership ability in tackling technical challenges.
* Excellent communication and presentation skills for diverse audiences.
**Benefits**
* Flexible remote working arrangements.
* Collaborative team environment focused on innovation.
* Opportunities for professional development and continuous learning.
* Exposure to cutting\-edge technologies and methodologies.
* Competitive compensation and performance\-based incentives.
* Access to a wide network of knowledgeable professionals.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2">
      <c r="A22" t="inlineStr">
        <is>
          <t>li-4357450003</t>
        </is>
      </c>
      <c r="B22" t="inlineStr">
        <is>
          <t>Senior Machine Learning Engineer, Advertiser Growth</t>
        </is>
      </c>
      <c r="C22" t="inlineStr">
        <is>
          <t>Unity South APAC (SEA, ANZ, IND Subcont.)</t>
        </is>
      </c>
      <c r="D22" t="inlineStr">
        <is>
          <t>linkedin</t>
        </is>
      </c>
      <c r="E22" t="inlineStr"/>
      <c r="F22" t="inlineStr"/>
      <c r="G22" t="inlineStr">
        <is>
          <t>New York, NY</t>
        </is>
      </c>
      <c r="H22" t="inlineStr"/>
      <c r="I22" t="inlineStr">
        <is>
          <t>The opportunity
 At Unity, we are building a world\-class ad\-tech ecosystem that connects billions of users with the creators and experiences they love. The Advertiser Growth team is at the heart of this mission, owning the online ads delivery stack, including auctioning, ranking, pacing, and bidding systems.
 In 2026, our engineering roadmap is defined by three transformative pillars: Foundation, Smart, and Intelligence. As a Senior Machine Learning Engineer, you will be a key contributor to modernizing our core infrastructure, partnering with research teams to deploy ROI\-driven bidding strategies, and building the backend systems for next\-generation AI agents that revolutionize campaign management. This role offers the chance to solve complex distributed systems challenges at massive scale while directly influencing Unity’s revenue growth.
 What you'll be doing
* Improve the efficiency and reliability of core ads delivery and marketplace systems.
* Optimize real\-time feedback mechanisms to ensure high\-precision delivery and budget management.
* Collaborate on the design and implementation of next\-generation bidding and ranking algorithms.
* Develop scalable infrastructure for automated products that enhance the advertiser experience.
* Partner with cross\-functional teams to drive technical innovation and maintain a high bar for system quality.
* Analyze complex datasets and lead experimentation efforts to optimize performance metrics.
 What we're looking for
* Scalable Backend Experience: Proven experience building and operating large\-scale distributed systems using languages like Java, Go, or Scala.
* Ad\-Tech Domain Knowledge: Proven experience in the ads delivery lifecycle, specifically with pacing controllers, auction mechanics, and delivery funnels.
* Real\-Time Data Processing: Deep familiarity with low\-latency data pipelines and stream processing technologies like Kafka, Flink, or Spark.
* Systems Optimization: Experience building or maintaining control systems, PID controllers, or bid/pricing optimization systems.
* Analytical Mindset: Proficiency in metric design, experimentation methodologies, and using data to guide architectural decisions.
* AI/Agentic Interest: (Plus) Experience or a strong interest in building infrastructure to support AI agents or LLM\-integrated backend workflows.
 Additional information
* Relocation support is not available for this position
**Benefits**
 At Unity, we want our team members to thrive. We offer a wide range of benefits designed to support well\-being and work\-life balance.
 Please note: Benefits eligibility, specific offerings, and coverage vary based on the country and employment status.
 While specific benefits vary, here are some of the ways we strive to take care of our eligible team members globally: Comprehensive health, life, and disability insurance \| Commute subsidy \| Employee stock ownership \| Competitive retirement/pension plans \| Generous vacation and personal days \| Support for new parents through leave and family\-care programs \| Office food snacks \| Mental Health and Wellbeing programs and support \| Employee Resource Groups \| Global Employee Assistance Program \| Training and development programs \| Volunteering and donation matching program
 Life at Unity
 Unity \[NYSE: U] is the leading platform to create and grow games and interactive experiences. Creators, ranging from game developers to artists, architects, automotive designers, infrastructure experts, filmmakers, and more, use Unity to bring their imaginations to life across multiple platforms, from mobile, PC, and console, to spatial computing.
 As of the third quarter of 2024, more than 70% of the top 1,000 mobile games were made with Unity, and in 2024, Made with Unity applications had an average of 3\.7 billion downloads per month. For more information, please visit Unity.
*Unity is a proud equal opportunity employer. We are committed to fostering an inclusive, innovative environment and celebrate our employees across age, race, color, ancestry, national origin, religion, disability, sex, gender identity or expression, sexual orientation, or any other protected status in accordance with applicable law. Our differences are strengths that enable us to support the growing and evolving needs of our customers, partners, and collaborators. If you have a disability that means there are preparations or accommodations we can make to help ensure you have a comfortable and positive interview experience, please fill out this form to let us know.*
*This position requires the incumbent to have a sufficient knowledge of English to have professional verbal and written exchanges in this language since the performance of the duties related to this position requires frequent and regular communication with colleagues and partners located worldwide and whose common language is English.*
*Headhunters and recruitment agencies may not submit resumes/CVs through this website or directly to managers. Unity does not accept unsolicited headhunter and agency resumes. Unity will not pay fees to any third\-party agency or company that does not have a signed agreement with Unity.*
*Your privacy is important to us. Please take a moment to review our Prospect Privacy Policy and Applicant Privacy Policy. Should you have any concerns about your privacy, please contact us at DPO@unity.com.*
 \#SEN
* Note: Certain locations require a good faith disclosure of the base salary range for the role. The actual salary for the successful candidate may differ based on location, experience, and other job\-related factors. Gross pay salary$165,600—$248,400 USD</t>
        </is>
      </c>
    </row>
    <row r="23">
      <c r="A23" t="inlineStr">
        <is>
          <t>li-4315298725</t>
        </is>
      </c>
      <c r="B23" t="inlineStr">
        <is>
          <t>Principal Machine Learning Engineer</t>
        </is>
      </c>
      <c r="C23" t="inlineStr">
        <is>
          <t>Yahoo</t>
        </is>
      </c>
      <c r="D23" t="inlineStr">
        <is>
          <t>linkedin</t>
        </is>
      </c>
      <c r="E23" t="inlineStr"/>
      <c r="F23" t="inlineStr"/>
      <c r="G23" t="inlineStr"/>
      <c r="H23" t="inlineStr"/>
      <c r="I23" t="inlineStr">
        <is>
          <t>Yahoo Mail is the ultimate consumer inbox with hundreds of millions of users. It’s the best way to access your email and stay organized from a computer, phone or tablet. With its beautiful design and lightning fast speed, Yahoo Mail makes reading, organizing, and sending emails easier than ever.
 Yahoo Mail is the ultimate consumer inbox with hundreds of millions of users. It’s the best way to access your email and stay organized from a computer, phone or tablet. With its beautiful design and lightning fast speed, Yahoo Mail makes reading, organizing, and sending emails easier than ever.
**A Little About Us**
 As a global email provider, Yahoo Mail is the ultimate Consumer Inbox with over 220 million monthly active users. It is the best way to access your email and stay organized from a computer, phone or tablet. We create technology that changes the internet while handling billions of inbound connections per day to manage trillions of messages requiring petabytes of efficient storage.
**Yahoo Mail's vision:** 
 Be the best consumer email platform to help users run the business of their life.
 The Yahoo Mail engineering team develops solutions powering our mail brands, including a next\-generation infrastructure that we are 100% moving to a native public cloud architecture.
**About the team:**
 The Mail Intelligence AI/ML platform is dedicated to developing scalable, intelligent capabilities that uncover user interests, reveal habits, and personalize journeys within Yahoo Mail and the broader Yahoo ecosystem. We seek innovative, entrepreneurial engineers who are passionate about delivering top\-tier solutions. Your passion and ownership mindset are as vital as the high engineering standards, code quality, and architectural excellence we uphold.
 We leverage cutting\-edge algorithms, including natural language processing, generative AI, large language models, and machine learning, to process billions of mail messages. This enables us to extract information, build mail content, enhance user knowledge, and connect diverse data sources to highlight and amplify key insights.
 Our work presents rewarding technical challenges for high\-caliber engineers eager to tackle impactful problems. You will develop tools and workflows to efficiently manage and utilize vast data, work on AI\-based infrastructure, support new functionalities, and mine data for analytics insights and product features.
 Sounds Exciting? Then, come join us!!
**Responsibilities:**
* Contribute to Mail Intelligence Mission: Support the development of AI/ML capabilities that enhance user personalization and insights within Yahoo Mail and the broader Yahoo ecosystem.
* Innovate and Personalize: Assist in building scalable AI/ML solutions that identify user interests and habits, contributing to personalized user experiences.
* Technical Leadership: Guide and mentor a team of passionate engineers, fostering a culture of innovation and excellence. Your leadership will ensure the delivery of high\-quality, user\-centric solutions.
* Collaborative Development: Work with cross\-functional teams to integrate new AI/ML features and improve existing platforms, ensuring smooth user interactions.
* Data\-Driven Insights: Apply machine learning techniques and big data processing to derive insights from mail data, enhancing content and user knowledge.
* Tool and Workflow Development: Develop AI/ML tools and workflows to manage and utilize large datasets, supporting AI\-based infrastructure and analytics.
* A/B Testing and Analysis: Run regular A/B tests, gather data, and draw conclusions on the impact of your models.
* Commitment to Excellence: Maintain high engineering standards, focusing on code quality and architectural skills, while delivering optimal user experiences.
* Feedback and Recovery: Implement feedback loops and recovery paths to handle AI failures gracefully, ensuring user satisfaction.
* Balance Tradeoffs: Manage cost, quality, and speed tradeoffs in AI/ML solutions to optimize performance.
**A Lot About YOU**
* Educational Background: You have a strong foundation in computer science, data science, or a related field, with a focus on machine learning and AI technologies.
* Technical Skills: Proficient in programming languages such as Python or Java and machine learning frameworks like TensorFlow, PyTorch, and Scikit\-learn. Skilled with AI tools such as Cursor, Copilot, and Claude.
* AI Skills: Advanced AI skills, including experience with AI development tools and frameworks.
* Problem\-Solving Ability: You possess strong analytical skills and a knack for solving complex problems using data\-driven approaches.
* Collaboration: You are a team player who can work effectively with cross\-functional teams, including tech leads and architects, to deliver high\-quality solutions.
* Passion for Innovation: You are enthusiastic about leveraging AI/ML to drive innovation and enhance user experiences across Yahoo Mail and the broader ecosystem.
* Attention to Detail: You maintain high standards for code quality and are committed to delivering robust, scalable solutions.
* Continuous Learning: You are eager to stay updated with the latest advancements in AI/ML and apply them to improve Yahoo's products and services.
**Qualifications**
* Educational Requirement: Bachelor's degree in Computer Science, Data Science, or a related field; a Master's degree is a plus.
* Experience: 8\+ years of experience in machine learning, data analysis, or a related field.
* Technical Proficiency: Expertise in Python, Java, or C\+\+ and machine learning frameworks like TensorFlow, PyTorch, and Scikit\-learn. Skilled with AI tools such as Cursor, Copilot, and Claude.
* Data and Infrastructure: Proficient in big data technologies (Hadoop, Spark) and modern ML infrastructure (Airflow, MLFlow, feature stores, vector databases, CI/CD for ML).
* Generative AI and Optimization: Hands\-on experience with LLMs, generative AI (prompt engineering, Agent frameworks, fine\-tuning, RAG, LLMOps), and GPU optimizations.
* Observability and Feedback: Familiar with observability, telemetry, and user feedback loops for product improvement.
* Algorithm Knowledge: Solid understanding of machine learning algorithms, natural language processing, and data mining techniques.
* Problem\-Solving Skills: Demonstrated ability to solve complex problems and implement efficient, scalable solutions.
* Collaboration Skills: Ability to work effectively in a team environment and collaborate with tech leads, architects, and cross\-functional teams.
* Communication Skills: Strong verbal and written communication skills to articulate complex technical concepts to non\-technical stakeholders.
* Continuous Improvement: Eagerness to learn and adapt to new technologies and methodologies in the AI/ML domain.
**Preferred Qualifications**
* Mail Experience: Prior experience working with email systems or related technologies is a plus.
* Personal Attributes: Self\-driven and detail\-oriented, with a passion for tackling challenges. Strong teamwork spirit, excellent communication skills, and the ability to multitask and manage expectations effectively.
* Cloud Experience: Experience with public cloud platforms, especially Google Cloud Platform (GCP), is preferred.
 Yahoo is proud to be an equal opportunity workplace. All qualified applicants will receive consideration for employment without regard to, and will not be discriminated against based on age, race, gender, color, religion, national origin, sexual orientation, gender identity, veteran status, disability or any other protected category. Yahoo is dedicated to providing an accessible environment for all candidates during the application process and for employees during their employment. If you need accessibility assistance and/or a reasonable accommodation due to a disability, please submit a request via the Accommodation Request Form (www.yahooinc.com/careers/contact\-us.html) or call 408\-336\-1409\. Requests and calls received for non\-disability related issues, such as following up on an application, will not receive a response.
 At Yahoo,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(www.yahooinc.com/diversity/) page to learn more.
 The material job duties and responsibilities of this role include those listed above as well as adhering to Yahoo policies; exercising sound judgment; working effectively, safely and inclusively with others; exhibiting trustworthiness and meeting expectations; and safeguarding business operations and brand integrity.
 At Yahoo, we offer flexible hybrid work options that our employees love! While most roles don’t require regular office attendance, you may occasionally be asked to attend in\-person events or team sessions. You’ll always get notice to make arrangements. Your recruiter will let you know if a specific job requires regular attendance at a Yahoo office or facility. If you have any questions about how this applies to the role, just ask the recruiter!
 Yahoo is proud to be an equal opportunity workplace. All qualified applicants will receive consideration for employment without regard to, and will not be discriminated against based on age, race, gender, color, religion, national origin, sexual orientation, gender identity, veteran status, disability or any other protected category. Yahoo will consider for employment qualified applicants with criminal histories in a manner consistent with applicable law. Yahoo is dedicated to providing an accessible environment for all candidates during the application process and for employees during their employment. If you need accessibility assistance and/or a reasonable accommodation due to a disability, please submit a request via the Accommodation Request Form (www.yahooinc.com/careers/contact\-us.html) or call \+1\.866\.772\.3182\. Requests and calls received for non\-disability related issues, such as following up on an application, will not receive a response.
 We believe that a diverse and inclusive workplace strengthens Yahoo and deepens our relationships. When you support everyone to be their best selves, they spark discovery, innovation and creativity. Among other efforts, our 11 employee resource groups (ERGs) enhance a culture of belonging with programs, events and fellowship that help educate, support and create a workplace where all feel welcome.
 The compensation for this position ranges from $143,625\.00 \- $299,375\.00/yr and will vary depending on factors such as your location, skills and experience.The compensation package may also include incentive compensation opportunities in the form of discretionary annual bonus or commissions. Our comprehensive benefits include healthcare, a great 401k, backup childcare, education stipends and much (much) more.
*Currently work for Yahoo? Please apply on our internal career site.*</t>
        </is>
      </c>
    </row>
    <row r="24">
      <c r="A24" t="inlineStr">
        <is>
          <t>li-4368118424</t>
        </is>
      </c>
      <c r="B24" t="inlineStr">
        <is>
          <t>Remote Sr. Machine Learning Engineer</t>
        </is>
      </c>
      <c r="C24" t="inlineStr">
        <is>
          <t>Jobgether</t>
        </is>
      </c>
      <c r="D24" t="inlineStr">
        <is>
          <t>linkedin</t>
        </is>
      </c>
      <c r="E24" t="inlineStr"/>
      <c r="F24" t="inlineStr"/>
      <c r="G24" t="inlineStr">
        <is>
          <t>Illinois, United States</t>
        </is>
      </c>
      <c r="H24" t="inlineStr"/>
      <c r="I24" t="inlineStr">
        <is>
          <t>This position is posted by Jobgether on behalf of a partner company. We are currently looking for a Machine Learning Architect \- REMOTE. In this role, you will significantly impact by creating innovative AI/ML solutions tailored to meet our customers' needs. You will be leveraging your extensive experience in cloud technologies, specifically AWS, to design and implement robust machine learning projects that drive measurable business value. This position requires strong interpersonal skills, as you will collaborate directly with clients, ensuring that your technical solutions align closely with their strategic goals. You'll be responsible for the end\-to\-end execution of ML projects, from initial concept to final deployment, fostering innovation and efficiency.
**Accountabilities**
* Design machine learning solutions and execute projects from proof\-of\-concept to production.
* Collaborate with business representatives to gather and understand requirements.
* Oversee all project phases including problem definition, data annotation, and training documentation.
* Architect ML solutions on cloud platforms such as AWS, Azure, and GCP.
* Stay updated on the latest machine learning research and adapt models to client needs.
* Build credibility through technical excellence and strong customer relationships.
**Requirements**
* Master's degree with 10\+ years of experience or PhD with 6\+ years in machine learning.
* 5\+ years of experience in architecting machine learning solutions.
* Experience with cloud platforms: AWS, GCP, Azure.
* Proficient in building ML models and familiar with ML techniques.
* Experience with tools such as Hugging Face, TensorFlow/PyTorch, and transformer architectures.
* Strong coding skills in Python and knowledge of architectural patterns like microservices.
* Solid understanding of agile methodologies and experience in ML project planning.
* Exceptional problem\-solving skills and leadership ability in tackling technical challenges.
* Excellent communication and presentation skills for diverse audiences.
**Benefits**
* Flexible remote working arrangements.
* Collaborative team environment focused on innovation.
* Opportunities for professional development and continuous learning.
* Exposure to cutting\-edge technologies and methodologies.
* Competitive compensation and performance\-based incentives.
* Access to a wide network of knowledgeable professionals.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5">
      <c r="A25" t="inlineStr">
        <is>
          <t>li-4368114458</t>
        </is>
      </c>
      <c r="B25" t="inlineStr">
        <is>
          <t>Lead Machine Learning Engineer - REMOTE</t>
        </is>
      </c>
      <c r="C25" t="inlineStr">
        <is>
          <t>Jobgether</t>
        </is>
      </c>
      <c r="D25" t="inlineStr">
        <is>
          <t>linkedin</t>
        </is>
      </c>
      <c r="E25" t="inlineStr"/>
      <c r="F25" t="inlineStr"/>
      <c r="G25" t="inlineStr">
        <is>
          <t>Washington, United States</t>
        </is>
      </c>
      <c r="H25" t="inlineStr"/>
      <c r="I25" t="inlineStr">
        <is>
          <t>This position is posted by Jobgether on behalf of a partner company. We are currently looking for a Machine Learning Architect \- REMOTE. In this role, you will significantly impact by creating innovative AI/ML solutions tailored to meet our customers' needs. You will be leveraging your extensive experience in cloud technologies, specifically AWS, to design and implement robust machine learning projects that drive measurable business value. This position requires strong interpersonal skills, as you will collaborate directly with clients, ensuring that your technical solutions align closely with their strategic goals. You'll be responsible for the end\-to\-end execution of ML projects, from initial concept to final deployment, fostering innovation and efficiency.
**Accountabilities**
* Design machine learning solutions and execute projects from proof\-of\-concept to production.
* Collaborate with business representatives to gather and understand requirements.
* Oversee all project phases including problem definition, data annotation, and training documentation.
* Architect ML solutions on cloud platforms such as AWS, Azure, and GCP.
* Stay updated on the latest machine learning research and adapt models to client needs.
* Build credibility through technical excellence and strong customer relationships.
**Requirements**
* Master's degree with 10\+ years of experience or PhD with 6\+ years in machine learning.
* 5\+ years of experience in architecting machine learning solutions.
* Experience with cloud platforms: AWS, GCP, Azure.
* Proficient in building ML models and familiar with ML techniques.
* Experience with tools such as Hugging Face, TensorFlow/PyTorch, and transformer architectures.
* Strong coding skills in Python and knowledge of architectural patterns like microservices.
* Solid understanding of agile methodologies and experience in ML project planning.
* Exceptional problem\-solving skills and leadership ability in tackling technical challenges.
* Excellent communication and presentation skills for diverse audiences.
**Benefits**
* Flexible remote working arrangements.
* Collaborative team environment focused on innovation.
* Opportunities for professional development and continuous learning.
* Exposure to cutting\-edge technologies and methodologies.
* Competitive compensation and performance\-based incentives.
* Access to a wide network of knowledgeable professionals.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6">
      <c r="A26" t="inlineStr">
        <is>
          <t>li-4368120518</t>
        </is>
      </c>
      <c r="B26" t="inlineStr">
        <is>
          <t>Machine Learning Engineer, Sr.</t>
        </is>
      </c>
      <c r="C26" t="inlineStr">
        <is>
          <t>Affirm</t>
        </is>
      </c>
      <c r="D26" t="inlineStr">
        <is>
          <t>linkedin</t>
        </is>
      </c>
      <c r="E26" t="inlineStr"/>
      <c r="F26" t="inlineStr"/>
      <c r="G26" t="inlineStr"/>
      <c r="H26" t="inlineStr"/>
      <c r="I26" t="inlineStr">
        <is>
          <t>**About The Company**
 Affirm is a pioneering financial technology company committed to transforming the credit industry into a more transparent, honest, and user\-centric space. Our mission is to provide consumers with flexible, responsible, and accessible financing options that eliminate hidden fees and avoid the pitfalls of compounding interest. By leveraging advanced machine learning techniques and innovative financial products, Affirm aims to create a more inclusive and equitable financial ecosystem. Our culture promotes transparency, inclusivity, and continuous innovation, empowering our teams to develop solutions that make a meaningful difference in people's lives worldwide.
**About The Role**
 We are seeking a highly experienced Senior Staff Machine Learning Engineer specializing in ML Underwriting to join our dynamic team. In this pivotal role, you will be instrumental in shaping the future of machine learning at Affirm. You will collaborate closely with ML Platform, engineering, product, and risk leadership to design, implement, and scale sophisticated modeling systems that influence critical business decisions. Your expertise will help elevate our modeling capabilities, influence architectural strategies, and ensure our systems can support increasingly complex workloads. As a mentor and technical leader, you will foster a culture of excellence, innovation, and continuous learning. This role offers an exciting opportunity to lead high\-impact projects that directly influence the financial wellbeing of millions of consumers, driving forward our mission of responsible and inclusive credit solutions.
**Qualifications**
* 10\+ years of experience in researching, designing, deploying, and operating large\-scale, real\-time machine learning systems.
* Relevant PhD degree can be counted for up to 2 years of experience.
* Proven track record of driving technical innovation and delivering measurable business impact through ML systems.
* Experience leading end\-to\-end ML system design, including data architecture, feature pipelines, model training, evaluation, and deployment.
* Proficiency in Python and ML frameworks such as PyTorch and XGBoost.
* Experience with ML tooling for training orchestration, experimentation, and monitoring, including platforms like Kubeflow or MLflow.
* Deep understanding of representation learning, embedding\-based modeling, neural network architectures such as Transformers, recurrent, or attention\-based models.
* Hands\-on experience with large\-scale distributed ML infrastructure, including streaming/batch data ingestion, feature stores, training pipelines, and inference infrastructure.
* Strong technical leadership skills, with the ability to define strategy, guide research, and align work across teams.
* Exceptional communication skills, capable of engaging with engineers, researchers, and executives effectively.
* Equivalent practical experience or a Bachelor’s degree in a related field.
**Responsibilities**
* Define and execute multi\-year, multi\-team technical strategies for machine learning initiatives aligned with company priorities.
* Lead the design, implementation, and scaling of advanced ML systems, ensuring reliability, extensibility, and readiness for complex workloads.
* Partner with ML Platform, product, engineering, and risk teams to shape long\-term modeling capabilities and infrastructure evolution.
* Provide technical mentorship to senior engineers, fostering a culture of technical excellence and continuous improvement.
* Drive clarity and consensus on high\-stakes technical decisions, resolving cross\-team challenges with sound judgment.
* Champion operational excellence by owning system health, availability, and evolution of critical ML systems.
* Implement robust testing, monitoring, and reliability practices to ensure system integrity and performance.
* Contribute to the development of long\-term ML strategies, research directions, and best practices across the organization.
**Benefits**
* Comprehensive health care coverage, including premiums paid for you and your dependents.
* Flexible Spending Wallets with generous stipends for technology, food, lifestyle needs, and family expenses.
* Competitive vacation and holiday schedules to support work\-life balance.
* Employee Stock Purchase Plan (ESPP) allowing employees to buy Affirm shares at a discount.
* Remote\-first work environment, offering flexibility to work from almost anywhere within the country.
* Opportunities for professional development and continuous learning in a collaborative environment.
* Inclusive workplace with accommodations available for candidates with disabilities.
 Equal Opportunity
 Affirm is committed to fostering an inclusive and diverse workplace. We provide equal employment opportunities to all qualified applicants without regard to race, color, religion, gender, sexual orientation, gender identity or expression, national origin, age, disability, or any other protected characteristic. We believe that a diverse team enhances our innovation and success, and we are dedicated to creating a welcoming environment for everyone. Reasonable accommodations are available for candidates during the hiring process to support an equitable interview experience.</t>
        </is>
      </c>
    </row>
    <row r="27">
      <c r="A27" t="inlineStr">
        <is>
          <t>li-4367747734</t>
        </is>
      </c>
      <c r="B27" t="inlineStr">
        <is>
          <t>Senior AI Engineer (Natural Language Systems)</t>
        </is>
      </c>
      <c r="C27" t="inlineStr">
        <is>
          <t>RemoteHunter</t>
        </is>
      </c>
      <c r="D27" t="inlineStr">
        <is>
          <t>linkedin</t>
        </is>
      </c>
      <c r="E27" t="inlineStr"/>
      <c r="F27" t="inlineStr"/>
      <c r="G27" t="inlineStr"/>
      <c r="H27" t="inlineStr"/>
      <c r="I27" t="inlineStr">
        <is>
          <t>About the Opportunity:
 A mission\-driven startup is seeking an experienced Senior AI Engineer to advance AI initiatives in healthcare, focusing on speech and language processing. The organization provides highly automated B2B enterprise software to rehab therapy businesses, supporting their teams and patients. The role involves applying generative AI and ML methods to build reliable, production\-grade systems used daily by clinics, staff, and patients.
 Responsibilities:
 • Drive the mission to improve healthcare through modern AI technology
 • Lead AI projects from ideation through production and iteration until widely adopted
 • Develop and deploy real\-time AI systems for speech and natural language understanding (transcription, summarization, classification)
 • Build robust model and prompt pipelines for LLM\-powered workflows with high accuracy and monitoring
 • Partner with Product and Engineering to identify AI opportunities and deliver measurable outcomes
 • Help develop the strategic AI roadmap across speech, NLP, and automation workflows
 • Apply AI to improve client and internal operations including clinical documentation, customer support, and billing
 • Develop deep understanding of the product, customers, and rehab therapy business
 • Help grow and lead the AI team, including training junior members
 Requirements:
 • 4\+ years building AI/ML systems with production ownership in industry or academia
 • Strong experience with NLP and/or LLM systems (retrieval, summarization, classification, extraction, agent workflows)
 • Experience with speech\-related pipelines in production or near\-real\-time settings (speech\-to\-text, spoken intent classification, conversational AI)
 • Proven track record of benchmarking and improving accuracy, cost, and latency
 • Strong problem\-solving skills
 • Excellent communication skills for explaining AI concepts to non\-technical stakeholders
 • Proficiency in Python (\&gt;3\.9\)
 • Basic Docker knowledge
 • AWS familiarity (S3, RDS, EC2\) preferred
 • Willingness to learn healthcare domain, specifically physical, occupational, and speech therapy
 • Interest in a heavy code contribution role; not an engineering management position
 Benefits \&amp; Perks:
 • Competitive salaries
 • Remote/hybrid work environment
 • Potential equity compensation for outstanding performance
 • Flexible PTO
 • Company\-sponsored lunches
 • Company\-paid disability and life insurance
 • Company\-paid family and medical leave
 • Medical, dental, and vision insurance
 • Discounted pet insurance
 • FSA/DCA and commuter benefits
 • 401k plan
 • Credits for online fitness classes/gym memberships
 • Recovery suite at headquarters, including cold plunge, sauna, and shower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8">
      <c r="A28" t="inlineStr">
        <is>
          <t>li-4299465847</t>
        </is>
      </c>
      <c r="B28" t="inlineStr">
        <is>
          <t>Machine Learning Engineer - Devops</t>
        </is>
      </c>
      <c r="C28" t="inlineStr">
        <is>
          <t>Genentech</t>
        </is>
      </c>
      <c r="D28" t="inlineStr">
        <is>
          <t>linkedin</t>
        </is>
      </c>
      <c r="E28" t="inlineStr"/>
      <c r="F28" t="inlineStr"/>
      <c r="G28" t="inlineStr">
        <is>
          <t>New York, NY</t>
        </is>
      </c>
      <c r="H28" t="inlineStr"/>
      <c r="I28" t="inlineStr">
        <is>
          <t>The Position
 A healthier future. It’s what drives us to innovate. To continuously advance science and ensure everyone has access to the healthcare they need today and for generations to come. Creating a world where we all have more time with the people we love. That’s what makes us Roche.
 Advances in AI, data, and computational sciences are transforming drug discovery and development. Roche’s Research and Early Development organisations at Genentech (gRED) and Pharma (pRED) have demonstrated how these technologies accelerate R\&amp;D, leveraging data and novel computational models to drive impact. Seamless data sharing and access to models across gRED and pRED are essential to maximising these opportunities. The new Computational Sciences Center of Excellence (CoE) is a strategic, unified group whose goal is to harness this transformative power of data and Artificial Intelligence (AI) to assist our scientists in both pRED and gRED to deliver more innovative and transformative medicines for patients worldwide.
**The Opportunity**
 At Roche's AI for Drug Discovery (AIDD) group (Prescient Design), we are revolutionizing drug discovery with cutting\-edge machine learning techniques. We are seeking a highly motivated and skilled ML Infrastructure DevOps Engineer to join our growing team within Genentech Research and Early Development AI Drug Development (gRED AIDD). This role is crucial for building and maintaining the scalable and robust infrastructure that powers our machine learning initiatives. The ideal candidate will be proactive, user\-facing, and possess a "get\-it\-done" attitude, while consistently adhering to corporate standards and best practices.
**What You'll Do**
* Design, implement, and maintain scalable and reliable ML infrastructure on AWS.
* Automate deployment, monitoring, alerting, and operational tasks using tools like Terraform and Helm.
* Manage and optimize CI/CD pipelines and Git repositories for ML projects, ensuring efficient version control to support collaboration and deployment.
* Collaborate closely with ML engineers and data scientists to understand their infrastructure needs and provide solutions.
* Troubleshoot and resolve infrastructure\-related issues in a timely manner.
* Implement and enforce security best practices for ML infrastructure.
* Document infrastructure designs, processes, and operational procedures.
* Contribute to initiatives independently as part of a team, delivering assigned outputs.
* Proactively identify issues and gaps, proposing ideas and suggestions for improvements.
**Who You Are**
* Proven experience in designing, deploying, and managing infrastructure on Amazon Web Services (AWS), including services such as EC2, S3, RDS, EKS, SageMaker, etc.
* Strong proficiency with Git and Git repository management.
* Hands\-on experience with Terraform for infrastructure provisioning and management.
* Experience with Helm for deploying and managing applications on Kubernetes.
* Proficiency in scripting languages (e.g., Python, Bash) for automation.
* Excellent problem\-solving skills and a strong ability to debug complex issues.
* Strong communication and interpersonal skills to effectively collaborate with cross\-functional teams and user\-facing interactions.
* Demonstrated ability to take initiative, anticipate needs, and drive projects to completion.
* Ability to thrive in a fast\-paced environment and adapt to evolving requirements while adhering to corporate guidelines.
* Ability to write clean code with little syntax/convention feedback.
* Applies software engineering best practices (linting automation, unit testing, documentation, CI/CD).
* Familiarity with modern machine learning methods.
* Knowledge of and experience with high\-performance computing, distributed systems, and cloud computing.
**Preferred**
* Experience with MLOps platforms and tools.
* Familiarity with CI/CD pipelines for ML workflows.
* Knowledge of monitoring and logging tools (e.g., Prometheus, Grafana, ELK stack)
 Relocation benefits are available for this job posting
 The expected salary range for this position based on the primary location of California is $147,600, \- $274,000\. Actual pay will be determined based on experience, qualifications, geographic location, and other job\-related factors permitted by law. A discretionary annual bonus may be available based on individual and Company performance. This position also qualifies for the benefits detailed at the link provided below.
**Benefits**
 \#ComputationCoE
 \#tech4lifeComputationalScience
 \#tech4lifeAI
 Genentech is an equal opportunity employer. It is our policy and practice to employ, promote, and otherwise treat any and all employees and applicants on the basis of merit, qualifications, and competence. The company's policy prohibits unlawful discrimination, including but not limited to, discrimination on the basis of Protected Veteran status, individuals with disabilities status, and consistent with all federal, state, or local laws.
 If you have a disability and need an accommodation in relation to the online application process, please contact us by completing this form Accommodations for Applicants.</t>
        </is>
      </c>
    </row>
    <row r="29">
      <c r="A29" t="inlineStr">
        <is>
          <t>li-4368115557</t>
        </is>
      </c>
      <c r="B29" t="inlineStr">
        <is>
          <t>Machine Learning Engineer</t>
        </is>
      </c>
      <c r="C29" t="inlineStr">
        <is>
          <t>Pinterest</t>
        </is>
      </c>
      <c r="D29" t="inlineStr">
        <is>
          <t>linkedin</t>
        </is>
      </c>
      <c r="E29" t="inlineStr"/>
      <c r="F29" t="inlineStr"/>
      <c r="G29" t="inlineStr"/>
      <c r="H29" t="inlineStr"/>
      <c r="I29" t="inlineStr">
        <is>
          <t>**About The Company**
 Millions of people around the world come to Pinterest to find creative ideas, dream about new possibilities, and plan for memories that will last a lifetime. At Pinterest, our mission is to bring everyone the inspiration to create a life they love, and that mission is driven by the talented individuals behind our innovative products. We foster an environment where creativity, collaboration, and diversity thrive, empowering our teams to make a meaningful impact on users worldwide. Whether you are passionate about technology, design, or data science, Pinterest offers a dynamic workplace where your contributions help shape the future of visual discovery and social inspiration.
**About The Role**
 We are seeking a highly skilled Staff Machine Learning (ML) Engineer to lead our Content Mining team. In this pivotal role, you will serve as the technical leader for a dedicated team of five engineers, including four Machine Learning Engineers. Your primary responsibilities will include defining the multiquarter technical vision and roadmap for source discovery, content acquisition optimization, and understanding. You will be deeply involved in designing, training, and deploying advanced ML systems, with a focus on large language models (LLMs) and natural language processing (NLP) techniques for content extraction and classification. This role offers an exciting opportunity to influence the architecture of our content discovery systems, mentor engineering talent, and collaborate cross\-functionally with Product, Data, and Infrastructure teams to deliver scalable, reliable, and innovative solutions that enhance user engagement and content quality.
**Qualifications**
* 5\+ years of experience building end\-to\-end ML products, including at least 2 years in a technical leadership role
* Deep hands\-on expertise with NLP and LLM training and inference using PyTorch and Python
* Strong understanding of evaluation methodologies, prompt/data design, and finetuning techniques
* Proven track record of deploying models at scale, including feature/data pipelines, online serving, and monitoring
* Excellent software engineering skills with a focus on Python and best practices
* Experience mentoring senior engineers and influencing cross\-team collaborations
* Master's or PhD degree in machine learning, computer science, or related field
* Knowledge of LLM efficiency techniques such as LoRA/adapters, distillation, quantization, and prompt caching
* Experience with MLOps tools like Airflow, Spark/Presto, Triton, and vLLM for large\-scale deployment
**Responsibilities**
* Define and oversee the long\-term architecture, roadmap, and execution strategies for source discovery, content acquisition, and understanding systems
* Lead design reviews, establish engineering standards, and ensure cross\-team alignment with product, data, and infrastructure teams
* Mentor and develop engineers through technical guidance, pair programming, and code reviews to elevate team capabilities
* Train, finetune, and deploy LLMs and NLP models for classification, extraction, and instruction\-following tasks
* Design and implement features and frameworks to share information across models, improving efficiency and accuracy
* Operationalize models for large\-scale inference, optimizing for latency, reliability, and cost efficiency through techniques like quantization and distillation
* Establish evaluation protocols, including offline and online testing, A/B testing, and automated regressions to ensure model quality
* Partner with data teams to define data labeling standards, manage data strategy, and implement feedback loops for continuous improvement
* Define and meet Service Level Objectives (SLOs) for data quality, model performance, and system reliability
* Lead incident response efforts, conduct postmortems, and implement improvements to maintain operational excellence
* Measure and analyze the downstream impact of ML systems on revenue and user engagement metrics
**Benefits**
* Competitive salary and comprehensive health benefits
* Flexible work arrangements with a hybrid in\-office and remote work model
* Opportunities for professional development and career growth
* Inclusive and diverse workplace culture that values innovation and collaboration
* Access to cutting\-edge tools and resources for ML research and deployment
* Paid time off and wellness programs to support work\-life balance
 Equal Opportunity
 Pinterest is an equal opportunity employer and values diversity in our workforce. We make employment decisions based on merit, qualifications, and business needs without regard to race, color, religion, gender, gender identity, sexual orientation, national origin, age, disability, or any other protected status. We are committed to fostering an inclusive environment where all employees can thrive. If you require a medical or religious accommodation during the application process, please complete the appropriate support form.</t>
        </is>
      </c>
    </row>
    <row r="30">
      <c r="A30" t="inlineStr">
        <is>
          <t>li-4368128448</t>
        </is>
      </c>
      <c r="B30" t="inlineStr">
        <is>
          <t>Senior AI/ML Engineer</t>
        </is>
      </c>
      <c r="C30" t="inlineStr">
        <is>
          <t>Sigma</t>
        </is>
      </c>
      <c r="D30" t="inlineStr">
        <is>
          <t>linkedin</t>
        </is>
      </c>
      <c r="E30" t="inlineStr"/>
      <c r="F30" t="inlineStr"/>
      <c r="G30" t="inlineStr">
        <is>
          <t>New York, NY</t>
        </is>
      </c>
      <c r="H30" t="inlineStr"/>
      <c r="I30" t="inlineStr">
        <is>
          <t>**About The Role**
 At Sigma, we’re not just adding AI—we’re building the future of how people work with data. Our platform already lets users explore billions of rows of data in seconds with a spreadsheet\-like interface, analyze and present their data in workbooks, and build data apps and workflows. Now we’re pushing further, applying AI to reshape how people build in Sigma, discover insights, and make smarter decisions—fast.
 That’s where you come in. As an AI/ML Engineer, you’ll join a growing team focused on building the AI foundation that will power Sigma for the future. Your work will become an integral part of the workflow for the thousands of enterprises that run on Sigma.
**What You’ll Do**
* Partner with product, design, and engineering teams to identify high\-impact AI/ML opportunities
* Prototype and productionize AI systems that feel intuitive but do a lot under the hood—recommendations, natural language interfaces, agentic workflows, and more
* Develop and scale AI/ML infrastructure that powers both internal tooling and customer\-facing features
* Tackle novel UX problems at the intersection of AI, BI, and apps
**What You Bring**
* Bachelor’s degree in Computer Science, Engineering, Mathematics, or a related field (required)
* 10\+ years of experience building and deploying production\-grade AI/ML systems
* Deep knowledge of machine learning, deep learning, and applied AI
* Experience across the full ML lifecycle: data curation, training, deployment, monitoring
* A track record of building things that ship—whether it’s recommendations, search, machine translation, or something equally complex
* Experience adapting or training foundation models (language or multimodal) for novel domains
**Bonus Points (or Skills You’ll Build Here)**
* You've built agents that can plan, reason, and use tools
* You know your way around cloud infrastructure (AWS, GCP, Azure)
* You’ve worked in a fast\-moving startup or high\-growth environment
**Additional Job Details**
 The base salary range for this position is $240k \- $270k annually.
 Compensation may vary outside of this range depending on a number of factors, including a candidate’s qualifications, skills, competencies and experience. Base pay is one part of the Total Package that is provided to compensate and recognize employees for their work at Sigma Computing. This role is eligible for stock options, as well as a comprehensive benefits package.
**About Us**
 Sigma is the AI apps and analytics platform connected to the cloud data warehouse. Using Sigma, business and technical teams can build intelligent, production\-ready AI apps that accelerate and automate operational workflows. Sigma provides a spreadsheet interface, SQL and Python editors, visual builders, and native AI to help teams turn live data into interactive applications, analysis, reports, and embedded experiences.
 Sigma announced its $200M in Series D financing in May 2024, to continue transforming BI through its innovations in AI infrastructure, data application development, enterprise\-wide collaboration, and business user adoption. Spark Capital and Avenir Growth Capital co\-led the Series D funding round, with additional participation from a group of past investors including Snowflake Ventures and Sutter Hill Ventures.The Series D funding, raised at a valuation 60% higher than the company’s Series C round three years ago, promises to further accelerate Sigma’s growth.
 Come join us!
**Benefits For Our Full\-Time Employees**
* Equity
* Generous health benefits
* Flexible time off policy. Take the time off you need!
* Paid bonding time for all new parents
* Traditional and Roth 401k
* Commuter and FSA benefits
* Lunch Program
* Dog friendly office
 Sigma Computing is an equal opportunity employer. We are committed to building a smart and strong team regardless of race, color, ancestry, religion, sex, national origin, sexual orientation, age, citizenship, marital status, disability, gender, gender identity or expression, or veteran status. We look forward to learning how your experience can enable all of us to grow
 *.*
*Note: We have an in\-office work environment in all our offices in SF, NYC, and London.*
**Our Privacy Practices**
 When you submit a job application on this site, Sigma processes your personal data for the purposes of evaluating your candidacy for employment at Sigma and as otherwise needed throughout the recruitment and hiring process. Please review Sigma’s Candidate Privacy Notice for more details. Please note that your personal data may be transferred to a country other than the one in which it was provided (including to USA, the UK, and Canada).
**Sigma’s use of AI**
 This hiring process utilizes artificial intelligence tools to assist in candidate screening and assessment. Our AI tools are designed to complement, not replace, human decision\-making.</t>
        </is>
      </c>
    </row>
    <row r="31">
      <c r="A31" t="inlineStr">
        <is>
          <t>li-4368132077</t>
        </is>
      </c>
      <c r="B31" t="inlineStr">
        <is>
          <t>Staff AI/ML Engineer</t>
        </is>
      </c>
      <c r="C31" t="inlineStr">
        <is>
          <t>Sigma</t>
        </is>
      </c>
      <c r="D31" t="inlineStr">
        <is>
          <t>linkedin</t>
        </is>
      </c>
      <c r="E31" t="inlineStr"/>
      <c r="F31" t="inlineStr"/>
      <c r="G31" t="inlineStr">
        <is>
          <t>San Francisco, CA</t>
        </is>
      </c>
      <c r="H31" t="inlineStr"/>
      <c r="I31" t="inlineStr">
        <is>
          <t>**About The Role**
 At Sigma, we’re not just adding AI—we’re building the future of how people work with data. Our platform already lets users explore billions of rows of data in seconds with a spreadsheet\-like interface, analyze and present their data in workbooks, and build data apps and workflows. Now we’re pushing further, applying AI to reshape how people build in Sigma, discover insights, and make smarter decisions—fast.
 That’s where you come in. As an AI/ML Engineer, you’ll join a growing team focused on building the AI foundation that will power Sigma for the future. Your work will become an integral part of the workflow for the thousands of enterprises that run on Sigma.
**What You’ll Do**
* Partner with product, design, and engineering teams to identify high\-impact AI/ML opportunities
* Prototype and productionize AI systems that feel intuitive but do a lot under the hood—recommendations, natural language interfaces, agentic workflows, and more
* Develop and scale AI/ML infrastructure that powers both internal tooling and customer\-facing features
* Tackle novel UX problems at the intersection of AI, BI, and apps
**What You Bring**
* Bachelor’s degree in Computer Science, Engineering, Mathematics, or a related field (required)
* 10\+ years of experience building and deploying production\-grade AI/ML systems
* Deep knowledge of machine learning, deep learning, and applied AI
* Experience across the full ML lifecycle: data curation, training, deployment, monitoring
* A track record of building things that ship—whether it’s recommendations, search, machine translation, or something equally complex
* Experience adapting or training foundation models (language or multimodal) for novel domains
**Bonus Points (or Skills You’ll Build Here)**
* You've built agents that can plan, reason, and use tools
* You know your way around cloud infrastructure (AWS, GCP, Azure)
* You’ve worked in a fast\-moving startup or high\-growth environment
**Additional Job Details**
 The base salary range for this position is $240k \- $270k annually.
 Compensation may vary outside of this range depending on a number of factors, including a candidate’s qualifications, skills, competencies and experience. Base pay is one part of the Total Package that is provided to compensate and recognize employees for their work at Sigma Computing. This role is eligible for stock options, as well as a comprehensive benefits package.
**About Us**
 Sigma is the AI apps and analytics platform connected to the cloud data warehouse. Using Sigma, business and technical teams can build intelligent, production\-ready AI apps that accelerate and automate operational workflows. Sigma provides a spreadsheet interface, SQL and Python editors, visual builders, and native AI to help teams turn live data into interactive applications, analysis, reports, and embedded experiences.
 Sigma announced its $200M in Series D financing in May 2024, to continue transforming BI through its innovations in AI infrastructure, data application development, enterprise\-wide collaboration, and business user adoption. Spark Capital and Avenir Growth Capital co\-led the Series D funding round, with additional participation from a group of past investors including Snowflake Ventures and Sutter Hill Ventures.The Series D funding, raised at a valuation 60% higher than the company’s Series C round three years ago, promises to further accelerate Sigma’s growth.
 Come join us!
**Benefits For Our Full\-Time Employees**
* Equity
* Generous health benefits
* Flexible time off policy. Take the time off you need!
* Paid bonding time for all new parents
* Traditional and Roth 401k
* Commuter and FSA benefits
* Lunch Program
* Dog friendly office
 Sigma Computing is an equal opportunity employer. We are committed to building a smart and strong team regardless of race, color, ancestry, religion, sex, national origin, sexual orientation, age, citizenship, marital status, disability, gender, gender identity or expression, or veteran status. We look forward to learning how your experience can enable all of us to grow
 *.*
*Note: We have an in\-office work environment in all our offices in SF, NYC, and London.*
**Our Privacy Practices**
 When you submit a job application on this site, Sigma processes your personal data for the purposes of evaluating your candidacy for employment at Sigma and as otherwise needed throughout the recruitment and hiring process. Please review Sigma’s Candidate Privacy Notice for more details. Please note that your personal data may be transferred to a country other than the one in which it was provided (including to USA, the UK, and Canada).
**Sigma’s use of AI**
 This hiring process utilizes artificial intelligence tools to assist in candidate screening and assessment. Our AI tools are designed to complement, not replace, human decision\-making.</t>
        </is>
      </c>
    </row>
    <row r="32">
      <c r="A32" t="inlineStr">
        <is>
          <t>li-4368125712</t>
        </is>
      </c>
      <c r="B32" t="inlineStr">
        <is>
          <t>AI Engineer</t>
        </is>
      </c>
      <c r="C32" t="inlineStr">
        <is>
          <t>Best Job Tool</t>
        </is>
      </c>
      <c r="D32" t="inlineStr">
        <is>
          <t>linkedin</t>
        </is>
      </c>
      <c r="E32" t="inlineStr"/>
      <c r="F32" t="inlineStr"/>
      <c r="G32" t="inlineStr"/>
      <c r="H32" t="inlineStr"/>
      <c r="I32" t="inlineStr">
        <is>
          <t>**About The Company**
 Robert Half is a globally recognized professional staffing and consulting firm that specializes in providing skilled talent across various industries including finance, accounting, technology, legal, and administrative sectors. With a rich history spanning over 70 years, the company has built a reputation for connecting organizations with highly qualified professionals to meet their unique business needs. Robert Half operates in numerous countries worldwide, leveraging a vast network of industry experts and innovative recruitment strategies to deliver exceptional workforce solutions. The company's commitment to integrity, excellence, and diversity has established it as a leader in the staffing industry, making it a trusted partner for both clients and job seekers.
**About The Role**
 The role at Robert Half offers an exciting opportunity for motivated professionals to join a dynamic team dedicated to delivering outstanding staffing solutions. As a key member of our organization, you will be responsible for sourcing, screening, and placing highly qualified candidates across various disciplines. This position requires a proactive approach to client engagement, understanding client needs, and providing tailored staffing solutions that align with their business objectives. The role involves building strong relationships with both clients and candidates, ensuring a seamless recruitment process from initial contact to successful placement. You will also be expected to stay informed about industry trends and market conditions to provide strategic insights and advice to clients and candidates alike. This position offers a chance to develop your professional skills in a fast\-paced environment while contributing to the success of organizations and careers alike.
**Qualifications**
 The ideal candidate for this role should possess a bachelor's degree in Business, Human Resources, or a related field. Previous experience in recruitment, staffing, or a client\-facing role is preferred but not mandatory, as training will be provided. Strong communication and interpersonal skills are essential for building rapport with clients and candidates. Demonstrated ability to work independently and as part of a team, along with excellent organizational and time management skills, is critical to succeed in this position. Proficiency in Microsoft Office Suite and familiarity with applicant tracking systems (ATS) is advantageous. A proactive attitude, problem\-solving mindset, and a high level of professionalism are key attributes for candidates seeking to thrive in this role.
**Responsibilities**
 In this role, you will be responsible for developing and maintaining relationships with clients to understand their staffing needs and business goals. You will actively source potential candidates through various channels, including job boards, social media, and professional networks. Conducting interviews and assessments to evaluate candidate skills and compatibility is a core part of your duties. You will coordinate interviews, negotiate offers, and facilitate onboarding processes to ensure a smooth transition for new hires. Additionally, you'll monitor industry trends and market conditions to provide strategic advice to clients and candidates. Maintaining accurate records of all recruitment activities and providing regular updates to stakeholders is essential. Your role also involves participating in business development initiatives to expand the company's client base and improve service delivery.
**Benefits**
 Robert Half offers a comprehensive benefits package designed to support the well\-being and professional growth of its employees. This includes competitive salary packages, health and dental insurance, retirement plans, and paid time off. The company also provides opportunities for ongoing training and development to enhance your skills and career trajectory. Employees benefit from a collaborative and inclusive work environment that encourages innovation and professional excellence. Flexible work arrangements and support for work\-life balance are integral to the company's culture. Additionally, Robert Half promotes internal mobility, allowing employees to explore different roles and advance within the organization, fostering long\-term career development.
 Equal Opportunity
 Robert Half is an equal opportunity employer committed to fostering an inclusive workplace that values diversity and respects individual differences. We do not discriminate based on race, color, religion, gender, sexual orientation, gender identity or expression, age, disability, or any other protected characteristic. We believe in providing equal employment opportunities to all qualified candidates and creating a work environment where everyone can thrive and contribute to our collective success. We encourage applications from diverse backgrounds and are dedicated to promoting a culture of fairness, respect, and opportunity for all employees.</t>
        </is>
      </c>
    </row>
    <row r="33">
      <c r="A33" t="inlineStr">
        <is>
          <t>li-4368112948</t>
        </is>
      </c>
      <c r="B33" t="inlineStr">
        <is>
          <t>Staff AI/ML Engineer</t>
        </is>
      </c>
      <c r="C33" t="inlineStr">
        <is>
          <t>Sigma</t>
        </is>
      </c>
      <c r="D33" t="inlineStr">
        <is>
          <t>linkedin</t>
        </is>
      </c>
      <c r="E33" t="inlineStr"/>
      <c r="F33" t="inlineStr"/>
      <c r="G33" t="inlineStr">
        <is>
          <t>New York, NY</t>
        </is>
      </c>
      <c r="H33" t="inlineStr"/>
      <c r="I33" t="inlineStr">
        <is>
          <t>**About The Role**
 At Sigma, we’re not just adding AI—we’re building the future of how people work with data. Our platform already lets users explore billions of rows of data in seconds with a spreadsheet\-like interface, analyze and present their data in workbooks, and build data apps and workflows. Now we’re pushing further, applying AI to reshape how people build in Sigma, discover insights, and make smarter decisions—fast.
 That’s where you come in. As an AI/ML Engineer, you’ll join a growing team focused on building the AI foundation that will power Sigma for the future. Your work will become an integral part of the workflow for the thousands of enterprises that run on Sigma.
**What You’ll Do**
* Partner with product, design, and engineering teams to identify high\-impact AI/ML opportunities
* Prototype and productionize AI systems that feel intuitive but do a lot under the hood—recommendations, natural language interfaces, agentic workflows, and more
* Develop and scale AI/ML infrastructure that powers both internal tooling and customer\-facing features
* Tackle novel UX problems at the intersection of AI, BI, and apps
**What You Bring**
* Bachelor’s degree in Computer Science, Engineering, Mathematics, or a related field (required)
* 10\+ years of experience building and deploying production\-grade AI/ML systems
* Deep knowledge of machine learning, deep learning, and applied AI
* Experience across the full ML lifecycle: data curation, training, deployment, monitoring
* A track record of building things that ship—whether it’s recommendations, search, machine translation, or something equally complex
* Experience adapting or training foundation models (language or multimodal) for novel domains
**Bonus Points (or Skills You’ll Build Here)**
* You've built agents that can plan, reason, and use tools
* You know your way around cloud infrastructure (AWS, GCP, Azure)
* You’ve worked in a fast\-moving startup or high\-growth environment
**Additional Job Details**
 The base salary range for this position is $240k \- $270k annually.
 Compensation may vary outside of this range depending on a number of factors, including a candidate’s qualifications, skills, competencies and experience. Base pay is one part of the Total Package that is provided to compensate and recognize employees for their work at Sigma Computing. This role is eligible for stock options, as well as a comprehensive benefits package.
**About Us**
 Sigma is the AI apps and analytics platform connected to the cloud data warehouse. Using Sigma, business and technical teams can build intelligent, production\-ready AI apps that accelerate and automate operational workflows. Sigma provides a spreadsheet interface, SQL and Python editors, visual builders, and native AI to help teams turn live data into interactive applications, analysis, reports, and embedded experiences.
 Sigma announced its $200M in Series D financing in May 2024, to continue transforming BI through its innovations in AI infrastructure, data application development, enterprise\-wide collaboration, and business user adoption. Spark Capital and Avenir Growth Capital co\-led the Series D funding round, with additional participation from a group of past investors including Snowflake Ventures and Sutter Hill Ventures.The Series D funding, raised at a valuation 60% higher than the company’s Series C round three years ago, promises to further accelerate Sigma’s growth.
 Come join us!
**Benefits For Our Full\-Time Employees**
* Equity
* Generous health benefits
* Flexible time off policy. Take the time off you need!
* Paid bonding time for all new parents
* Traditional and Roth 401k
* Commuter and FSA benefits
* Lunch Program
* Dog friendly office
 Sigma Computing is an equal opportunity employer. We are committed to building a smart and strong team regardless of race, color, ancestry, religion, sex, national origin, sexual orientation, age, citizenship, marital status, disability, gender, gender identity or expression, or veteran status. We look forward to learning how your experience can enable all of us to grow
 *.*
*Note: We have an in\-office work environment in all our offices in SF, NYC, and London.*
**Our Privacy Practices**
 When you submit a job application on this site, Sigma processes your personal data for the purposes of evaluating your candidacy for employment at Sigma and as otherwise needed throughout the recruitment and hiring process. Please review Sigma’s Candidate Privacy Notice for more details. Please note that your personal data may be transferred to a country other than the one in which it was provided (including to USA, the UK, and Canada).
**Sigma’s use of AI**
 This hiring process utilizes artificial intelligence tools to assist in candidate screening and assessment. Our AI tools are designed to complement, not replace, human decision\-making.</t>
        </is>
      </c>
    </row>
    <row r="34">
      <c r="A34" t="inlineStr">
        <is>
          <t>li-4367011346</t>
        </is>
      </c>
      <c r="B34" t="inlineStr">
        <is>
          <t>Data/ML Engineer (1116676)</t>
        </is>
      </c>
      <c r="C34" t="inlineStr">
        <is>
          <t>The Judge Group</t>
        </is>
      </c>
      <c r="D34" t="inlineStr">
        <is>
          <t>linkedin</t>
        </is>
      </c>
      <c r="E34" t="inlineStr"/>
      <c r="F34" t="inlineStr"/>
      <c r="G34" t="inlineStr">
        <is>
          <t>New Jersey, United States</t>
        </is>
      </c>
      <c r="H34" t="inlineStr"/>
      <c r="I34" t="inlineStr">
        <is>
          <t>**Location:** 
 Somewhere, NJ, USA
**Salary:** 
 $100,000\.00 USD Annually \- $110,000\.00 USD Annually
**Description:** 
 Our client is currently seeking a Data/ML Engineer
**Roles \&amp; Responsibilities**
* Build and maintain reusable Python functions for calculating stand model performance metrics – develop and maintain the logic for generating executive summaries and recommendations.
* Design and implement a modular framework to generate monitoring reports in PDFs or dashboard formats.
* Standardize templates for model reporting including visualizations, commentary sections and KPI thresholds.
* Build automation scripts using orchestration to schedule monitoring runs at regular intervals and integrates with the storage system for output archival.
**Required**
* 7\-10 hands\-on experience Python with expertise in pandas, NumPy, scikit\-learn, matplotlib and seaborn.
* Strong understanding of ML evaluation metrics across classification and regression use cases.
* Experience with Databricks Notebooks and PySpark for handling large model outputs in parquet format.
* Experience in working with PDF generation libraries.
* Knowledge of MLFLow, model registries or production ML monitoring platforms.
 By providing your phone number, you consent to: (1\) receive automated text messages and calls from the Judge Group, Inc. and its affiliates (collectively "Judge") to such phone number regarding job opportunities, your job application, and for other related purposes. Message \&amp; data rates apply and message frequency may vary. Consistent with Judge's Privacy Policy, information obtained from your consent will not be shared with third parties for marketing/promotional purposes. Reply STOP to opt out of receiving telephone calls and text messages from Judge and HELP for help.
**Contact:** 
 aarya@judge.com
*This job and many more are available through The Judge Group. Find us on the web at www.judge.com*</t>
        </is>
      </c>
    </row>
    <row r="35">
      <c r="A35" t="inlineStr">
        <is>
          <t>li-4368123793</t>
        </is>
      </c>
      <c r="B35" t="inlineStr">
        <is>
          <t>Staff AI/ML Engineer</t>
        </is>
      </c>
      <c r="C35" t="inlineStr">
        <is>
          <t>Sigma</t>
        </is>
      </c>
      <c r="D35" t="inlineStr">
        <is>
          <t>linkedin</t>
        </is>
      </c>
      <c r="E35" t="inlineStr"/>
      <c r="F35" t="inlineStr"/>
      <c r="G35" t="inlineStr">
        <is>
          <t>San Francisco, CA</t>
        </is>
      </c>
      <c r="H35" t="inlineStr"/>
      <c r="I35" t="inlineStr">
        <is>
          <t>**About The Role**
 At Sigma, we’re not just adding AI—we’re building the future of how people work with data. Our platform already lets users explore billions of rows of data in seconds with a spreadsheet\-like interface, analyze and present their data in workbooks, and build data apps and workflows. Now we’re pushing further, applying AI to reshape how people build in Sigma, discover insights, and make smarter decisions—fast.
 That’s where you come in. As an AI/ML Engineer, you’ll join a growing team focused on building the AI foundation that will power Sigma for the future. Your work will become an integral part of the workflow for the thousands of enterprises that run on Sigma.
**What You’ll Do**
* Partner with product, design, and engineering teams to identify high\-impact AI/ML opportunities
* Prototype and productionize AI systems that feel intuitive but do a lot under the hood—recommendations, natural language interfaces, agentic workflows, and more
* Develop and scale AI/ML infrastructure that powers both internal tooling and customer\-facing features
* Tackle novel UX problems at the intersection of AI, BI, and apps
**What You Bring**
* Bachelor’s degree in Computer Science, Engineering, Mathematics, or a related field (required)
* 10\+ years of experience building and deploying production\-grade AI/ML systems
* Deep knowledge of machine learning, deep learning, and applied AI
* Experience across the full ML lifecycle: data curation, training, deployment, monitoring
* A track record of building things that ship—whether it’s recommendations, search, machine translation, or something equally complex
* Experience adapting or training foundation models (language or multimodal) for novel domains
**Bonus Points (or Skills You’ll Build Here)**
* You've built agents that can plan, reason, and use tools
* You know your way around cloud infrastructure (AWS, GCP, Azure)
* You’ve worked in a fast\-moving startup or high\-growth environment
**Additional Job Details**
 The base salary range for this position is $240k \- $270k annually.
 Compensation may vary outside of this range depending on a number of factors, including a candidate’s qualifications, skills, competencies and experience. Base pay is one part of the Total Package that is provided to compensate and recognize employees for their work at Sigma Computing. This role is eligible for stock options, as well as a comprehensive benefits package.
**About Us**
 Sigma is the AI apps and analytics platform connected to the cloud data warehouse. Using Sigma, business and technical teams can build intelligent, production\-ready AI apps that accelerate and automate operational workflows. Sigma provides a spreadsheet interface, SQL and Python editors, visual builders, and native AI to help teams turn live data into interactive applications, analysis, reports, and embedded experiences.
 Sigma announced its $200M in Series D financing in May 2024, to continue transforming BI through its innovations in AI infrastructure, data application development, enterprise\-wide collaboration, and business user adoption. Spark Capital and Avenir Growth Capital co\-led the Series D funding round, with additional participation from a group of past investors including Snowflake Ventures and Sutter Hill Ventures.The Series D funding, raised at a valuation 60% higher than the company’s Series C round three years ago, promises to further accelerate Sigma’s growth.
 Come join us!
**Benefits For Our Full\-Time Employees**
* Equity
* Generous health benefits
* Flexible time off policy. Take the time off you need!
* Paid bonding time for all new parents
* Traditional and Roth 401k
* Commuter and FSA benefits
* Lunch Program
* Dog friendly office
 Sigma Computing is an equal opportunity employer. We are committed to building a smart and strong team regardless of race, color, ancestry, religion, sex, national origin, sexual orientation, age, citizenship, marital status, disability, gender, gender identity or expression, or veteran status. We look forward to learning how your experience can enable all of us to grow
 *.*
*Note: We have an in\-office work environment in all our offices in SF, NYC, and London.*
**Our Privacy Practices**
 When you submit a job application on this site, Sigma processes your personal data for the purposes of evaluating your candidacy for employment at Sigma and as otherwise needed throughout the recruitment and hiring process. Please review Sigma’s Candidate Privacy Notice for more details. Please note that your personal data may be transferred to a country other than the one in which it was provided (including to USA, the UK, and Canada).
**Sigma’s use of AI**
 This hiring process utilizes artificial intelligence tools to assist in candidate screening and assessment. Our AI tools are designed to complement, not replace, human decision\-making.</t>
        </is>
      </c>
    </row>
    <row r="36">
      <c r="A36" t="inlineStr">
        <is>
          <t>li-4368143373</t>
        </is>
      </c>
      <c r="B36" t="inlineStr">
        <is>
          <t>Machine Learning Engineer</t>
        </is>
      </c>
      <c r="C36" t="inlineStr">
        <is>
          <t>Goliath Partners</t>
        </is>
      </c>
      <c r="D36" t="inlineStr">
        <is>
          <t>linkedin</t>
        </is>
      </c>
      <c r="E36">
        <f>HYPERLINK("https://www.linkedin.com/jobs/view/4368143373", "https://www.linkedin.com/jobs/view/4368143373")</f>
        <v/>
      </c>
      <c r="F36" t="inlineStr"/>
      <c r="G36" t="inlineStr"/>
      <c r="H36" t="inlineStr"/>
      <c r="I36" t="inlineStr">
        <is>
          <t>This is a rare opportunity to sit at the intersection of research, high\-performance computing, and large\-scale ML infrastructure, pushing the boundaries of ML applied to financial markets.
 You wouldn’t be building models for one team, you’d be building the core deep learning library and infrastructure that powers the entire research engine of the firm.
 What you’ll do
* Design, build, and evolve an internal deep learning library used firm\-wide
* Partner directly with quantitative researchers to translate research needs into reusable ML tooling
* Work alongside HPC and systems experts to optimize large training workflows for speed and cost efficiency
* Integrate the best of open\-source ML tooling with sophisticated in\-house infrastructure
* Stay on top of cutting\-edge advances in PyTorch, distributed training, CUDA optimization, and bring them into production internally
 What makes this different
* Your work directly accelerates dozens of research teams rather than a single product
* Real scale: large models, serious compute, and complex distributed workloads
* A highly technical environment where ML engineering is treated as a first\-class research enabler
* Direct exposure to some of the best quantitative researchers and systems engineers in the industry
 Background they’re looking for
* 2\+ years of ML engineering / research engineering experience
* Strong Python plus CUDA and/or C\+\+
* Experience scaling distributed deep learning workflows (PyTorch or similar)
* Experience building ML tooling, libraries, or infrastructure rather than just training models
* Interest in high\-performance systems and large\-scale compute environments
 Base: 250,000\-350,000, total comp into the 7 figures</t>
        </is>
      </c>
    </row>
    <row r="37">
      <c r="A37" t="inlineStr">
        <is>
          <t>li-4368120519</t>
        </is>
      </c>
      <c r="B37" t="inlineStr">
        <is>
          <t>Machine Learning Engineer</t>
        </is>
      </c>
      <c r="C37" t="inlineStr">
        <is>
          <t>Block</t>
        </is>
      </c>
      <c r="D37" t="inlineStr">
        <is>
          <t>linkedin</t>
        </is>
      </c>
      <c r="E37">
        <f>HYPERLINK("https://www.linkedin.com/jobs/view/4368120519", "https://www.linkedin.com/jobs/view/4368120519")</f>
        <v/>
      </c>
      <c r="F37" t="inlineStr"/>
      <c r="G37" t="inlineStr"/>
      <c r="H37" t="inlineStr"/>
      <c r="I37" t="inlineStr">
        <is>
          <t>**About The Company**
 Block, Inc. is a leading technology company dedicated to building innovative financial products that empower individuals and businesses worldwide. With a diverse portfolio of brands including Square, Cash App, Afterpay, TIDAL, Bitkey, and Proto, the company aims to increase access to the global economy through cutting\-edge technology solutions. Committed to fostering an inclusive and dynamic work environment, Block leverages its expertise in payments, commerce, and financial services to create seamless, secure, and scalable platforms that serve millions of users globally. The company's culture emphasizes innovation, collaboration, and integrity, ensuring that its teams are equipped to tackle complex challenges and deliver impactful solutions.
**About The Role**
 As a Staff Machine Learning Engineer on the Predictive Systems team, you will play a pivotal role in shaping the technical strategy for machine learning and decisioning systems that address risk, fraud, and abuse across Block's suite of products. Acting as a domain owner for platforms such as Cash App, Square, and Afterpay, you will influence how AI solutions are architected, integrated, and operationalized to support scalable, real\-time risk management. Your leadership will ensure that risk functions act as enablers for rapid product development while maintaining a trusted ecosystem. You will oversee the entire lifecycle of production ML systems, orchestrating data, features, models, and controls into robust defenses. Operating at an ecosystem level, you will establish durable abstractions and decisioning patterns that standardize risk strategies across multiple domains. Additionally, you will contribute to the evolution of Block's core ML infrastructure, ensuring it meets the demands of high\-volume, complex decisioning workloads.
**Qualifications**
* Extensive experience designing and leading large\-scale machine learning systems with organizational impact.
* Proven ability to set technical vision and align multiple teams and disciplines.
* Deep understanding of ML systems, data platforms, and real\-time decisioning at scale.
* Strong judgment in balancing risk, trust, and product velocity considerations.
* Experience mentoring senior engineers and developing future technical leaders.
* Systems\-level mindset with a focus on durable, high\-leverage solutions.
* Proficiency in programming languages such as Python, Java, and Kotlin.
* Experience with ML frameworks like TensorFlow and PyTorch.
* Familiarity with cloud and data technologies including AWS, Databricks, Kubernetes, MySQL, DynamoDB, Kafka, and Spark.
**Responsibilities**
* Act as a technical lead across multiple Risk ML engineering teams, guiding the application of ML and AI to fraud, abuse, and risk decisioning.
* Design and enhance real\-time and batch ML systems leveraging Block's core ML platforms for scalable risk solutions.
* Drive architectural decisions related to feature utilization, contextual signals, and ML\-driven controls in collaboration with modeling, product, and platform teams.
* Translate ambiguous risk problems into clear technical strategies and actionable plans.
* Lead cross\-team initiatives to integrate new data sources, signals, and event hooks into production risk systems.
* Establish standards for data quality, observability, and correctness in ML inputs and decision outputs.
* Provide technical leadership during emerging threat scenarios, guiding rapid mitigation efforts while safeguarding system health.
* Influence and improve ML and AI engineering practices across Risk teams to enhance consistency, reliability, and development velocity.
**Benefits**
* Comprehensive healthcare coverage including Medical, Vision, and Dental insurance.
* Health Savings Account (HSA) and Flexible Spending Account (FSA).
* Retirement plans with company matching contributions.
* Employee Stock Purchase Program to participate in company growth.
* Wellness programs, including mental health support, access to financial planners, and a monthly wellness allowance.
* Paid parental and caregiving leave policies.
* Paid time off, including holidays and sick leave, with flexible options for exempt employees.
* Access to learning and development resources to support career growth.
* Paid life insurance, accidental death \&amp; dismemberment (AD\&amp;D), and disability benefits.
* Eligibility to participate in Block's equity plans and potential sign\-on bonuses.
 Equal Opportunity
 Block, Inc. is an equal opportunity employer. We are committed to evaluating all employees and job applicants based solely on the core competencies required for each role, without regard to any legally protected characteristics. We strive to create an inclusive interview experience and provide reasonable accommodations to disabled applicants throughout the recruitment process. If you require accommodations, please share your needs with your recruiter. We believe diversity and inclusion drive innovation and are dedicated to fostering a workplace where everyone can thrive.</t>
        </is>
      </c>
    </row>
    <row r="38">
      <c r="A38" t="inlineStr">
        <is>
          <t>li-4368115557</t>
        </is>
      </c>
      <c r="B38" t="inlineStr">
        <is>
          <t>Machine Learning Engineer</t>
        </is>
      </c>
      <c r="C38" t="inlineStr">
        <is>
          <t>Pinterest</t>
        </is>
      </c>
      <c r="D38" t="inlineStr">
        <is>
          <t>linkedin</t>
        </is>
      </c>
      <c r="E38">
        <f>HYPERLINK("https://www.linkedin.com/jobs/view/4368115557", "https://www.linkedin.com/jobs/view/4368115557")</f>
        <v/>
      </c>
      <c r="F38" t="inlineStr"/>
      <c r="G38" t="inlineStr"/>
      <c r="H38" t="inlineStr"/>
      <c r="I38" t="inlineStr">
        <is>
          <t>**About The Company**
 Millions of people around the world come to Pinterest to find creative ideas, dream about new possibilities, and plan for memories that will last a lifetime. At Pinterest, our mission is to bring everyone the inspiration to create a life they love, and that mission is driven by the talented individuals behind our innovative products. We foster an environment where creativity, collaboration, and diversity thrive, empowering our teams to make a meaningful impact on users worldwide. Whether you are passionate about technology, design, or data science, Pinterest offers a dynamic workplace where your contributions help shape the future of visual discovery and social inspiration.
**About The Role**
 We are seeking a highly skilled Staff Machine Learning (ML) Engineer to lead our Content Mining team. In this pivotal role, you will serve as the technical leader for a dedicated team of five engineers, including four Machine Learning Engineers. Your primary responsibilities will include defining the multiquarter technical vision and roadmap for source discovery, content acquisition optimization, and understanding. You will be deeply involved in designing, training, and deploying advanced ML systems, with a focus on large language models (LLMs) and natural language processing (NLP) techniques for content extraction and classification. This role offers an exciting opportunity to influence the architecture of our content discovery systems, mentor engineering talent, and collaborate cross\-functionally with Product, Data, and Infrastructure teams to deliver scalable, reliable, and innovative solutions that enhance user engagement and content quality.
**Qualifications**
* 5\+ years of experience building end\-to\-end ML products, including at least 2 years in a technical leadership role
* Deep hands\-on expertise with NLP and LLM training and inference using PyTorch and Python
* Strong understanding of evaluation methodologies, prompt/data design, and finetuning techniques
* Proven track record of deploying models at scale, including feature/data pipelines, online serving, and monitoring
* Excellent software engineering skills with a focus on Python and best practices
* Experience mentoring senior engineers and influencing cross\-team collaborations
* Master's or PhD degree in machine learning, computer science, or related field
* Knowledge of LLM efficiency techniques such as LoRA/adapters, distillation, quantization, and prompt caching
* Experience with MLOps tools like Airflow, Spark/Presto, Triton, and vLLM for large\-scale deployment
**Responsibilities**
* Define and oversee the long\-term architecture, roadmap, and execution strategies for source discovery, content acquisition, and understanding systems
* Lead design reviews, establish engineering standards, and ensure cross\-team alignment with product, data, and infrastructure teams
* Mentor and develop engineers through technical guidance, pair programming, and code reviews to elevate team capabilities
* Train, finetune, and deploy LLMs and NLP models for classification, extraction, and instruction\-following tasks
* Design and implement features and frameworks to share information across models, improving efficiency and accuracy
* Operationalize models for large\-scale inference, optimizing for latency, reliability, and cost efficiency through techniques like quantization and distillation
* Establish evaluation protocols, including offline and online testing, A/B testing, and automated regressions to ensure model quality
* Partner with data teams to define data labeling standards, manage data strategy, and implement feedback loops for continuous improvement
* Define and meet Service Level Objectives (SLOs) for data quality, model performance, and system reliability
* Lead incident response efforts, conduct postmortems, and implement improvements to maintain operational excellence
* Measure and analyze the downstream impact of ML systems on revenue and user engagement metrics
**Benefits**
* Competitive salary and comprehensive health benefits
* Flexible work arrangements with a hybrid in\-office and remote work model
* Opportunities for professional development and career growth
* Inclusive and diverse workplace culture that values innovation and collaboration
* Access to cutting\-edge tools and resources for ML research and deployment
* Paid time off and wellness programs to support work\-life balance
 Equal Opportunity
 Pinterest is an equal opportunity employer and values diversity in our workforce. We make employment decisions based on merit, qualifications, and business needs without regard to race, color, religion, gender, gender identity, sexual orientation, national origin, age, disability, or any other protected status. We are committed to fostering an inclusive environment where all employees can thrive. If you require a medical or religious accommodation during the application process, please complete the appropriate support form.</t>
        </is>
      </c>
    </row>
    <row r="39">
      <c r="A39" t="inlineStr">
        <is>
          <t>li-4368130602</t>
        </is>
      </c>
      <c r="B39" t="inlineStr">
        <is>
          <t>Acoustic Machine Learning Engineer</t>
        </is>
      </c>
      <c r="C39" t="inlineStr">
        <is>
          <t>Approach Venture</t>
        </is>
      </c>
      <c r="D39" t="inlineStr">
        <is>
          <t>linkedin</t>
        </is>
      </c>
      <c r="E39">
        <f>HYPERLINK("https://www.linkedin.com/jobs/view/4368130602", "https://www.linkedin.com/jobs/view/4368130602")</f>
        <v/>
      </c>
      <c r="F39" t="inlineStr"/>
      <c r="G39" t="inlineStr">
        <is>
          <t>Austin, TX</t>
        </is>
      </c>
      <c r="H39" t="inlineStr"/>
      <c r="I39" t="inlineStr">
        <is>
          <t>**Senior Applied Acoustic Machine Learning Engineer – Help Power Autonomous Defense Systems with Real\-World Perception!**
*Austin, TX \| On\-site*
**Opportunity Summary**
 An early\-stage, well\-funded defense technology startup is building autonomous systems designed to detect and respond to fast\-moving aerial threats in complex outdoor environments. At the core of this mission is real\-time perception, where advanced machine learning meets rugged hardware deployed in the field. The team is seeking a Senior Applied Acoustic Machine Learning Engineer to lead development of intelligent audio\-based detection and classification systems that perform reliably under extreme noise, weather, and domain variability. In this role, you will transform raw acoustic data into high\-confidence real\-world decision\-making. You’ll bridge modern ML with signal processing fundamentals, own model performance end\-to\-end, and deploy edge\-ready inference systems that operate under tight latency and reliability constraints. If you enjoy building perception systems that actually ship, operate in the wild, and directly power autonomous platforms, this is a high\-impact opportunity at the ground floor of a fast\-scaling defense startup.
**About Us**
 We are a venture\-backed robotics and autonomy company developing intelligent defense platforms designed to operate in real\-world, high\-stakes environments. Our systems combine advanced sensing, machine learning, and autonomous decision\-making to deliver field\-ready capability rather than lab prototypes. With strong early funding and rapid technical progress, our team is focused on turning breakthrough perception technology into deployable hardware that protects critical assets and people.
**Job Duties**
* Design and train machine learning models for acoustic detection, classification, and target tracking in outdoor environments
* Develop hybrid approaches combining multichannel audio features, beamforming outputs, and modern neural architectures
* Build and maintain data pipelines including labeling strategies, evaluation frameworks, and continuous model improvement loops
* Implement robustness strategies to reduce false positives caused by wind, weather, reflections, and environmental variability
* Deploy optimized inference pipelines for edge hardware with strict latency and performance requirements
* Integrate diagnostics and monitoring to support real\-time operational performance
* Partner with hardware engineers and signal processing specialists to align sensor calibration, data quality, and system metrics
* Perform deep error analysis and iterative model refinement to drive real\-world reliability
**Qualifications**
* 5\+ years of applied machine learning experience working with audio, sensor data, or similarly noisy real\-world signals
* Demonstrated experience deploying ML models into real operational environments with measurable performance outcomes
* Strong proficiency in Python and modern ML frameworks
* Solid understanding of signal fundamentals such as noise sources, synchronization, and sensor behavior
* Experience designing reproducible experiments, evaluation pipelines, and systematic model improvement processes
* Ability to own projects end\-to\-end from data through deployment
**Preferred Experience**
* Edge inference optimization including quantization, runtime acceleration, or hardware\-aware deployment
* Experience with weakly supervised learning, domain adaptation, or robustness techniques
* Work on multi\-sensor fusion or temporal modeling systems
* Familiarity with low\-latency embedded or real\-time systems
* Passion for robotics, autonomy, or hands\-on technical projects outside of work
**Why Join Us**
* Build perception systems that directly power real autonomous platforms
* High ownership over core machine learning architecture and performance
* Work closely with hardware and autonomy teams in a deeply technical environment
* Opportunity to shape foundational technology at a seed\-stage company
* Fast iteration cycles with real\-world deployment and feedback
* Strong growth trajectory as the company scales programs and platforms
* Early\-stage equity
**Compensation Details**
*$140,000 \- $220,000*
 ﻿</t>
        </is>
      </c>
    </row>
    <row r="40">
      <c r="A40" t="inlineStr">
        <is>
          <t>li-4299465847</t>
        </is>
      </c>
      <c r="B40" t="inlineStr">
        <is>
          <t>Machine Learning Engineer - Devops</t>
        </is>
      </c>
      <c r="C40" t="inlineStr">
        <is>
          <t>Genentech</t>
        </is>
      </c>
      <c r="D40" t="inlineStr">
        <is>
          <t>linkedin</t>
        </is>
      </c>
      <c r="E40">
        <f>HYPERLINK("https://www.linkedin.com/jobs/view/4299465847", "https://www.linkedin.com/jobs/view/4299465847")</f>
        <v/>
      </c>
      <c r="F40">
        <f>HYPERLINK("https://careers.gene.com/us/en/job/GENEUS202509122841EXTERNALENUS/Machine-Learning-Engineer-Devops?utm_source=linkedin&amp;utm_medium=phenom-feeds&amp;urlHash=wYBB", "https://careers.gene.com/us/en/job/GENEUS202509122841EXTERNALENUS/Machine-Learning-Engineer-Devops?utm_source=linkedin&amp;utm_medium=phenom-feeds&amp;urlHash=wYBB")</f>
        <v/>
      </c>
      <c r="G40" t="inlineStr">
        <is>
          <t>New York, NY</t>
        </is>
      </c>
      <c r="H40" t="inlineStr"/>
      <c r="I40" t="inlineStr">
        <is>
          <t>The Position
 A healthier future. It’s what drives us to innovate. To continuously advance science and ensure everyone has access to the healthcare they need today and for generations to come. Creating a world where we all have more time with the people we love. That’s what makes us Roche.
 Advances in AI, data, and computational sciences are transforming drug discovery and development. Roche’s Research and Early Development organisations at Genentech (gRED) and Pharma (pRED) have demonstrated how these technologies accelerate R\&amp;D, leveraging data and novel computational models to drive impact. Seamless data sharing and access to models across gRED and pRED are essential to maximising these opportunities. The new Computational Sciences Center of Excellence (CoE) is a strategic, unified group whose goal is to harness this transformative power of data and Artificial Intelligence (AI) to assist our scientists in both pRED and gRED to deliver more innovative and transformative medicines for patients worldwide.
**The Opportunity**
 At Roche's AI for Drug Discovery (AIDD) group (Prescient Design), we are revolutionizing drug discovery with cutting\-edge machine learning techniques. We are seeking a highly motivated and skilled ML Infrastructure DevOps Engineer to join our growing team within Genentech Research and Early Development AI Drug Development (gRED AIDD). This role is crucial for building and maintaining the scalable and robust infrastructure that powers our machine learning initiatives. The ideal candidate will be proactive, user\-facing, and possess a "get\-it\-done" attitude, while consistently adhering to corporate standards and best practices.
**What You'll Do**
* Design, implement, and maintain scalable and reliable ML infrastructure on AWS.
* Automate deployment, monitoring, alerting, and operational tasks using tools like Terraform and Helm.
* Manage and optimize CI/CD pipelines and Git repositories for ML projects, ensuring efficient version control to support collaboration and deployment.
* Collaborate closely with ML engineers and data scientists to understand their infrastructure needs and provide solutions.
* Troubleshoot and resolve infrastructure\-related issues in a timely manner.
* Implement and enforce security best practices for ML infrastructure.
* Document infrastructure designs, processes, and operational procedures.
* Contribute to initiatives independently as part of a team, delivering assigned outputs.
* Proactively identify issues and gaps, proposing ideas and suggestions for improvements.
**Who You Are**
* Proven experience in designing, deploying, and managing infrastructure on Amazon Web Services (AWS), including services such as EC2, S3, RDS, EKS, SageMaker, etc.
* Strong proficiency with Git and Git repository management.
* Hands\-on experience with Terraform for infrastructure provisioning and management.
* Experience with Helm for deploying and managing applications on Kubernetes.
* Proficiency in scripting languages (e.g., Python, Bash) for automation.
* Excellent problem\-solving skills and a strong ability to debug complex issues.
* Strong communication and interpersonal skills to effectively collaborate with cross\-functional teams and user\-facing interactions.
* Demonstrated ability to take initiative, anticipate needs, and drive projects to completion.
* Ability to thrive in a fast\-paced environment and adapt to evolving requirements while adhering to corporate guidelines.
* Ability to write clean code with little syntax/convention feedback.
* Applies software engineering best practices (linting automation, unit testing, documentation, CI/CD).
* Familiarity with modern machine learning methods.
* Knowledge of and experience with high\-performance computing, distributed systems, and cloud computing.
**Preferred**
* Experience with MLOps platforms and tools.
* Familiarity with CI/CD pipelines for ML workflows.
* Knowledge of monitoring and logging tools (e.g., Prometheus, Grafana, ELK stack)
 Relocation benefits are available for this job posting
 The expected salary range for this position based on the primary location of California is $147,600, \- $274,000\. Actual pay will be determined based on experience, qualifications, geographic location, and other job\-related factors permitted by law. A discretionary annual bonus may be available based on individual and Company performance. This position also qualifies for the benefits detailed at the link provided below.
**Benefits**
 \#ComputationCoE
 \#tech4lifeComputationalScience
 \#tech4lifeAI
 Genentech is an equal opportunity employer. It is our policy and practice to employ, promote, and otherwise treat any and all employees and applicants on the basis of merit, qualifications, and competence. The company's policy prohibits unlawful discrimination, including but not limited to, discrimination on the basis of Protected Veteran status, individuals with disabilities status, and consistent with all federal, state, or local laws.
 If you have a disability and need an accommodation in relation to the online application process, please contact us by completing this form Accommodations for Applicants.</t>
        </is>
      </c>
    </row>
    <row r="41">
      <c r="A41" t="inlineStr">
        <is>
          <t>li-4368134442</t>
        </is>
      </c>
      <c r="B41" t="inlineStr">
        <is>
          <t>Senior AI engineer</t>
        </is>
      </c>
      <c r="C41" t="inlineStr">
        <is>
          <t>Medifinhealth</t>
        </is>
      </c>
      <c r="D41" t="inlineStr">
        <is>
          <t>linkedin</t>
        </is>
      </c>
      <c r="E41">
        <f>HYPERLINK("https://www.linkedin.com/jobs/view/4368134442", "https://www.linkedin.com/jobs/view/4368134442")</f>
        <v/>
      </c>
      <c r="F41" t="inlineStr"/>
      <c r="G41" t="inlineStr">
        <is>
          <t>Newark, DE</t>
        </is>
      </c>
      <c r="H41" t="inlineStr"/>
      <c r="I41" t="inlineStr">
        <is>
          <t>We’re Hiring Remote " Senior AI Engineer (Closer Mindset)"
 Looking for an experienced AI Engineer (6–7 years) who is not only technically strong but also a confident closer in client interviews and solution discussions.
 Key Requirements:
 • 6–7 years hands\-on AI/ML experience
 • Strong client communication \&amp; interview closing skills
 • Advanced English accent \&amp; fluency (must)
 • Able to handle technical discovery calls
 Core Stack:
 • Python, LLMs, OpenAI / Claude APIs
 • RAG, LangChain / LlamaIndex
 • Vector DBs (Pinecone / FAISS / Weaviate)
 • ML frameworks (PyTorch / TensorFlow)
 • AI app deployment \&amp; integrations
 Serious candidates only , share profile in DM.</t>
        </is>
      </c>
    </row>
    <row r="42">
      <c r="A42" t="inlineStr">
        <is>
          <t>li-4368128448</t>
        </is>
      </c>
      <c r="B42" t="inlineStr">
        <is>
          <t>Senior AI/ML Engineer</t>
        </is>
      </c>
      <c r="C42" t="inlineStr">
        <is>
          <t>Sigma</t>
        </is>
      </c>
      <c r="D42" t="inlineStr">
        <is>
          <t>linkedin</t>
        </is>
      </c>
      <c r="E42">
        <f>HYPERLINK("https://www.linkedin.com/jobs/view/4368128448", "https://www.linkedin.com/jobs/view/4368128448")</f>
        <v/>
      </c>
      <c r="F42">
        <f>HYPERLINK("https://job-boards.greenhouse.io/sigmacomputing/jobs/7613960003?gh_src=T6c0rh&amp;urlHash=Nd8P", "https://job-boards.greenhouse.io/sigmacomputing/jobs/7613960003?gh_src=T6c0rh&amp;urlHash=Nd8P")</f>
        <v/>
      </c>
      <c r="G42" t="inlineStr">
        <is>
          <t>New York, NY</t>
        </is>
      </c>
      <c r="H42" t="inlineStr"/>
      <c r="I42" t="inlineStr">
        <is>
          <t>**About The Role**
 At Sigma, we’re not just adding AI—we’re building the future of how people work with data. Our platform already lets users explore billions of rows of data in seconds with a spreadsheet\-like interface, analyze and present their data in workbooks, and build data apps and workflows. Now we’re pushing further, applying AI to reshape how people build in Sigma, discover insights, and make smarter decisions—fast.
 That’s where you come in. As an AI/ML Engineer, you’ll join a growing team focused on building the AI foundation that will power Sigma for the future. Your work will become an integral part of the workflow for the thousands of enterprises that run on Sigma.
**What You’ll Do**
* Partner with product, design, and engineering teams to identify high\-impact AI/ML opportunities
* Prototype and productionize AI systems that feel intuitive but do a lot under the hood—recommendations, natural language interfaces, agentic workflows, and more
* Develop and scale AI/ML infrastructure that powers both internal tooling and customer\-facing features
* Tackle novel UX problems at the intersection of AI, BI, and apps
**What You Bring**
* Bachelor’s degree in Computer Science, Engineering, Mathematics, or a related field (required)
* 10\+ years of experience building and deploying production\-grade AI/ML systems
* Deep knowledge of machine learning, deep learning, and applied AI
* Experience across the full ML lifecycle: data curation, training, deployment, monitoring
* A track record of building things that ship—whether it’s recommendations, search, machine translation, or something equally complex
* Experience adapting or training foundation models (language or multimodal) for novel domains
**Bonus Points (or Skills You’ll Build Here)**
* You've built agents that can plan, reason, and use tools
* You know your way around cloud infrastructure (AWS, GCP, Azure)
* You’ve worked in a fast\-moving startup or high\-growth environment
**Additional Job Details**
 The base salary range for this position is $240k \- $270k annually.
 Compensation may vary outside of this range depending on a number of factors, including a candidate’s qualifications, skills, competencies and experience. Base pay is one part of the Total Package that is provided to compensate and recognize employees for their work at Sigma Computing. This role is eligible for stock options, as well as a comprehensive benefits package.
**About Us**
 Sigma is the AI apps and analytics platform connected to the cloud data warehouse. Using Sigma, business and technical teams can build intelligent, production\-ready AI apps that accelerate and automate operational workflows. Sigma provides a spreadsheet interface, SQL and Python editors, visual builders, and native AI to help teams turn live data into interactive applications, analysis, reports, and embedded experiences.
 Sigma announced its $200M in Series D financing in May 2024, to continue transforming BI through its innovations in AI infrastructure, data application development, enterprise\-wide collaboration, and business user adoption. Spark Capital and Avenir Growth Capital co\-led the Series D funding round, with additional participation from a group of past investors including Snowflake Ventures and Sutter Hill Ventures.The Series D funding, raised at a valuation 60% higher than the company’s Series C round three years ago, promises to further accelerate Sigma’s growth.
 Come join us!
**Benefits For Our Full\-Time Employees**
* Equity
* Generous health benefits
* Flexible time off policy. Take the time off you need!
* Paid bonding time for all new parents
* Traditional and Roth 401k
* Commuter and FSA benefits
* Lunch Program
* Dog friendly office
 Sigma Computing is an equal opportunity employer. We are committed to building a smart and strong team regardless of race, color, ancestry, religion, sex, national origin, sexual orientation, age, citizenship, marital status, disability, gender, gender identity or expression, or veteran status. We look forward to learning how your experience can enable all of us to grow
 *.*
*Note: We have an in\-office work environment in all our offices in SF, NYC, and London.*
**Our Privacy Practices**
 When you submit a job application on this site, Sigma processes your personal data for the purposes of evaluating your candidacy for employment at Sigma and as otherwise needed throughout the recruitment and hiring process. Please review Sigma’s Candidate Privacy Notice for more details. Please note that your personal data may be transferred to a country other than the one in which it was provided (including to USA, the UK, and Canada).
**Sigma’s use of AI**
 This hiring process utilizes artificial intelligence tools to assist in candidate screening and assessment. Our AI tools are designed to complement, not replace, human decision\-making.</t>
        </is>
      </c>
    </row>
    <row r="43">
      <c r="A43" t="inlineStr">
        <is>
          <t>li-4357560307</t>
        </is>
      </c>
      <c r="B43" t="inlineStr">
        <is>
          <t>Senior AI Engineer</t>
        </is>
      </c>
      <c r="C43" t="inlineStr">
        <is>
          <t>ChatGPT Jobs</t>
        </is>
      </c>
      <c r="D43" t="inlineStr">
        <is>
          <t>linkedin</t>
        </is>
      </c>
      <c r="E43">
        <f>HYPERLINK("https://www.linkedin.com/jobs/view/4357560307", "https://www.linkedin.com/jobs/view/4357560307")</f>
        <v/>
      </c>
      <c r="F43">
        <f>HYPERLINK("https://chatgpt-jobs.com/job/senior-ai-engineer-doctor-evidence-2445&amp;urlHash=Q8XU", "https://chatgpt-jobs.com/job/senior-ai-engineer-doctor-evidence-2445&amp;urlHash=Q8XU")</f>
        <v/>
      </c>
      <c r="G43" t="inlineStr"/>
      <c r="H43" t="inlineStr"/>
      <c r="I43" t="inlineStr">
        <is>
          <t>**Job Description**
 Senior AI Engineer
 Doctor Evidence
 Remote Nationwide,
* Remote
* Full\-Time
 Salary: DOE
 Title: Senior AI Engineer
 Reports to: VP, Software Engineering / Chief Architect
 Status: Employee, Exempt
 Location: Remote (must be located in the US)
 Hire Date: Immediate
**Company Summary**
 Dr.Evidence is the preeminent AI\-powered insights platform for life sciences, enabling teams to generate rapid and relevant insights grounded in published medical literature, clinical trial data, drug labels, regulatory documents and beyond, delivering value from drug discovery through commercialization. We push the boundaries of healthcare technology and allow for new possibilities in science, enabling more informed decision making and faster time\-to\-market for accelerated impact.
**Research \&amp; Development (r\&amp;d) Organization Summary**
 The Dr.Evidence R\&amp;D organization includes software engineers, QA/QC engineers, product management, scrum masters, and business analysts. R\&amp;D is responsible for all aspects of product development, from ideation to maintenance. Our software engineers are experienced, talented, precise, and move at a fast pace to ensure speed\-to\-market goals for our customers are met.
**Responsibilities**
* Research \&amp; Prototyping
+ Rapidly prototype state\-of\-the\-art ML/NLP/LLM architectures using frameworks like Python, PyTorch, Hugging Face, and LangChain/LangGraph.
+ Assess open\-source and commercial models (e.g., Llama 3, Mistral, GPT\-series, Qwen, and other modern LLM architectures) for accuracy, latency, cost, hallucination risk, and compliance.
+ Run structured model evaluations (accuracy, relevance, precision/recall, hallucination checks).
* Model Development \&amp; Training
+ Build scalable training pipelines for supervised and self\-supervised learning paradigms.
+ Implement efficient techniques such as LoRA/QLoRA, instruction tuning, and quantization when needed.
+ Develop agentic workflows (tool\-calling, iterative reasoning, ranking, and multi\-step pipelines) for real\-world use cases.
+ Improve and maintain existing ML pipelines.
+ Optimize inference performance with batching, quantization, and efficient serving frameworks.
* Retrieval\-Augmented Generation (RAG) \&amp; Search
+ Design and optimize RAG systems that integrate with internal data sources.
+ Build hybrid retrieval using Elasticsearch/BM25 \+ vector search (PGVector or other vector DBs).
+ Tune chunking, embeddings, reranking, and hallucination\-prevention strategies for long documents.
* Data Engineering for AI
+ Prepare and refine text datasets for training, evaluation, and fine\-tuning.
+ Generate synthetic training data using LLMs to improve extraction accuracy, classification, and reasoning.
+ Build small, targeted datasets for fine\-tuning domain\-specific models.
* LLM Specialization
+ Fine\-tune and align open\-source LLMs for domain\-specific tasks (RAG, agents, tool\-calling, reasoning).
+ Implement safety layers: prompt guards, output filters, adversarial robustness testing.
* Productionization \&amp; MLOps
+ Containerize models with Docker; orchestrate with Docker Swarm.
+ Build monitoring for model quality, latency, hallucinations, and regressions.
+ Collaborate with DevOps and Architecture teams on cost, performance, and scalability decisions.
+ Implement observability around prompts, retrieval, and model outputs.
* Cross\-Functional Impact
+ Collaborate with Product to define AI roadmaps and success metrics.
+ Partner with Product and Engineering to design new AI capabilities across modules.
**Qualifications**
* Education: MS/PhD in CS, ML, Data Science, or related field; or BS \+ 5\+ years of intensive AI industry experience.
* Core Technical Skills:
+ Languages: Python (expert); familiarity with modern web stacks (e.g., PERN) is a plus.
+ Experience with PyTorch, Hugging Face Transformers, and common LLM tooling (PEFT, LoRA, QLoRA).
+ Strong understanding of NLP: tokenization, embeddings, chunking, NER, classification, summarization.
+ Experience with RAG pipelines, vector databases, retrieval/ranking strategies.
+ Experience designing and running model evaluation pipelines.
+ Comfortable with Docker\-based deployments and cloud environments.
+ Knowledge of Elasticsearch.
* Proven Track Record:
+ Shipped at least 3 production LLM\-powered features (e.g., chatbots, summarizers, agents).
+ Experience working with modern large\-scale models.
+ Experience designing clean, maintainable architectures for LLM features.
+ Strong documentation and communication skills.</t>
        </is>
      </c>
    </row>
    <row r="44">
      <c r="A44" t="inlineStr">
        <is>
          <t>li-4368112948</t>
        </is>
      </c>
      <c r="B44" t="inlineStr">
        <is>
          <t>Staff AI/ML Engineer</t>
        </is>
      </c>
      <c r="C44" t="inlineStr">
        <is>
          <t>Sigma</t>
        </is>
      </c>
      <c r="D44" t="inlineStr">
        <is>
          <t>linkedin</t>
        </is>
      </c>
      <c r="E44">
        <f>HYPERLINK("https://www.linkedin.com/jobs/view/4368112948", "https://www.linkedin.com/jobs/view/4368112948")</f>
        <v/>
      </c>
      <c r="F44">
        <f>HYPERLINK("https://job-boards.greenhouse.io/sigmacomputing/jobs/7613961003?gh_src=T6c0rh&amp;urlHash=HytI", "https://job-boards.greenhouse.io/sigmacomputing/jobs/7613961003?gh_src=T6c0rh&amp;urlHash=HytI")</f>
        <v/>
      </c>
      <c r="G44" t="inlineStr">
        <is>
          <t>New York, NY</t>
        </is>
      </c>
      <c r="H44" t="inlineStr"/>
      <c r="I44" t="inlineStr">
        <is>
          <t>**About The Role**
 At Sigma, we’re not just adding AI—we’re building the future of how people work with data. Our platform already lets users explore billions of rows of data in seconds with a spreadsheet\-like interface, analyze and present their data in workbooks, and build data apps and workflows. Now we’re pushing further, applying AI to reshape how people build in Sigma, discover insights, and make smarter decisions—fast.
 That’s where you come in. As an AI/ML Engineer, you’ll join a growing team focused on building the AI foundation that will power Sigma for the future. Your work will become an integral part of the workflow for the thousands of enterprises that run on Sigma.
**What You’ll Do**
* Partner with product, design, and engineering teams to identify high\-impact AI/ML opportunities
* Prototype and productionize AI systems that feel intuitive but do a lot under the hood—recommendations, natural language interfaces, agentic workflows, and more
* Develop and scale AI/ML infrastructure that powers both internal tooling and customer\-facing features
* Tackle novel UX problems at the intersection of AI, BI, and apps
**What You Bring**
* Bachelor’s degree in Computer Science, Engineering, Mathematics, or a related field (required)
* 10\+ years of experience building and deploying production\-grade AI/ML systems
* Deep knowledge of machine learning, deep learning, and applied AI
* Experience across the full ML lifecycle: data curation, training, deployment, monitoring
* A track record of building things that ship—whether it’s recommendations, search, machine translation, or something equally complex
* Experience adapting or training foundation models (language or multimodal) for novel domains
**Bonus Points (or Skills You’ll Build Here)**
* You've built agents that can plan, reason, and use tools
* You know your way around cloud infrastructure (AWS, GCP, Azure)
* You’ve worked in a fast\-moving startup or high\-growth environment
**Additional Job Details**
 The base salary range for this position is $240k \- $270k annually.
 Compensation may vary outside of this range depending on a number of factors, including a candidate’s qualifications, skills, competencies and experience. Base pay is one part of the Total Package that is provided to compensate and recognize employees for their work at Sigma Computing. This role is eligible for stock options, as well as a comprehensive benefits package.
**About Us**
 Sigma is the AI apps and analytics platform connected to the cloud data warehouse. Using Sigma, business and technical teams can build intelligent, production\-ready AI apps that accelerate and automate operational workflows. Sigma provides a spreadsheet interface, SQL and Python editors, visual builders, and native AI to help teams turn live data into interactive applications, analysis, reports, and embedded experiences.
 Sigma announced its $200M in Series D financing in May 2024, to continue transforming BI through its innovations in AI infrastructure, data application development, enterprise\-wide collaboration, and business user adoption. Spark Capital and Avenir Growth Capital co\-led the Series D funding round, with additional participation from a group of past investors including Snowflake Ventures and Sutter Hill Ventures.The Series D funding, raised at a valuation 60% higher than the company’s Series C round three years ago, promises to further accelerate Sigma’s growth.
 Come join us!
**Benefits For Our Full\-Time Employees**
* Equity
* Generous health benefits
* Flexible time off policy. Take the time off you need!
* Paid bonding time for all new parents
* Traditional and Roth 401k
* Commuter and FSA benefits
* Lunch Program
* Dog friendly office
 Sigma Computing is an equal opportunity employer. We are committed to building a smart and strong team regardless of race, color, ancestry, religion, sex, national origin, sexual orientation, age, citizenship, marital status, disability, gender, gender identity or expression, or veteran status. We look forward to learning how your experience can enable all of us to grow
 *.*
*Note: We have an in\-office work environment in all our offices in SF, NYC, and London.*
**Our Privacy Practices**
 When you submit a job application on this site, Sigma processes your personal data for the purposes of evaluating your candidacy for employment at Sigma and as otherwise needed throughout the recruitment and hiring process. Please review Sigma’s Candidate Privacy Notice for more details. Please note that your personal data may be transferred to a country other than the one in which it was provided (including to USA, the UK, and Canada).
**Sigma’s use of AI**
 This hiring process utilizes artificial intelligence tools to assist in candidate screening and assessment. Our AI tools are designed to complement, not replace, human decision\-making.</t>
        </is>
      </c>
    </row>
    <row r="45">
      <c r="A45" t="inlineStr">
        <is>
          <t>li-4368132077</t>
        </is>
      </c>
      <c r="B45" t="inlineStr">
        <is>
          <t>Staff AI/ML Engineer</t>
        </is>
      </c>
      <c r="C45" t="inlineStr">
        <is>
          <t>Sigma</t>
        </is>
      </c>
      <c r="D45" t="inlineStr">
        <is>
          <t>linkedin</t>
        </is>
      </c>
      <c r="E45">
        <f>HYPERLINK("https://www.linkedin.com/jobs/view/4368132077", "https://www.linkedin.com/jobs/view/4368132077")</f>
        <v/>
      </c>
      <c r="F45">
        <f>HYPERLINK("https://job-boards.greenhouse.io/sigmacomputing/jobs/7598753003?gh_src=T6c0rh&amp;urlHash=8wCm", "https://job-boards.greenhouse.io/sigmacomputing/jobs/7598753003?gh_src=T6c0rh&amp;urlHash=8wCm")</f>
        <v/>
      </c>
      <c r="G45" t="inlineStr">
        <is>
          <t>San Francisco, CA</t>
        </is>
      </c>
      <c r="H45" t="inlineStr"/>
      <c r="I45" t="inlineStr">
        <is>
          <t>**About The Role**
 At Sigma, we’re not just adding AI—we’re building the future of how people work with data. Our platform already lets users explore billions of rows of data in seconds with a spreadsheet\-like interface, analyze and present their data in workbooks, and build data apps and workflows. Now we’re pushing further, applying AI to reshape how people build in Sigma, discover insights, and make smarter decisions—fast.
 That’s where you come in. As an AI/ML Engineer, you’ll join a growing team focused on building the AI foundation that will power Sigma for the future. Your work will become an integral part of the workflow for the thousands of enterprises that run on Sigma.
**What You’ll Do**
* Partner with product, design, and engineering teams to identify high\-impact AI/ML opportunities
* Prototype and productionize AI systems that feel intuitive but do a lot under the hood—recommendations, natural language interfaces, agentic workflows, and more
* Develop and scale AI/ML infrastructure that powers both internal tooling and customer\-facing features
* Tackle novel UX problems at the intersection of AI, BI, and apps
**What You Bring**
* Bachelor’s degree in Computer Science, Engineering, Mathematics, or a related field (required)
* 10\+ years of experience building and deploying production\-grade AI/ML systems
* Deep knowledge of machine learning, deep learning, and applied AI
* Experience across the full ML lifecycle: data curation, training, deployment, monitoring
* A track record of building things that ship—whether it’s recommendations, search, machine translation, or something equally complex
* Experience adapting or training foundation models (language or multimodal) for novel domains
**Bonus Points (or Skills You’ll Build Here)**
* You've built agents that can plan, reason, and use tools
* You know your way around cloud infrastructure (AWS, GCP, Azure)
* You’ve worked in a fast\-moving startup or high\-growth environment
**Additional Job Details**
 The base salary range for this position is $240k \- $270k annually.
 Compensation may vary outside of this range depending on a number of factors, including a candidate’s qualifications, skills, competencies and experience. Base pay is one part of the Total Package that is provided to compensate and recognize employees for their work at Sigma Computing. This role is eligible for stock options, as well as a comprehensive benefits package.
**About Us**
 Sigma is the AI apps and analytics platform connected to the cloud data warehouse. Using Sigma, business and technical teams can build intelligent, production\-ready AI apps that accelerate and automate operational workflows. Sigma provides a spreadsheet interface, SQL and Python editors, visual builders, and native AI to help teams turn live data into interactive applications, analysis, reports, and embedded experiences.
 Sigma announced its $200M in Series D financing in May 2024, to continue transforming BI through its innovations in AI infrastructure, data application development, enterprise\-wide collaboration, and business user adoption. Spark Capital and Avenir Growth Capital co\-led the Series D funding round, with additional participation from a group of past investors including Snowflake Ventures and Sutter Hill Ventures.The Series D funding, raised at a valuation 60% higher than the company’s Series C round three years ago, promises to further accelerate Sigma’s growth.
 Come join us!
**Benefits For Our Full\-Time Employees**
* Equity
* Generous health benefits
* Flexible time off policy. Take the time off you need!
* Paid bonding time for all new parents
* Traditional and Roth 401k
* Commuter and FSA benefits
* Lunch Program
* Dog friendly office
 Sigma Computing is an equal opportunity employer. We are committed to building a smart and strong team regardless of race, color, ancestry, religion, sex, national origin, sexual orientation, age, citizenship, marital status, disability, gender, gender identity or expression, or veteran status. We look forward to learning how your experience can enable all of us to grow
 *.*
*Note: We have an in\-office work environment in all our offices in SF, NYC, and London.*
**Our Privacy Practices**
 When you submit a job application on this site, Sigma processes your personal data for the purposes of evaluating your candidacy for employment at Sigma and as otherwise needed throughout the recruitment and hiring process. Please review Sigma’s Candidate Privacy Notice for more details. Please note that your personal data may be transferred to a country other than the one in which it was provided (including to USA, the UK, and Canada).
**Sigma’s use of AI**
 This hiring process utilizes artificial intelligence tools to assist in candidate screening and assessment. Our AI tools are designed to complement, not replace, human decision\-making.</t>
        </is>
      </c>
    </row>
    <row r="46">
      <c r="A46" t="inlineStr">
        <is>
          <t>li-4368123793</t>
        </is>
      </c>
      <c r="B46" t="inlineStr">
        <is>
          <t>Staff AI/ML Engineer</t>
        </is>
      </c>
      <c r="C46" t="inlineStr">
        <is>
          <t>Sigma</t>
        </is>
      </c>
      <c r="D46" t="inlineStr">
        <is>
          <t>linkedin</t>
        </is>
      </c>
      <c r="E46">
        <f>HYPERLINK("https://www.linkedin.com/jobs/view/4368123793", "https://www.linkedin.com/jobs/view/4368123793")</f>
        <v/>
      </c>
      <c r="F46">
        <f>HYPERLINK("https://job-boards.greenhouse.io/sigmacomputing/jobs/7613964003?gh_src=T6c0rh&amp;urlHash=eht6", "https://job-boards.greenhouse.io/sigmacomputing/jobs/7613964003?gh_src=T6c0rh&amp;urlHash=eht6")</f>
        <v/>
      </c>
      <c r="G46" t="inlineStr">
        <is>
          <t>San Francisco, CA</t>
        </is>
      </c>
      <c r="H46" t="inlineStr"/>
      <c r="I46" t="inlineStr">
        <is>
          <t>**About The Role**
 At Sigma, we’re not just adding AI—we’re building the future of how people work with data. Our platform already lets users explore billions of rows of data in seconds with a spreadsheet\-like interface, analyze and present their data in workbooks, and build data apps and workflows. Now we’re pushing further, applying AI to reshape how people build in Sigma, discover insights, and make smarter decisions—fast.
 That’s where you come in. As an AI/ML Engineer, you’ll join a growing team focused on building the AI foundation that will power Sigma for the future. Your work will become an integral part of the workflow for the thousands of enterprises that run on Sigma.
**What You’ll Do**
* Partner with product, design, and engineering teams to identify high\-impact AI/ML opportunities
* Prototype and productionize AI systems that feel intuitive but do a lot under the hood—recommendations, natural language interfaces, agentic workflows, and more
* Develop and scale AI/ML infrastructure that powers both internal tooling and customer\-facing features
* Tackle novel UX problems at the intersection of AI, BI, and apps
**What You Bring**
* Bachelor’s degree in Computer Science, Engineering, Mathematics, or a related field (required)
* 10\+ years of experience building and deploying production\-grade AI/ML systems
* Deep knowledge of machine learning, deep learning, and applied AI
* Experience across the full ML lifecycle: data curation, training, deployment, monitoring
* A track record of building things that ship—whether it’s recommendations, search, machine translation, or something equally complex
* Experience adapting or training foundation models (language or multimodal) for novel domains
**Bonus Points (or Skills You’ll Build Here)**
* You've built agents that can plan, reason, and use tools
* You know your way around cloud infrastructure (AWS, GCP, Azure)
* You’ve worked in a fast\-moving startup or high\-growth environment
**Additional Job Details**
 The base salary range for this position is $240k \- $270k annually.
 Compensation may vary outside of this range depending on a number of factors, including a candidate’s qualifications, skills, competencies and experience. Base pay is one part of the Total Package that is provided to compensate and recognize employees for their work at Sigma Computing. This role is eligible for stock options, as well as a comprehensive benefits package.
**About Us**
 Sigma is the AI apps and analytics platform connected to the cloud data warehouse. Using Sigma, business and technical teams can build intelligent, production\-ready AI apps that accelerate and automate operational workflows. Sigma provides a spreadsheet interface, SQL and Python editors, visual builders, and native AI to help teams turn live data into interactive applications, analysis, reports, and embedded experiences.
 Sigma announced its $200M in Series D financing in May 2024, to continue transforming BI through its innovations in AI infrastructure, data application development, enterprise\-wide collaboration, and business user adoption. Spark Capital and Avenir Growth Capital co\-led the Series D funding round, with additional participation from a group of past investors including Snowflake Ventures and Sutter Hill Ventures.The Series D funding, raised at a valuation 60% higher than the company’s Series C round three years ago, promises to further accelerate Sigma’s growth.
 Come join us!
**Benefits For Our Full\-Time Employees**
* Equity
* Generous health benefits
* Flexible time off policy. Take the time off you need!
* Paid bonding time for all new parents
* Traditional and Roth 401k
* Commuter and FSA benefits
* Lunch Program
* Dog friendly office
 Sigma Computing is an equal opportunity employer. We are committed to building a smart and strong team regardless of race, color, ancestry, religion, sex, national origin, sexual orientation, age, citizenship, marital status, disability, gender, gender identity or expression, or veteran status. We look forward to learning how your experience can enable all of us to grow
 *.*
*Note: We have an in\-office work environment in all our offices in SF, NYC, and London.*
**Our Privacy Practices**
 When you submit a job application on this site, Sigma processes your personal data for the purposes of evaluating your candidacy for employment at Sigma and as otherwise needed throughout the recruitment and hiring process. Please review Sigma’s Candidate Privacy Notice for more details. Please note that your personal data may be transferred to a country other than the one in which it was provided (including to USA, the UK, and Canada).
**Sigma’s use of AI**
 This hiring process utilizes artificial intelligence tools to assist in candidate screening and assessment. Our AI tools are designed to complement, not replace, human decision\-making.</t>
        </is>
      </c>
    </row>
    <row r="47">
      <c r="A47" t="inlineStr">
        <is>
          <t>li-4367011346</t>
        </is>
      </c>
      <c r="B47" t="inlineStr">
        <is>
          <t>Data/ML Engineer (1116676)</t>
        </is>
      </c>
      <c r="C47" t="inlineStr">
        <is>
          <t>The Judge Group</t>
        </is>
      </c>
      <c r="D47" t="inlineStr">
        <is>
          <t>linkedin</t>
        </is>
      </c>
      <c r="E47">
        <f>HYPERLINK("https://www.linkedin.com/jobs/view/4367011346", "https://www.linkedin.com/jobs/view/4367011346")</f>
        <v/>
      </c>
      <c r="F47">
        <f>HYPERLINK("https://www.judge.com/jobs/details/1116676/?utm_source=linkedin&amp;urlHash=x9pd", "https://www.judge.com/jobs/details/1116676/?utm_source=linkedin&amp;urlHash=x9pd")</f>
        <v/>
      </c>
      <c r="G47" t="inlineStr">
        <is>
          <t>New Jersey, United States</t>
        </is>
      </c>
      <c r="H47" t="inlineStr"/>
      <c r="I47" t="inlineStr">
        <is>
          <t>**Location:** 
 Somewhere, NJ, USA
**Salary:** 
 $100,000\.00 USD Annually \- $110,000\.00 USD Annually
**Description:** 
 Our client is currently seeking a Data/ML Engineer
**Roles \&amp; Responsibilities**
* Build and maintain reusable Python functions for calculating stand model performance metrics – develop and maintain the logic for generating executive summaries and recommendations.
* Design and implement a modular framework to generate monitoring reports in PDFs or dashboard formats.
* Standardize templates for model reporting including visualizations, commentary sections and KPI thresholds.
* Build automation scripts using orchestration to schedule monitoring runs at regular intervals and integrates with the storage system for output archival.
**Required**
* 7\-10 hands\-on experience Python with expertise in pandas, NumPy, scikit\-learn, matplotlib and seaborn.
* Strong understanding of ML evaluation metrics across classification and regression use cases.
* Experience with Databricks Notebooks and PySpark for handling large model outputs in parquet format.
* Experience in working with PDF generation libraries.
* Knowledge of MLFLow, model registries or production ML monitoring platforms.
 By providing your phone number, you consent to: (1\) receive automated text messages and calls from the Judge Group, Inc. and its affiliates (collectively "Judge") to such phone number regarding job opportunities, your job application, and for other related purposes. Message \&amp; data rates apply and message frequency may vary. Consistent with Judge's Privacy Policy, information obtained from your consent will not be shared with third parties for marketing/promotional purposes. Reply STOP to opt out of receiving telephone calls and text messages from Judge and HELP for help.
**Contact:** 
 aarya@judge.com
*This job and many more are available through The Judge Group. Find us on the web at www.judge.com*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2026-02-02T01:03:55Z</dcterms:created>
  <dcterms:modified xsi:type="dcterms:W3CDTF">2026-02-02T01:03:55Z</dcterms:modified>
</cp:coreProperties>
</file>