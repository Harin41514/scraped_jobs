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in-74e6598ee0b6fe62</t>
        </is>
      </c>
      <c r="B2" t="inlineStr">
        <is>
          <t>Senior Data Scientist - AI</t>
        </is>
      </c>
      <c r="C2" t="inlineStr">
        <is>
          <t>Atlassian</t>
        </is>
      </c>
      <c r="D2" t="inlineStr">
        <is>
          <t>indeed</t>
        </is>
      </c>
      <c r="E2" t="inlineStr"/>
      <c r="F2" t="inlineStr"/>
      <c r="G2" t="inlineStr">
        <is>
          <t>San Francisco, CA, US</t>
        </is>
      </c>
      <c r="H2" s="2" t="n">
        <v>46053</v>
      </c>
      <c r="I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We are looking for a Senior Data Scientist to partner with our AI teams. We’re seeking someone with strong business instincts, creativity, analytics mastery, and experience working alongside cross\-functional teams; someone who is passionate about applying these skills to drive smarter product decisions and ultimately, delight our customers.
Your responsibilities include:
* Collaborate with cross\-functional teams to identify high\-impact opportunities for analysis and align analytics priorities with the AI roadmap and strategy.
* Quantify the impact of AI features on our business and customers.
* Understand insightful trends and employ behavioural data and insights to intelligently improve user journeys and customer value.
* Envision, scope, and execute projects by collaborating with product managers, engineers, designers, researchers, data engineers, and other data scientists
* Share your high\-quality insights and recommendations to various levels of leadership to drive critical business decisions
* Foster a world\-class analytics culture, leading by example, through education and the creation of self\-service tools, to make a lasting change in how your partners use data to make decisions.
Qualification:
* Proven experience applying your analytics skills to projects that have had a positive impact on strategic and product roadmap decisions
* Expertise in SQL and proficiency in another data science programming language (eg Python, R)
* An agile development mindset, appreciating the benefit of constant iteration and improvement
* A very high bar for output quality, while balancing “having something now" vs. "perfection in the future"
* Strong ability to communicate, explain complex concepts to diverse audiences, and crafting compelling stories
* Project management and prioritisation experience; preferably with product management, design and software engineering teams
* Experience in using statistics as part of your role (e.g. regressions, A/B tests, forecasting)
* Proficiency in at least one visualisation tool (e.g. Tableau, R\-Shiny, Microstrategy, SAP Business Objects).
* A degree in a quantitative field (e.g. statistics, mathematics, physics, engineering, econometrics, computer science etc)
It's a bonus, but not required, if you have:
* Previously worked in global teams and high\-growth companies
* An understanding of AI or SaaS development, business models and metrics
* Experience providing insight into how product changes impact user happiness and engagement
* Experience building ETL pipelines using any tools or scripting languages
* Are an active member of the broader analytics and data science community
* Advanced degree in Computer Science, Math or Statistics
Qualifications: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row>
    <row r="3">
      <c r="A3" t="inlineStr">
        <is>
          <t>in-3d9022f51cb506ca</t>
        </is>
      </c>
      <c r="B3" t="inlineStr">
        <is>
          <t>Principal Applied Scientist, Amazon Special Projects</t>
        </is>
      </c>
      <c r="C3" t="inlineStr">
        <is>
          <t>Amazon.com</t>
        </is>
      </c>
      <c r="D3" t="inlineStr">
        <is>
          <t>indeed</t>
        </is>
      </c>
      <c r="E3" t="inlineStr"/>
      <c r="F3" t="inlineStr"/>
      <c r="G3" t="inlineStr">
        <is>
          <t>Boston, MA,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in-0bb134f4f6d138e7</t>
        </is>
      </c>
      <c r="B4" t="inlineStr">
        <is>
          <t>Principal Applied Scientist, Amazon Special Projects</t>
        </is>
      </c>
      <c r="C4" t="inlineStr">
        <is>
          <t>Amazon.com</t>
        </is>
      </c>
      <c r="D4" t="inlineStr">
        <is>
          <t>indeed</t>
        </is>
      </c>
      <c r="E4" t="inlineStr"/>
      <c r="F4" t="inlineStr"/>
      <c r="G4" t="inlineStr">
        <is>
          <t>Seattle, WA, US</t>
        </is>
      </c>
      <c r="H4" s="2" t="n">
        <v>45982</v>
      </c>
      <c r="I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in-d0b4e0ce69098413</t>
        </is>
      </c>
      <c r="B5" t="inlineStr">
        <is>
          <t>Sr. Applied Scientist, AGI Foundations</t>
        </is>
      </c>
      <c r="C5" t="inlineStr">
        <is>
          <t>Amazon.com</t>
        </is>
      </c>
      <c r="D5" t="inlineStr">
        <is>
          <t>indeed</t>
        </is>
      </c>
      <c r="E5" t="inlineStr"/>
      <c r="F5" t="inlineStr"/>
      <c r="G5" t="inlineStr">
        <is>
          <t>Sunnyvale, CA,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in-8eb4e5de6b32be06</t>
        </is>
      </c>
      <c r="B6" t="inlineStr">
        <is>
          <t>Sr. Applied Scientist, AGI Foundations</t>
        </is>
      </c>
      <c r="C6" t="inlineStr">
        <is>
          <t>Amazon.com</t>
        </is>
      </c>
      <c r="D6" t="inlineStr">
        <is>
          <t>indeed</t>
        </is>
      </c>
      <c r="E6" t="inlineStr"/>
      <c r="F6" t="inlineStr"/>
      <c r="G6" t="inlineStr">
        <is>
          <t>Boston, MA,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in-29e44301ad5a16d4</t>
        </is>
      </c>
      <c r="B7" t="inlineStr">
        <is>
          <t>Sr. Applied Scientist, AGI Foundations</t>
        </is>
      </c>
      <c r="C7" t="inlineStr">
        <is>
          <t>Amazon.com</t>
        </is>
      </c>
      <c r="D7" t="inlineStr">
        <is>
          <t>indeed</t>
        </is>
      </c>
      <c r="E7" t="inlineStr"/>
      <c r="F7" t="inlineStr"/>
      <c r="G7" t="inlineStr">
        <is>
          <t>New York, NY,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in-53f7167774a06a83</t>
        </is>
      </c>
      <c r="B8" t="inlineStr">
        <is>
          <t>Sr. Applied Scientist, AGI Foundations</t>
        </is>
      </c>
      <c r="C8" t="inlineStr">
        <is>
          <t>Amazon.com</t>
        </is>
      </c>
      <c r="D8" t="inlineStr">
        <is>
          <t>indeed</t>
        </is>
      </c>
      <c r="E8" t="inlineStr"/>
      <c r="F8" t="inlineStr"/>
      <c r="G8" t="inlineStr">
        <is>
          <t>Bellevue, WA, US</t>
        </is>
      </c>
      <c r="H8" s="2" t="n">
        <v>45978</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in-9a0de942f7e85618</t>
        </is>
      </c>
      <c r="B9" t="inlineStr">
        <is>
          <t>Sr. Applied Scientist, AGI Foundations</t>
        </is>
      </c>
      <c r="C9" t="inlineStr">
        <is>
          <t>Amazon.com</t>
        </is>
      </c>
      <c r="D9" t="inlineStr">
        <is>
          <t>indeed</t>
        </is>
      </c>
      <c r="E9" t="inlineStr"/>
      <c r="F9" t="inlineStr"/>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in-e171739e5981e30e</t>
        </is>
      </c>
      <c r="B10" t="inlineStr">
        <is>
          <t>Sr. Applied Scientist, AGI Foundations</t>
        </is>
      </c>
      <c r="C10" t="inlineStr">
        <is>
          <t>Amazon.com</t>
        </is>
      </c>
      <c r="D10" t="inlineStr">
        <is>
          <t>indeed</t>
        </is>
      </c>
      <c r="E10" t="inlineStr"/>
      <c r="F10" t="inlineStr"/>
      <c r="G10" t="inlineStr">
        <is>
          <t>Boston, MA,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in-75a80c8dfbfd218e</t>
        </is>
      </c>
      <c r="B11" t="inlineStr">
        <is>
          <t>Sr. Applied Scientist, AGI Foundations</t>
        </is>
      </c>
      <c r="C11" t="inlineStr">
        <is>
          <t>Amazon.com</t>
        </is>
      </c>
      <c r="D11" t="inlineStr">
        <is>
          <t>indeed</t>
        </is>
      </c>
      <c r="E11" t="inlineStr"/>
      <c r="F11" t="inlineStr"/>
      <c r="G11" t="inlineStr">
        <is>
          <t>Bellevue, WA, US</t>
        </is>
      </c>
      <c r="H11" s="2"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in-0e81992729030a9c</t>
        </is>
      </c>
      <c r="B12" t="inlineStr">
        <is>
          <t>Applied Scientist II, Prime Video - Personalization and Discovery Science, Personalization and Discovery Science</t>
        </is>
      </c>
      <c r="C12" t="inlineStr">
        <is>
          <t>Amazon.com</t>
        </is>
      </c>
      <c r="D12" t="inlineStr">
        <is>
          <t>indeed</t>
        </is>
      </c>
      <c r="E12" t="inlineStr"/>
      <c r="F12" t="inlineStr"/>
      <c r="G12" t="inlineStr">
        <is>
          <t>Sunnyvale, CA,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in-9204d98be8516125</t>
        </is>
      </c>
      <c r="B13" t="inlineStr">
        <is>
          <t>Applied Scientist II, Prime Video - Personalization and Discovery Science, Personalization and Discovery Science</t>
        </is>
      </c>
      <c r="C13" t="inlineStr">
        <is>
          <t>Amazon.com</t>
        </is>
      </c>
      <c r="D13" t="inlineStr">
        <is>
          <t>indeed</t>
        </is>
      </c>
      <c r="E13" t="inlineStr"/>
      <c r="F13" t="inlineStr"/>
      <c r="G13" t="inlineStr">
        <is>
          <t>New York, NY,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in-8cb65a4eeadfd2c5</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in-62d8003b04955456</t>
        </is>
      </c>
      <c r="B15" t="inlineStr">
        <is>
          <t>Applied Scientist II, Prime Video - Personalization and Discovery Science</t>
        </is>
      </c>
      <c r="C15" t="inlineStr">
        <is>
          <t>Amazon.com</t>
        </is>
      </c>
      <c r="D15" t="inlineStr">
        <is>
          <t>indeed</t>
        </is>
      </c>
      <c r="E15" t="inlineStr"/>
      <c r="F15" t="inlineStr"/>
      <c r="G15" t="inlineStr">
        <is>
          <t>New York, NY,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in-01531174f786324e</t>
        </is>
      </c>
      <c r="B16" t="inlineStr">
        <is>
          <t>Applied Scientist II, Prime Video - Personalization and Discovery Science</t>
        </is>
      </c>
      <c r="C16" t="inlineStr">
        <is>
          <t>Amazon.com</t>
        </is>
      </c>
      <c r="D16" t="inlineStr">
        <is>
          <t>indeed</t>
        </is>
      </c>
      <c r="E16" t="inlineStr"/>
      <c r="F16" t="inlineStr"/>
      <c r="G16" t="inlineStr">
        <is>
          <t>Seattle, WA,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in-be2d3e6702d3e16c</t>
        </is>
      </c>
      <c r="B17" t="inlineStr">
        <is>
          <t>Sr. Applied Scientist, Prime Video - Personalization and Discovery Science</t>
        </is>
      </c>
      <c r="C17" t="inlineStr">
        <is>
          <t>Amazon.com</t>
        </is>
      </c>
      <c r="D17" t="inlineStr">
        <is>
          <t>indeed</t>
        </is>
      </c>
      <c r="E17" t="inlineStr"/>
      <c r="F17" t="inlineStr"/>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in-86c6ab81df99ddea</t>
        </is>
      </c>
      <c r="B18" t="inlineStr">
        <is>
          <t>Sr. Applied Scientist, Prime Video - Personalization and Discovery Science</t>
        </is>
      </c>
      <c r="C18" t="inlineStr">
        <is>
          <t>Amazon.com</t>
        </is>
      </c>
      <c r="D18" t="inlineStr">
        <is>
          <t>indeed</t>
        </is>
      </c>
      <c r="E18" t="inlineStr"/>
      <c r="F18" t="inlineStr"/>
      <c r="G18" t="inlineStr">
        <is>
          <t>Sunnyvale, CA,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in-47aac63d30b289dd</t>
        </is>
      </c>
      <c r="B19" t="inlineStr">
        <is>
          <t>Sr. Applied Scientist, Prime Video - Personalization and Discovery Science</t>
        </is>
      </c>
      <c r="C19" t="inlineStr">
        <is>
          <t>Amazon.com</t>
        </is>
      </c>
      <c r="D19" t="inlineStr">
        <is>
          <t>indeed</t>
        </is>
      </c>
      <c r="E19" t="inlineStr"/>
      <c r="F19" t="inlineStr"/>
      <c r="G19" t="inlineStr">
        <is>
          <t>Seattle, WA,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in-c668659d70bbd8df</t>
        </is>
      </c>
      <c r="B20" t="inlineStr">
        <is>
          <t>Applied Scientist II, Prime Video - Personalization and Discovery Science</t>
        </is>
      </c>
      <c r="C20" t="inlineStr">
        <is>
          <t>Amazon.com</t>
        </is>
      </c>
      <c r="D20" t="inlineStr">
        <is>
          <t>indeed</t>
        </is>
      </c>
      <c r="E20" t="inlineStr"/>
      <c r="F20" t="inlineStr"/>
      <c r="G20" t="inlineStr">
        <is>
          <t>Sunnyvale, CA,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in-6722f99f35c6423e</t>
        </is>
      </c>
      <c r="B21" t="inlineStr">
        <is>
          <t>Applied Scientist, Prime Video - Personalization and Discovery Science</t>
        </is>
      </c>
      <c r="C21" t="inlineStr">
        <is>
          <t>Amazon.com</t>
        </is>
      </c>
      <c r="D21" t="inlineStr">
        <is>
          <t>indeed</t>
        </is>
      </c>
      <c r="E21" t="inlineStr"/>
      <c r="F21" t="inlineStr"/>
      <c r="G21" t="inlineStr">
        <is>
          <t>Seattle, WA,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in-efd4a4c5e2bd2440</t>
        </is>
      </c>
      <c r="B22" t="inlineStr">
        <is>
          <t>Applied Scientist, Prime Video - Personalization and Discovery Science</t>
        </is>
      </c>
      <c r="C22" t="inlineStr">
        <is>
          <t>Amazon.com</t>
        </is>
      </c>
      <c r="D22" t="inlineStr">
        <is>
          <t>indeed</t>
        </is>
      </c>
      <c r="E22" t="inlineStr"/>
      <c r="F22" t="inlineStr"/>
      <c r="G22" t="inlineStr">
        <is>
          <t>Sunnyvale, CA, US</t>
        </is>
      </c>
      <c r="H22" s="2" t="n">
        <v>45845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in-3af2e4ff17804442</t>
        </is>
      </c>
      <c r="B23" t="inlineStr">
        <is>
          <t>Applied Scientist, Prime Video - Personalization and Discovery Science</t>
        </is>
      </c>
      <c r="C23" t="inlineStr">
        <is>
          <t>Amazon.com</t>
        </is>
      </c>
      <c r="D23" t="inlineStr">
        <is>
          <t>indeed</t>
        </is>
      </c>
      <c r="E23" t="inlineStr"/>
      <c r="F23" t="inlineStr"/>
      <c r="G23" t="inlineStr">
        <is>
          <t>New York, NY, US</t>
        </is>
      </c>
      <c r="H23" s="2" t="n">
        <v>45845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in-552bc98120e30ade</t>
        </is>
      </c>
      <c r="B24" t="inlineStr">
        <is>
          <t>Applied Scientist, Denied Party Screening, AWS Compliance &amp; Security Assurance</t>
        </is>
      </c>
      <c r="C24" t="inlineStr">
        <is>
          <t>Amazon.com</t>
        </is>
      </c>
      <c r="D24" t="inlineStr">
        <is>
          <t>indeed</t>
        </is>
      </c>
      <c r="E24" t="inlineStr"/>
      <c r="F24" t="inlineStr"/>
      <c r="G24" t="inlineStr">
        <is>
          <t>Seattle, WA, US</t>
        </is>
      </c>
      <c r="H24" s="2" t="n">
        <v>46027</v>
      </c>
      <c r="I24"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5">
      <c r="A25" t="inlineStr">
        <is>
          <t>in-5258f986877bef84</t>
        </is>
      </c>
      <c r="B25" t="inlineStr">
        <is>
          <t>Applied Scientist, Denied Party Screening, AWS Compliance &amp; Security Assurance</t>
        </is>
      </c>
      <c r="C25" t="inlineStr">
        <is>
          <t>Amazon.com</t>
        </is>
      </c>
      <c r="D25" t="inlineStr">
        <is>
          <t>indeed</t>
        </is>
      </c>
      <c r="E25" t="inlineStr"/>
      <c r="F25" t="inlineStr"/>
      <c r="G25" t="inlineStr">
        <is>
          <t>Dallas, TX, US</t>
        </is>
      </c>
      <c r="H25" s="2" t="n">
        <v>46027</v>
      </c>
      <c r="I25"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6">
      <c r="A26" t="inlineStr">
        <is>
          <t>in-9e7dcd94583c79df</t>
        </is>
      </c>
      <c r="B26" t="inlineStr">
        <is>
          <t>Senior Applied Scientist, Amazon Industrial Robotics</t>
        </is>
      </c>
      <c r="C26" t="inlineStr">
        <is>
          <t>Amazon.com</t>
        </is>
      </c>
      <c r="D26" t="inlineStr">
        <is>
          <t>indeed</t>
        </is>
      </c>
      <c r="E26" t="inlineStr"/>
      <c r="F26" t="inlineStr"/>
      <c r="G26" t="inlineStr">
        <is>
          <t>Reading, MA, US</t>
        </is>
      </c>
      <c r="H26" s="2" t="n">
        <v>46027</v>
      </c>
      <c r="I2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7">
      <c r="A27" t="inlineStr">
        <is>
          <t>in-31d4f6688577293b</t>
        </is>
      </c>
      <c r="B27" t="inlineStr">
        <is>
          <t>Senior Applied Scientist, Dexterous Manipulation , Amazon Industrial Robotics</t>
        </is>
      </c>
      <c r="C27" t="inlineStr">
        <is>
          <t>Amazon.com</t>
        </is>
      </c>
      <c r="D27" t="inlineStr">
        <is>
          <t>indeed</t>
        </is>
      </c>
      <c r="E27" t="inlineStr"/>
      <c r="F27" t="inlineStr"/>
      <c r="G27" t="inlineStr">
        <is>
          <t>Reading, MA, US</t>
        </is>
      </c>
      <c r="H27" s="2" t="n">
        <v>46027</v>
      </c>
      <c r="I2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8">
      <c r="A28" t="inlineStr">
        <is>
          <t>in-d9598d52717f269d</t>
        </is>
      </c>
      <c r="B28" t="inlineStr">
        <is>
          <t>Senior Applied Scientist, Amazon Industrial Robotics</t>
        </is>
      </c>
      <c r="C28" t="inlineStr">
        <is>
          <t>Amazon.com</t>
        </is>
      </c>
      <c r="D28" t="inlineStr">
        <is>
          <t>indeed</t>
        </is>
      </c>
      <c r="E28" t="inlineStr"/>
      <c r="F28" t="inlineStr"/>
      <c r="G28" t="inlineStr">
        <is>
          <t>Reading, MA, US</t>
        </is>
      </c>
      <c r="H28" s="2" t="n">
        <v>46027</v>
      </c>
      <c r="I2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in-239bc9ad2bb96917</t>
        </is>
      </c>
      <c r="B29" t="inlineStr">
        <is>
          <t>Senior Applied Scientist, Dexterous Manipulation , Amazon Industrial Robotics</t>
        </is>
      </c>
      <c r="C29" t="inlineStr">
        <is>
          <t>Amazon.com</t>
        </is>
      </c>
      <c r="D29" t="inlineStr">
        <is>
          <t>indeed</t>
        </is>
      </c>
      <c r="E29" t="inlineStr"/>
      <c r="F29" t="inlineStr"/>
      <c r="G29" t="inlineStr">
        <is>
          <t>Reading, MA, US</t>
        </is>
      </c>
      <c r="H29" s="2" t="n">
        <v>46027</v>
      </c>
      <c r="I2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
      <c r="A30" t="inlineStr">
        <is>
          <t>in-3f0a436dd41f2d09</t>
        </is>
      </c>
      <c r="B30" t="inlineStr">
        <is>
          <t>Applied Scientist, Amazon Special Projects</t>
        </is>
      </c>
      <c r="C30" t="inlineStr">
        <is>
          <t>Amazon.com</t>
        </is>
      </c>
      <c r="D30" t="inlineStr">
        <is>
          <t>indeed</t>
        </is>
      </c>
      <c r="E30" t="inlineStr"/>
      <c r="F30" t="inlineStr"/>
      <c r="G30" t="inlineStr">
        <is>
          <t>Boston, MA, US</t>
        </is>
      </c>
      <c r="H30" s="2" t="n">
        <v>46026</v>
      </c>
      <c r="I3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in-71aea0dfb31b23e6</t>
        </is>
      </c>
      <c r="B31" t="inlineStr">
        <is>
          <t>Applied Scientist, Amazon Special Projects</t>
        </is>
      </c>
      <c r="C31" t="inlineStr">
        <is>
          <t>Amazon.com</t>
        </is>
      </c>
      <c r="D31" t="inlineStr">
        <is>
          <t>indeed</t>
        </is>
      </c>
      <c r="E31" t="inlineStr"/>
      <c r="F31" t="inlineStr"/>
      <c r="G31" t="inlineStr">
        <is>
          <t>Seattle, WA, US</t>
        </is>
      </c>
      <c r="H31" s="2" t="n">
        <v>46026</v>
      </c>
      <c r="I3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in-9ceabf3928ee12fb</t>
        </is>
      </c>
      <c r="B32" t="inlineStr">
        <is>
          <t>Applied Scientist, Last Mile Delivery Automation</t>
        </is>
      </c>
      <c r="C32" t="inlineStr">
        <is>
          <t>Amazon.com</t>
        </is>
      </c>
      <c r="D32" t="inlineStr">
        <is>
          <t>indeed</t>
        </is>
      </c>
      <c r="E32" t="inlineStr"/>
      <c r="F32" t="inlineStr"/>
      <c r="G32" t="inlineStr">
        <is>
          <t>Santa Clara, CA, US</t>
        </is>
      </c>
      <c r="H32" s="2" t="n">
        <v>46026</v>
      </c>
      <c r="I3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in-ad610856b6df7ebe</t>
        </is>
      </c>
      <c r="B33" t="inlineStr">
        <is>
          <t>Applied Scientist, Last Mile Delivery Automation</t>
        </is>
      </c>
      <c r="C33" t="inlineStr">
        <is>
          <t>Amazon.com</t>
        </is>
      </c>
      <c r="D33" t="inlineStr">
        <is>
          <t>indeed</t>
        </is>
      </c>
      <c r="E33" t="inlineStr"/>
      <c r="F33" t="inlineStr"/>
      <c r="G33" t="inlineStr">
        <is>
          <t>Bellevue, WA, US</t>
        </is>
      </c>
      <c r="H33" s="2" t="n">
        <v>46026</v>
      </c>
      <c r="I3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in-f5f9e41a272d3432</t>
        </is>
      </c>
      <c r="B34" t="inlineStr">
        <is>
          <t>Senior Applied Scientist, Distributed SQL</t>
        </is>
      </c>
      <c r="C34" t="inlineStr">
        <is>
          <t>Amazon Web Services</t>
        </is>
      </c>
      <c r="D34" t="inlineStr">
        <is>
          <t>indeed</t>
        </is>
      </c>
      <c r="E34" t="inlineStr"/>
      <c r="F34" t="inlineStr"/>
      <c r="G34" t="inlineStr">
        <is>
          <t>East Palo Alto, CA, US</t>
        </is>
      </c>
      <c r="H34" s="2" t="n">
        <v>46012</v>
      </c>
      <c r="I3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5">
      <c r="A35" t="inlineStr">
        <is>
          <t>in-d82d73d4c5b0c592</t>
        </is>
      </c>
      <c r="B35" t="inlineStr">
        <is>
          <t>Senior Applied Scientist, Distributed SQL</t>
        </is>
      </c>
      <c r="C35" t="inlineStr">
        <is>
          <t>Amazon Web Services</t>
        </is>
      </c>
      <c r="D35" t="inlineStr">
        <is>
          <t>indeed</t>
        </is>
      </c>
      <c r="E35" t="inlineStr"/>
      <c r="F35" t="inlineStr"/>
      <c r="G35" t="inlineStr">
        <is>
          <t>Seattle, WA, US</t>
        </is>
      </c>
      <c r="H35" s="2" t="n">
        <v>46012</v>
      </c>
      <c r="I3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6">
      <c r="A36" t="inlineStr">
        <is>
          <t>in-0c2ffa6252b9c1af</t>
        </is>
      </c>
      <c r="B36" t="inlineStr">
        <is>
          <t>Sr. Applied Scientist, Amazon Ads</t>
        </is>
      </c>
      <c r="C36" t="inlineStr">
        <is>
          <t>Amazon.com</t>
        </is>
      </c>
      <c r="D36" t="inlineStr">
        <is>
          <t>indeed</t>
        </is>
      </c>
      <c r="E36" t="inlineStr"/>
      <c r="F36" t="inlineStr"/>
      <c r="G36" t="inlineStr">
        <is>
          <t>Boston, MA,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in-2f5c23cfb75785b1</t>
        </is>
      </c>
      <c r="B37" t="inlineStr">
        <is>
          <t>Sr. Applied Scientist, Amazon Ads</t>
        </is>
      </c>
      <c r="C37" t="inlineStr">
        <is>
          <t>Amazon.com</t>
        </is>
      </c>
      <c r="D37" t="inlineStr">
        <is>
          <t>indeed</t>
        </is>
      </c>
      <c r="E37" t="inlineStr"/>
      <c r="F37" t="inlineStr"/>
      <c r="G37" t="inlineStr">
        <is>
          <t>Sunnyvale,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in-b3d646875961f203</t>
        </is>
      </c>
      <c r="B38" t="inlineStr">
        <is>
          <t>Sr. Applied Scientist, Amazon Ads</t>
        </is>
      </c>
      <c r="C38" t="inlineStr">
        <is>
          <t>Amazon.com</t>
        </is>
      </c>
      <c r="D38" t="inlineStr">
        <is>
          <t>indeed</t>
        </is>
      </c>
      <c r="E38" t="inlineStr"/>
      <c r="F38" t="inlineStr"/>
      <c r="G38" t="inlineStr">
        <is>
          <t>Palo Alto, CA,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in-4fc3bffb9279022a</t>
        </is>
      </c>
      <c r="B39" t="inlineStr">
        <is>
          <t>Sr. Applied Scientist, Amazon Ads</t>
        </is>
      </c>
      <c r="C39" t="inlineStr">
        <is>
          <t>Amazon.com</t>
        </is>
      </c>
      <c r="D39" t="inlineStr">
        <is>
          <t>indeed</t>
        </is>
      </c>
      <c r="E39" t="inlineStr"/>
      <c r="F39" t="inlineStr"/>
      <c r="G39" t="inlineStr">
        <is>
          <t>New York, NY,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in-45ef1d55b4ff5705</t>
        </is>
      </c>
      <c r="B40" t="inlineStr">
        <is>
          <t>Sr. Applied Scientist, Amazon Ads</t>
        </is>
      </c>
      <c r="C40" t="inlineStr">
        <is>
          <t>Amazon.com</t>
        </is>
      </c>
      <c r="D40" t="inlineStr">
        <is>
          <t>indeed</t>
        </is>
      </c>
      <c r="E40" t="inlineStr"/>
      <c r="F40" t="inlineStr"/>
      <c r="G40" t="inlineStr">
        <is>
          <t>Corvallis, OR,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in-bcaeb8322bf0f34d</t>
        </is>
      </c>
      <c r="B41" t="inlineStr">
        <is>
          <t>Sr. Applied Scientist, Amazon Ads</t>
        </is>
      </c>
      <c r="C41" t="inlineStr">
        <is>
          <t>Amazon.com</t>
        </is>
      </c>
      <c r="D41" t="inlineStr">
        <is>
          <t>indeed</t>
        </is>
      </c>
      <c r="E41" t="inlineStr"/>
      <c r="F41" t="inlineStr"/>
      <c r="G41" t="inlineStr">
        <is>
          <t>Santa Monica, CA,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in-6133d4e0a1520b89</t>
        </is>
      </c>
      <c r="B42" t="inlineStr">
        <is>
          <t>Sr. Applied Scientist, Amazon Ads</t>
        </is>
      </c>
      <c r="C42" t="inlineStr">
        <is>
          <t>Amazon.com</t>
        </is>
      </c>
      <c r="D42" t="inlineStr">
        <is>
          <t>indeed</t>
        </is>
      </c>
      <c r="E42" t="inlineStr"/>
      <c r="F42" t="inlineStr"/>
      <c r="G42" t="inlineStr">
        <is>
          <t>Brooklyn, NY,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in-7d83dbe8f41d1bc3</t>
        </is>
      </c>
      <c r="B43" t="inlineStr">
        <is>
          <t>Sr. Applied Scientist, Amazon Ads</t>
        </is>
      </c>
      <c r="C43" t="inlineStr">
        <is>
          <t>Amazon.com</t>
        </is>
      </c>
      <c r="D43" t="inlineStr">
        <is>
          <t>indeed</t>
        </is>
      </c>
      <c r="E43" t="inlineStr"/>
      <c r="F43" t="inlineStr"/>
      <c r="G43" t="inlineStr">
        <is>
          <t>Boulder, CO, US</t>
        </is>
      </c>
      <c r="H43" s="2"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in-307bb0e5a89a9061</t>
        </is>
      </c>
      <c r="B44" t="inlineStr">
        <is>
          <t>Sr. Applied Scientist, Amazon Ads</t>
        </is>
      </c>
      <c r="C44" t="inlineStr">
        <is>
          <t>Amazon.com</t>
        </is>
      </c>
      <c r="D44" t="inlineStr">
        <is>
          <t>indeed</t>
        </is>
      </c>
      <c r="E44" t="inlineStr"/>
      <c r="F44" t="inlineStr"/>
      <c r="G44" t="inlineStr">
        <is>
          <t>Seattle, WA,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in-333c30e08c4151c7</t>
        </is>
      </c>
      <c r="B45" t="inlineStr">
        <is>
          <t>Sr. Applied Scientist, Amazon Ads</t>
        </is>
      </c>
      <c r="C45" t="inlineStr">
        <is>
          <t>Amazon.com</t>
        </is>
      </c>
      <c r="D45" t="inlineStr">
        <is>
          <t>indeed</t>
        </is>
      </c>
      <c r="E45" t="inlineStr"/>
      <c r="F45" t="inlineStr"/>
      <c r="G45" t="inlineStr">
        <is>
          <t>Tukwila, WA, US</t>
        </is>
      </c>
      <c r="H45" s="2"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in-f981e971e5fd9384</t>
        </is>
      </c>
      <c r="B46" t="inlineStr">
        <is>
          <t>Applied Scientist, ML Compiler</t>
        </is>
      </c>
      <c r="C46" t="inlineStr">
        <is>
          <t>Amazon Web Services</t>
        </is>
      </c>
      <c r="D46" t="inlineStr">
        <is>
          <t>indeed</t>
        </is>
      </c>
      <c r="E46" t="inlineStr"/>
      <c r="F46" t="inlineStr"/>
      <c r="G46" t="inlineStr">
        <is>
          <t>Cupertino, CA, US</t>
        </is>
      </c>
      <c r="H46" s="2" t="n">
        <v>45993</v>
      </c>
      <c r="I4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in-96cb5aad6b9c9f33</t>
        </is>
      </c>
      <c r="B47" t="inlineStr">
        <is>
          <t>Applied Scientist, ML Compiler</t>
        </is>
      </c>
      <c r="C47" t="inlineStr">
        <is>
          <t>Amazon Web Services</t>
        </is>
      </c>
      <c r="D47" t="inlineStr">
        <is>
          <t>indeed</t>
        </is>
      </c>
      <c r="E47" t="inlineStr"/>
      <c r="F47" t="inlineStr"/>
      <c r="G47" t="inlineStr">
        <is>
          <t>Seattle, WA, US</t>
        </is>
      </c>
      <c r="H47" s="2" t="n">
        <v>45993</v>
      </c>
      <c r="I47"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in-183732ef4634bdb9</t>
        </is>
      </c>
      <c r="B48" t="inlineStr">
        <is>
          <t>Senior Data Scientist, Data and Machine Learning, WWPS US Federal</t>
        </is>
      </c>
      <c r="C48" t="inlineStr">
        <is>
          <t>Amazon Web Services</t>
        </is>
      </c>
      <c r="D48" t="inlineStr">
        <is>
          <t>indeed</t>
        </is>
      </c>
      <c r="E48" t="inlineStr"/>
      <c r="F48" t="inlineStr"/>
      <c r="G48" t="inlineStr">
        <is>
          <t>Herndon, VA, US</t>
        </is>
      </c>
      <c r="H48" s="2" t="n">
        <v>45993</v>
      </c>
      <c r="I4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9">
      <c r="A49" t="inlineStr">
        <is>
          <t>in-8eeaab35b623af24</t>
        </is>
      </c>
      <c r="B49" t="inlineStr">
        <is>
          <t>Senior Data Scientist, Data and Machine Learning, WWPS US Federal</t>
        </is>
      </c>
      <c r="C49" t="inlineStr">
        <is>
          <t>Amazon Web Services</t>
        </is>
      </c>
      <c r="D49" t="inlineStr">
        <is>
          <t>indeed</t>
        </is>
      </c>
      <c r="E49" t="inlineStr"/>
      <c r="F49" t="inlineStr"/>
      <c r="G49" t="inlineStr">
        <is>
          <t>Jessup, MD, US</t>
        </is>
      </c>
      <c r="H49" s="2" t="n">
        <v>45993</v>
      </c>
      <c r="I4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0">
      <c r="A50" t="inlineStr">
        <is>
          <t>in-77bfabfe39422fb2</t>
        </is>
      </c>
      <c r="B50" t="inlineStr">
        <is>
          <t>Senior Data Scientist, Data and Machine Learning, WWPS US Federal</t>
        </is>
      </c>
      <c r="C50" t="inlineStr">
        <is>
          <t>Amazon Web Services</t>
        </is>
      </c>
      <c r="D50" t="inlineStr">
        <is>
          <t>indeed</t>
        </is>
      </c>
      <c r="E50" t="inlineStr"/>
      <c r="F50" t="inlineStr"/>
      <c r="G50" t="inlineStr">
        <is>
          <t>Arlington, VA, US</t>
        </is>
      </c>
      <c r="H50" s="2" t="n">
        <v>45993</v>
      </c>
      <c r="I5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1">
      <c r="A51" t="inlineStr">
        <is>
          <t>in-6558f4f094fd2cf2</t>
        </is>
      </c>
      <c r="B51" t="inlineStr">
        <is>
          <t>Data Scientist, Data and Machine Learning, WWPS US Federal</t>
        </is>
      </c>
      <c r="C51" t="inlineStr">
        <is>
          <t>Amazon Web Services</t>
        </is>
      </c>
      <c r="D51" t="inlineStr">
        <is>
          <t>indeed</t>
        </is>
      </c>
      <c r="E51" t="inlineStr"/>
      <c r="F51" t="inlineStr"/>
      <c r="G51" t="inlineStr">
        <is>
          <t>Arlington, VA, US</t>
        </is>
      </c>
      <c r="H51" s="2" t="n">
        <v>45993</v>
      </c>
      <c r="I5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2">
      <c r="A52" t="inlineStr">
        <is>
          <t>in-c8717b03236268e6</t>
        </is>
      </c>
      <c r="B52" t="inlineStr">
        <is>
          <t>Senior Data Scientist, Data and Machine Learning, WWPS US Federal</t>
        </is>
      </c>
      <c r="C52" t="inlineStr">
        <is>
          <t>Amazon Web Services</t>
        </is>
      </c>
      <c r="D52" t="inlineStr">
        <is>
          <t>indeed</t>
        </is>
      </c>
      <c r="E52" t="inlineStr"/>
      <c r="F52" t="inlineStr"/>
      <c r="G52" t="inlineStr">
        <is>
          <t>Denver, CO, US</t>
        </is>
      </c>
      <c r="H52" s="2" t="n">
        <v>45993</v>
      </c>
      <c r="I5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3">
      <c r="A53" t="inlineStr">
        <is>
          <t>in-d08f48ec830ae0c7</t>
        </is>
      </c>
      <c r="B53" t="inlineStr">
        <is>
          <t>Senior Data Scientist, Data and Machine Learning, WWPS US Federal</t>
        </is>
      </c>
      <c r="C53" t="inlineStr">
        <is>
          <t>Amazon Web Services</t>
        </is>
      </c>
      <c r="D53" t="inlineStr">
        <is>
          <t>indeed</t>
        </is>
      </c>
      <c r="E53" t="inlineStr"/>
      <c r="F53" t="inlineStr"/>
      <c r="G53" t="inlineStr">
        <is>
          <t>St. Louis, MO, US</t>
        </is>
      </c>
      <c r="H53" s="2" t="n">
        <v>45993</v>
      </c>
      <c r="I5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4">
      <c r="A54" t="inlineStr">
        <is>
          <t>in-8d955cf44a5b5119</t>
        </is>
      </c>
      <c r="B54" t="inlineStr">
        <is>
          <t>Data Scientist, Data and Machine Learning, WWPS US Federal</t>
        </is>
      </c>
      <c r="C54" t="inlineStr">
        <is>
          <t>Amazon Web Services</t>
        </is>
      </c>
      <c r="D54" t="inlineStr">
        <is>
          <t>indeed</t>
        </is>
      </c>
      <c r="E54" t="inlineStr"/>
      <c r="F54" t="inlineStr"/>
      <c r="G54" t="inlineStr">
        <is>
          <t>Jessup, MD, US</t>
        </is>
      </c>
      <c r="H54" s="2" t="n">
        <v>45993</v>
      </c>
      <c r="I5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5">
      <c r="A55" t="inlineStr">
        <is>
          <t>in-f8158b16eae39ac8</t>
        </is>
      </c>
      <c r="B55" t="inlineStr">
        <is>
          <t>Data Scientist, Data and Machine Learning, WWPS US Federal</t>
        </is>
      </c>
      <c r="C55" t="inlineStr">
        <is>
          <t>Amazon Web Services</t>
        </is>
      </c>
      <c r="D55" t="inlineStr">
        <is>
          <t>indeed</t>
        </is>
      </c>
      <c r="E55" t="inlineStr"/>
      <c r="F55" t="inlineStr"/>
      <c r="G55" t="inlineStr">
        <is>
          <t>Denver, CO, US</t>
        </is>
      </c>
      <c r="H55" s="2" t="n">
        <v>45993</v>
      </c>
      <c r="I5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6">
      <c r="A56" t="inlineStr">
        <is>
          <t>in-5cf2ff53462c6d8a</t>
        </is>
      </c>
      <c r="B56" t="inlineStr">
        <is>
          <t>Data Scientist, Data and Machine Learning, WWPS US Federal</t>
        </is>
      </c>
      <c r="C56" t="inlineStr">
        <is>
          <t>Amazon Web Services</t>
        </is>
      </c>
      <c r="D56" t="inlineStr">
        <is>
          <t>indeed</t>
        </is>
      </c>
      <c r="E56" t="inlineStr"/>
      <c r="F56" t="inlineStr"/>
      <c r="G56" t="inlineStr">
        <is>
          <t>Herndon, VA, US</t>
        </is>
      </c>
      <c r="H56" s="2" t="n">
        <v>45993</v>
      </c>
      <c r="I5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7">
      <c r="A57" t="inlineStr">
        <is>
          <t>in-13a01853c41dd8ff</t>
        </is>
      </c>
      <c r="B57" t="inlineStr">
        <is>
          <t>Data Scientist, Data and Machine Learning, WWPS US Federal</t>
        </is>
      </c>
      <c r="C57" t="inlineStr">
        <is>
          <t>Amazon Web Services</t>
        </is>
      </c>
      <c r="D57" t="inlineStr">
        <is>
          <t>indeed</t>
        </is>
      </c>
      <c r="E57" t="inlineStr"/>
      <c r="F57" t="inlineStr"/>
      <c r="G57" t="inlineStr">
        <is>
          <t>St. Louis, MO, US</t>
        </is>
      </c>
      <c r="H57" s="2" t="n">
        <v>45993</v>
      </c>
      <c r="I5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8">
      <c r="A58" t="inlineStr">
        <is>
          <t>in-02155d94f261bd53</t>
        </is>
      </c>
      <c r="B58" t="inlineStr">
        <is>
          <t>Senior Applied Scientist, Locomotion, Amazon Industrial Robotics</t>
        </is>
      </c>
      <c r="C58" t="inlineStr">
        <is>
          <t>Amazon.com</t>
        </is>
      </c>
      <c r="D58" t="inlineStr">
        <is>
          <t>indeed</t>
        </is>
      </c>
      <c r="E58" t="inlineStr"/>
      <c r="F58" t="inlineStr"/>
      <c r="G58" t="inlineStr">
        <is>
          <t>Reading, MA, US</t>
        </is>
      </c>
      <c r="H58" s="2" t="n">
        <v>45992</v>
      </c>
      <c r="I5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in-cb213a31aa286dd3</t>
        </is>
      </c>
      <c r="B59" t="inlineStr">
        <is>
          <t>Senior Applied Scientist, Locomotion, Amazon Industrial Robotics</t>
        </is>
      </c>
      <c r="C59" t="inlineStr">
        <is>
          <t>Amazon.com</t>
        </is>
      </c>
      <c r="D59" t="inlineStr">
        <is>
          <t>indeed</t>
        </is>
      </c>
      <c r="E59" t="inlineStr"/>
      <c r="F59" t="inlineStr"/>
      <c r="G59" t="inlineStr">
        <is>
          <t>Reading, MA, US</t>
        </is>
      </c>
      <c r="H59" s="2" t="n">
        <v>45992</v>
      </c>
      <c r="I5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in-2192ff28b54cf973</t>
        </is>
      </c>
      <c r="B60" t="inlineStr">
        <is>
          <t>Principal Applied Scientist, Amazon Special Projects</t>
        </is>
      </c>
      <c r="C60" t="inlineStr">
        <is>
          <t>Amazon.com</t>
        </is>
      </c>
      <c r="D60" t="inlineStr">
        <is>
          <t>indeed</t>
        </is>
      </c>
      <c r="E60" t="inlineStr"/>
      <c r="F60" t="inlineStr"/>
      <c r="G60" t="inlineStr">
        <is>
          <t>Boston, MA, US</t>
        </is>
      </c>
      <c r="H60" s="2" t="n">
        <v>45982</v>
      </c>
      <c r="I6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in-b11f9bd594854b8b</t>
        </is>
      </c>
      <c r="B61" t="inlineStr">
        <is>
          <t>Principal Applied Scientist, Amazon Special Projects</t>
        </is>
      </c>
      <c r="C61" t="inlineStr">
        <is>
          <t>Amazon.com</t>
        </is>
      </c>
      <c r="D61" t="inlineStr">
        <is>
          <t>indeed</t>
        </is>
      </c>
      <c r="E61" t="inlineStr"/>
      <c r="F61" t="inlineStr"/>
      <c r="G61" t="inlineStr">
        <is>
          <t>Seattle, WA, US</t>
        </is>
      </c>
      <c r="H61" s="2" t="n">
        <v>45982</v>
      </c>
      <c r="I6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in-39e27936ced04444</t>
        </is>
      </c>
      <c r="B62" t="inlineStr">
        <is>
          <t>Senior Applied Scientist, Artificial General Intelligence</t>
        </is>
      </c>
      <c r="C62" t="inlineStr">
        <is>
          <t>Amazon.com</t>
        </is>
      </c>
      <c r="D62" t="inlineStr">
        <is>
          <t>indeed</t>
        </is>
      </c>
      <c r="E62" t="inlineStr"/>
      <c r="F62" t="inlineStr"/>
      <c r="G62" t="inlineStr">
        <is>
          <t>New York, NY, US</t>
        </is>
      </c>
      <c r="H62" s="2" t="n">
        <v>45980</v>
      </c>
      <c r="I6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in-5f51c12af25ab655</t>
        </is>
      </c>
      <c r="B63" t="inlineStr">
        <is>
          <t>Senior Applied Scientist, Artificial General Intelligence</t>
        </is>
      </c>
      <c r="C63" t="inlineStr">
        <is>
          <t>Amazon.com</t>
        </is>
      </c>
      <c r="D63" t="inlineStr">
        <is>
          <t>indeed</t>
        </is>
      </c>
      <c r="E63" t="inlineStr"/>
      <c r="F63" t="inlineStr"/>
      <c r="G63" t="inlineStr">
        <is>
          <t>Seattle, WA, US</t>
        </is>
      </c>
      <c r="H63" s="2" t="n">
        <v>45980</v>
      </c>
      <c r="I6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in-cea9c97eeb5c2e64</t>
        </is>
      </c>
      <c r="B64" t="inlineStr">
        <is>
          <t>Senior Applied Scientist, Artificial General Intelligence</t>
        </is>
      </c>
      <c r="C64" t="inlineStr">
        <is>
          <t>Amazon.com</t>
        </is>
      </c>
      <c r="D64" t="inlineStr">
        <is>
          <t>indeed</t>
        </is>
      </c>
      <c r="E64" t="inlineStr"/>
      <c r="F64" t="inlineStr"/>
      <c r="G64" t="inlineStr">
        <is>
          <t>Sunnyvale, CA, US</t>
        </is>
      </c>
      <c r="H64" s="2" t="n">
        <v>45980</v>
      </c>
      <c r="I6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in-dd4eac3b26de0219</t>
        </is>
      </c>
      <c r="B65" t="inlineStr">
        <is>
          <t>Senior Applied Scientist, Artificial General Intelligence</t>
        </is>
      </c>
      <c r="C65" t="inlineStr">
        <is>
          <t>Amazon.com</t>
        </is>
      </c>
      <c r="D65" t="inlineStr">
        <is>
          <t>indeed</t>
        </is>
      </c>
      <c r="E65" t="inlineStr"/>
      <c r="F65" t="inlineStr"/>
      <c r="G65" t="inlineStr">
        <is>
          <t>Boston, MA, US</t>
        </is>
      </c>
      <c r="H65" s="2" t="n">
        <v>45980</v>
      </c>
      <c r="I6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in-364c40b9dc93c157</t>
        </is>
      </c>
      <c r="B66" t="inlineStr">
        <is>
          <t>Applied Scientist II, SPB Advertiser Guidance</t>
        </is>
      </c>
      <c r="C66" t="inlineStr">
        <is>
          <t>Amazon.com</t>
        </is>
      </c>
      <c r="D66" t="inlineStr">
        <is>
          <t>indeed</t>
        </is>
      </c>
      <c r="E66" t="inlineStr"/>
      <c r="F66" t="inlineStr"/>
      <c r="G66" t="inlineStr">
        <is>
          <t>Seattle, WA, US</t>
        </is>
      </c>
      <c r="H66" s="2" t="n">
        <v>45980</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in-a3fca1594c2493ca</t>
        </is>
      </c>
      <c r="B67" t="inlineStr">
        <is>
          <t>Applied Scientist II, SPB Advertiser Guidance</t>
        </is>
      </c>
      <c r="C67" t="inlineStr">
        <is>
          <t>Amazon.com</t>
        </is>
      </c>
      <c r="D67" t="inlineStr">
        <is>
          <t>indeed</t>
        </is>
      </c>
      <c r="E67" t="inlineStr"/>
      <c r="F67" t="inlineStr"/>
      <c r="G67" t="inlineStr">
        <is>
          <t>Palo Alto, CA, US</t>
        </is>
      </c>
      <c r="H67" s="2" t="n">
        <v>45980</v>
      </c>
      <c r="I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in-9cf3139910515fc0</t>
        </is>
      </c>
      <c r="B68" t="inlineStr">
        <is>
          <t>Applied Scientist II, SPB Advertiser Guidance</t>
        </is>
      </c>
      <c r="C68" t="inlineStr">
        <is>
          <t>Amazon.com</t>
        </is>
      </c>
      <c r="D68" t="inlineStr">
        <is>
          <t>indeed</t>
        </is>
      </c>
      <c r="E68" t="inlineStr"/>
      <c r="F68" t="inlineStr"/>
      <c r="G68" t="inlineStr">
        <is>
          <t>New York, NY, US</t>
        </is>
      </c>
      <c r="H68" s="2" t="n">
        <v>45980</v>
      </c>
      <c r="I6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in-a5371749dd0f1eec</t>
        </is>
      </c>
      <c r="B69" t="inlineStr">
        <is>
          <t>Principal Applied Scientist, Sponsored Products and Brands</t>
        </is>
      </c>
      <c r="C69" t="inlineStr">
        <is>
          <t>Amazon.com</t>
        </is>
      </c>
      <c r="D69" t="inlineStr">
        <is>
          <t>indeed</t>
        </is>
      </c>
      <c r="E69" t="inlineStr"/>
      <c r="F69" t="inlineStr"/>
      <c r="G69" t="inlineStr">
        <is>
          <t>Seattle, WA, US</t>
        </is>
      </c>
      <c r="H69" s="2" t="n">
        <v>45979</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in-e7c124e1950fecca</t>
        </is>
      </c>
      <c r="B70" t="inlineStr">
        <is>
          <t>Principal Applied Scientist, Sponsored Products and Brands</t>
        </is>
      </c>
      <c r="C70" t="inlineStr">
        <is>
          <t>Amazon.com</t>
        </is>
      </c>
      <c r="D70" t="inlineStr">
        <is>
          <t>indeed</t>
        </is>
      </c>
      <c r="E70" t="inlineStr"/>
      <c r="F70" t="inlineStr"/>
      <c r="G70" t="inlineStr">
        <is>
          <t>New York, NY, US</t>
        </is>
      </c>
      <c r="H70" s="2" t="n">
        <v>45979</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in-fbc74906a7d62f17</t>
        </is>
      </c>
      <c r="B71" t="inlineStr">
        <is>
          <t>Applied Scientist, Personalization, DTx Science</t>
        </is>
      </c>
      <c r="C71" t="inlineStr">
        <is>
          <t>Amazon.com</t>
        </is>
      </c>
      <c r="D71" t="inlineStr">
        <is>
          <t>indeed</t>
        </is>
      </c>
      <c r="E71" t="inlineStr"/>
      <c r="F71" t="inlineStr"/>
      <c r="G71" t="inlineStr">
        <is>
          <t>Seattle, WA, US</t>
        </is>
      </c>
      <c r="H71" s="2" t="n">
        <v>45979</v>
      </c>
      <c r="I7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2">
      <c r="A72" t="inlineStr">
        <is>
          <t>in-18fc08f16b7db9a3</t>
        </is>
      </c>
      <c r="B72" t="inlineStr">
        <is>
          <t>Applied Scientist, Personalization, DTx Science</t>
        </is>
      </c>
      <c r="C72" t="inlineStr">
        <is>
          <t>Amazon.com</t>
        </is>
      </c>
      <c r="D72" t="inlineStr">
        <is>
          <t>indeed</t>
        </is>
      </c>
      <c r="E72" t="inlineStr"/>
      <c r="F72" t="inlineStr"/>
      <c r="G72" t="inlineStr">
        <is>
          <t>New York, NY, US</t>
        </is>
      </c>
      <c r="H72" s="2" t="n">
        <v>45979</v>
      </c>
      <c r="I7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3">
      <c r="A73" t="inlineStr">
        <is>
          <t>in-14a4b2e2ada26fad</t>
        </is>
      </c>
      <c r="B73" t="inlineStr">
        <is>
          <t>Sr. Applied Scientist, AGI Foundations</t>
        </is>
      </c>
      <c r="C73" t="inlineStr">
        <is>
          <t>Amazon.com</t>
        </is>
      </c>
      <c r="D73" t="inlineStr">
        <is>
          <t>indeed</t>
        </is>
      </c>
      <c r="E73" t="inlineStr"/>
      <c r="F73" t="inlineStr"/>
      <c r="G73" t="inlineStr">
        <is>
          <t>Bellevue, WA, US</t>
        </is>
      </c>
      <c r="H73" s="2" t="n">
        <v>45978</v>
      </c>
      <c r="I7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in-0ed6fe26c0b57d6b</t>
        </is>
      </c>
      <c r="B74" t="inlineStr">
        <is>
          <t>Sr. Applied Scientist, AGI Foundations</t>
        </is>
      </c>
      <c r="C74" t="inlineStr">
        <is>
          <t>Amazon.com</t>
        </is>
      </c>
      <c r="D74" t="inlineStr">
        <is>
          <t>indeed</t>
        </is>
      </c>
      <c r="E74" t="inlineStr"/>
      <c r="F74" t="inlineStr"/>
      <c r="G74" t="inlineStr">
        <is>
          <t>Sunnyvale, CA, US</t>
        </is>
      </c>
      <c r="H74" s="2" t="n">
        <v>45978</v>
      </c>
      <c r="I7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in-92496e2eac55f06b</t>
        </is>
      </c>
      <c r="B75" t="inlineStr">
        <is>
          <t>Sr. Applied Scientist, AGI Foundations</t>
        </is>
      </c>
      <c r="C75" t="inlineStr">
        <is>
          <t>Amazon.com</t>
        </is>
      </c>
      <c r="D75" t="inlineStr">
        <is>
          <t>indeed</t>
        </is>
      </c>
      <c r="E75" t="inlineStr"/>
      <c r="F75" t="inlineStr"/>
      <c r="G75" t="inlineStr">
        <is>
          <t>New York, NY, US</t>
        </is>
      </c>
      <c r="H75" s="2" t="n">
        <v>45978</v>
      </c>
      <c r="I7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in-1ad4d5789fc1f508</t>
        </is>
      </c>
      <c r="B76" t="inlineStr">
        <is>
          <t>Sr. Applied Scientist, AGI Foundations</t>
        </is>
      </c>
      <c r="C76" t="inlineStr">
        <is>
          <t>Amazon.com</t>
        </is>
      </c>
      <c r="D76" t="inlineStr">
        <is>
          <t>indeed</t>
        </is>
      </c>
      <c r="E76" t="inlineStr"/>
      <c r="F76" t="inlineStr"/>
      <c r="G76" t="inlineStr">
        <is>
          <t>Boston, MA, US</t>
        </is>
      </c>
      <c r="H76" s="2" t="n">
        <v>45978</v>
      </c>
      <c r="I7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in-46a3bfdfe4a9a7a5</t>
        </is>
      </c>
      <c r="B77" t="inlineStr">
        <is>
          <t>Applied Scientist II, Robotics and ML, Amazon Industrial Robotics</t>
        </is>
      </c>
      <c r="C77" t="inlineStr">
        <is>
          <t>Amazon.com</t>
        </is>
      </c>
      <c r="D77" t="inlineStr">
        <is>
          <t>indeed</t>
        </is>
      </c>
      <c r="E77" t="inlineStr"/>
      <c r="F77" t="inlineStr"/>
      <c r="G77" t="inlineStr">
        <is>
          <t>Reading, MA, US</t>
        </is>
      </c>
      <c r="H77" s="2" t="n">
        <v>45975</v>
      </c>
      <c r="I7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in-204349bd6abf326e</t>
        </is>
      </c>
      <c r="B78" t="inlineStr">
        <is>
          <t>Applied Scientist II, Robotics and ML, Amazon Industrial Robotics</t>
        </is>
      </c>
      <c r="C78" t="inlineStr">
        <is>
          <t>Amazon.com</t>
        </is>
      </c>
      <c r="D78" t="inlineStr">
        <is>
          <t>indeed</t>
        </is>
      </c>
      <c r="E78" t="inlineStr"/>
      <c r="F78" t="inlineStr"/>
      <c r="G78" t="inlineStr">
        <is>
          <t>Reading, MA, US</t>
        </is>
      </c>
      <c r="H78" s="2" t="n">
        <v>45975</v>
      </c>
      <c r="I7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in-62d387c89cc63a70</t>
        </is>
      </c>
      <c r="B79" t="inlineStr">
        <is>
          <t>Principal Applied Scientist, Amazon AGI</t>
        </is>
      </c>
      <c r="C79" t="inlineStr">
        <is>
          <t>Amazon.com</t>
        </is>
      </c>
      <c r="D79" t="inlineStr">
        <is>
          <t>indeed</t>
        </is>
      </c>
      <c r="E79" t="inlineStr"/>
      <c r="F79" t="inlineStr"/>
      <c r="G79" t="inlineStr">
        <is>
          <t>San Francisco, CA, US</t>
        </is>
      </c>
      <c r="H79" s="2" t="n">
        <v>45964</v>
      </c>
      <c r="I7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in-42ee7b3966b47248</t>
        </is>
      </c>
      <c r="B80" t="inlineStr">
        <is>
          <t>Principal Applied Scientist, Amazon AGI</t>
        </is>
      </c>
      <c r="C80" t="inlineStr">
        <is>
          <t>Amazon.com</t>
        </is>
      </c>
      <c r="D80" t="inlineStr">
        <is>
          <t>indeed</t>
        </is>
      </c>
      <c r="E80" t="inlineStr"/>
      <c r="F80" t="inlineStr"/>
      <c r="G80" t="inlineStr">
        <is>
          <t>Boston, MA, US</t>
        </is>
      </c>
      <c r="H80" s="2" t="n">
        <v>45964</v>
      </c>
      <c r="I8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in-635cb10041232345</t>
        </is>
      </c>
      <c r="B81" t="inlineStr">
        <is>
          <t>Sr. Applied Scientist, AGI Foundations</t>
        </is>
      </c>
      <c r="C81" t="inlineStr">
        <is>
          <t>Amazon.com</t>
        </is>
      </c>
      <c r="D81" t="inlineStr">
        <is>
          <t>indeed</t>
        </is>
      </c>
      <c r="E81" t="inlineStr"/>
      <c r="F81" t="inlineStr"/>
      <c r="G81" t="inlineStr">
        <is>
          <t>Boston, MA, US</t>
        </is>
      </c>
      <c r="H81" s="2" t="n">
        <v>45963</v>
      </c>
      <c r="I8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in-93ae5b420f5af278</t>
        </is>
      </c>
      <c r="B82" t="inlineStr">
        <is>
          <t>Sr. Applied Scientist, AGI Foundations</t>
        </is>
      </c>
      <c r="C82" t="inlineStr">
        <is>
          <t>Amazon.com</t>
        </is>
      </c>
      <c r="D82" t="inlineStr">
        <is>
          <t>indeed</t>
        </is>
      </c>
      <c r="E82" t="inlineStr"/>
      <c r="F82" t="inlineStr"/>
      <c r="G82" t="inlineStr">
        <is>
          <t>New York, NY, US</t>
        </is>
      </c>
      <c r="H82" s="2" t="n">
        <v>45963</v>
      </c>
      <c r="I8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in-e1e94a39ac4436ce</t>
        </is>
      </c>
      <c r="B83" t="inlineStr">
        <is>
          <t>Sr. Applied Scientist, AGI Foundations</t>
        </is>
      </c>
      <c r="C83" t="inlineStr">
        <is>
          <t>Amazon.com</t>
        </is>
      </c>
      <c r="D83" t="inlineStr">
        <is>
          <t>indeed</t>
        </is>
      </c>
      <c r="E83" t="inlineStr"/>
      <c r="F83" t="inlineStr"/>
      <c r="G83" t="inlineStr">
        <is>
          <t>Bellevue, WA, US</t>
        </is>
      </c>
      <c r="H83" s="2" t="n">
        <v>45963</v>
      </c>
      <c r="I8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in-ef21a9e37303580a</t>
        </is>
      </c>
      <c r="B84" t="inlineStr">
        <is>
          <t>Sr. Applied Scientist, Sponsored Product Off-Search</t>
        </is>
      </c>
      <c r="C84" t="inlineStr">
        <is>
          <t>Amazon.com</t>
        </is>
      </c>
      <c r="D84" t="inlineStr">
        <is>
          <t>indeed</t>
        </is>
      </c>
      <c r="E84" t="inlineStr"/>
      <c r="F84" t="inlineStr"/>
      <c r="G84" t="inlineStr">
        <is>
          <t>New York, NY, US</t>
        </is>
      </c>
      <c r="H84" s="2" t="n">
        <v>45963</v>
      </c>
      <c r="I8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in-913f4cf9d6d99a97</t>
        </is>
      </c>
      <c r="B85" t="inlineStr">
        <is>
          <t>Sr. Applied Scientist, Sponsored Product Off-Search</t>
        </is>
      </c>
      <c r="C85" t="inlineStr">
        <is>
          <t>Amazon.com</t>
        </is>
      </c>
      <c r="D85" t="inlineStr">
        <is>
          <t>indeed</t>
        </is>
      </c>
      <c r="E85" t="inlineStr"/>
      <c r="F85" t="inlineStr"/>
      <c r="G85" t="inlineStr">
        <is>
          <t>Seattle, WA, US</t>
        </is>
      </c>
      <c r="H85" s="2" t="n">
        <v>45963</v>
      </c>
      <c r="I8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in-02737b09a62f043f</t>
        </is>
      </c>
      <c r="B86" t="inlineStr">
        <is>
          <t>Applied Scientist, AWS Agentic AI</t>
        </is>
      </c>
      <c r="C86" t="inlineStr">
        <is>
          <t>Amazon Web Services</t>
        </is>
      </c>
      <c r="D86" t="inlineStr">
        <is>
          <t>indeed</t>
        </is>
      </c>
      <c r="E86" t="inlineStr"/>
      <c r="F86" t="inlineStr"/>
      <c r="G86" t="inlineStr">
        <is>
          <t>Santa Clara, CA, US</t>
        </is>
      </c>
      <c r="H86" s="2" t="n">
        <v>45962</v>
      </c>
      <c r="I8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in-f8f89adcdaee8b2c</t>
        </is>
      </c>
      <c r="B87" t="inlineStr">
        <is>
          <t>Applied Scientist, AWS Agentic AI</t>
        </is>
      </c>
      <c r="C87" t="inlineStr">
        <is>
          <t>Amazon Web Services</t>
        </is>
      </c>
      <c r="D87" t="inlineStr">
        <is>
          <t>indeed</t>
        </is>
      </c>
      <c r="E87" t="inlineStr"/>
      <c r="F87" t="inlineStr"/>
      <c r="G87" t="inlineStr">
        <is>
          <t>Seattle, WA, US</t>
        </is>
      </c>
      <c r="H87" s="2" t="n">
        <v>45962</v>
      </c>
      <c r="I8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in-27fccfa1c2f1a6fa</t>
        </is>
      </c>
      <c r="B88" t="inlineStr">
        <is>
          <t>Applied Scientist, AWS Agentic AI</t>
        </is>
      </c>
      <c r="C88" t="inlineStr">
        <is>
          <t>Amazon Web Services</t>
        </is>
      </c>
      <c r="D88" t="inlineStr">
        <is>
          <t>indeed</t>
        </is>
      </c>
      <c r="E88" t="inlineStr"/>
      <c r="F88" t="inlineStr"/>
      <c r="G88" t="inlineStr">
        <is>
          <t>New York, NY, US</t>
        </is>
      </c>
      <c r="H88" s="2" t="n">
        <v>45962</v>
      </c>
      <c r="I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in-a12852ab6672d247</t>
        </is>
      </c>
      <c r="B89" t="inlineStr">
        <is>
          <t>Applied Scientist, Prime Video - Content Understanding, Localization &amp; Enrichment Team</t>
        </is>
      </c>
      <c r="C89" t="inlineStr">
        <is>
          <t>Amazon.com</t>
        </is>
      </c>
      <c r="D89" t="inlineStr">
        <is>
          <t>indeed</t>
        </is>
      </c>
      <c r="E89" t="inlineStr"/>
      <c r="F89" t="inlineStr"/>
      <c r="G89" t="inlineStr">
        <is>
          <t>San Francisco, CA, US</t>
        </is>
      </c>
      <c r="H89" s="2" t="n">
        <v>45943</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0">
      <c r="A90" t="inlineStr">
        <is>
          <t>in-b17efaee2cace166</t>
        </is>
      </c>
      <c r="B90" t="inlineStr">
        <is>
          <t>Applied Scientist, Prime Video - Content Understanding, Localization &amp; Enrichment Team</t>
        </is>
      </c>
      <c r="C90" t="inlineStr">
        <is>
          <t>Amazon.com</t>
        </is>
      </c>
      <c r="D90" t="inlineStr">
        <is>
          <t>indeed</t>
        </is>
      </c>
      <c r="E90" t="inlineStr"/>
      <c r="F90" t="inlineStr"/>
      <c r="G90" t="inlineStr">
        <is>
          <t>Seattle, WA, US</t>
        </is>
      </c>
      <c r="H90" s="2" t="n">
        <v>45943</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1">
      <c r="A91" t="inlineStr">
        <is>
          <t>in-a1c1c71ed7a383f1</t>
        </is>
      </c>
      <c r="B91" t="inlineStr">
        <is>
          <t>Principal Applied Scientist, Advertiser Growth, Amazon Sponsored Products &amp; Brands</t>
        </is>
      </c>
      <c r="C91" t="inlineStr">
        <is>
          <t>Amazon.com</t>
        </is>
      </c>
      <c r="D91" t="inlineStr">
        <is>
          <t>indeed</t>
        </is>
      </c>
      <c r="E91" t="inlineStr"/>
      <c r="F91" t="inlineStr"/>
      <c r="G91" t="inlineStr">
        <is>
          <t>New York, NY, US</t>
        </is>
      </c>
      <c r="H91" s="2"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in-d66f82a0d25b9c88</t>
        </is>
      </c>
      <c r="B92" t="inlineStr">
        <is>
          <t>Principal Applied Scientist, Advertiser Growth, Amazon Sponsored Products &amp; Brands</t>
        </is>
      </c>
      <c r="C92" t="inlineStr">
        <is>
          <t>Amazon.com</t>
        </is>
      </c>
      <c r="D92" t="inlineStr">
        <is>
          <t>indeed</t>
        </is>
      </c>
      <c r="E92" t="inlineStr"/>
      <c r="F92" t="inlineStr"/>
      <c r="G92" t="inlineStr">
        <is>
          <t>Seattle, WA, US</t>
        </is>
      </c>
      <c r="H92" s="2"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in-06cd94c7b3b1a4ca</t>
        </is>
      </c>
      <c r="B93" t="inlineStr">
        <is>
          <t>Principal Applied Scientist, Advertiser Growth, Amazon Sponsored Products &amp; Brands</t>
        </is>
      </c>
      <c r="C93" t="inlineStr">
        <is>
          <t>Amazon.com</t>
        </is>
      </c>
      <c r="D93" t="inlineStr">
        <is>
          <t>indeed</t>
        </is>
      </c>
      <c r="E93" t="inlineStr"/>
      <c r="F93" t="inlineStr"/>
      <c r="G93" t="inlineStr">
        <is>
          <t>Palo Alto, CA, US</t>
        </is>
      </c>
      <c r="H93" s="2"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in-4cb7d6e4c0fb17ca</t>
        </is>
      </c>
      <c r="B94" t="inlineStr">
        <is>
          <t>Sr. Applied Scientist, SPB Advertiser Guidance</t>
        </is>
      </c>
      <c r="C94" t="inlineStr">
        <is>
          <t>Amazon.com</t>
        </is>
      </c>
      <c r="D94" t="inlineStr">
        <is>
          <t>indeed</t>
        </is>
      </c>
      <c r="E94" t="inlineStr"/>
      <c r="F94" t="inlineStr"/>
      <c r="G94" t="inlineStr">
        <is>
          <t>Palo Alto, CA, US</t>
        </is>
      </c>
      <c r="H94" s="2" t="n">
        <v>45939</v>
      </c>
      <c r="I9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in-f0b63fcfe121fc65</t>
        </is>
      </c>
      <c r="B95" t="inlineStr">
        <is>
          <t>Applied Scientist</t>
        </is>
      </c>
      <c r="C95" t="inlineStr">
        <is>
          <t>Amazon.com</t>
        </is>
      </c>
      <c r="D95" t="inlineStr">
        <is>
          <t>indeed</t>
        </is>
      </c>
      <c r="E95" t="inlineStr"/>
      <c r="F95" t="inlineStr"/>
      <c r="G95" t="inlineStr">
        <is>
          <t>Seattle, WA, US</t>
        </is>
      </c>
      <c r="H95" s="2" t="n">
        <v>45939</v>
      </c>
      <c r="I9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in-2b792e384e64ddb2</t>
        </is>
      </c>
      <c r="B96" t="inlineStr">
        <is>
          <t>Sr. Applied Scientist, SPB Advertiser Guidance</t>
        </is>
      </c>
      <c r="C96" t="inlineStr">
        <is>
          <t>Amazon.com</t>
        </is>
      </c>
      <c r="D96" t="inlineStr">
        <is>
          <t>indeed</t>
        </is>
      </c>
      <c r="E96" t="inlineStr"/>
      <c r="F96" t="inlineStr"/>
      <c r="G96" t="inlineStr">
        <is>
          <t>Seattle, WA, US</t>
        </is>
      </c>
      <c r="H96" s="2" t="n">
        <v>45939</v>
      </c>
      <c r="I9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in-836806d080fa3139</t>
        </is>
      </c>
      <c r="B97" t="inlineStr">
        <is>
          <t>Applied Scientist</t>
        </is>
      </c>
      <c r="C97" t="inlineStr">
        <is>
          <t>Amazon.com</t>
        </is>
      </c>
      <c r="D97" t="inlineStr">
        <is>
          <t>indeed</t>
        </is>
      </c>
      <c r="E97" t="inlineStr"/>
      <c r="F97" t="inlineStr"/>
      <c r="G97" t="inlineStr">
        <is>
          <t>New York, NY, US</t>
        </is>
      </c>
      <c r="H97" s="2" t="n">
        <v>45939</v>
      </c>
      <c r="I9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in-1098014a8bcc51df</t>
        </is>
      </c>
      <c r="B98" t="inlineStr">
        <is>
          <t>Applied Scientist</t>
        </is>
      </c>
      <c r="C98" t="inlineStr">
        <is>
          <t>Amazon.com</t>
        </is>
      </c>
      <c r="D98" t="inlineStr">
        <is>
          <t>indeed</t>
        </is>
      </c>
      <c r="E98" t="inlineStr"/>
      <c r="F98" t="inlineStr"/>
      <c r="G98" t="inlineStr">
        <is>
          <t>Palo Alto, CA, US</t>
        </is>
      </c>
      <c r="H98" s="2" t="n">
        <v>45939</v>
      </c>
      <c r="I9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in-77a3d3ce6da2eaeb</t>
        </is>
      </c>
      <c r="B99" t="inlineStr">
        <is>
          <t>Sr. Applied Scientist, SPB Advertiser Guidance</t>
        </is>
      </c>
      <c r="C99" t="inlineStr">
        <is>
          <t>Amazon.com</t>
        </is>
      </c>
      <c r="D99" t="inlineStr">
        <is>
          <t>indeed</t>
        </is>
      </c>
      <c r="E99" t="inlineStr"/>
      <c r="F99" t="inlineStr"/>
      <c r="G99" t="inlineStr">
        <is>
          <t>New York, NY, US</t>
        </is>
      </c>
      <c r="H99" s="2" t="n">
        <v>45939</v>
      </c>
      <c r="I9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in-678b353e5f1d35b2</t>
        </is>
      </c>
      <c r="B100" t="inlineStr">
        <is>
          <t>Applied Scientist II, Prime Video - Personalization and Discovery Science, Personalization and Discovery Science</t>
        </is>
      </c>
      <c r="C100" t="inlineStr">
        <is>
          <t>Amazon.com</t>
        </is>
      </c>
      <c r="D100" t="inlineStr">
        <is>
          <t>indeed</t>
        </is>
      </c>
      <c r="E100" t="inlineStr"/>
      <c r="F100" t="inlineStr"/>
      <c r="G100" t="inlineStr">
        <is>
          <t>New York, NY, US</t>
        </is>
      </c>
      <c r="H100" s="2" t="n">
        <v>45930</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in-2b6272a89b4ebe86</t>
        </is>
      </c>
      <c r="B101" t="inlineStr">
        <is>
          <t>Applied Scientist II, Prime Video - Personalization and Discovery Science, Personalization and Discovery Science</t>
        </is>
      </c>
      <c r="C101" t="inlineStr">
        <is>
          <t>Amazon.com</t>
        </is>
      </c>
      <c r="D101" t="inlineStr">
        <is>
          <t>indeed</t>
        </is>
      </c>
      <c r="E101" t="inlineStr"/>
      <c r="F101" t="inlineStr"/>
      <c r="G101" t="inlineStr">
        <is>
          <t>Seattle, WA, US</t>
        </is>
      </c>
      <c r="H101" s="2" t="n">
        <v>45930</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in-6f9c6e9889c2c2b8</t>
        </is>
      </c>
      <c r="B102" t="inlineStr">
        <is>
          <t>Applied Scientist II, Prime Video - Personalization and Discovery Science, Personalization and Discovery Science</t>
        </is>
      </c>
      <c r="C102" t="inlineStr">
        <is>
          <t>Amazon.com</t>
        </is>
      </c>
      <c r="D102" t="inlineStr">
        <is>
          <t>indeed</t>
        </is>
      </c>
      <c r="E102" t="inlineStr"/>
      <c r="F102" t="inlineStr"/>
      <c r="G102" t="inlineStr">
        <is>
          <t>Sunnyvale, CA, US</t>
        </is>
      </c>
      <c r="H102" s="2" t="n">
        <v>45930</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in-60ab0de9dcd6bdf3</t>
        </is>
      </c>
      <c r="B103" t="inlineStr">
        <is>
          <t>Senior Applied Scientist, Sponsored Products and Brands</t>
        </is>
      </c>
      <c r="C103" t="inlineStr">
        <is>
          <t>Amazon.com</t>
        </is>
      </c>
      <c r="D103" t="inlineStr">
        <is>
          <t>indeed</t>
        </is>
      </c>
      <c r="E103" t="inlineStr"/>
      <c r="F103" t="inlineStr"/>
      <c r="G103" t="inlineStr">
        <is>
          <t>Seattle, WA, US</t>
        </is>
      </c>
      <c r="H103" s="2" t="n">
        <v>45922</v>
      </c>
      <c r="I10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in-3305604726a4406f</t>
        </is>
      </c>
      <c r="B104" t="inlineStr">
        <is>
          <t>Senior Applied Scientist, Sponsored Products and Brands</t>
        </is>
      </c>
      <c r="C104" t="inlineStr">
        <is>
          <t>Amazon.com</t>
        </is>
      </c>
      <c r="D104" t="inlineStr">
        <is>
          <t>indeed</t>
        </is>
      </c>
      <c r="E104" t="inlineStr"/>
      <c r="F104" t="inlineStr"/>
      <c r="G104" t="inlineStr">
        <is>
          <t>New York, NY, US</t>
        </is>
      </c>
      <c r="H104" s="2" t="n">
        <v>45922</v>
      </c>
      <c r="I10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in-078c5895c4496bdd</t>
        </is>
      </c>
      <c r="B105" t="inlineStr">
        <is>
          <t>Applied Scientist, Workplace Health &amp; Safety</t>
        </is>
      </c>
      <c r="C105" t="inlineStr">
        <is>
          <t>Amazon.com</t>
        </is>
      </c>
      <c r="D105" t="inlineStr">
        <is>
          <t>indeed</t>
        </is>
      </c>
      <c r="E105" t="inlineStr"/>
      <c r="F105" t="inlineStr"/>
      <c r="G105" t="inlineStr">
        <is>
          <t>Bellevue, WA, US</t>
        </is>
      </c>
      <c r="H105" s="2" t="n">
        <v>45917</v>
      </c>
      <c r="I10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in-24c30ab1b14f2865</t>
        </is>
      </c>
      <c r="B106" t="inlineStr">
        <is>
          <t>Applied Scientist, Workplace Health &amp; Safety</t>
        </is>
      </c>
      <c r="C106" t="inlineStr">
        <is>
          <t>Amazon.com</t>
        </is>
      </c>
      <c r="D106" t="inlineStr">
        <is>
          <t>indeed</t>
        </is>
      </c>
      <c r="E106" t="inlineStr"/>
      <c r="F106" t="inlineStr"/>
      <c r="G106" t="inlineStr">
        <is>
          <t>Nashville, TN, US</t>
        </is>
      </c>
      <c r="H106" s="2" t="n">
        <v>45917</v>
      </c>
      <c r="I10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in-a4abbe6c91002141</t>
        </is>
      </c>
      <c r="B107" t="inlineStr">
        <is>
          <t>Applied Scientist II, Prime Video - Personalization and Discovery Science</t>
        </is>
      </c>
      <c r="C107" t="inlineStr">
        <is>
          <t>Amazon.com</t>
        </is>
      </c>
      <c r="D107" t="inlineStr">
        <is>
          <t>indeed</t>
        </is>
      </c>
      <c r="E107" t="inlineStr"/>
      <c r="F107" t="inlineStr"/>
      <c r="G107" t="inlineStr">
        <is>
          <t>Sunnyvale, CA, US</t>
        </is>
      </c>
      <c r="H107" s="2" t="n">
        <v>45881</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in-7947681691241621</t>
        </is>
      </c>
      <c r="B108" t="inlineStr">
        <is>
          <t>Applied Scientist II, Prime Video - Personalization and Discovery Science</t>
        </is>
      </c>
      <c r="C108" t="inlineStr">
        <is>
          <t>Amazon.com</t>
        </is>
      </c>
      <c r="D108" t="inlineStr">
        <is>
          <t>indeed</t>
        </is>
      </c>
      <c r="E108" t="inlineStr"/>
      <c r="F108" t="inlineStr"/>
      <c r="G108" t="inlineStr">
        <is>
          <t>New York, NY, US</t>
        </is>
      </c>
      <c r="H108" s="2" t="n">
        <v>45881</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in-c074dba450aa9203</t>
        </is>
      </c>
      <c r="B109" t="inlineStr">
        <is>
          <t>Applied Scientist II, Prime Video - Personalization and Discovery Science</t>
        </is>
      </c>
      <c r="C109" t="inlineStr">
        <is>
          <t>Amazon.com</t>
        </is>
      </c>
      <c r="D109" t="inlineStr">
        <is>
          <t>indeed</t>
        </is>
      </c>
      <c r="E109" t="inlineStr"/>
      <c r="F109" t="inlineStr"/>
      <c r="G109" t="inlineStr">
        <is>
          <t>Seattle, WA, US</t>
        </is>
      </c>
      <c r="H109" s="2" t="n">
        <v>45881</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in-65bdb0f01d3fb801</t>
        </is>
      </c>
      <c r="B110" t="inlineStr">
        <is>
          <t>Sr. Applied Scientist, Prime Video - Personalization and Discovery Science</t>
        </is>
      </c>
      <c r="C110" t="inlineStr">
        <is>
          <t>Amazon.com</t>
        </is>
      </c>
      <c r="D110" t="inlineStr">
        <is>
          <t>indeed</t>
        </is>
      </c>
      <c r="E110" t="inlineStr"/>
      <c r="F110" t="inlineStr"/>
      <c r="G110" t="inlineStr">
        <is>
          <t>Sunnyvale, CA, US</t>
        </is>
      </c>
      <c r="H110" s="2" t="n">
        <v>45881</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in-d2ec9172bfb54b4c</t>
        </is>
      </c>
      <c r="B111" t="inlineStr">
        <is>
          <t>Sr. Applied Scientist, Prime Video - Personalization and Discovery Science</t>
        </is>
      </c>
      <c r="C111" t="inlineStr">
        <is>
          <t>Amazon.com</t>
        </is>
      </c>
      <c r="D111" t="inlineStr">
        <is>
          <t>indeed</t>
        </is>
      </c>
      <c r="E111" t="inlineStr"/>
      <c r="F111" t="inlineStr"/>
      <c r="G111" t="inlineStr">
        <is>
          <t>New York, NY, US</t>
        </is>
      </c>
      <c r="H111" s="2" t="n">
        <v>45881</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in-cd7602d829906a07</t>
        </is>
      </c>
      <c r="B112" t="inlineStr">
        <is>
          <t>Sr. Applied Scientist, Prime Video - Personalization and Discovery Science</t>
        </is>
      </c>
      <c r="C112" t="inlineStr">
        <is>
          <t>Amazon.com</t>
        </is>
      </c>
      <c r="D112" t="inlineStr">
        <is>
          <t>indeed</t>
        </is>
      </c>
      <c r="E112" t="inlineStr"/>
      <c r="F112" t="inlineStr"/>
      <c r="G112" t="inlineStr">
        <is>
          <t>Seattle, WA, US</t>
        </is>
      </c>
      <c r="H112" s="2" t="n">
        <v>45881</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in-7e4b3e6c49a9d4a9</t>
        </is>
      </c>
      <c r="B113" t="inlineStr">
        <is>
          <t>Sr. Applied Scientist, Amazon Advertising</t>
        </is>
      </c>
      <c r="C113" t="inlineStr">
        <is>
          <t>Amazon.com</t>
        </is>
      </c>
      <c r="D113" t="inlineStr">
        <is>
          <t>indeed</t>
        </is>
      </c>
      <c r="E113" t="inlineStr"/>
      <c r="F113" t="inlineStr"/>
      <c r="G113" t="inlineStr">
        <is>
          <t>Los Angeles, CA,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in-28fdc99c11d3f23b</t>
        </is>
      </c>
      <c r="B114" t="inlineStr">
        <is>
          <t>Sr. Applied Scientist, Amazon Advertising</t>
        </is>
      </c>
      <c r="C114" t="inlineStr">
        <is>
          <t>Amazon.com</t>
        </is>
      </c>
      <c r="D114" t="inlineStr">
        <is>
          <t>indeed</t>
        </is>
      </c>
      <c r="E114" t="inlineStr"/>
      <c r="F114" t="inlineStr"/>
      <c r="G114" t="inlineStr">
        <is>
          <t>Seattle, WA,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in-9d40c7caa4ab657d</t>
        </is>
      </c>
      <c r="B115" t="inlineStr">
        <is>
          <t>Sr. Applied Scientist, Amazon Advertising</t>
        </is>
      </c>
      <c r="C115" t="inlineStr">
        <is>
          <t>Amazon.com</t>
        </is>
      </c>
      <c r="D115" t="inlineStr">
        <is>
          <t>indeed</t>
        </is>
      </c>
      <c r="E115" t="inlineStr"/>
      <c r="F115" t="inlineStr"/>
      <c r="G115" t="inlineStr">
        <is>
          <t>Palo Alto, CA,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in-66a6862fccc062bf</t>
        </is>
      </c>
      <c r="B116" t="inlineStr">
        <is>
          <t>Sr. Applied Scientist, Amazon Advertising</t>
        </is>
      </c>
      <c r="C116" t="inlineStr">
        <is>
          <t>Amazon.com</t>
        </is>
      </c>
      <c r="D116" t="inlineStr">
        <is>
          <t>indeed</t>
        </is>
      </c>
      <c r="E116" t="inlineStr"/>
      <c r="F116" t="inlineStr"/>
      <c r="G116" t="inlineStr">
        <is>
          <t>Simi Valley, CA,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in-1edf95a756e3933b</t>
        </is>
      </c>
      <c r="B117" t="inlineStr">
        <is>
          <t>Sr. Applied Scientist, Amazon Advertising</t>
        </is>
      </c>
      <c r="C117" t="inlineStr">
        <is>
          <t>Amazon.com</t>
        </is>
      </c>
      <c r="D117" t="inlineStr">
        <is>
          <t>indeed</t>
        </is>
      </c>
      <c r="E117" t="inlineStr"/>
      <c r="F117" t="inlineStr"/>
      <c r="G117" t="inlineStr">
        <is>
          <t>New York, NY,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in-de5fbfdf61f81f3d</t>
        </is>
      </c>
      <c r="B118" t="inlineStr">
        <is>
          <t>Sr. Applied Scientist, Amazon Advertising</t>
        </is>
      </c>
      <c r="C118" t="inlineStr">
        <is>
          <t>Amazon.com</t>
        </is>
      </c>
      <c r="D118" t="inlineStr">
        <is>
          <t>indeed</t>
        </is>
      </c>
      <c r="E118" t="inlineStr"/>
      <c r="F118" t="inlineStr"/>
      <c r="G118" t="inlineStr">
        <is>
          <t>West Hollywood, CA,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in-e64b30e670b5ba97</t>
        </is>
      </c>
      <c r="B119" t="inlineStr">
        <is>
          <t>Sr. Applied Scientist, Amazon Advertising</t>
        </is>
      </c>
      <c r="C119" t="inlineStr">
        <is>
          <t>Amazon.com</t>
        </is>
      </c>
      <c r="D119" t="inlineStr">
        <is>
          <t>indeed</t>
        </is>
      </c>
      <c r="E119" t="inlineStr"/>
      <c r="F119" t="inlineStr"/>
      <c r="G119" t="inlineStr">
        <is>
          <t>Austin, TX,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in-7732fdb9d1da65b1</t>
        </is>
      </c>
      <c r="B120" t="inlineStr">
        <is>
          <t>Sr. Applied Scientist, Amazon Advertising</t>
        </is>
      </c>
      <c r="C120" t="inlineStr">
        <is>
          <t>Amazon.com</t>
        </is>
      </c>
      <c r="D120" t="inlineStr">
        <is>
          <t>indeed</t>
        </is>
      </c>
      <c r="E120" t="inlineStr"/>
      <c r="F120" t="inlineStr"/>
      <c r="G120" t="inlineStr">
        <is>
          <t>Arlington, VA, US</t>
        </is>
      </c>
      <c r="H120" s="2"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in-69897ba619eb3bfc</t>
        </is>
      </c>
      <c r="B121" t="inlineStr">
        <is>
          <t>Applied Scientist, Prime Video - Personalization and Discovery Science</t>
        </is>
      </c>
      <c r="C121" t="inlineStr">
        <is>
          <t>Amazon.com</t>
        </is>
      </c>
      <c r="D121" t="inlineStr">
        <is>
          <t>indeed</t>
        </is>
      </c>
      <c r="E121" t="inlineStr"/>
      <c r="F121" t="inlineStr"/>
      <c r="G121" t="inlineStr">
        <is>
          <t>New York, NY, US</t>
        </is>
      </c>
      <c r="H121" s="2" t="n">
        <v>45845</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in-2104204487a49677</t>
        </is>
      </c>
      <c r="B122" t="inlineStr">
        <is>
          <t>Applied Scientist, Prime Video - Personalization and Discovery Science</t>
        </is>
      </c>
      <c r="C122" t="inlineStr">
        <is>
          <t>Amazon.com</t>
        </is>
      </c>
      <c r="D122" t="inlineStr">
        <is>
          <t>indeed</t>
        </is>
      </c>
      <c r="E122" t="inlineStr"/>
      <c r="F122" t="inlineStr"/>
      <c r="G122" t="inlineStr">
        <is>
          <t>Sunnyvale, CA, US</t>
        </is>
      </c>
      <c r="H122" s="2" t="n">
        <v>45845</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in-6a15a7c1e4bbf8c1</t>
        </is>
      </c>
      <c r="B123" t="inlineStr">
        <is>
          <t>Applied Scientist, Prime Video - Personalization and Discovery Science</t>
        </is>
      </c>
      <c r="C123" t="inlineStr">
        <is>
          <t>Amazon.com</t>
        </is>
      </c>
      <c r="D123" t="inlineStr">
        <is>
          <t>indeed</t>
        </is>
      </c>
      <c r="E123" t="inlineStr"/>
      <c r="F123" t="inlineStr"/>
      <c r="G123" t="inlineStr">
        <is>
          <t>Seattle, WA, US</t>
        </is>
      </c>
      <c r="H123" s="2" t="n">
        <v>45845</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in-88026dea9ae3dc0d</t>
        </is>
      </c>
      <c r="B124" t="inlineStr">
        <is>
          <t>Senior Applied Scientist, Artificial General Intelligence</t>
        </is>
      </c>
      <c r="C124" t="inlineStr">
        <is>
          <t>Amazon.com</t>
        </is>
      </c>
      <c r="D124" t="inlineStr">
        <is>
          <t>indeed</t>
        </is>
      </c>
      <c r="E124" t="inlineStr"/>
      <c r="F124" t="inlineStr"/>
      <c r="G124" t="inlineStr">
        <is>
          <t>Sunnyvale, CA, US</t>
        </is>
      </c>
      <c r="H124" s="2" t="n">
        <v>45838</v>
      </c>
      <c r="I12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in-d7b394681fc58210</t>
        </is>
      </c>
      <c r="B125" t="inlineStr">
        <is>
          <t>Senior Applied Scientist, Artificial General Intelligence</t>
        </is>
      </c>
      <c r="C125" t="inlineStr">
        <is>
          <t>Amazon.com</t>
        </is>
      </c>
      <c r="D125" t="inlineStr">
        <is>
          <t>indeed</t>
        </is>
      </c>
      <c r="E125" t="inlineStr"/>
      <c r="F125" t="inlineStr"/>
      <c r="G125" t="inlineStr">
        <is>
          <t>Boston, MA, US</t>
        </is>
      </c>
      <c r="H125" s="2" t="n">
        <v>45838</v>
      </c>
      <c r="I12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in-b0146741eac14a22</t>
        </is>
      </c>
      <c r="B126" t="inlineStr">
        <is>
          <t>Senior Applied Scientist, Artificial General Intelligence</t>
        </is>
      </c>
      <c r="C126" t="inlineStr">
        <is>
          <t>Amazon.com</t>
        </is>
      </c>
      <c r="D126" t="inlineStr">
        <is>
          <t>indeed</t>
        </is>
      </c>
      <c r="E126" t="inlineStr"/>
      <c r="F126" t="inlineStr"/>
      <c r="G126" t="inlineStr">
        <is>
          <t>New York, NY, US</t>
        </is>
      </c>
      <c r="H126" s="2" t="n">
        <v>45838</v>
      </c>
      <c r="I12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in-174db950f1b72c22</t>
        </is>
      </c>
      <c r="B127" t="inlineStr">
        <is>
          <t>Sr. Applied Scientist, Sales AI</t>
        </is>
      </c>
      <c r="C127" t="inlineStr">
        <is>
          <t>Amazon.com</t>
        </is>
      </c>
      <c r="D127" t="inlineStr">
        <is>
          <t>indeed</t>
        </is>
      </c>
      <c r="E127" t="inlineStr"/>
      <c r="F127" t="inlineStr"/>
      <c r="G127" t="inlineStr">
        <is>
          <t>New York, NY, US</t>
        </is>
      </c>
      <c r="H127" s="2" t="n">
        <v>45830</v>
      </c>
      <c r="I12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in-8bbb9160b0841bf3</t>
        </is>
      </c>
      <c r="B128" t="inlineStr">
        <is>
          <t>Sr. Applied Scientist, Sales AI</t>
        </is>
      </c>
      <c r="C128" t="inlineStr">
        <is>
          <t>Amazon.com</t>
        </is>
      </c>
      <c r="D128" t="inlineStr">
        <is>
          <t>indeed</t>
        </is>
      </c>
      <c r="E128" t="inlineStr"/>
      <c r="F128" t="inlineStr"/>
      <c r="G128" t="inlineStr">
        <is>
          <t>Seattle, WA, US</t>
        </is>
      </c>
      <c r="H128" s="2" t="n">
        <v>45830</v>
      </c>
      <c r="I12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in-11e203ba4e555139</t>
        </is>
      </c>
      <c r="B129" t="inlineStr">
        <is>
          <t>Sr. Applied Scientist, Sales AI</t>
        </is>
      </c>
      <c r="C129" t="inlineStr">
        <is>
          <t>Amazon.com</t>
        </is>
      </c>
      <c r="D129" t="inlineStr">
        <is>
          <t>indeed</t>
        </is>
      </c>
      <c r="E129" t="inlineStr"/>
      <c r="F129" t="inlineStr"/>
      <c r="G129" t="inlineStr">
        <is>
          <t>Sunnyvale, CA, US</t>
        </is>
      </c>
      <c r="H129" s="2" t="n">
        <v>45830</v>
      </c>
      <c r="I12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in-bca37ac4a5f75ffc</t>
        </is>
      </c>
      <c r="B130" t="inlineStr">
        <is>
          <t>Principal Applied Scientist, Delivery Foundation Model</t>
        </is>
      </c>
      <c r="C130" t="inlineStr">
        <is>
          <t>Amazon.com</t>
        </is>
      </c>
      <c r="D130" t="inlineStr">
        <is>
          <t>indeed</t>
        </is>
      </c>
      <c r="E130" t="inlineStr"/>
      <c r="F130" t="inlineStr"/>
      <c r="G130" t="inlineStr">
        <is>
          <t>Austin, TX, US</t>
        </is>
      </c>
      <c r="H130" s="2" t="n">
        <v>45810</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in-51df260bab5c4997</t>
        </is>
      </c>
      <c r="B131" t="inlineStr">
        <is>
          <t>Principal Applied Scientist, Delivery Foundation Model</t>
        </is>
      </c>
      <c r="C131" t="inlineStr">
        <is>
          <t>Amazon.com</t>
        </is>
      </c>
      <c r="D131" t="inlineStr">
        <is>
          <t>indeed</t>
        </is>
      </c>
      <c r="E131" t="inlineStr"/>
      <c r="F131" t="inlineStr"/>
      <c r="G131" t="inlineStr">
        <is>
          <t>Santa Clara, CA, US</t>
        </is>
      </c>
      <c r="H131" s="2" t="n">
        <v>45810</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in-deecc7da0ecd7b20</t>
        </is>
      </c>
      <c r="B132" t="inlineStr">
        <is>
          <t>Principal Applied Scientist, Delivery Foundation Model</t>
        </is>
      </c>
      <c r="C132" t="inlineStr">
        <is>
          <t>Amazon.com</t>
        </is>
      </c>
      <c r="D132" t="inlineStr">
        <is>
          <t>indeed</t>
        </is>
      </c>
      <c r="E132" t="inlineStr"/>
      <c r="F132" t="inlineStr"/>
      <c r="G132" t="inlineStr">
        <is>
          <t>Bellevue, WA, US</t>
        </is>
      </c>
      <c r="H132" s="2" t="n">
        <v>45810</v>
      </c>
      <c r="I1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in-2e100d5aa747c424</t>
        </is>
      </c>
      <c r="B133" t="inlineStr">
        <is>
          <t>Principal Applied Scientist, Delivery Foundation Model</t>
        </is>
      </c>
      <c r="C133" t="inlineStr">
        <is>
          <t>Amazon.com</t>
        </is>
      </c>
      <c r="D133" t="inlineStr">
        <is>
          <t>indeed</t>
        </is>
      </c>
      <c r="E133" t="inlineStr"/>
      <c r="F133" t="inlineStr"/>
      <c r="G133" t="inlineStr">
        <is>
          <t>New York, NY, US</t>
        </is>
      </c>
      <c r="H133" s="2" t="n">
        <v>45810</v>
      </c>
      <c r="I1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in-581bbba8b226f9cf</t>
        </is>
      </c>
      <c r="B134" t="inlineStr">
        <is>
          <t>Senior Applied Scientist, Delivery Foundation Model</t>
        </is>
      </c>
      <c r="C134" t="inlineStr">
        <is>
          <t>Amazon.com</t>
        </is>
      </c>
      <c r="D134" t="inlineStr">
        <is>
          <t>indeed</t>
        </is>
      </c>
      <c r="E134" t="inlineStr"/>
      <c r="F134" t="inlineStr"/>
      <c r="G134" t="inlineStr">
        <is>
          <t>New York, NY, US</t>
        </is>
      </c>
      <c r="H134" s="2" t="n">
        <v>45806</v>
      </c>
      <c r="I1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in-d64333c362648f39</t>
        </is>
      </c>
      <c r="B135" t="inlineStr">
        <is>
          <t>Senior Applied Scientist, Delivery Foundation Model</t>
        </is>
      </c>
      <c r="C135" t="inlineStr">
        <is>
          <t>Amazon.com</t>
        </is>
      </c>
      <c r="D135" t="inlineStr">
        <is>
          <t>indeed</t>
        </is>
      </c>
      <c r="E135" t="inlineStr"/>
      <c r="F135" t="inlineStr"/>
      <c r="G135" t="inlineStr">
        <is>
          <t>Santa Clara, CA, US</t>
        </is>
      </c>
      <c r="H135" s="2" t="n">
        <v>45806</v>
      </c>
      <c r="I1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in-d62607bd16c5320e</t>
        </is>
      </c>
      <c r="B136" t="inlineStr">
        <is>
          <t>Senior Applied Scientist, Delivery Foundation Model</t>
        </is>
      </c>
      <c r="C136" t="inlineStr">
        <is>
          <t>Amazon.com</t>
        </is>
      </c>
      <c r="D136" t="inlineStr">
        <is>
          <t>indeed</t>
        </is>
      </c>
      <c r="E136" t="inlineStr"/>
      <c r="F136" t="inlineStr"/>
      <c r="G136" t="inlineStr">
        <is>
          <t>Bellevue, WA, US</t>
        </is>
      </c>
      <c r="H136" s="2" t="n">
        <v>45806</v>
      </c>
      <c r="I1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in-4073a1224753fef8</t>
        </is>
      </c>
      <c r="B137" t="inlineStr">
        <is>
          <t>Principal Applied Scientist, Delivery Foundation Model</t>
        </is>
      </c>
      <c r="C137" t="inlineStr">
        <is>
          <t>Amazon.com</t>
        </is>
      </c>
      <c r="D137" t="inlineStr">
        <is>
          <t>indeed</t>
        </is>
      </c>
      <c r="E137" t="inlineStr"/>
      <c r="F137" t="inlineStr"/>
      <c r="G137" t="inlineStr">
        <is>
          <t>Bellevue, WA, US</t>
        </is>
      </c>
      <c r="H137" s="2" t="n">
        <v>45757</v>
      </c>
      <c r="I1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in-61ad17877a54103f</t>
        </is>
      </c>
      <c r="B138" t="inlineStr">
        <is>
          <t>Principal Applied Scientist, Delivery Foundation Model</t>
        </is>
      </c>
      <c r="C138" t="inlineStr">
        <is>
          <t>Amazon.com</t>
        </is>
      </c>
      <c r="D138" t="inlineStr">
        <is>
          <t>indeed</t>
        </is>
      </c>
      <c r="E138" t="inlineStr"/>
      <c r="F138" t="inlineStr"/>
      <c r="G138" t="inlineStr">
        <is>
          <t>Santa Clara, CA, US</t>
        </is>
      </c>
      <c r="H138" s="2" t="n">
        <v>45757</v>
      </c>
      <c r="I1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in-79a5dfab86603640</t>
        </is>
      </c>
      <c r="B139" t="inlineStr">
        <is>
          <t>Principal Applied Scientist, Delivery Foundation Model</t>
        </is>
      </c>
      <c r="C139" t="inlineStr">
        <is>
          <t>Amazon.com</t>
        </is>
      </c>
      <c r="D139" t="inlineStr">
        <is>
          <t>indeed</t>
        </is>
      </c>
      <c r="E139" t="inlineStr"/>
      <c r="F139" t="inlineStr"/>
      <c r="G139" t="inlineStr">
        <is>
          <t>New York, NY, US</t>
        </is>
      </c>
      <c r="H139" s="2" t="n">
        <v>45757</v>
      </c>
      <c r="I1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in-a8e62d63c6a2c12f</t>
        </is>
      </c>
      <c r="B140" t="inlineStr">
        <is>
          <t>Principal Applied Scientist, FAR (Frontier AI &amp; Robotics)</t>
        </is>
      </c>
      <c r="C140" t="inlineStr">
        <is>
          <t>Amazon.com</t>
        </is>
      </c>
      <c r="D140" t="inlineStr">
        <is>
          <t>indeed</t>
        </is>
      </c>
      <c r="E140" t="inlineStr"/>
      <c r="F140" t="inlineStr"/>
      <c r="G140" t="inlineStr">
        <is>
          <t>San Francisco, CA, US</t>
        </is>
      </c>
      <c r="H140" s="2" t="n">
        <v>45740</v>
      </c>
      <c r="I14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in-b2782a4f4bb74a43</t>
        </is>
      </c>
      <c r="B141" t="inlineStr">
        <is>
          <t>Principal Applied Scientist, FAR (Frontier AI &amp; Robotics)</t>
        </is>
      </c>
      <c r="C141" t="inlineStr">
        <is>
          <t>Amazon.com</t>
        </is>
      </c>
      <c r="D141" t="inlineStr">
        <is>
          <t>indeed</t>
        </is>
      </c>
      <c r="E141" t="inlineStr"/>
      <c r="F141" t="inlineStr"/>
      <c r="G141" t="inlineStr">
        <is>
          <t>Seattle, WA, US</t>
        </is>
      </c>
      <c r="H141" s="2" t="n">
        <v>45740</v>
      </c>
      <c r="I14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in-72fe7a9722ce335f</t>
        </is>
      </c>
      <c r="B142" t="inlineStr">
        <is>
          <t>Applied Scientist, Alexa Smart Home</t>
        </is>
      </c>
      <c r="C142" t="inlineStr">
        <is>
          <t>Amazon.com</t>
        </is>
      </c>
      <c r="D142" t="inlineStr">
        <is>
          <t>indeed</t>
        </is>
      </c>
      <c r="E142" t="inlineStr"/>
      <c r="F142" t="inlineStr"/>
      <c r="G142" t="inlineStr">
        <is>
          <t>Sunnyvale, CA, US</t>
        </is>
      </c>
      <c r="H142" s="2" t="n">
        <v>46033</v>
      </c>
      <c r="I14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3">
      <c r="A143" t="inlineStr">
        <is>
          <t>in-964d2e2c8b8a501b</t>
        </is>
      </c>
      <c r="B143" t="inlineStr">
        <is>
          <t>Applied Scientist, Alexa Smart Home</t>
        </is>
      </c>
      <c r="C143" t="inlineStr">
        <is>
          <t>Amazon.com</t>
        </is>
      </c>
      <c r="D143" t="inlineStr">
        <is>
          <t>indeed</t>
        </is>
      </c>
      <c r="E143" t="inlineStr"/>
      <c r="F143" t="inlineStr"/>
      <c r="G143" t="inlineStr">
        <is>
          <t>Seattle, WA, US</t>
        </is>
      </c>
      <c r="H143" s="2" t="n">
        <v>46033</v>
      </c>
      <c r="I14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4">
      <c r="A144" t="inlineStr">
        <is>
          <t>in-cb7e7955000346a4</t>
        </is>
      </c>
      <c r="B144" t="inlineStr">
        <is>
          <t>Sr Applied Scientist, AWS Proactive Security</t>
        </is>
      </c>
      <c r="C144" t="inlineStr">
        <is>
          <t>Amazon.com</t>
        </is>
      </c>
      <c r="D144" t="inlineStr">
        <is>
          <t>indeed</t>
        </is>
      </c>
      <c r="E144" t="inlineStr"/>
      <c r="F144" t="inlineStr"/>
      <c r="G144" t="inlineStr">
        <is>
          <t>Sunnyvale, CA, US</t>
        </is>
      </c>
      <c r="H144" s="2" t="n">
        <v>46030</v>
      </c>
      <c r="I14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5">
      <c r="A145" t="inlineStr">
        <is>
          <t>in-7dffbaff52e31e44</t>
        </is>
      </c>
      <c r="B145" t="inlineStr">
        <is>
          <t>Applied Scientist, Denied Party Screening, AWS Compliance &amp; Security Assurance</t>
        </is>
      </c>
      <c r="C145" t="inlineStr">
        <is>
          <t>Amazon.com</t>
        </is>
      </c>
      <c r="D145" t="inlineStr">
        <is>
          <t>indeed</t>
        </is>
      </c>
      <c r="E145" t="inlineStr"/>
      <c r="F145" t="inlineStr"/>
      <c r="G145" t="inlineStr">
        <is>
          <t>Seattle, WA, US</t>
        </is>
      </c>
      <c r="H145" s="2" t="n">
        <v>46027</v>
      </c>
      <c r="I145"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146">
      <c r="A146" t="inlineStr">
        <is>
          <t>in-58396c0f86e8cf49</t>
        </is>
      </c>
      <c r="B146" t="inlineStr">
        <is>
          <t>Applied Scientist, Denied Party Screening, AWS Compliance &amp; Security Assurance</t>
        </is>
      </c>
      <c r="C146" t="inlineStr">
        <is>
          <t>Amazon.com</t>
        </is>
      </c>
      <c r="D146" t="inlineStr">
        <is>
          <t>indeed</t>
        </is>
      </c>
      <c r="E146" t="inlineStr"/>
      <c r="F146" t="inlineStr"/>
      <c r="G146" t="inlineStr">
        <is>
          <t>Dallas, TX, US</t>
        </is>
      </c>
      <c r="H146" s="2" t="n">
        <v>46027</v>
      </c>
      <c r="I146"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147">
      <c r="A147" t="inlineStr">
        <is>
          <t>in-c84800e56ee52419</t>
        </is>
      </c>
      <c r="B147" t="inlineStr">
        <is>
          <t>Senior Applied Scientist, Amazon Industrial Robotics</t>
        </is>
      </c>
      <c r="C147" t="inlineStr">
        <is>
          <t>Amazon.com</t>
        </is>
      </c>
      <c r="D147" t="inlineStr">
        <is>
          <t>indeed</t>
        </is>
      </c>
      <c r="E147" t="inlineStr"/>
      <c r="F147" t="inlineStr"/>
      <c r="G147" t="inlineStr">
        <is>
          <t>Reading, MA, US</t>
        </is>
      </c>
      <c r="H147" s="2" t="n">
        <v>46027</v>
      </c>
      <c r="I14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8">
      <c r="A148" t="inlineStr">
        <is>
          <t>in-e0accf06cbe03c8c</t>
        </is>
      </c>
      <c r="B148" t="inlineStr">
        <is>
          <t>Senior Applied Scientist, Amazon Industrial Robotics</t>
        </is>
      </c>
      <c r="C148" t="inlineStr">
        <is>
          <t>Amazon.com</t>
        </is>
      </c>
      <c r="D148" t="inlineStr">
        <is>
          <t>indeed</t>
        </is>
      </c>
      <c r="E148" t="inlineStr"/>
      <c r="F148" t="inlineStr"/>
      <c r="G148" t="inlineStr">
        <is>
          <t>Reading, MA, US</t>
        </is>
      </c>
      <c r="H148" s="2" t="n">
        <v>46027</v>
      </c>
      <c r="I14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9">
      <c r="A149" t="inlineStr">
        <is>
          <t>in-645dbb8544f3dcf4</t>
        </is>
      </c>
      <c r="B149" t="inlineStr">
        <is>
          <t>Senior Applied Scientist, Dexterous Manipulation , Amazon Industrial Robotics</t>
        </is>
      </c>
      <c r="C149" t="inlineStr">
        <is>
          <t>Amazon.com</t>
        </is>
      </c>
      <c r="D149" t="inlineStr">
        <is>
          <t>indeed</t>
        </is>
      </c>
      <c r="E149" t="inlineStr"/>
      <c r="F149" t="inlineStr"/>
      <c r="G149" t="inlineStr">
        <is>
          <t>Reading, MA, US</t>
        </is>
      </c>
      <c r="H149" s="2" t="n">
        <v>46027</v>
      </c>
      <c r="I14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50">
      <c r="A150" t="inlineStr">
        <is>
          <t>in-335eb5e681b97276</t>
        </is>
      </c>
      <c r="B150" t="inlineStr">
        <is>
          <t>Senior Applied Scientist, Dexterous Manipulation , Amazon Industrial Robotics</t>
        </is>
      </c>
      <c r="C150" t="inlineStr">
        <is>
          <t>Amazon.com</t>
        </is>
      </c>
      <c r="D150" t="inlineStr">
        <is>
          <t>indeed</t>
        </is>
      </c>
      <c r="E150" t="inlineStr"/>
      <c r="F150" t="inlineStr"/>
      <c r="G150" t="inlineStr">
        <is>
          <t>Reading, MA, US</t>
        </is>
      </c>
      <c r="H150" s="2" t="n">
        <v>46027</v>
      </c>
      <c r="I15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51">
      <c r="A151" t="inlineStr">
        <is>
          <t>in-def39dadb04acbea</t>
        </is>
      </c>
      <c r="B151" t="inlineStr">
        <is>
          <t>Applied Scientist, Amazon Special Projects</t>
        </is>
      </c>
      <c r="C151" t="inlineStr">
        <is>
          <t>Amazon.com</t>
        </is>
      </c>
      <c r="D151" t="inlineStr">
        <is>
          <t>indeed</t>
        </is>
      </c>
      <c r="E151" t="inlineStr"/>
      <c r="F151" t="inlineStr"/>
      <c r="G151" t="inlineStr">
        <is>
          <t>Seattle, WA, US</t>
        </is>
      </c>
      <c r="H151" s="2" t="n">
        <v>46026</v>
      </c>
      <c r="I15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in-b87c0a3f04de6c51</t>
        </is>
      </c>
      <c r="B152" t="inlineStr">
        <is>
          <t>Applied Scientist, Amazon Special Projects</t>
        </is>
      </c>
      <c r="C152" t="inlineStr">
        <is>
          <t>Amazon.com</t>
        </is>
      </c>
      <c r="D152" t="inlineStr">
        <is>
          <t>indeed</t>
        </is>
      </c>
      <c r="E152" t="inlineStr"/>
      <c r="F152" t="inlineStr"/>
      <c r="G152" t="inlineStr">
        <is>
          <t>Boston, MA, US</t>
        </is>
      </c>
      <c r="H152" s="2" t="n">
        <v>46026</v>
      </c>
      <c r="I15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in-854309d689e77855</t>
        </is>
      </c>
      <c r="B153" t="inlineStr">
        <is>
          <t>Applied Scientist, Last Mile Delivery Automation</t>
        </is>
      </c>
      <c r="C153" t="inlineStr">
        <is>
          <t>Amazon.com</t>
        </is>
      </c>
      <c r="D153" t="inlineStr">
        <is>
          <t>indeed</t>
        </is>
      </c>
      <c r="E153" t="inlineStr"/>
      <c r="F153" t="inlineStr"/>
      <c r="G153" t="inlineStr">
        <is>
          <t>Santa Clara, CA, US</t>
        </is>
      </c>
      <c r="H153" s="2" t="n">
        <v>46026</v>
      </c>
      <c r="I15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in-71993529eb943cfe</t>
        </is>
      </c>
      <c r="B154" t="inlineStr">
        <is>
          <t>Applied Scientist, Last Mile Delivery Automation</t>
        </is>
      </c>
      <c r="C154" t="inlineStr">
        <is>
          <t>Amazon.com</t>
        </is>
      </c>
      <c r="D154" t="inlineStr">
        <is>
          <t>indeed</t>
        </is>
      </c>
      <c r="E154" t="inlineStr"/>
      <c r="F154" t="inlineStr"/>
      <c r="G154" t="inlineStr">
        <is>
          <t>Bellevue, WA, US</t>
        </is>
      </c>
      <c r="H154" s="2" t="n">
        <v>46026</v>
      </c>
      <c r="I15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in-d5509eee3197414a</t>
        </is>
      </c>
      <c r="B155" t="inlineStr">
        <is>
          <t>Senior Applied Scientist, Distributed SQL</t>
        </is>
      </c>
      <c r="C155" t="inlineStr">
        <is>
          <t>Amazon Web Services</t>
        </is>
      </c>
      <c r="D155" t="inlineStr">
        <is>
          <t>indeed</t>
        </is>
      </c>
      <c r="E155" t="inlineStr"/>
      <c r="F155" t="inlineStr"/>
      <c r="G155" t="inlineStr">
        <is>
          <t>Seattle, WA, US</t>
        </is>
      </c>
      <c r="H155" s="2" t="n">
        <v>46012</v>
      </c>
      <c r="I1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6">
      <c r="A156" t="inlineStr">
        <is>
          <t>in-6390c97206340c35</t>
        </is>
      </c>
      <c r="B156" t="inlineStr">
        <is>
          <t>Senior Applied Scientist, Distributed SQL</t>
        </is>
      </c>
      <c r="C156" t="inlineStr">
        <is>
          <t>Amazon Web Services</t>
        </is>
      </c>
      <c r="D156" t="inlineStr">
        <is>
          <t>indeed</t>
        </is>
      </c>
      <c r="E156" t="inlineStr"/>
      <c r="F156" t="inlineStr"/>
      <c r="G156" t="inlineStr">
        <is>
          <t>East Palo Alto, CA, US</t>
        </is>
      </c>
      <c r="H156" s="2" t="n">
        <v>46012</v>
      </c>
      <c r="I1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7">
      <c r="A157" t="inlineStr">
        <is>
          <t>in-f76e2ac9c01bd99e</t>
        </is>
      </c>
      <c r="B157" t="inlineStr">
        <is>
          <t>Sr. Applied Scientist, Amazon Ads</t>
        </is>
      </c>
      <c r="C157" t="inlineStr">
        <is>
          <t>Amazon.com</t>
        </is>
      </c>
      <c r="D157" t="inlineStr">
        <is>
          <t>indeed</t>
        </is>
      </c>
      <c r="E157" t="inlineStr"/>
      <c r="F157" t="inlineStr"/>
      <c r="G157" t="inlineStr">
        <is>
          <t>Sunnyvale, CA, US</t>
        </is>
      </c>
      <c r="H157" s="2"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in-bdeccc55b8f3b369</t>
        </is>
      </c>
      <c r="B158" t="inlineStr">
        <is>
          <t>Sr. Applied Scientist, Amazon Ads</t>
        </is>
      </c>
      <c r="C158" t="inlineStr">
        <is>
          <t>Amazon.com</t>
        </is>
      </c>
      <c r="D158" t="inlineStr">
        <is>
          <t>indeed</t>
        </is>
      </c>
      <c r="E158" t="inlineStr"/>
      <c r="F158" t="inlineStr"/>
      <c r="G158" t="inlineStr">
        <is>
          <t>New York, NY, US</t>
        </is>
      </c>
      <c r="H158" s="2"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in-a5c7ce00d1327e3e</t>
        </is>
      </c>
      <c r="B159" t="inlineStr">
        <is>
          <t>Sr. Applied Scientist, Amazon Ads</t>
        </is>
      </c>
      <c r="C159" t="inlineStr">
        <is>
          <t>Amazon.com</t>
        </is>
      </c>
      <c r="D159" t="inlineStr">
        <is>
          <t>indeed</t>
        </is>
      </c>
      <c r="E159" t="inlineStr"/>
      <c r="F159" t="inlineStr"/>
      <c r="G159" t="inlineStr">
        <is>
          <t>Seattle, WA, US</t>
        </is>
      </c>
      <c r="H159" s="2"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in-6b1201154042c1b7</t>
        </is>
      </c>
      <c r="B160" t="inlineStr">
        <is>
          <t>Sr. Applied Scientist, Amazon Ads</t>
        </is>
      </c>
      <c r="C160" t="inlineStr">
        <is>
          <t>Amazon.com</t>
        </is>
      </c>
      <c r="D160" t="inlineStr">
        <is>
          <t>indeed</t>
        </is>
      </c>
      <c r="E160" t="inlineStr"/>
      <c r="F160" t="inlineStr"/>
      <c r="G160" t="inlineStr">
        <is>
          <t>Brooklyn, NY, US</t>
        </is>
      </c>
      <c r="H160" s="2"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in-aed558dbf9bebc04</t>
        </is>
      </c>
      <c r="B161" t="inlineStr">
        <is>
          <t>Sr. Applied Scientist, Amazon Ads</t>
        </is>
      </c>
      <c r="C161" t="inlineStr">
        <is>
          <t>Amazon.com</t>
        </is>
      </c>
      <c r="D161" t="inlineStr">
        <is>
          <t>indeed</t>
        </is>
      </c>
      <c r="E161" t="inlineStr"/>
      <c r="F161" t="inlineStr"/>
      <c r="G161" t="inlineStr">
        <is>
          <t>Palo Alto, CA, US</t>
        </is>
      </c>
      <c r="H161" s="2"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in-fbed8339b22d18c6</t>
        </is>
      </c>
      <c r="B162" t="inlineStr">
        <is>
          <t>Sr. Applied Scientist, Amazon Ads</t>
        </is>
      </c>
      <c r="C162" t="inlineStr">
        <is>
          <t>Amazon.com</t>
        </is>
      </c>
      <c r="D162" t="inlineStr">
        <is>
          <t>indeed</t>
        </is>
      </c>
      <c r="E162" t="inlineStr"/>
      <c r="F162" t="inlineStr"/>
      <c r="G162" t="inlineStr">
        <is>
          <t>Tukwila, WA, US</t>
        </is>
      </c>
      <c r="H162" s="2"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in-3c4c69b5a25c6643</t>
        </is>
      </c>
      <c r="B163" t="inlineStr">
        <is>
          <t>Sr. Applied Scientist, Amazon Ads</t>
        </is>
      </c>
      <c r="C163" t="inlineStr">
        <is>
          <t>Amazon.com</t>
        </is>
      </c>
      <c r="D163" t="inlineStr">
        <is>
          <t>indeed</t>
        </is>
      </c>
      <c r="E163" t="inlineStr"/>
      <c r="F163" t="inlineStr"/>
      <c r="G163" t="inlineStr">
        <is>
          <t>Corvallis, OR, US</t>
        </is>
      </c>
      <c r="H163" s="2"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in-0ce1f069395aca41</t>
        </is>
      </c>
      <c r="B164" t="inlineStr">
        <is>
          <t>Sr. Applied Scientist, Amazon Ads</t>
        </is>
      </c>
      <c r="C164" t="inlineStr">
        <is>
          <t>Amazon.com</t>
        </is>
      </c>
      <c r="D164" t="inlineStr">
        <is>
          <t>indeed</t>
        </is>
      </c>
      <c r="E164" t="inlineStr"/>
      <c r="F164" t="inlineStr"/>
      <c r="G164" t="inlineStr">
        <is>
          <t>Boulder, CO, US</t>
        </is>
      </c>
      <c r="H164" s="2"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in-a8745af9f818b78c</t>
        </is>
      </c>
      <c r="B165" t="inlineStr">
        <is>
          <t>Sr. Applied Scientist, Amazon Ads</t>
        </is>
      </c>
      <c r="C165" t="inlineStr">
        <is>
          <t>Amazon.com</t>
        </is>
      </c>
      <c r="D165" t="inlineStr">
        <is>
          <t>indeed</t>
        </is>
      </c>
      <c r="E165" t="inlineStr"/>
      <c r="F165" t="inlineStr"/>
      <c r="G165" t="inlineStr">
        <is>
          <t>Santa Monica, CA, US</t>
        </is>
      </c>
      <c r="H165" s="2"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in-4b9aa2cf6df18d38</t>
        </is>
      </c>
      <c r="B166" t="inlineStr">
        <is>
          <t>Sr. Applied Scientist, Amazon Ads</t>
        </is>
      </c>
      <c r="C166" t="inlineStr">
        <is>
          <t>Amazon.com</t>
        </is>
      </c>
      <c r="D166" t="inlineStr">
        <is>
          <t>indeed</t>
        </is>
      </c>
      <c r="E166" t="inlineStr"/>
      <c r="F166" t="inlineStr"/>
      <c r="G166" t="inlineStr">
        <is>
          <t>Boston, MA, US</t>
        </is>
      </c>
      <c r="H166" s="2"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in-adc8f1cfe9f2e045</t>
        </is>
      </c>
      <c r="B167" t="inlineStr">
        <is>
          <t>Applied Scientist, ML Compiler</t>
        </is>
      </c>
      <c r="C167" t="inlineStr">
        <is>
          <t>Amazon Web Services</t>
        </is>
      </c>
      <c r="D167" t="inlineStr">
        <is>
          <t>indeed</t>
        </is>
      </c>
      <c r="E167" t="inlineStr"/>
      <c r="F167" t="inlineStr"/>
      <c r="G167" t="inlineStr">
        <is>
          <t>Seattle, WA, US</t>
        </is>
      </c>
      <c r="H167" s="2" t="n">
        <v>45993</v>
      </c>
      <c r="I167"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in-1b705eaa07d30bc5</t>
        </is>
      </c>
      <c r="B168" t="inlineStr">
        <is>
          <t>Applied Scientist, ML Compiler</t>
        </is>
      </c>
      <c r="C168" t="inlineStr">
        <is>
          <t>Amazon Web Services</t>
        </is>
      </c>
      <c r="D168" t="inlineStr">
        <is>
          <t>indeed</t>
        </is>
      </c>
      <c r="E168" t="inlineStr"/>
      <c r="F168" t="inlineStr"/>
      <c r="G168" t="inlineStr">
        <is>
          <t>Cupertino, CA, US</t>
        </is>
      </c>
      <c r="H168" s="2" t="n">
        <v>45993</v>
      </c>
      <c r="I168"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in-375f611b8e8ec7ad</t>
        </is>
      </c>
      <c r="B169" t="inlineStr">
        <is>
          <t>Senior Data Scientist, Data and Machine Learning, WWPS US Federal</t>
        </is>
      </c>
      <c r="C169" t="inlineStr">
        <is>
          <t>Amazon Web Services</t>
        </is>
      </c>
      <c r="D169" t="inlineStr">
        <is>
          <t>indeed</t>
        </is>
      </c>
      <c r="E169" t="inlineStr"/>
      <c r="F169" t="inlineStr"/>
      <c r="G169" t="inlineStr">
        <is>
          <t>Arlington, VA, US</t>
        </is>
      </c>
      <c r="H169" s="2" t="n">
        <v>45993</v>
      </c>
      <c r="I16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170">
      <c r="A170" t="inlineStr">
        <is>
          <t>in-3e76994d9a9102c9</t>
        </is>
      </c>
      <c r="B170" t="inlineStr">
        <is>
          <t>Senior Data Scientist, Data and Machine Learning, WWPS US Federal</t>
        </is>
      </c>
      <c r="C170" t="inlineStr">
        <is>
          <t>Amazon Web Services</t>
        </is>
      </c>
      <c r="D170" t="inlineStr">
        <is>
          <t>indeed</t>
        </is>
      </c>
      <c r="E170" t="inlineStr"/>
      <c r="F170" t="inlineStr"/>
      <c r="G170" t="inlineStr">
        <is>
          <t>Herndon, VA, US</t>
        </is>
      </c>
      <c r="H170" s="2" t="n">
        <v>45993</v>
      </c>
      <c r="I17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171">
      <c r="A171" t="inlineStr">
        <is>
          <t>in-f526490f60915dcf</t>
        </is>
      </c>
      <c r="B171" t="inlineStr">
        <is>
          <t>Senior Data Scientist, Data and Machine Learning, WWPS US Federal</t>
        </is>
      </c>
      <c r="C171" t="inlineStr">
        <is>
          <t>Amazon Web Services</t>
        </is>
      </c>
      <c r="D171" t="inlineStr">
        <is>
          <t>indeed</t>
        </is>
      </c>
      <c r="E171" t="inlineStr"/>
      <c r="F171" t="inlineStr"/>
      <c r="G171" t="inlineStr">
        <is>
          <t>Jessup, MD, US</t>
        </is>
      </c>
      <c r="H171" s="2" t="n">
        <v>45993</v>
      </c>
      <c r="I17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172">
      <c r="A172" t="inlineStr">
        <is>
          <t>in-4c3574bea8c50ce4</t>
        </is>
      </c>
      <c r="B172" t="inlineStr">
        <is>
          <t>Senior Data Scientist, Data and Machine Learning, WWPS US Federal</t>
        </is>
      </c>
      <c r="C172" t="inlineStr">
        <is>
          <t>Amazon Web Services</t>
        </is>
      </c>
      <c r="D172" t="inlineStr">
        <is>
          <t>indeed</t>
        </is>
      </c>
      <c r="E172" t="inlineStr"/>
      <c r="F172" t="inlineStr"/>
      <c r="G172" t="inlineStr">
        <is>
          <t>Denver, CO, US</t>
        </is>
      </c>
      <c r="H172" s="2" t="n">
        <v>45993</v>
      </c>
      <c r="I17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173">
      <c r="A173" t="inlineStr">
        <is>
          <t>in-d03d452f8c7cf331</t>
        </is>
      </c>
      <c r="B173" t="inlineStr">
        <is>
          <t>Data Scientist, Data and Machine Learning, WWPS US Federal</t>
        </is>
      </c>
      <c r="C173" t="inlineStr">
        <is>
          <t>Amazon Web Services</t>
        </is>
      </c>
      <c r="D173" t="inlineStr">
        <is>
          <t>indeed</t>
        </is>
      </c>
      <c r="E173" t="inlineStr"/>
      <c r="F173" t="inlineStr"/>
      <c r="G173" t="inlineStr">
        <is>
          <t>Jessup, MD, US</t>
        </is>
      </c>
      <c r="H173" s="2" t="n">
        <v>45993</v>
      </c>
      <c r="I17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174">
      <c r="A174" t="inlineStr">
        <is>
          <t>in-effe4a80a28a3c91</t>
        </is>
      </c>
      <c r="B174" t="inlineStr">
        <is>
          <t>Data Scientist, Data and Machine Learning, WWPS US Federal</t>
        </is>
      </c>
      <c r="C174" t="inlineStr">
        <is>
          <t>Amazon Web Services</t>
        </is>
      </c>
      <c r="D174" t="inlineStr">
        <is>
          <t>indeed</t>
        </is>
      </c>
      <c r="E174" t="inlineStr"/>
      <c r="F174" t="inlineStr"/>
      <c r="G174" t="inlineStr">
        <is>
          <t>Arlington, VA, US</t>
        </is>
      </c>
      <c r="H174" s="2" t="n">
        <v>45993</v>
      </c>
      <c r="I17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175">
      <c r="A175" t="inlineStr">
        <is>
          <t>in-cdcf33962ee3a943</t>
        </is>
      </c>
      <c r="B175" t="inlineStr">
        <is>
          <t>Data Scientist, Data and Machine Learning, WWPS US Federal</t>
        </is>
      </c>
      <c r="C175" t="inlineStr">
        <is>
          <t>Amazon Web Services</t>
        </is>
      </c>
      <c r="D175" t="inlineStr">
        <is>
          <t>indeed</t>
        </is>
      </c>
      <c r="E175" t="inlineStr"/>
      <c r="F175" t="inlineStr"/>
      <c r="G175" t="inlineStr">
        <is>
          <t>Herndon, VA, US</t>
        </is>
      </c>
      <c r="H175" s="2" t="n">
        <v>45993</v>
      </c>
      <c r="I17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176">
      <c r="A176" t="inlineStr">
        <is>
          <t>in-a95832c7f65b329e</t>
        </is>
      </c>
      <c r="B176" t="inlineStr">
        <is>
          <t>Data Scientist, Data and Machine Learning, WWPS US Federal</t>
        </is>
      </c>
      <c r="C176" t="inlineStr">
        <is>
          <t>Amazon Web Services</t>
        </is>
      </c>
      <c r="D176" t="inlineStr">
        <is>
          <t>indeed</t>
        </is>
      </c>
      <c r="E176" t="inlineStr"/>
      <c r="F176" t="inlineStr"/>
      <c r="G176" t="inlineStr">
        <is>
          <t>Denver, CO, US</t>
        </is>
      </c>
      <c r="H176" s="2" t="n">
        <v>45993</v>
      </c>
      <c r="I17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177">
      <c r="A177" t="inlineStr">
        <is>
          <t>in-9b944a3d4a1f6893</t>
        </is>
      </c>
      <c r="B177" t="inlineStr">
        <is>
          <t>Senior Data Scientist, Data and Machine Learning, WWPS US Federal</t>
        </is>
      </c>
      <c r="C177" t="inlineStr">
        <is>
          <t>Amazon Web Services</t>
        </is>
      </c>
      <c r="D177" t="inlineStr">
        <is>
          <t>indeed</t>
        </is>
      </c>
      <c r="E177" t="inlineStr"/>
      <c r="F177" t="inlineStr"/>
      <c r="G177" t="inlineStr">
        <is>
          <t>St. Louis, MO, US</t>
        </is>
      </c>
      <c r="H177" s="2" t="n">
        <v>45993</v>
      </c>
      <c r="I17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178">
      <c r="A178" t="inlineStr">
        <is>
          <t>in-5f59e87e9910ac07</t>
        </is>
      </c>
      <c r="B178" t="inlineStr">
        <is>
          <t>Data Scientist, Data and Machine Learning, WWPS US Federal</t>
        </is>
      </c>
      <c r="C178" t="inlineStr">
        <is>
          <t>Amazon Web Services</t>
        </is>
      </c>
      <c r="D178" t="inlineStr">
        <is>
          <t>indeed</t>
        </is>
      </c>
      <c r="E178" t="inlineStr"/>
      <c r="F178" t="inlineStr"/>
      <c r="G178" t="inlineStr">
        <is>
          <t>St. Louis, MO, US</t>
        </is>
      </c>
      <c r="H178" s="2" t="n">
        <v>45993</v>
      </c>
      <c r="I17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179">
      <c r="A179" t="inlineStr">
        <is>
          <t>in-fc69fdaa019594fb</t>
        </is>
      </c>
      <c r="B179" t="inlineStr">
        <is>
          <t>Senior Applied Scientist, Locomotion, Amazon Industrial Robotics</t>
        </is>
      </c>
      <c r="C179" t="inlineStr">
        <is>
          <t>Amazon.com</t>
        </is>
      </c>
      <c r="D179" t="inlineStr">
        <is>
          <t>indeed</t>
        </is>
      </c>
      <c r="E179" t="inlineStr"/>
      <c r="F179" t="inlineStr"/>
      <c r="G179" t="inlineStr">
        <is>
          <t>Reading, MA, US</t>
        </is>
      </c>
      <c r="H179" s="2" t="n">
        <v>45992</v>
      </c>
      <c r="I17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in-bb50e2f6c628c13b</t>
        </is>
      </c>
      <c r="B180" t="inlineStr">
        <is>
          <t>Senior Applied Scientist, Locomotion, Amazon Industrial Robotics</t>
        </is>
      </c>
      <c r="C180" t="inlineStr">
        <is>
          <t>Amazon.com</t>
        </is>
      </c>
      <c r="D180" t="inlineStr">
        <is>
          <t>indeed</t>
        </is>
      </c>
      <c r="E180" t="inlineStr"/>
      <c r="F180" t="inlineStr"/>
      <c r="G180" t="inlineStr">
        <is>
          <t>Reading, MA, US</t>
        </is>
      </c>
      <c r="H180" s="2" t="n">
        <v>45992</v>
      </c>
      <c r="I18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in-ee10934dcf9a3d6d</t>
        </is>
      </c>
      <c r="B181" t="inlineStr">
        <is>
          <t>Principal Applied Scientist, Amazon Special Projects</t>
        </is>
      </c>
      <c r="C181" t="inlineStr">
        <is>
          <t>Amazon.com</t>
        </is>
      </c>
      <c r="D181" t="inlineStr">
        <is>
          <t>indeed</t>
        </is>
      </c>
      <c r="E181" t="inlineStr"/>
      <c r="F181" t="inlineStr"/>
      <c r="G181" t="inlineStr">
        <is>
          <t>Boston, MA, US</t>
        </is>
      </c>
      <c r="H181" s="2" t="n">
        <v>45982</v>
      </c>
      <c r="I18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in-29a24f7466c4404f</t>
        </is>
      </c>
      <c r="B182" t="inlineStr">
        <is>
          <t>Principal Applied Scientist, Amazon Special Projects</t>
        </is>
      </c>
      <c r="C182" t="inlineStr">
        <is>
          <t>Amazon.com</t>
        </is>
      </c>
      <c r="D182" t="inlineStr">
        <is>
          <t>indeed</t>
        </is>
      </c>
      <c r="E182" t="inlineStr"/>
      <c r="F182" t="inlineStr"/>
      <c r="G182" t="inlineStr">
        <is>
          <t>Seattle, WA, US</t>
        </is>
      </c>
      <c r="H182" s="2" t="n">
        <v>45982</v>
      </c>
      <c r="I18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in-ef9be19bad23a05f</t>
        </is>
      </c>
      <c r="B183" t="inlineStr">
        <is>
          <t>Senior Applied Scientist, Artificial General Intelligence</t>
        </is>
      </c>
      <c r="C183" t="inlineStr">
        <is>
          <t>Amazon.com</t>
        </is>
      </c>
      <c r="D183" t="inlineStr">
        <is>
          <t>indeed</t>
        </is>
      </c>
      <c r="E183" t="inlineStr"/>
      <c r="F183" t="inlineStr"/>
      <c r="G183" t="inlineStr">
        <is>
          <t>Boston, MA, US</t>
        </is>
      </c>
      <c r="H183" s="2" t="n">
        <v>45980</v>
      </c>
      <c r="I18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in-19c627f1a5de00ea</t>
        </is>
      </c>
      <c r="B184" t="inlineStr">
        <is>
          <t>Senior Applied Scientist, Artificial General Intelligence</t>
        </is>
      </c>
      <c r="C184" t="inlineStr">
        <is>
          <t>Amazon.com</t>
        </is>
      </c>
      <c r="D184" t="inlineStr">
        <is>
          <t>indeed</t>
        </is>
      </c>
      <c r="E184" t="inlineStr"/>
      <c r="F184" t="inlineStr"/>
      <c r="G184" t="inlineStr">
        <is>
          <t>Sunnyvale, CA, US</t>
        </is>
      </c>
      <c r="H184" s="2" t="n">
        <v>45980</v>
      </c>
      <c r="I18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in-af68b88f93ecf008</t>
        </is>
      </c>
      <c r="B185" t="inlineStr">
        <is>
          <t>Senior Applied Scientist, Artificial General Intelligence</t>
        </is>
      </c>
      <c r="C185" t="inlineStr">
        <is>
          <t>Amazon.com</t>
        </is>
      </c>
      <c r="D185" t="inlineStr">
        <is>
          <t>indeed</t>
        </is>
      </c>
      <c r="E185" t="inlineStr"/>
      <c r="F185" t="inlineStr"/>
      <c r="G185" t="inlineStr">
        <is>
          <t>New York, NY, US</t>
        </is>
      </c>
      <c r="H185" s="2" t="n">
        <v>45980</v>
      </c>
      <c r="I18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in-0c13a0cb8e74b994</t>
        </is>
      </c>
      <c r="B186" t="inlineStr">
        <is>
          <t>Senior Applied Scientist, Artificial General Intelligence</t>
        </is>
      </c>
      <c r="C186" t="inlineStr">
        <is>
          <t>Amazon.com</t>
        </is>
      </c>
      <c r="D186" t="inlineStr">
        <is>
          <t>indeed</t>
        </is>
      </c>
      <c r="E186" t="inlineStr"/>
      <c r="F186" t="inlineStr"/>
      <c r="G186" t="inlineStr">
        <is>
          <t>Seattle, WA, US</t>
        </is>
      </c>
      <c r="H186" s="2" t="n">
        <v>45980</v>
      </c>
      <c r="I18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in-4cf640f7de7308f0</t>
        </is>
      </c>
      <c r="B187" t="inlineStr">
        <is>
          <t>Applied Scientist II, SPB Advertiser Guidance</t>
        </is>
      </c>
      <c r="C187" t="inlineStr">
        <is>
          <t>Amazon.com</t>
        </is>
      </c>
      <c r="D187" t="inlineStr">
        <is>
          <t>indeed</t>
        </is>
      </c>
      <c r="E187" t="inlineStr"/>
      <c r="F187" t="inlineStr"/>
      <c r="G187" t="inlineStr">
        <is>
          <t>Seattle, WA, US</t>
        </is>
      </c>
      <c r="H187" s="2" t="n">
        <v>45980</v>
      </c>
      <c r="I1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in-3cf0948a140c74a9</t>
        </is>
      </c>
      <c r="B188" t="inlineStr">
        <is>
          <t>Applied Scientist II, SPB Advertiser Guidance</t>
        </is>
      </c>
      <c r="C188" t="inlineStr">
        <is>
          <t>Amazon.com</t>
        </is>
      </c>
      <c r="D188" t="inlineStr">
        <is>
          <t>indeed</t>
        </is>
      </c>
      <c r="E188" t="inlineStr"/>
      <c r="F188" t="inlineStr"/>
      <c r="G188" t="inlineStr">
        <is>
          <t>New York, NY, US</t>
        </is>
      </c>
      <c r="H188" s="2" t="n">
        <v>45980</v>
      </c>
      <c r="I1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in-6e41cb6ea54820ef</t>
        </is>
      </c>
      <c r="B189" t="inlineStr">
        <is>
          <t>Applied Scientist II, SPB Advertiser Guidance</t>
        </is>
      </c>
      <c r="C189" t="inlineStr">
        <is>
          <t>Amazon.com</t>
        </is>
      </c>
      <c r="D189" t="inlineStr">
        <is>
          <t>indeed</t>
        </is>
      </c>
      <c r="E189" t="inlineStr"/>
      <c r="F189" t="inlineStr"/>
      <c r="G189" t="inlineStr">
        <is>
          <t>Palo Alto, CA, US</t>
        </is>
      </c>
      <c r="H189" s="2" t="n">
        <v>45980</v>
      </c>
      <c r="I1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in-8cc3e2813a24c08c</t>
        </is>
      </c>
      <c r="B190" t="inlineStr">
        <is>
          <t>Principal Applied Scientist, Sponsored Products and Brands</t>
        </is>
      </c>
      <c r="C190" t="inlineStr">
        <is>
          <t>Amazon.com</t>
        </is>
      </c>
      <c r="D190" t="inlineStr">
        <is>
          <t>indeed</t>
        </is>
      </c>
      <c r="E190" t="inlineStr"/>
      <c r="F190" t="inlineStr"/>
      <c r="G190" t="inlineStr">
        <is>
          <t>Seattle, WA, US</t>
        </is>
      </c>
      <c r="H190" s="2" t="n">
        <v>45979</v>
      </c>
      <c r="I19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in-917d68606eab6dbd</t>
        </is>
      </c>
      <c r="B191" t="inlineStr">
        <is>
          <t>Principal Applied Scientist, Sponsored Products and Brands</t>
        </is>
      </c>
      <c r="C191" t="inlineStr">
        <is>
          <t>Amazon.com</t>
        </is>
      </c>
      <c r="D191" t="inlineStr">
        <is>
          <t>indeed</t>
        </is>
      </c>
      <c r="E191" t="inlineStr"/>
      <c r="F191" t="inlineStr"/>
      <c r="G191" t="inlineStr">
        <is>
          <t>New York, NY, US</t>
        </is>
      </c>
      <c r="H191" s="2" t="n">
        <v>45979</v>
      </c>
      <c r="I19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in-bc5de21e22c6e182</t>
        </is>
      </c>
      <c r="B192" t="inlineStr">
        <is>
          <t>Applied Scientist, Personalization, DTx Science</t>
        </is>
      </c>
      <c r="C192" t="inlineStr">
        <is>
          <t>Amazon.com</t>
        </is>
      </c>
      <c r="D192" t="inlineStr">
        <is>
          <t>indeed</t>
        </is>
      </c>
      <c r="E192" t="inlineStr"/>
      <c r="F192" t="inlineStr"/>
      <c r="G192" t="inlineStr">
        <is>
          <t>New York, NY, US</t>
        </is>
      </c>
      <c r="H192" s="2" t="n">
        <v>45979</v>
      </c>
      <c r="I19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3">
      <c r="A193" t="inlineStr">
        <is>
          <t>in-0cad3929455c3839</t>
        </is>
      </c>
      <c r="B193" t="inlineStr">
        <is>
          <t>Applied Scientist, Personalization, DTx Science</t>
        </is>
      </c>
      <c r="C193" t="inlineStr">
        <is>
          <t>Amazon.com</t>
        </is>
      </c>
      <c r="D193" t="inlineStr">
        <is>
          <t>indeed</t>
        </is>
      </c>
      <c r="E193" t="inlineStr"/>
      <c r="F193" t="inlineStr"/>
      <c r="G193" t="inlineStr">
        <is>
          <t>Seattle, WA, US</t>
        </is>
      </c>
      <c r="H193" s="2" t="n">
        <v>45979</v>
      </c>
      <c r="I19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4">
      <c r="A194" t="inlineStr">
        <is>
          <t>in-927aa996458e1414</t>
        </is>
      </c>
      <c r="B194" t="inlineStr">
        <is>
          <t>Sr. Applied Scientist, AGI Foundations</t>
        </is>
      </c>
      <c r="C194" t="inlineStr">
        <is>
          <t>Amazon.com</t>
        </is>
      </c>
      <c r="D194" t="inlineStr">
        <is>
          <t>indeed</t>
        </is>
      </c>
      <c r="E194" t="inlineStr"/>
      <c r="F194" t="inlineStr"/>
      <c r="G194" t="inlineStr">
        <is>
          <t>Sunnyvale, CA, US</t>
        </is>
      </c>
      <c r="H194" s="2" t="n">
        <v>45978</v>
      </c>
      <c r="I19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in-f6e7d9e61865c428</t>
        </is>
      </c>
      <c r="B195" t="inlineStr">
        <is>
          <t>Sr. Applied Scientist, AGI Foundations</t>
        </is>
      </c>
      <c r="C195" t="inlineStr">
        <is>
          <t>Amazon.com</t>
        </is>
      </c>
      <c r="D195" t="inlineStr">
        <is>
          <t>indeed</t>
        </is>
      </c>
      <c r="E195" t="inlineStr"/>
      <c r="F195" t="inlineStr"/>
      <c r="G195" t="inlineStr">
        <is>
          <t>Bellevue, WA, US</t>
        </is>
      </c>
      <c r="H195" s="2" t="n">
        <v>45978</v>
      </c>
      <c r="I19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in-c0680c6daa6b86c7</t>
        </is>
      </c>
      <c r="B196" t="inlineStr">
        <is>
          <t>Sr. Applied Scientist, AGI Foundations</t>
        </is>
      </c>
      <c r="C196" t="inlineStr">
        <is>
          <t>Amazon.com</t>
        </is>
      </c>
      <c r="D196" t="inlineStr">
        <is>
          <t>indeed</t>
        </is>
      </c>
      <c r="E196" t="inlineStr"/>
      <c r="F196" t="inlineStr"/>
      <c r="G196" t="inlineStr">
        <is>
          <t>Boston, MA, US</t>
        </is>
      </c>
      <c r="H196" s="2" t="n">
        <v>45978</v>
      </c>
      <c r="I19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in-69924712ab6f579b</t>
        </is>
      </c>
      <c r="B197" t="inlineStr">
        <is>
          <t>Sr. Applied Scientist, AGI Foundations</t>
        </is>
      </c>
      <c r="C197" t="inlineStr">
        <is>
          <t>Amazon.com</t>
        </is>
      </c>
      <c r="D197" t="inlineStr">
        <is>
          <t>indeed</t>
        </is>
      </c>
      <c r="E197" t="inlineStr"/>
      <c r="F197" t="inlineStr"/>
      <c r="G197" t="inlineStr">
        <is>
          <t>New York, NY, US</t>
        </is>
      </c>
      <c r="H197" s="2" t="n">
        <v>45978</v>
      </c>
      <c r="I19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in-a9012df11911dd5b</t>
        </is>
      </c>
      <c r="B198" t="inlineStr">
        <is>
          <t>Applied Scientist II, Robotics and ML, Amazon Industrial Robotics</t>
        </is>
      </c>
      <c r="C198" t="inlineStr">
        <is>
          <t>Amazon.com</t>
        </is>
      </c>
      <c r="D198" t="inlineStr">
        <is>
          <t>indeed</t>
        </is>
      </c>
      <c r="E198" t="inlineStr"/>
      <c r="F198" t="inlineStr"/>
      <c r="G198" t="inlineStr">
        <is>
          <t>Reading, MA, US</t>
        </is>
      </c>
      <c r="H198" s="2" t="n">
        <v>45975</v>
      </c>
      <c r="I19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in-2fed3b296cb3c175</t>
        </is>
      </c>
      <c r="B199" t="inlineStr">
        <is>
          <t>Applied Scientist II, Robotics and ML, Amazon Industrial Robotics</t>
        </is>
      </c>
      <c r="C199" t="inlineStr">
        <is>
          <t>Amazon.com</t>
        </is>
      </c>
      <c r="D199" t="inlineStr">
        <is>
          <t>indeed</t>
        </is>
      </c>
      <c r="E199" t="inlineStr"/>
      <c r="F199" t="inlineStr"/>
      <c r="G199" t="inlineStr">
        <is>
          <t>Reading, MA, US</t>
        </is>
      </c>
      <c r="H199" s="2" t="n">
        <v>45975</v>
      </c>
      <c r="I19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in-2dc3df58b620a226</t>
        </is>
      </c>
      <c r="B200" t="inlineStr">
        <is>
          <t>Principal Applied Scientist, Amazon AGI</t>
        </is>
      </c>
      <c r="C200" t="inlineStr">
        <is>
          <t>Amazon.com</t>
        </is>
      </c>
      <c r="D200" t="inlineStr">
        <is>
          <t>indeed</t>
        </is>
      </c>
      <c r="E200" t="inlineStr"/>
      <c r="F200" t="inlineStr"/>
      <c r="G200" t="inlineStr">
        <is>
          <t>San Francisco, CA, US</t>
        </is>
      </c>
      <c r="H200" s="2" t="n">
        <v>45964</v>
      </c>
      <c r="I20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in-9ea76a1781acd45a</t>
        </is>
      </c>
      <c r="B201" t="inlineStr">
        <is>
          <t>Principal Applied Scientist, Amazon AGI</t>
        </is>
      </c>
      <c r="C201" t="inlineStr">
        <is>
          <t>Amazon.com</t>
        </is>
      </c>
      <c r="D201" t="inlineStr">
        <is>
          <t>indeed</t>
        </is>
      </c>
      <c r="E201" t="inlineStr"/>
      <c r="F201" t="inlineStr"/>
      <c r="G201" t="inlineStr">
        <is>
          <t>Boston, MA, US</t>
        </is>
      </c>
      <c r="H201" s="2" t="n">
        <v>45964</v>
      </c>
      <c r="I20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in-822fc8cea2453ed0</t>
        </is>
      </c>
      <c r="B202" t="inlineStr">
        <is>
          <t>Sr. Applied Scientist, AGI Foundations</t>
        </is>
      </c>
      <c r="C202" t="inlineStr">
        <is>
          <t>Amazon.com</t>
        </is>
      </c>
      <c r="D202" t="inlineStr">
        <is>
          <t>indeed</t>
        </is>
      </c>
      <c r="E202" t="inlineStr"/>
      <c r="F202" t="inlineStr"/>
      <c r="G202" t="inlineStr">
        <is>
          <t>Boston, MA, US</t>
        </is>
      </c>
      <c r="H202" s="2" t="n">
        <v>45963</v>
      </c>
      <c r="I20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in-bb4fc93964fa287b</t>
        </is>
      </c>
      <c r="B203" t="inlineStr">
        <is>
          <t>Sr. Applied Scientist, AGI Foundations</t>
        </is>
      </c>
      <c r="C203" t="inlineStr">
        <is>
          <t>Amazon.com</t>
        </is>
      </c>
      <c r="D203" t="inlineStr">
        <is>
          <t>indeed</t>
        </is>
      </c>
      <c r="E203" t="inlineStr"/>
      <c r="F203" t="inlineStr"/>
      <c r="G203" t="inlineStr">
        <is>
          <t>Bellevue, WA, US</t>
        </is>
      </c>
      <c r="H203" s="2" t="n">
        <v>45963</v>
      </c>
      <c r="I20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in-c45ae1b9762ad33c</t>
        </is>
      </c>
      <c r="B204" t="inlineStr">
        <is>
          <t>Sr. Applied Scientist, AGI Foundations</t>
        </is>
      </c>
      <c r="C204" t="inlineStr">
        <is>
          <t>Amazon.com</t>
        </is>
      </c>
      <c r="D204" t="inlineStr">
        <is>
          <t>indeed</t>
        </is>
      </c>
      <c r="E204" t="inlineStr"/>
      <c r="F204" t="inlineStr"/>
      <c r="G204" t="inlineStr">
        <is>
          <t>New York, NY, US</t>
        </is>
      </c>
      <c r="H204" s="2" t="n">
        <v>45963</v>
      </c>
      <c r="I20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in-2b2395ad1b6faf0b</t>
        </is>
      </c>
      <c r="B205" t="inlineStr">
        <is>
          <t>Sr. Applied Scientist, Sponsored Product Off-Search</t>
        </is>
      </c>
      <c r="C205" t="inlineStr">
        <is>
          <t>Amazon.com</t>
        </is>
      </c>
      <c r="D205" t="inlineStr">
        <is>
          <t>indeed</t>
        </is>
      </c>
      <c r="E205" t="inlineStr"/>
      <c r="F205" t="inlineStr"/>
      <c r="G205" t="inlineStr">
        <is>
          <t>New York, NY, US</t>
        </is>
      </c>
      <c r="H205" s="2" t="n">
        <v>45963</v>
      </c>
      <c r="I20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in-1cd6cb46aa7d2731</t>
        </is>
      </c>
      <c r="B206" t="inlineStr">
        <is>
          <t>Sr. Applied Scientist, Sponsored Product Off-Search</t>
        </is>
      </c>
      <c r="C206" t="inlineStr">
        <is>
          <t>Amazon.com</t>
        </is>
      </c>
      <c r="D206" t="inlineStr">
        <is>
          <t>indeed</t>
        </is>
      </c>
      <c r="E206" t="inlineStr"/>
      <c r="F206" t="inlineStr"/>
      <c r="G206" t="inlineStr">
        <is>
          <t>Seattle, WA, US</t>
        </is>
      </c>
      <c r="H206" s="2" t="n">
        <v>45963</v>
      </c>
      <c r="I20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in-e1ce4c78340e6464</t>
        </is>
      </c>
      <c r="B207" t="inlineStr">
        <is>
          <t>Applied Scientist, AWS Agentic AI</t>
        </is>
      </c>
      <c r="C207" t="inlineStr">
        <is>
          <t>Amazon Web Services</t>
        </is>
      </c>
      <c r="D207" t="inlineStr">
        <is>
          <t>indeed</t>
        </is>
      </c>
      <c r="E207" t="inlineStr"/>
      <c r="F207" t="inlineStr"/>
      <c r="G207" t="inlineStr">
        <is>
          <t>Seattle, WA, US</t>
        </is>
      </c>
      <c r="H207" s="2" t="n">
        <v>45962</v>
      </c>
      <c r="I20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in-fc1704d98ccf5f9c</t>
        </is>
      </c>
      <c r="B208" t="inlineStr">
        <is>
          <t>Applied Scientist, AWS Agentic AI</t>
        </is>
      </c>
      <c r="C208" t="inlineStr">
        <is>
          <t>Amazon Web Services</t>
        </is>
      </c>
      <c r="D208" t="inlineStr">
        <is>
          <t>indeed</t>
        </is>
      </c>
      <c r="E208" t="inlineStr"/>
      <c r="F208" t="inlineStr"/>
      <c r="G208" t="inlineStr">
        <is>
          <t>New York, NY, US</t>
        </is>
      </c>
      <c r="H208" s="2" t="n">
        <v>45962</v>
      </c>
      <c r="I20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in-0672e374bff9a470</t>
        </is>
      </c>
      <c r="B209" t="inlineStr">
        <is>
          <t>Applied Scientist, AWS Agentic AI</t>
        </is>
      </c>
      <c r="C209" t="inlineStr">
        <is>
          <t>Amazon Web Services</t>
        </is>
      </c>
      <c r="D209" t="inlineStr">
        <is>
          <t>indeed</t>
        </is>
      </c>
      <c r="E209" t="inlineStr"/>
      <c r="F209" t="inlineStr"/>
      <c r="G209" t="inlineStr">
        <is>
          <t>Santa Clara, CA, US</t>
        </is>
      </c>
      <c r="H209" s="2" t="n">
        <v>45962</v>
      </c>
      <c r="I20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in-b95634ee2ca80d5c</t>
        </is>
      </c>
      <c r="B210" t="inlineStr">
        <is>
          <t>Applied Scientist, Prime Video - Content Understanding, Localization &amp; Enrichment Team</t>
        </is>
      </c>
      <c r="C210" t="inlineStr">
        <is>
          <t>Amazon.com</t>
        </is>
      </c>
      <c r="D210" t="inlineStr">
        <is>
          <t>indeed</t>
        </is>
      </c>
      <c r="E210" t="inlineStr"/>
      <c r="F210" t="inlineStr"/>
      <c r="G210" t="inlineStr">
        <is>
          <t>San Francisco, CA, US</t>
        </is>
      </c>
      <c r="H210" s="2" t="n">
        <v>45943</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1">
      <c r="A211" t="inlineStr">
        <is>
          <t>in-8b14b7c2d046bbb1</t>
        </is>
      </c>
      <c r="B211" t="inlineStr">
        <is>
          <t>Applied Scientist, Prime Video - Content Understanding, Localization &amp; Enrichment Team</t>
        </is>
      </c>
      <c r="C211" t="inlineStr">
        <is>
          <t>Amazon.com</t>
        </is>
      </c>
      <c r="D211" t="inlineStr">
        <is>
          <t>indeed</t>
        </is>
      </c>
      <c r="E211" t="inlineStr"/>
      <c r="F211" t="inlineStr"/>
      <c r="G211" t="inlineStr">
        <is>
          <t>Seattle, WA, US</t>
        </is>
      </c>
      <c r="H211" s="2" t="n">
        <v>45943</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2">
      <c r="A212" t="inlineStr">
        <is>
          <t>in-00ca2781a5811eac</t>
        </is>
      </c>
      <c r="B212" t="inlineStr">
        <is>
          <t>Principal Applied Scientist, Advertiser Growth, Amazon Sponsored Products &amp; Brands</t>
        </is>
      </c>
      <c r="C212" t="inlineStr">
        <is>
          <t>Amazon.com</t>
        </is>
      </c>
      <c r="D212" t="inlineStr">
        <is>
          <t>indeed</t>
        </is>
      </c>
      <c r="E212" t="inlineStr"/>
      <c r="F212" t="inlineStr"/>
      <c r="G212" t="inlineStr">
        <is>
          <t>Palo Alto, CA, US</t>
        </is>
      </c>
      <c r="H212" s="2" t="n">
        <v>45942</v>
      </c>
      <c r="I21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in-b457ecfc7cf10d45</t>
        </is>
      </c>
      <c r="B213" t="inlineStr">
        <is>
          <t>Principal Applied Scientist, Advertiser Growth, Amazon Sponsored Products &amp; Brands</t>
        </is>
      </c>
      <c r="C213" t="inlineStr">
        <is>
          <t>Amazon.com</t>
        </is>
      </c>
      <c r="D213" t="inlineStr">
        <is>
          <t>indeed</t>
        </is>
      </c>
      <c r="E213" t="inlineStr"/>
      <c r="F213" t="inlineStr"/>
      <c r="G213" t="inlineStr">
        <is>
          <t>New York, NY, US</t>
        </is>
      </c>
      <c r="H213" s="2" t="n">
        <v>45942</v>
      </c>
      <c r="I21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in-817538c3fc21b9a3</t>
        </is>
      </c>
      <c r="B214" t="inlineStr">
        <is>
          <t>Principal Applied Scientist, Advertiser Growth, Amazon Sponsored Products &amp; Brands</t>
        </is>
      </c>
      <c r="C214" t="inlineStr">
        <is>
          <t>Amazon.com</t>
        </is>
      </c>
      <c r="D214" t="inlineStr">
        <is>
          <t>indeed</t>
        </is>
      </c>
      <c r="E214" t="inlineStr"/>
      <c r="F214" t="inlineStr"/>
      <c r="G214" t="inlineStr">
        <is>
          <t>Seattle, WA, US</t>
        </is>
      </c>
      <c r="H214" s="2" t="n">
        <v>45942</v>
      </c>
      <c r="I21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in-24cf7de8f66ee8ea</t>
        </is>
      </c>
      <c r="B215" t="inlineStr">
        <is>
          <t>Applied Scientist</t>
        </is>
      </c>
      <c r="C215" t="inlineStr">
        <is>
          <t>Amazon.com</t>
        </is>
      </c>
      <c r="D215" t="inlineStr">
        <is>
          <t>indeed</t>
        </is>
      </c>
      <c r="E215" t="inlineStr"/>
      <c r="F215" t="inlineStr"/>
      <c r="G215" t="inlineStr">
        <is>
          <t>Seattle, WA, US</t>
        </is>
      </c>
      <c r="H215" s="2" t="n">
        <v>45939</v>
      </c>
      <c r="I2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in-ae85d216d67a4d06</t>
        </is>
      </c>
      <c r="B216" t="inlineStr">
        <is>
          <t>Applied Scientist</t>
        </is>
      </c>
      <c r="C216" t="inlineStr">
        <is>
          <t>Amazon.com</t>
        </is>
      </c>
      <c r="D216" t="inlineStr">
        <is>
          <t>indeed</t>
        </is>
      </c>
      <c r="E216" t="inlineStr"/>
      <c r="F216" t="inlineStr"/>
      <c r="G216" t="inlineStr">
        <is>
          <t>New York, NY, US</t>
        </is>
      </c>
      <c r="H216" s="2" t="n">
        <v>45939</v>
      </c>
      <c r="I2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in-512e3c638947ca31</t>
        </is>
      </c>
      <c r="B217" t="inlineStr">
        <is>
          <t>Sr. Applied Scientist, SPB Advertiser Guidance</t>
        </is>
      </c>
      <c r="C217" t="inlineStr">
        <is>
          <t>Amazon.com</t>
        </is>
      </c>
      <c r="D217" t="inlineStr">
        <is>
          <t>indeed</t>
        </is>
      </c>
      <c r="E217" t="inlineStr"/>
      <c r="F217" t="inlineStr"/>
      <c r="G217" t="inlineStr">
        <is>
          <t>Seattle, WA, US</t>
        </is>
      </c>
      <c r="H217" s="2" t="n">
        <v>45939</v>
      </c>
      <c r="I2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in-5912a0757393bc23</t>
        </is>
      </c>
      <c r="B218" t="inlineStr">
        <is>
          <t>Sr. Applied Scientist, SPB Advertiser Guidance</t>
        </is>
      </c>
      <c r="C218" t="inlineStr">
        <is>
          <t>Amazon.com</t>
        </is>
      </c>
      <c r="D218" t="inlineStr">
        <is>
          <t>indeed</t>
        </is>
      </c>
      <c r="E218" t="inlineStr"/>
      <c r="F218" t="inlineStr"/>
      <c r="G218" t="inlineStr">
        <is>
          <t>New York, NY, US</t>
        </is>
      </c>
      <c r="H218" s="2" t="n">
        <v>45939</v>
      </c>
      <c r="I21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in-40d90bb824b59b17</t>
        </is>
      </c>
      <c r="B219" t="inlineStr">
        <is>
          <t>Sr. Applied Scientist, SPB Advertiser Guidance</t>
        </is>
      </c>
      <c r="C219" t="inlineStr">
        <is>
          <t>Amazon.com</t>
        </is>
      </c>
      <c r="D219" t="inlineStr">
        <is>
          <t>indeed</t>
        </is>
      </c>
      <c r="E219" t="inlineStr"/>
      <c r="F219" t="inlineStr"/>
      <c r="G219" t="inlineStr">
        <is>
          <t>Palo Alto, CA, US</t>
        </is>
      </c>
      <c r="H219" s="2" t="n">
        <v>45939</v>
      </c>
      <c r="I21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in-0763db14899927cd</t>
        </is>
      </c>
      <c r="B220" t="inlineStr">
        <is>
          <t>Applied Scientist</t>
        </is>
      </c>
      <c r="C220" t="inlineStr">
        <is>
          <t>Amazon.com</t>
        </is>
      </c>
      <c r="D220" t="inlineStr">
        <is>
          <t>indeed</t>
        </is>
      </c>
      <c r="E220" t="inlineStr"/>
      <c r="F220" t="inlineStr"/>
      <c r="G220" t="inlineStr">
        <is>
          <t>Palo Alto, CA, US</t>
        </is>
      </c>
      <c r="H220" s="2" t="n">
        <v>45939</v>
      </c>
      <c r="I22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in-e8dad79876f6c20e</t>
        </is>
      </c>
      <c r="B221" t="inlineStr">
        <is>
          <t>Applied Scientist II, Prime Video - Personalization and Discovery Science, Personalization and Discovery Science</t>
        </is>
      </c>
      <c r="C221" t="inlineStr">
        <is>
          <t>Amazon.com</t>
        </is>
      </c>
      <c r="D221" t="inlineStr">
        <is>
          <t>indeed</t>
        </is>
      </c>
      <c r="E221" t="inlineStr"/>
      <c r="F221" t="inlineStr"/>
      <c r="G221" t="inlineStr">
        <is>
          <t>Seattle, WA, US</t>
        </is>
      </c>
      <c r="H221" s="2" t="n">
        <v>45930</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in-d4ed4b1721cecfb2</t>
        </is>
      </c>
      <c r="B222" t="inlineStr">
        <is>
          <t>Applied Scientist II, Prime Video - Personalization and Discovery Science, Personalization and Discovery Science</t>
        </is>
      </c>
      <c r="C222" t="inlineStr">
        <is>
          <t>Amazon.com</t>
        </is>
      </c>
      <c r="D222" t="inlineStr">
        <is>
          <t>indeed</t>
        </is>
      </c>
      <c r="E222" t="inlineStr"/>
      <c r="F222" t="inlineStr"/>
      <c r="G222" t="inlineStr">
        <is>
          <t>New York, NY, US</t>
        </is>
      </c>
      <c r="H222" s="2" t="n">
        <v>45930</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in-ed0cf6f7f55e19c0</t>
        </is>
      </c>
      <c r="B223" t="inlineStr">
        <is>
          <t>Applied Scientist II, Prime Video - Personalization and Discovery Science, Personalization and Discovery Science</t>
        </is>
      </c>
      <c r="C223" t="inlineStr">
        <is>
          <t>Amazon.com</t>
        </is>
      </c>
      <c r="D223" t="inlineStr">
        <is>
          <t>indeed</t>
        </is>
      </c>
      <c r="E223" t="inlineStr"/>
      <c r="F223" t="inlineStr"/>
      <c r="G223" t="inlineStr">
        <is>
          <t>Sunnyvale, CA, US</t>
        </is>
      </c>
      <c r="H223" s="2" t="n">
        <v>45930</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in-6b9ed07cde2681d3</t>
        </is>
      </c>
      <c r="B224" t="inlineStr">
        <is>
          <t>Senior Applied Scientist, Sponsored Products and Brands</t>
        </is>
      </c>
      <c r="C224" t="inlineStr">
        <is>
          <t>Amazon.com</t>
        </is>
      </c>
      <c r="D224" t="inlineStr">
        <is>
          <t>indeed</t>
        </is>
      </c>
      <c r="E224" t="inlineStr"/>
      <c r="F224" t="inlineStr"/>
      <c r="G224" t="inlineStr">
        <is>
          <t>Seattle, WA, US</t>
        </is>
      </c>
      <c r="H224" s="2" t="n">
        <v>45922</v>
      </c>
      <c r="I22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in-496941c11bfc1f95</t>
        </is>
      </c>
      <c r="B225" t="inlineStr">
        <is>
          <t>Senior Applied Scientist, Sponsored Products and Brands</t>
        </is>
      </c>
      <c r="C225" t="inlineStr">
        <is>
          <t>Amazon.com</t>
        </is>
      </c>
      <c r="D225" t="inlineStr">
        <is>
          <t>indeed</t>
        </is>
      </c>
      <c r="E225" t="inlineStr"/>
      <c r="F225" t="inlineStr"/>
      <c r="G225" t="inlineStr">
        <is>
          <t>New York, NY, US</t>
        </is>
      </c>
      <c r="H225" s="2" t="n">
        <v>45922</v>
      </c>
      <c r="I22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in-99863748d6cc1c86</t>
        </is>
      </c>
      <c r="B226" t="inlineStr">
        <is>
          <t>Applied Scientist, Workplace Health &amp; Safety</t>
        </is>
      </c>
      <c r="C226" t="inlineStr">
        <is>
          <t>Amazon.com</t>
        </is>
      </c>
      <c r="D226" t="inlineStr">
        <is>
          <t>indeed</t>
        </is>
      </c>
      <c r="E226" t="inlineStr"/>
      <c r="F226" t="inlineStr"/>
      <c r="G226" t="inlineStr">
        <is>
          <t>Nashville, TN, US</t>
        </is>
      </c>
      <c r="H226" s="2" t="n">
        <v>45917</v>
      </c>
      <c r="I22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in-f40249932d9ddebe</t>
        </is>
      </c>
      <c r="B227" t="inlineStr">
        <is>
          <t>Applied Scientist, Workplace Health &amp; Safety</t>
        </is>
      </c>
      <c r="C227" t="inlineStr">
        <is>
          <t>Amazon.com</t>
        </is>
      </c>
      <c r="D227" t="inlineStr">
        <is>
          <t>indeed</t>
        </is>
      </c>
      <c r="E227" t="inlineStr"/>
      <c r="F227" t="inlineStr"/>
      <c r="G227" t="inlineStr">
        <is>
          <t>Bellevue, WA, US</t>
        </is>
      </c>
      <c r="H227" s="2" t="n">
        <v>45917</v>
      </c>
      <c r="I22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in-f094f00d27eed1d4</t>
        </is>
      </c>
      <c r="B228" t="inlineStr">
        <is>
          <t>Applied Scientist II, Prime Video - Personalization and Discovery Science</t>
        </is>
      </c>
      <c r="C228" t="inlineStr">
        <is>
          <t>Amazon.com</t>
        </is>
      </c>
      <c r="D228" t="inlineStr">
        <is>
          <t>indeed</t>
        </is>
      </c>
      <c r="E228" t="inlineStr"/>
      <c r="F228" t="inlineStr"/>
      <c r="G228" t="inlineStr">
        <is>
          <t>Sunnyvale, CA, US</t>
        </is>
      </c>
      <c r="H228" s="2" t="n">
        <v>45881</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in-6324c48e259fde04</t>
        </is>
      </c>
      <c r="B229" t="inlineStr">
        <is>
          <t>Applied Scientist II, Prime Video - Personalization and Discovery Science</t>
        </is>
      </c>
      <c r="C229" t="inlineStr">
        <is>
          <t>Amazon.com</t>
        </is>
      </c>
      <c r="D229" t="inlineStr">
        <is>
          <t>indeed</t>
        </is>
      </c>
      <c r="E229" t="inlineStr"/>
      <c r="F229" t="inlineStr"/>
      <c r="G229" t="inlineStr">
        <is>
          <t>Seattle, WA, US</t>
        </is>
      </c>
      <c r="H229" s="2" t="n">
        <v>45881</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in-4198139dc8d154a7</t>
        </is>
      </c>
      <c r="B230" t="inlineStr">
        <is>
          <t>Sr. Applied Scientist, Prime Video - Personalization and Discovery Science</t>
        </is>
      </c>
      <c r="C230" t="inlineStr">
        <is>
          <t>Amazon.com</t>
        </is>
      </c>
      <c r="D230" t="inlineStr">
        <is>
          <t>indeed</t>
        </is>
      </c>
      <c r="E230" t="inlineStr"/>
      <c r="F230" t="inlineStr"/>
      <c r="G230" t="inlineStr">
        <is>
          <t>New York, NY, US</t>
        </is>
      </c>
      <c r="H230" s="2" t="n">
        <v>45881</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in-d715f0eecc8213fa</t>
        </is>
      </c>
      <c r="B231" t="inlineStr">
        <is>
          <t>Applied Scientist II, Prime Video - Personalization and Discovery Science</t>
        </is>
      </c>
      <c r="C231" t="inlineStr">
        <is>
          <t>Amazon.com</t>
        </is>
      </c>
      <c r="D231" t="inlineStr">
        <is>
          <t>indeed</t>
        </is>
      </c>
      <c r="E231" t="inlineStr"/>
      <c r="F231" t="inlineStr"/>
      <c r="G231" t="inlineStr">
        <is>
          <t>New York, NY, US</t>
        </is>
      </c>
      <c r="H231" s="2" t="n">
        <v>45881</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in-c3c1fc1bfa857b4e</t>
        </is>
      </c>
      <c r="B232" t="inlineStr">
        <is>
          <t>Sr. Applied Scientist, Prime Video - Personalization and Discovery Science</t>
        </is>
      </c>
      <c r="C232" t="inlineStr">
        <is>
          <t>Amazon.com</t>
        </is>
      </c>
      <c r="D232" t="inlineStr">
        <is>
          <t>indeed</t>
        </is>
      </c>
      <c r="E232" t="inlineStr"/>
      <c r="F232" t="inlineStr"/>
      <c r="G232" t="inlineStr">
        <is>
          <t>Sunnyvale, CA, US</t>
        </is>
      </c>
      <c r="H232" s="2" t="n">
        <v>45881</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in-243b85dfc3377ee4</t>
        </is>
      </c>
      <c r="B233" t="inlineStr">
        <is>
          <t>Sr. Applied Scientist, Prime Video - Personalization and Discovery Science</t>
        </is>
      </c>
      <c r="C233" t="inlineStr">
        <is>
          <t>Amazon.com</t>
        </is>
      </c>
      <c r="D233" t="inlineStr">
        <is>
          <t>indeed</t>
        </is>
      </c>
      <c r="E233" t="inlineStr"/>
      <c r="F233" t="inlineStr"/>
      <c r="G233" t="inlineStr">
        <is>
          <t>Seattle, WA, US</t>
        </is>
      </c>
      <c r="H233" s="2" t="n">
        <v>45881</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in-62beb57bbfca4c68</t>
        </is>
      </c>
      <c r="B234" t="inlineStr">
        <is>
          <t>Sr. Applied Scientist, Amazon Advertising</t>
        </is>
      </c>
      <c r="C234" t="inlineStr">
        <is>
          <t>Amazon.com</t>
        </is>
      </c>
      <c r="D234" t="inlineStr">
        <is>
          <t>indeed</t>
        </is>
      </c>
      <c r="E234" t="inlineStr"/>
      <c r="F234" t="inlineStr"/>
      <c r="G234" t="inlineStr">
        <is>
          <t>Simi Valley, CA, US</t>
        </is>
      </c>
      <c r="H234" s="2"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in-8139e637ed84955f</t>
        </is>
      </c>
      <c r="B235" t="inlineStr">
        <is>
          <t>Sr. Applied Scientist, Amazon Advertising</t>
        </is>
      </c>
      <c r="C235" t="inlineStr">
        <is>
          <t>Amazon.com</t>
        </is>
      </c>
      <c r="D235" t="inlineStr">
        <is>
          <t>indeed</t>
        </is>
      </c>
      <c r="E235" t="inlineStr"/>
      <c r="F235" t="inlineStr"/>
      <c r="G235" t="inlineStr">
        <is>
          <t>New York, NY, US</t>
        </is>
      </c>
      <c r="H235" s="2"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in-42afca78303bc345</t>
        </is>
      </c>
      <c r="B236" t="inlineStr">
        <is>
          <t>Sr. Applied Scientist, Amazon Advertising</t>
        </is>
      </c>
      <c r="C236" t="inlineStr">
        <is>
          <t>Amazon.com</t>
        </is>
      </c>
      <c r="D236" t="inlineStr">
        <is>
          <t>indeed</t>
        </is>
      </c>
      <c r="E236" t="inlineStr"/>
      <c r="F236" t="inlineStr"/>
      <c r="G236" t="inlineStr">
        <is>
          <t>Palo Alto, CA, US</t>
        </is>
      </c>
      <c r="H236" s="2" t="n">
        <v>45851</v>
      </c>
      <c r="I2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in-66daa4113e9e3375</t>
        </is>
      </c>
      <c r="B237" t="inlineStr">
        <is>
          <t>Sr. Applied Scientist, Amazon Advertising</t>
        </is>
      </c>
      <c r="C237" t="inlineStr">
        <is>
          <t>Amazon.com</t>
        </is>
      </c>
      <c r="D237" t="inlineStr">
        <is>
          <t>indeed</t>
        </is>
      </c>
      <c r="E237" t="inlineStr"/>
      <c r="F237" t="inlineStr"/>
      <c r="G237" t="inlineStr">
        <is>
          <t>Austin, TX, US</t>
        </is>
      </c>
      <c r="H237" s="2" t="n">
        <v>45851</v>
      </c>
      <c r="I2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in-c3e31e1d37105a12</t>
        </is>
      </c>
      <c r="B238" t="inlineStr">
        <is>
          <t>Sr. Applied Scientist, Amazon Advertising</t>
        </is>
      </c>
      <c r="C238" t="inlineStr">
        <is>
          <t>Amazon.com</t>
        </is>
      </c>
      <c r="D238" t="inlineStr">
        <is>
          <t>indeed</t>
        </is>
      </c>
      <c r="E238" t="inlineStr"/>
      <c r="F238" t="inlineStr"/>
      <c r="G238" t="inlineStr">
        <is>
          <t>West Hollywood, CA, US</t>
        </is>
      </c>
      <c r="H238" s="2" t="n">
        <v>45851</v>
      </c>
      <c r="I2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in-c11111a1b66cd9c0</t>
        </is>
      </c>
      <c r="B239" t="inlineStr">
        <is>
          <t>Sr. Applied Scientist, Amazon Advertising</t>
        </is>
      </c>
      <c r="C239" t="inlineStr">
        <is>
          <t>Amazon.com</t>
        </is>
      </c>
      <c r="D239" t="inlineStr">
        <is>
          <t>indeed</t>
        </is>
      </c>
      <c r="E239" t="inlineStr"/>
      <c r="F239" t="inlineStr"/>
      <c r="G239" t="inlineStr">
        <is>
          <t>Arlington, VA, US</t>
        </is>
      </c>
      <c r="H239" s="2" t="n">
        <v>45851</v>
      </c>
      <c r="I2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in-aa394a76cd446e92</t>
        </is>
      </c>
      <c r="B240" t="inlineStr">
        <is>
          <t>Sr. Applied Scientist, Amazon Advertising</t>
        </is>
      </c>
      <c r="C240" t="inlineStr">
        <is>
          <t>Amazon.com</t>
        </is>
      </c>
      <c r="D240" t="inlineStr">
        <is>
          <t>indeed</t>
        </is>
      </c>
      <c r="E240" t="inlineStr"/>
      <c r="F240" t="inlineStr"/>
      <c r="G240" t="inlineStr">
        <is>
          <t>Los Angeles, CA, US</t>
        </is>
      </c>
      <c r="H240" s="2" t="n">
        <v>45851</v>
      </c>
      <c r="I2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in-48cf5413e35b8d63</t>
        </is>
      </c>
      <c r="B241" t="inlineStr">
        <is>
          <t>Sr. Applied Scientist, Amazon Advertising</t>
        </is>
      </c>
      <c r="C241" t="inlineStr">
        <is>
          <t>Amazon.com</t>
        </is>
      </c>
      <c r="D241" t="inlineStr">
        <is>
          <t>indeed</t>
        </is>
      </c>
      <c r="E241" t="inlineStr"/>
      <c r="F241" t="inlineStr"/>
      <c r="G241" t="inlineStr">
        <is>
          <t>Seattle, WA, US</t>
        </is>
      </c>
      <c r="H241" s="2" t="n">
        <v>45851</v>
      </c>
      <c r="I2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in-85e92fb454944716</t>
        </is>
      </c>
      <c r="B242" t="inlineStr">
        <is>
          <t>Applied Scientist, Prime Video - Personalization and Discovery Science</t>
        </is>
      </c>
      <c r="C242" t="inlineStr">
        <is>
          <t>Amazon.com</t>
        </is>
      </c>
      <c r="D242" t="inlineStr">
        <is>
          <t>indeed</t>
        </is>
      </c>
      <c r="E242" t="inlineStr"/>
      <c r="F242" t="inlineStr"/>
      <c r="G242" t="inlineStr">
        <is>
          <t>Seattle, WA, US</t>
        </is>
      </c>
      <c r="H242" s="2" t="n">
        <v>45845</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in-9e60c1168371cbce</t>
        </is>
      </c>
      <c r="B243" t="inlineStr">
        <is>
          <t>Applied Scientist, Prime Video - Personalization and Discovery Science</t>
        </is>
      </c>
      <c r="C243" t="inlineStr">
        <is>
          <t>Amazon.com</t>
        </is>
      </c>
      <c r="D243" t="inlineStr">
        <is>
          <t>indeed</t>
        </is>
      </c>
      <c r="E243" t="inlineStr"/>
      <c r="F243" t="inlineStr"/>
      <c r="G243" t="inlineStr">
        <is>
          <t>Sunnyvale, CA, US</t>
        </is>
      </c>
      <c r="H243" s="2" t="n">
        <v>45845</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in-4d203517eb8176c9</t>
        </is>
      </c>
      <c r="B244" t="inlineStr">
        <is>
          <t>Applied Scientist, Prime Video - Personalization and Discovery Science</t>
        </is>
      </c>
      <c r="C244" t="inlineStr">
        <is>
          <t>Amazon.com</t>
        </is>
      </c>
      <c r="D244" t="inlineStr">
        <is>
          <t>indeed</t>
        </is>
      </c>
      <c r="E244" t="inlineStr"/>
      <c r="F244" t="inlineStr"/>
      <c r="G244" t="inlineStr">
        <is>
          <t>New York, NY, US</t>
        </is>
      </c>
      <c r="H244" s="2" t="n">
        <v>45845</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in-6b86d87aa898dffa</t>
        </is>
      </c>
      <c r="B245" t="inlineStr">
        <is>
          <t>Senior Applied Scientist, Artificial General Intelligence</t>
        </is>
      </c>
      <c r="C245" t="inlineStr">
        <is>
          <t>Amazon.com</t>
        </is>
      </c>
      <c r="D245" t="inlineStr">
        <is>
          <t>indeed</t>
        </is>
      </c>
      <c r="E245" t="inlineStr"/>
      <c r="F245" t="inlineStr"/>
      <c r="G245" t="inlineStr">
        <is>
          <t>Boston, MA, US</t>
        </is>
      </c>
      <c r="H245" s="2" t="n">
        <v>45838</v>
      </c>
      <c r="I24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in-2d4484749c999904</t>
        </is>
      </c>
      <c r="B246" t="inlineStr">
        <is>
          <t>Senior Applied Scientist, Artificial General Intelligence</t>
        </is>
      </c>
      <c r="C246" t="inlineStr">
        <is>
          <t>Amazon.com</t>
        </is>
      </c>
      <c r="D246" t="inlineStr">
        <is>
          <t>indeed</t>
        </is>
      </c>
      <c r="E246" t="inlineStr"/>
      <c r="F246" t="inlineStr"/>
      <c r="G246" t="inlineStr">
        <is>
          <t>Sunnyvale, CA, US</t>
        </is>
      </c>
      <c r="H246" s="2" t="n">
        <v>45838</v>
      </c>
      <c r="I2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in-bf44c1c236bcf819</t>
        </is>
      </c>
      <c r="B247" t="inlineStr">
        <is>
          <t>Senior Applied Scientist, Artificial General Intelligence</t>
        </is>
      </c>
      <c r="C247" t="inlineStr">
        <is>
          <t>Amazon.com</t>
        </is>
      </c>
      <c r="D247" t="inlineStr">
        <is>
          <t>indeed</t>
        </is>
      </c>
      <c r="E247" t="inlineStr"/>
      <c r="F247" t="inlineStr"/>
      <c r="G247" t="inlineStr">
        <is>
          <t>New York, NY, US</t>
        </is>
      </c>
      <c r="H247" s="2" t="n">
        <v>45838</v>
      </c>
      <c r="I24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in-e68b3b263fbe2e7f</t>
        </is>
      </c>
      <c r="B248" t="inlineStr">
        <is>
          <t>Sr. Applied Scientist, Sales AI</t>
        </is>
      </c>
      <c r="C248" t="inlineStr">
        <is>
          <t>Amazon.com</t>
        </is>
      </c>
      <c r="D248" t="inlineStr">
        <is>
          <t>indeed</t>
        </is>
      </c>
      <c r="E248" t="inlineStr"/>
      <c r="F248" t="inlineStr"/>
      <c r="G248" t="inlineStr">
        <is>
          <t>Sunnyvale, CA, US</t>
        </is>
      </c>
      <c r="H248" s="2" t="n">
        <v>45830</v>
      </c>
      <c r="I24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in-c3c4d4ef9c5c0925</t>
        </is>
      </c>
      <c r="B249" t="inlineStr">
        <is>
          <t>Sr. Applied Scientist, Sales AI</t>
        </is>
      </c>
      <c r="C249" t="inlineStr">
        <is>
          <t>Amazon.com</t>
        </is>
      </c>
      <c r="D249" t="inlineStr">
        <is>
          <t>indeed</t>
        </is>
      </c>
      <c r="E249" t="inlineStr"/>
      <c r="F249" t="inlineStr"/>
      <c r="G249" t="inlineStr">
        <is>
          <t>Seattle, WA, US</t>
        </is>
      </c>
      <c r="H249" s="2" t="n">
        <v>45830</v>
      </c>
      <c r="I24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in-bad7070f383dfee4</t>
        </is>
      </c>
      <c r="B250" t="inlineStr">
        <is>
          <t>Sr. Applied Scientist, Sales AI</t>
        </is>
      </c>
      <c r="C250" t="inlineStr">
        <is>
          <t>Amazon.com</t>
        </is>
      </c>
      <c r="D250" t="inlineStr">
        <is>
          <t>indeed</t>
        </is>
      </c>
      <c r="E250" t="inlineStr"/>
      <c r="F250" t="inlineStr"/>
      <c r="G250" t="inlineStr">
        <is>
          <t>New York, NY, US</t>
        </is>
      </c>
      <c r="H250" s="2" t="n">
        <v>45830</v>
      </c>
      <c r="I2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in-f17de5601fa09582</t>
        </is>
      </c>
      <c r="B251" t="inlineStr">
        <is>
          <t>Principal Applied Scientist, Delivery Foundation Model</t>
        </is>
      </c>
      <c r="C251" t="inlineStr">
        <is>
          <t>Amazon.com</t>
        </is>
      </c>
      <c r="D251" t="inlineStr">
        <is>
          <t>indeed</t>
        </is>
      </c>
      <c r="E251" t="inlineStr"/>
      <c r="F251" t="inlineStr"/>
      <c r="G251" t="inlineStr">
        <is>
          <t>Austin, TX, US</t>
        </is>
      </c>
      <c r="H251" s="2" t="n">
        <v>45810</v>
      </c>
      <c r="I25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in-1ca5ca6fba3fb5ff</t>
        </is>
      </c>
      <c r="B252" t="inlineStr">
        <is>
          <t>Principal Applied Scientist, Delivery Foundation Model</t>
        </is>
      </c>
      <c r="C252" t="inlineStr">
        <is>
          <t>Amazon.com</t>
        </is>
      </c>
      <c r="D252" t="inlineStr">
        <is>
          <t>indeed</t>
        </is>
      </c>
      <c r="E252" t="inlineStr"/>
      <c r="F252" t="inlineStr"/>
      <c r="G252" t="inlineStr">
        <is>
          <t>Santa Clara, CA, US</t>
        </is>
      </c>
      <c r="H252" s="2" t="n">
        <v>45810</v>
      </c>
      <c r="I25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in-e055b4cd38e021c4</t>
        </is>
      </c>
      <c r="B253" t="inlineStr">
        <is>
          <t>Principal Applied Scientist, Delivery Foundation Model</t>
        </is>
      </c>
      <c r="C253" t="inlineStr">
        <is>
          <t>Amazon.com</t>
        </is>
      </c>
      <c r="D253" t="inlineStr">
        <is>
          <t>indeed</t>
        </is>
      </c>
      <c r="E253" t="inlineStr"/>
      <c r="F253" t="inlineStr"/>
      <c r="G253" t="inlineStr">
        <is>
          <t>New York, NY, US</t>
        </is>
      </c>
      <c r="H253" s="2" t="n">
        <v>45810</v>
      </c>
      <c r="I25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in-899bc621f87b5856</t>
        </is>
      </c>
      <c r="B254" t="inlineStr">
        <is>
          <t>Principal Applied Scientist, Delivery Foundation Model</t>
        </is>
      </c>
      <c r="C254" t="inlineStr">
        <is>
          <t>Amazon.com</t>
        </is>
      </c>
      <c r="D254" t="inlineStr">
        <is>
          <t>indeed</t>
        </is>
      </c>
      <c r="E254" t="inlineStr"/>
      <c r="F254" t="inlineStr"/>
      <c r="G254" t="inlineStr">
        <is>
          <t>Bellevue, WA, US</t>
        </is>
      </c>
      <c r="H254" s="2" t="n">
        <v>45810</v>
      </c>
      <c r="I25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in-2d3c2364b6c1ec13</t>
        </is>
      </c>
      <c r="B255" t="inlineStr">
        <is>
          <t>Senior Applied Scientist, Delivery Foundation Model</t>
        </is>
      </c>
      <c r="C255" t="inlineStr">
        <is>
          <t>Amazon.com</t>
        </is>
      </c>
      <c r="D255" t="inlineStr">
        <is>
          <t>indeed</t>
        </is>
      </c>
      <c r="E255" t="inlineStr"/>
      <c r="F255" t="inlineStr"/>
      <c r="G255" t="inlineStr">
        <is>
          <t>New York, NY, US</t>
        </is>
      </c>
      <c r="H255" s="2" t="n">
        <v>45806</v>
      </c>
      <c r="I25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in-9dd0c47eb12305c1</t>
        </is>
      </c>
      <c r="B256" t="inlineStr">
        <is>
          <t>Senior Applied Scientist, Delivery Foundation Model</t>
        </is>
      </c>
      <c r="C256" t="inlineStr">
        <is>
          <t>Amazon.com</t>
        </is>
      </c>
      <c r="D256" t="inlineStr">
        <is>
          <t>indeed</t>
        </is>
      </c>
      <c r="E256" t="inlineStr"/>
      <c r="F256" t="inlineStr"/>
      <c r="G256" t="inlineStr">
        <is>
          <t>Santa Clara, CA, US</t>
        </is>
      </c>
      <c r="H256" s="2" t="n">
        <v>45806</v>
      </c>
      <c r="I25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in-02e0650090331579</t>
        </is>
      </c>
      <c r="B257" t="inlineStr">
        <is>
          <t>Senior Applied Scientist, Delivery Foundation Model</t>
        </is>
      </c>
      <c r="C257" t="inlineStr">
        <is>
          <t>Amazon.com</t>
        </is>
      </c>
      <c r="D257" t="inlineStr">
        <is>
          <t>indeed</t>
        </is>
      </c>
      <c r="E257" t="inlineStr"/>
      <c r="F257" t="inlineStr"/>
      <c r="G257" t="inlineStr">
        <is>
          <t>Bellevue, WA, US</t>
        </is>
      </c>
      <c r="H257" s="2" t="n">
        <v>45806</v>
      </c>
      <c r="I25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in-c8ddba2752f4d9d7</t>
        </is>
      </c>
      <c r="B258" t="inlineStr">
        <is>
          <t>Principal Applied Scientist, Delivery Foundation Model</t>
        </is>
      </c>
      <c r="C258" t="inlineStr">
        <is>
          <t>Amazon.com</t>
        </is>
      </c>
      <c r="D258" t="inlineStr">
        <is>
          <t>indeed</t>
        </is>
      </c>
      <c r="E258" t="inlineStr"/>
      <c r="F258" t="inlineStr"/>
      <c r="G258" t="inlineStr">
        <is>
          <t>Santa Clara, CA, US</t>
        </is>
      </c>
      <c r="H258" s="2" t="n">
        <v>45757</v>
      </c>
      <c r="I25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in-bd17de3b6437cee7</t>
        </is>
      </c>
      <c r="B259" t="inlineStr">
        <is>
          <t>Principal Applied Scientist, Delivery Foundation Model</t>
        </is>
      </c>
      <c r="C259" t="inlineStr">
        <is>
          <t>Amazon.com</t>
        </is>
      </c>
      <c r="D259" t="inlineStr">
        <is>
          <t>indeed</t>
        </is>
      </c>
      <c r="E259" t="inlineStr"/>
      <c r="F259" t="inlineStr"/>
      <c r="G259" t="inlineStr">
        <is>
          <t>New York, NY, US</t>
        </is>
      </c>
      <c r="H259" s="2" t="n">
        <v>45757</v>
      </c>
      <c r="I25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in-ce066232eadc6fa9</t>
        </is>
      </c>
      <c r="B260" t="inlineStr">
        <is>
          <t>Principal Applied Scientist, Delivery Foundation Model</t>
        </is>
      </c>
      <c r="C260" t="inlineStr">
        <is>
          <t>Amazon.com</t>
        </is>
      </c>
      <c r="D260" t="inlineStr">
        <is>
          <t>indeed</t>
        </is>
      </c>
      <c r="E260" t="inlineStr"/>
      <c r="F260" t="inlineStr"/>
      <c r="G260" t="inlineStr">
        <is>
          <t>Bellevue, WA, US</t>
        </is>
      </c>
      <c r="H260" s="2" t="n">
        <v>45757</v>
      </c>
      <c r="I26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in-6a236a709950d0f5</t>
        </is>
      </c>
      <c r="B261" t="inlineStr">
        <is>
          <t>Principal Applied Scientist, FAR (Frontier AI &amp; Robotics)</t>
        </is>
      </c>
      <c r="C261" t="inlineStr">
        <is>
          <t>Amazon.com</t>
        </is>
      </c>
      <c r="D261" t="inlineStr">
        <is>
          <t>indeed</t>
        </is>
      </c>
      <c r="E261" t="inlineStr"/>
      <c r="F261" t="inlineStr"/>
      <c r="G261" t="inlineStr">
        <is>
          <t>San Francisco, CA, US</t>
        </is>
      </c>
      <c r="H261" s="2" t="n">
        <v>45740</v>
      </c>
      <c r="I26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in-54633d0e577ac824</t>
        </is>
      </c>
      <c r="B262" t="inlineStr">
        <is>
          <t>Principal Applied Scientist, FAR (Frontier AI &amp; Robotics)</t>
        </is>
      </c>
      <c r="C262" t="inlineStr">
        <is>
          <t>Amazon.com</t>
        </is>
      </c>
      <c r="D262" t="inlineStr">
        <is>
          <t>indeed</t>
        </is>
      </c>
      <c r="E262" t="inlineStr"/>
      <c r="F262" t="inlineStr"/>
      <c r="G262" t="inlineStr">
        <is>
          <t>Seattle, WA, US</t>
        </is>
      </c>
      <c r="H262" s="2" t="n">
        <v>45740</v>
      </c>
      <c r="I26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in-7a1f69e7248e8ecf</t>
        </is>
      </c>
      <c r="B263" t="inlineStr">
        <is>
          <t>Applied Scientist, Alexa Smart Home</t>
        </is>
      </c>
      <c r="C263" t="inlineStr">
        <is>
          <t>Amazon.com</t>
        </is>
      </c>
      <c r="D263" t="inlineStr">
        <is>
          <t>indeed</t>
        </is>
      </c>
      <c r="E263" t="inlineStr"/>
      <c r="F263" t="inlineStr"/>
      <c r="G263" t="inlineStr">
        <is>
          <t>Seattle, WA, US</t>
        </is>
      </c>
      <c r="H263" s="2" t="n">
        <v>46033</v>
      </c>
      <c r="I26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4">
      <c r="A264" t="inlineStr">
        <is>
          <t>in-29d65a580d586784</t>
        </is>
      </c>
      <c r="B264" t="inlineStr">
        <is>
          <t>Applied Scientist, Alexa Smart Home</t>
        </is>
      </c>
      <c r="C264" t="inlineStr">
        <is>
          <t>Amazon.com</t>
        </is>
      </c>
      <c r="D264" t="inlineStr">
        <is>
          <t>indeed</t>
        </is>
      </c>
      <c r="E264" t="inlineStr"/>
      <c r="F264" t="inlineStr"/>
      <c r="G264" t="inlineStr">
        <is>
          <t>Sunnyvale, CA, US</t>
        </is>
      </c>
      <c r="H264" s="2" t="n">
        <v>46033</v>
      </c>
      <c r="I26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5">
      <c r="A265" t="inlineStr">
        <is>
          <t>in-1db0f37913c36fae</t>
        </is>
      </c>
      <c r="B265" t="inlineStr">
        <is>
          <t>Sr Applied Scientist, AWS Proactive Security</t>
        </is>
      </c>
      <c r="C265" t="inlineStr">
        <is>
          <t>Amazon.com</t>
        </is>
      </c>
      <c r="D265" t="inlineStr">
        <is>
          <t>indeed</t>
        </is>
      </c>
      <c r="E265" t="inlineStr"/>
      <c r="F265" t="inlineStr"/>
      <c r="G265" t="inlineStr">
        <is>
          <t>Arlington, VA, US</t>
        </is>
      </c>
      <c r="H265" s="2" t="n">
        <v>46030</v>
      </c>
      <c r="I26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6">
      <c r="A266" t="inlineStr">
        <is>
          <t>in-9d779eac7dcf9db3</t>
        </is>
      </c>
      <c r="B266" t="inlineStr">
        <is>
          <t>Sr Applied Scientist, AWS Proactive Security</t>
        </is>
      </c>
      <c r="C266" t="inlineStr">
        <is>
          <t>Amazon.com</t>
        </is>
      </c>
      <c r="D266" t="inlineStr">
        <is>
          <t>indeed</t>
        </is>
      </c>
      <c r="E266" t="inlineStr"/>
      <c r="F266" t="inlineStr"/>
      <c r="G266" t="inlineStr">
        <is>
          <t>Sunnyvale, CA, US</t>
        </is>
      </c>
      <c r="H266" s="2" t="n">
        <v>46030</v>
      </c>
      <c r="I26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7">
      <c r="A267" t="inlineStr">
        <is>
          <t>in-33af9189561bd46f</t>
        </is>
      </c>
      <c r="B267" t="inlineStr">
        <is>
          <t>Sr Applied Scientist, AWS Proactive Security</t>
        </is>
      </c>
      <c r="C267" t="inlineStr">
        <is>
          <t>Amazon.com</t>
        </is>
      </c>
      <c r="D267" t="inlineStr">
        <is>
          <t>indeed</t>
        </is>
      </c>
      <c r="E267" t="inlineStr"/>
      <c r="F267" t="inlineStr"/>
      <c r="G267" t="inlineStr">
        <is>
          <t>Herndon, VA, US</t>
        </is>
      </c>
      <c r="H267" s="2" t="n">
        <v>46030</v>
      </c>
      <c r="I26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8">
      <c r="A268" t="inlineStr">
        <is>
          <t>in-f76e2ac9c01bd99e</t>
        </is>
      </c>
      <c r="B268" t="inlineStr">
        <is>
          <t>Sr. Applied Scientist, Amazon Ads</t>
        </is>
      </c>
      <c r="C268" t="inlineStr">
        <is>
          <t>Amazon.com</t>
        </is>
      </c>
      <c r="D268" t="inlineStr">
        <is>
          <t>indeed</t>
        </is>
      </c>
      <c r="E268">
        <f>HYPERLINK("https://www.indeed.com/viewjob?jk=f76e2ac9c01bd99e", "https://www.indeed.com/viewjob?jk=f76e2ac9c01bd99e")</f>
        <v/>
      </c>
      <c r="F268">
        <f>HYPERLINK("https://www.amazon.jobs/jobs/3139328/sr-applied-scientist-amazon-ads?cmpid=DA_INAD200785B", "https://www.amazon.jobs/jobs/3139328/sr-applied-scientist-amazon-ads?cmpid=DA_INAD200785B")</f>
        <v/>
      </c>
      <c r="G268" t="inlineStr">
        <is>
          <t>Sunnyvale, CA, US</t>
        </is>
      </c>
      <c r="H268" s="3" t="n">
        <v>45998</v>
      </c>
      <c r="I2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9">
      <c r="A269" t="inlineStr">
        <is>
          <t>in-bdeccc55b8f3b369</t>
        </is>
      </c>
      <c r="B269" t="inlineStr">
        <is>
          <t>Sr. Applied Scientist, Amazon Ads</t>
        </is>
      </c>
      <c r="C269" t="inlineStr">
        <is>
          <t>Amazon.com</t>
        </is>
      </c>
      <c r="D269" t="inlineStr">
        <is>
          <t>indeed</t>
        </is>
      </c>
      <c r="E269">
        <f>HYPERLINK("https://www.indeed.com/viewjob?jk=bdeccc55b8f3b369", "https://www.indeed.com/viewjob?jk=bdeccc55b8f3b369")</f>
        <v/>
      </c>
      <c r="F269">
        <f>HYPERLINK("https://www.amazon.jobs/jobs/3139328/sr-applied-scientist-amazon-ads?cmpid=DA_INAD200785B", "https://www.amazon.jobs/jobs/3139328/sr-applied-scientist-amazon-ads?cmpid=DA_INAD200785B")</f>
        <v/>
      </c>
      <c r="G269" t="inlineStr">
        <is>
          <t>New York, NY, US</t>
        </is>
      </c>
      <c r="H269" s="3" t="n">
        <v>45998</v>
      </c>
      <c r="I2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0">
      <c r="A270" t="inlineStr">
        <is>
          <t>in-a5c7ce00d1327e3e</t>
        </is>
      </c>
      <c r="B270" t="inlineStr">
        <is>
          <t>Sr. Applied Scientist, Amazon Ads</t>
        </is>
      </c>
      <c r="C270" t="inlineStr">
        <is>
          <t>Amazon.com</t>
        </is>
      </c>
      <c r="D270" t="inlineStr">
        <is>
          <t>indeed</t>
        </is>
      </c>
      <c r="E270">
        <f>HYPERLINK("https://www.indeed.com/viewjob?jk=a5c7ce00d1327e3e", "https://www.indeed.com/viewjob?jk=a5c7ce00d1327e3e")</f>
        <v/>
      </c>
      <c r="F270">
        <f>HYPERLINK("https://www.amazon.jobs/jobs/3139328/sr-applied-scientist-amazon-ads?cmpid=DA_INAD200785B", "https://www.amazon.jobs/jobs/3139328/sr-applied-scientist-amazon-ads?cmpid=DA_INAD200785B")</f>
        <v/>
      </c>
      <c r="G270" t="inlineStr">
        <is>
          <t>Seattle, WA, US</t>
        </is>
      </c>
      <c r="H270" s="3" t="n">
        <v>45998</v>
      </c>
      <c r="I2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1">
      <c r="A271" t="inlineStr">
        <is>
          <t>in-6b1201154042c1b7</t>
        </is>
      </c>
      <c r="B271" t="inlineStr">
        <is>
          <t>Sr. Applied Scientist, Amazon Ads</t>
        </is>
      </c>
      <c r="C271" t="inlineStr">
        <is>
          <t>Amazon.com</t>
        </is>
      </c>
      <c r="D271" t="inlineStr">
        <is>
          <t>indeed</t>
        </is>
      </c>
      <c r="E271">
        <f>HYPERLINK("https://www.indeed.com/viewjob?jk=6b1201154042c1b7", "https://www.indeed.com/viewjob?jk=6b1201154042c1b7")</f>
        <v/>
      </c>
      <c r="F271">
        <f>HYPERLINK("https://www.amazon.jobs/jobs/3139328/sr-applied-scientist-amazon-ads?cmpid=DA_INAD200785B", "https://www.amazon.jobs/jobs/3139328/sr-applied-scientist-amazon-ads?cmpid=DA_INAD200785B")</f>
        <v/>
      </c>
      <c r="G271" t="inlineStr">
        <is>
          <t>Brooklyn, NY, US</t>
        </is>
      </c>
      <c r="H271" s="3" t="n">
        <v>45998</v>
      </c>
      <c r="I2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2">
      <c r="A272" t="inlineStr">
        <is>
          <t>in-aed558dbf9bebc04</t>
        </is>
      </c>
      <c r="B272" t="inlineStr">
        <is>
          <t>Sr. Applied Scientist, Amazon Ads</t>
        </is>
      </c>
      <c r="C272" t="inlineStr">
        <is>
          <t>Amazon.com</t>
        </is>
      </c>
      <c r="D272" t="inlineStr">
        <is>
          <t>indeed</t>
        </is>
      </c>
      <c r="E272">
        <f>HYPERLINK("https://www.indeed.com/viewjob?jk=aed558dbf9bebc04", "https://www.indeed.com/viewjob?jk=aed558dbf9bebc04")</f>
        <v/>
      </c>
      <c r="F272">
        <f>HYPERLINK("https://www.amazon.jobs/jobs/3139328/sr-applied-scientist-amazon-ads?cmpid=DA_INAD200785B", "https://www.amazon.jobs/jobs/3139328/sr-applied-scientist-amazon-ads?cmpid=DA_INAD200785B")</f>
        <v/>
      </c>
      <c r="G272" t="inlineStr">
        <is>
          <t>Palo Alto, CA, US</t>
        </is>
      </c>
      <c r="H272" s="3" t="n">
        <v>45998</v>
      </c>
      <c r="I2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3">
      <c r="A273" t="inlineStr">
        <is>
          <t>in-fbed8339b22d18c6</t>
        </is>
      </c>
      <c r="B273" t="inlineStr">
        <is>
          <t>Sr. Applied Scientist, Amazon Ads</t>
        </is>
      </c>
      <c r="C273" t="inlineStr">
        <is>
          <t>Amazon.com</t>
        </is>
      </c>
      <c r="D273" t="inlineStr">
        <is>
          <t>indeed</t>
        </is>
      </c>
      <c r="E273">
        <f>HYPERLINK("https://www.indeed.com/viewjob?jk=fbed8339b22d18c6", "https://www.indeed.com/viewjob?jk=fbed8339b22d18c6")</f>
        <v/>
      </c>
      <c r="F273">
        <f>HYPERLINK("https://www.amazon.jobs/jobs/3139328/sr-applied-scientist-amazon-ads?cmpid=DA_INAD200785B", "https://www.amazon.jobs/jobs/3139328/sr-applied-scientist-amazon-ads?cmpid=DA_INAD200785B")</f>
        <v/>
      </c>
      <c r="G273" t="inlineStr">
        <is>
          <t>Tukwila, WA, US</t>
        </is>
      </c>
      <c r="H273" s="3" t="n">
        <v>45998</v>
      </c>
      <c r="I27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4">
      <c r="A274" t="inlineStr">
        <is>
          <t>in-3c4c69b5a25c6643</t>
        </is>
      </c>
      <c r="B274" t="inlineStr">
        <is>
          <t>Sr. Applied Scientist, Amazon Ads</t>
        </is>
      </c>
      <c r="C274" t="inlineStr">
        <is>
          <t>Amazon.com</t>
        </is>
      </c>
      <c r="D274" t="inlineStr">
        <is>
          <t>indeed</t>
        </is>
      </c>
      <c r="E274">
        <f>HYPERLINK("https://www.indeed.com/viewjob?jk=3c4c69b5a25c6643", "https://www.indeed.com/viewjob?jk=3c4c69b5a25c6643")</f>
        <v/>
      </c>
      <c r="F274">
        <f>HYPERLINK("https://www.amazon.jobs/jobs/3139328/sr-applied-scientist-amazon-ads?cmpid=DA_INAD200785B", "https://www.amazon.jobs/jobs/3139328/sr-applied-scientist-amazon-ads?cmpid=DA_INAD200785B")</f>
        <v/>
      </c>
      <c r="G274" t="inlineStr">
        <is>
          <t>Corvallis, OR, US</t>
        </is>
      </c>
      <c r="H274" s="3" t="n">
        <v>45998</v>
      </c>
      <c r="I2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5">
      <c r="A275" t="inlineStr">
        <is>
          <t>in-0ce1f069395aca41</t>
        </is>
      </c>
      <c r="B275" t="inlineStr">
        <is>
          <t>Sr. Applied Scientist, Amazon Ads</t>
        </is>
      </c>
      <c r="C275" t="inlineStr">
        <is>
          <t>Amazon.com</t>
        </is>
      </c>
      <c r="D275" t="inlineStr">
        <is>
          <t>indeed</t>
        </is>
      </c>
      <c r="E275">
        <f>HYPERLINK("https://www.indeed.com/viewjob?jk=0ce1f069395aca41", "https://www.indeed.com/viewjob?jk=0ce1f069395aca41")</f>
        <v/>
      </c>
      <c r="F275">
        <f>HYPERLINK("https://www.amazon.jobs/jobs/3139328/sr-applied-scientist-amazon-ads?cmpid=DA_INAD200785B", "https://www.amazon.jobs/jobs/3139328/sr-applied-scientist-amazon-ads?cmpid=DA_INAD200785B")</f>
        <v/>
      </c>
      <c r="G275" t="inlineStr">
        <is>
          <t>Boulder, CO, US</t>
        </is>
      </c>
      <c r="H275" s="3" t="n">
        <v>45998</v>
      </c>
      <c r="I2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6">
      <c r="A276" t="inlineStr">
        <is>
          <t>in-a8745af9f818b78c</t>
        </is>
      </c>
      <c r="B276" t="inlineStr">
        <is>
          <t>Sr. Applied Scientist, Amazon Ads</t>
        </is>
      </c>
      <c r="C276" t="inlineStr">
        <is>
          <t>Amazon.com</t>
        </is>
      </c>
      <c r="D276" t="inlineStr">
        <is>
          <t>indeed</t>
        </is>
      </c>
      <c r="E276">
        <f>HYPERLINK("https://www.indeed.com/viewjob?jk=a8745af9f818b78c", "https://www.indeed.com/viewjob?jk=a8745af9f818b78c")</f>
        <v/>
      </c>
      <c r="F276">
        <f>HYPERLINK("https://www.amazon.jobs/jobs/3139328/sr-applied-scientist-amazon-ads?cmpid=DA_INAD200785B", "https://www.amazon.jobs/jobs/3139328/sr-applied-scientist-amazon-ads?cmpid=DA_INAD200785B")</f>
        <v/>
      </c>
      <c r="G276" t="inlineStr">
        <is>
          <t>Santa Monica, CA, US</t>
        </is>
      </c>
      <c r="H276" s="3" t="n">
        <v>45998</v>
      </c>
      <c r="I2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7">
      <c r="A277" t="inlineStr">
        <is>
          <t>in-4b9aa2cf6df18d38</t>
        </is>
      </c>
      <c r="B277" t="inlineStr">
        <is>
          <t>Sr. Applied Scientist, Amazon Ads</t>
        </is>
      </c>
      <c r="C277" t="inlineStr">
        <is>
          <t>Amazon.com</t>
        </is>
      </c>
      <c r="D277" t="inlineStr">
        <is>
          <t>indeed</t>
        </is>
      </c>
      <c r="E277">
        <f>HYPERLINK("https://www.indeed.com/viewjob?jk=4b9aa2cf6df18d38", "https://www.indeed.com/viewjob?jk=4b9aa2cf6df18d38")</f>
        <v/>
      </c>
      <c r="F277">
        <f>HYPERLINK("https://www.amazon.jobs/jobs/3139328/sr-applied-scientist-amazon-ads?cmpid=DA_INAD200785B", "https://www.amazon.jobs/jobs/3139328/sr-applied-scientist-amazon-ads?cmpid=DA_INAD200785B")</f>
        <v/>
      </c>
      <c r="G277" t="inlineStr">
        <is>
          <t>Boston, MA, US</t>
        </is>
      </c>
      <c r="H277" s="3" t="n">
        <v>45998</v>
      </c>
      <c r="I2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8">
      <c r="A278" t="inlineStr">
        <is>
          <t>in-ee10934dcf9a3d6d</t>
        </is>
      </c>
      <c r="B278" t="inlineStr">
        <is>
          <t>Principal Applied Scientist, Amazon Special Projects</t>
        </is>
      </c>
      <c r="C278" t="inlineStr">
        <is>
          <t>Amazon.com</t>
        </is>
      </c>
      <c r="D278" t="inlineStr">
        <is>
          <t>indeed</t>
        </is>
      </c>
      <c r="E278">
        <f>HYPERLINK("https://www.indeed.com/viewjob?jk=ee10934dcf9a3d6d", "https://www.indeed.com/viewjob?jk=ee10934dcf9a3d6d")</f>
        <v/>
      </c>
      <c r="F278">
        <f>HYPERLINK("https://www.amazon.jobs/jobs/3132566/principal-applied-scientist-amazon-special-projects?cmpid=DA_INAD200785B", "https://www.amazon.jobs/jobs/3132566/principal-applied-scientist-amazon-special-projects?cmpid=DA_INAD200785B")</f>
        <v/>
      </c>
      <c r="G278" t="inlineStr">
        <is>
          <t>Boston, MA, US</t>
        </is>
      </c>
      <c r="H278" s="3" t="n">
        <v>45982</v>
      </c>
      <c r="I27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in-29a24f7466c4404f</t>
        </is>
      </c>
      <c r="B279" t="inlineStr">
        <is>
          <t>Principal Applied Scientist, Amazon Special Projects</t>
        </is>
      </c>
      <c r="C279" t="inlineStr">
        <is>
          <t>Amazon.com</t>
        </is>
      </c>
      <c r="D279" t="inlineStr">
        <is>
          <t>indeed</t>
        </is>
      </c>
      <c r="E279">
        <f>HYPERLINK("https://www.indeed.com/viewjob?jk=29a24f7466c4404f", "https://www.indeed.com/viewjob?jk=29a24f7466c4404f")</f>
        <v/>
      </c>
      <c r="F279">
        <f>HYPERLINK("https://www.amazon.jobs/jobs/3132566/principal-applied-scientist-amazon-special-projects?cmpid=DA_INAD200785B", "https://www.amazon.jobs/jobs/3132566/principal-applied-scientist-amazon-special-projects?cmpid=DA_INAD200785B")</f>
        <v/>
      </c>
      <c r="G279" t="inlineStr">
        <is>
          <t>Seattle, WA, US</t>
        </is>
      </c>
      <c r="H279" s="3" t="n">
        <v>45982</v>
      </c>
      <c r="I27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in-927aa996458e1414</t>
        </is>
      </c>
      <c r="B280" t="inlineStr">
        <is>
          <t>Sr. Applied Scientist, AGI Foundations</t>
        </is>
      </c>
      <c r="C280" t="inlineStr">
        <is>
          <t>Amazon.com</t>
        </is>
      </c>
      <c r="D280" t="inlineStr">
        <is>
          <t>indeed</t>
        </is>
      </c>
      <c r="E280">
        <f>HYPERLINK("https://www.indeed.com/viewjob?jk=927aa996458e1414", "https://www.indeed.com/viewjob?jk=927aa996458e1414")</f>
        <v/>
      </c>
      <c r="F280">
        <f>HYPERLINK("https://www.amazon.jobs/jobs/3128807/sr-applied-scientist-agi-foundations?cmpid=DA_INAD200785B", "https://www.amazon.jobs/jobs/3128807/sr-applied-scientist-agi-foundations?cmpid=DA_INAD200785B")</f>
        <v/>
      </c>
      <c r="G280" t="inlineStr">
        <is>
          <t>Sunnyvale, CA, US</t>
        </is>
      </c>
      <c r="H280" s="3" t="n">
        <v>45978</v>
      </c>
      <c r="I28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in-f6e7d9e61865c428</t>
        </is>
      </c>
      <c r="B281" t="inlineStr">
        <is>
          <t>Sr. Applied Scientist, AGI Foundations</t>
        </is>
      </c>
      <c r="C281" t="inlineStr">
        <is>
          <t>Amazon.com</t>
        </is>
      </c>
      <c r="D281" t="inlineStr">
        <is>
          <t>indeed</t>
        </is>
      </c>
      <c r="E281">
        <f>HYPERLINK("https://www.indeed.com/viewjob?jk=f6e7d9e61865c428", "https://www.indeed.com/viewjob?jk=f6e7d9e61865c428")</f>
        <v/>
      </c>
      <c r="F281">
        <f>HYPERLINK("https://www.amazon.jobs/jobs/3128807/sr-applied-scientist-agi-foundations?cmpid=DA_INAD200785B", "https://www.amazon.jobs/jobs/3128807/sr-applied-scientist-agi-foundations?cmpid=DA_INAD200785B")</f>
        <v/>
      </c>
      <c r="G281" t="inlineStr">
        <is>
          <t>Bellevue, WA, US</t>
        </is>
      </c>
      <c r="H281" s="3" t="n">
        <v>45978</v>
      </c>
      <c r="I28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in-c0680c6daa6b86c7</t>
        </is>
      </c>
      <c r="B282" t="inlineStr">
        <is>
          <t>Sr. Applied Scientist, AGI Foundations</t>
        </is>
      </c>
      <c r="C282" t="inlineStr">
        <is>
          <t>Amazon.com</t>
        </is>
      </c>
      <c r="D282" t="inlineStr">
        <is>
          <t>indeed</t>
        </is>
      </c>
      <c r="E282">
        <f>HYPERLINK("https://www.indeed.com/viewjob?jk=c0680c6daa6b86c7", "https://www.indeed.com/viewjob?jk=c0680c6daa6b86c7")</f>
        <v/>
      </c>
      <c r="F282">
        <f>HYPERLINK("https://www.amazon.jobs/jobs/3128807/sr-applied-scientist-agi-foundations?cmpid=DA_INAD200785B", "https://www.amazon.jobs/jobs/3128807/sr-applied-scientist-agi-foundations?cmpid=DA_INAD200785B")</f>
        <v/>
      </c>
      <c r="G282" t="inlineStr">
        <is>
          <t>Boston, MA, US</t>
        </is>
      </c>
      <c r="H282" s="3" t="n">
        <v>45978</v>
      </c>
      <c r="I28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in-69924712ab6f579b</t>
        </is>
      </c>
      <c r="B283" t="inlineStr">
        <is>
          <t>Sr. Applied Scientist, AGI Foundations</t>
        </is>
      </c>
      <c r="C283" t="inlineStr">
        <is>
          <t>Amazon.com</t>
        </is>
      </c>
      <c r="D283" t="inlineStr">
        <is>
          <t>indeed</t>
        </is>
      </c>
      <c r="E283">
        <f>HYPERLINK("https://www.indeed.com/viewjob?jk=69924712ab6f579b", "https://www.indeed.com/viewjob?jk=69924712ab6f579b")</f>
        <v/>
      </c>
      <c r="F283">
        <f>HYPERLINK("https://www.amazon.jobs/jobs/3128807/sr-applied-scientist-agi-foundations?cmpid=DA_INAD200785B", "https://www.amazon.jobs/jobs/3128807/sr-applied-scientist-agi-foundations?cmpid=DA_INAD200785B")</f>
        <v/>
      </c>
      <c r="G283" t="inlineStr">
        <is>
          <t>New York, NY, US</t>
        </is>
      </c>
      <c r="H283" s="3" t="n">
        <v>45978</v>
      </c>
      <c r="I28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in-822fc8cea2453ed0</t>
        </is>
      </c>
      <c r="B284" t="inlineStr">
        <is>
          <t>Sr. Applied Scientist, AGI Foundations</t>
        </is>
      </c>
      <c r="C284" t="inlineStr">
        <is>
          <t>Amazon.com</t>
        </is>
      </c>
      <c r="D284" t="inlineStr">
        <is>
          <t>indeed</t>
        </is>
      </c>
      <c r="E284">
        <f>HYPERLINK("https://www.indeed.com/viewjob?jk=822fc8cea2453ed0", "https://www.indeed.com/viewjob?jk=822fc8cea2453ed0")</f>
        <v/>
      </c>
      <c r="F284">
        <f>HYPERLINK("https://www.amazon.jobs/jobs/3123268/sr-applied-scientist-agi-foundations?cmpid=DA_INAD200785B", "https://www.amazon.jobs/jobs/3123268/sr-applied-scientist-agi-foundations?cmpid=DA_INAD200785B")</f>
        <v/>
      </c>
      <c r="G284" t="inlineStr">
        <is>
          <t>Boston, MA, US</t>
        </is>
      </c>
      <c r="H284" s="3" t="n">
        <v>45963</v>
      </c>
      <c r="I2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in-bb4fc93964fa287b</t>
        </is>
      </c>
      <c r="B285" t="inlineStr">
        <is>
          <t>Sr. Applied Scientist, AGI Foundations</t>
        </is>
      </c>
      <c r="C285" t="inlineStr">
        <is>
          <t>Amazon.com</t>
        </is>
      </c>
      <c r="D285" t="inlineStr">
        <is>
          <t>indeed</t>
        </is>
      </c>
      <c r="E285">
        <f>HYPERLINK("https://www.indeed.com/viewjob?jk=bb4fc93964fa287b", "https://www.indeed.com/viewjob?jk=bb4fc93964fa287b")</f>
        <v/>
      </c>
      <c r="F285">
        <f>HYPERLINK("https://www.amazon.jobs/jobs/3123268/sr-applied-scientist-agi-foundations?cmpid=DA_INAD200785B", "https://www.amazon.jobs/jobs/3123268/sr-applied-scientist-agi-foundations?cmpid=DA_INAD200785B")</f>
        <v/>
      </c>
      <c r="G285" t="inlineStr">
        <is>
          <t>Bellevue, WA, US</t>
        </is>
      </c>
      <c r="H285" s="3" t="n">
        <v>45963</v>
      </c>
      <c r="I28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in-c45ae1b9762ad33c</t>
        </is>
      </c>
      <c r="B286" t="inlineStr">
        <is>
          <t>Sr. Applied Scientist, AGI Foundations</t>
        </is>
      </c>
      <c r="C286" t="inlineStr">
        <is>
          <t>Amazon.com</t>
        </is>
      </c>
      <c r="D286" t="inlineStr">
        <is>
          <t>indeed</t>
        </is>
      </c>
      <c r="E286">
        <f>HYPERLINK("https://www.indeed.com/viewjob?jk=c45ae1b9762ad33c", "https://www.indeed.com/viewjob?jk=c45ae1b9762ad33c")</f>
        <v/>
      </c>
      <c r="F286">
        <f>HYPERLINK("https://www.amazon.jobs/jobs/3123268/sr-applied-scientist-agi-foundations?cmpid=DA_INAD200785B", "https://www.amazon.jobs/jobs/3123268/sr-applied-scientist-agi-foundations?cmpid=DA_INAD200785B")</f>
        <v/>
      </c>
      <c r="G286" t="inlineStr">
        <is>
          <t>New York, NY, US</t>
        </is>
      </c>
      <c r="H286" s="3" t="n">
        <v>45963</v>
      </c>
      <c r="I28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in-e8dad79876f6c20e</t>
        </is>
      </c>
      <c r="B287" t="inlineStr">
        <is>
          <t>Applied Scientist II, Prime Video - Personalization and Discovery Science, Personalization and Discovery Science</t>
        </is>
      </c>
      <c r="C287" t="inlineStr">
        <is>
          <t>Amazon.com</t>
        </is>
      </c>
      <c r="D287" t="inlineStr">
        <is>
          <t>indeed</t>
        </is>
      </c>
      <c r="E287">
        <f>HYPERLINK("https://www.indeed.com/viewjob?jk=e8dad79876f6c20e", "https://www.indeed.com/viewjob?jk=e8dad79876f6c20e")</f>
        <v/>
      </c>
      <c r="F28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7" t="inlineStr">
        <is>
          <t>Seattle, WA, US</t>
        </is>
      </c>
      <c r="H287" s="3" t="n">
        <v>45930</v>
      </c>
      <c r="I2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in-d4ed4b1721cecfb2</t>
        </is>
      </c>
      <c r="B288" t="inlineStr">
        <is>
          <t>Applied Scientist II, Prime Video - Personalization and Discovery Science, Personalization and Discovery Science</t>
        </is>
      </c>
      <c r="C288" t="inlineStr">
        <is>
          <t>Amazon.com</t>
        </is>
      </c>
      <c r="D288" t="inlineStr">
        <is>
          <t>indeed</t>
        </is>
      </c>
      <c r="E288">
        <f>HYPERLINK("https://www.indeed.com/viewjob?jk=d4ed4b1721cecfb2", "https://www.indeed.com/viewjob?jk=d4ed4b1721cecfb2")</f>
        <v/>
      </c>
      <c r="F28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8" t="inlineStr">
        <is>
          <t>New York, NY, US</t>
        </is>
      </c>
      <c r="H288" s="3" t="n">
        <v>45930</v>
      </c>
      <c r="I2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in-ed0cf6f7f55e19c0</t>
        </is>
      </c>
      <c r="B289" t="inlineStr">
        <is>
          <t>Applied Scientist II, Prime Video - Personalization and Discovery Science, Personalization and Discovery Science</t>
        </is>
      </c>
      <c r="C289" t="inlineStr">
        <is>
          <t>Amazon.com</t>
        </is>
      </c>
      <c r="D289" t="inlineStr">
        <is>
          <t>indeed</t>
        </is>
      </c>
      <c r="E289">
        <f>HYPERLINK("https://www.indeed.com/viewjob?jk=ed0cf6f7f55e19c0", "https://www.indeed.com/viewjob?jk=ed0cf6f7f55e19c0")</f>
        <v/>
      </c>
      <c r="F28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9" t="inlineStr">
        <is>
          <t>Sunnyvale, CA, US</t>
        </is>
      </c>
      <c r="H289" s="3" t="n">
        <v>45930</v>
      </c>
      <c r="I2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in-f094f00d27eed1d4</t>
        </is>
      </c>
      <c r="B290" t="inlineStr">
        <is>
          <t>Applied Scientist II, Prime Video - Personalization and Discovery Science</t>
        </is>
      </c>
      <c r="C290" t="inlineStr">
        <is>
          <t>Amazon.com</t>
        </is>
      </c>
      <c r="D290" t="inlineStr">
        <is>
          <t>indeed</t>
        </is>
      </c>
      <c r="E290">
        <f>HYPERLINK("https://www.indeed.com/viewjob?jk=f094f00d27eed1d4", "https://www.indeed.com/viewjob?jk=f094f00d27eed1d4")</f>
        <v/>
      </c>
      <c r="F290">
        <f>HYPERLINK("https://www.amazon.jobs/jobs/3059253/applied-scientist-ii-prime-video--personalization-and-discovery-science?cmpid=DA_INAD200785B", "https://www.amazon.jobs/jobs/3059253/applied-scientist-ii-prime-video--personalization-and-discovery-science?cmpid=DA_INAD200785B")</f>
        <v/>
      </c>
      <c r="G290" t="inlineStr">
        <is>
          <t>Sunnyvale, CA, US</t>
        </is>
      </c>
      <c r="H290" s="3" t="n">
        <v>45881</v>
      </c>
      <c r="I2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in-6324c48e259fde04</t>
        </is>
      </c>
      <c r="B291" t="inlineStr">
        <is>
          <t>Applied Scientist II, Prime Video - Personalization and Discovery Science</t>
        </is>
      </c>
      <c r="C291" t="inlineStr">
        <is>
          <t>Amazon.com</t>
        </is>
      </c>
      <c r="D291" t="inlineStr">
        <is>
          <t>indeed</t>
        </is>
      </c>
      <c r="E291">
        <f>HYPERLINK("https://www.indeed.com/viewjob?jk=6324c48e259fde04", "https://www.indeed.com/viewjob?jk=6324c48e259fde04")</f>
        <v/>
      </c>
      <c r="F291">
        <f>HYPERLINK("https://www.amazon.jobs/jobs/3059253/applied-scientist-ii-prime-video--personalization-and-discovery-science?cmpid=DA_INAD200785B", "https://www.amazon.jobs/jobs/3059253/applied-scientist-ii-prime-video--personalization-and-discovery-science?cmpid=DA_INAD200785B")</f>
        <v/>
      </c>
      <c r="G291" t="inlineStr">
        <is>
          <t>Seattle, WA, US</t>
        </is>
      </c>
      <c r="H291" s="3" t="n">
        <v>45881</v>
      </c>
      <c r="I2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in-4198139dc8d154a7</t>
        </is>
      </c>
      <c r="B292" t="inlineStr">
        <is>
          <t>Sr. Applied Scientist, Prime Video - Personalization and Discovery Science</t>
        </is>
      </c>
      <c r="C292" t="inlineStr">
        <is>
          <t>Amazon.com</t>
        </is>
      </c>
      <c r="D292" t="inlineStr">
        <is>
          <t>indeed</t>
        </is>
      </c>
      <c r="E292">
        <f>HYPERLINK("https://www.indeed.com/viewjob?jk=4198139dc8d154a7", "https://www.indeed.com/viewjob?jk=4198139dc8d154a7")</f>
        <v/>
      </c>
      <c r="F292">
        <f>HYPERLINK("https://www.amazon.jobs/jobs/3059256/sr-applied-scientist-prime-video--personalization-and-discovery-science?cmpid=DA_INAD200785B", "https://www.amazon.jobs/jobs/3059256/sr-applied-scientist-prime-video--personalization-and-discovery-science?cmpid=DA_INAD200785B")</f>
        <v/>
      </c>
      <c r="G292" t="inlineStr">
        <is>
          <t>New York, NY, US</t>
        </is>
      </c>
      <c r="H292" s="3" t="n">
        <v>45881</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in-d715f0eecc8213fa</t>
        </is>
      </c>
      <c r="B293" t="inlineStr">
        <is>
          <t>Applied Scientist II, Prime Video - Personalization and Discovery Science</t>
        </is>
      </c>
      <c r="C293" t="inlineStr">
        <is>
          <t>Amazon.com</t>
        </is>
      </c>
      <c r="D293" t="inlineStr">
        <is>
          <t>indeed</t>
        </is>
      </c>
      <c r="E293">
        <f>HYPERLINK("https://www.indeed.com/viewjob?jk=d715f0eecc8213fa", "https://www.indeed.com/viewjob?jk=d715f0eecc8213fa")</f>
        <v/>
      </c>
      <c r="F293">
        <f>HYPERLINK("https://www.amazon.jobs/jobs/3059253/applied-scientist-ii-prime-video--personalization-and-discovery-science?cmpid=DA_INAD200785B", "https://www.amazon.jobs/jobs/3059253/applied-scientist-ii-prime-video--personalization-and-discovery-science?cmpid=DA_INAD200785B")</f>
        <v/>
      </c>
      <c r="G293" t="inlineStr">
        <is>
          <t>New York, NY, US</t>
        </is>
      </c>
      <c r="H293" s="3" t="n">
        <v>45881</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in-c3c1fc1bfa857b4e</t>
        </is>
      </c>
      <c r="B294" t="inlineStr">
        <is>
          <t>Sr. Applied Scientist, Prime Video - Personalization and Discovery Science</t>
        </is>
      </c>
      <c r="C294" t="inlineStr">
        <is>
          <t>Amazon.com</t>
        </is>
      </c>
      <c r="D294" t="inlineStr">
        <is>
          <t>indeed</t>
        </is>
      </c>
      <c r="E294">
        <f>HYPERLINK("https://www.indeed.com/viewjob?jk=c3c1fc1bfa857b4e", "https://www.indeed.com/viewjob?jk=c3c1fc1bfa857b4e")</f>
        <v/>
      </c>
      <c r="F294">
        <f>HYPERLINK("https://www.amazon.jobs/jobs/3059256/sr-applied-scientist-prime-video--personalization-and-discovery-science?cmpid=DA_INAD200785B", "https://www.amazon.jobs/jobs/3059256/sr-applied-scientist-prime-video--personalization-and-discovery-science?cmpid=DA_INAD200785B")</f>
        <v/>
      </c>
      <c r="G294" t="inlineStr">
        <is>
          <t>Sunnyvale, CA, US</t>
        </is>
      </c>
      <c r="H294" s="3" t="n">
        <v>45881</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in-243b85dfc3377ee4</t>
        </is>
      </c>
      <c r="B295" t="inlineStr">
        <is>
          <t>Sr. Applied Scientist, Prime Video - Personalization and Discovery Science</t>
        </is>
      </c>
      <c r="C295" t="inlineStr">
        <is>
          <t>Amazon.com</t>
        </is>
      </c>
      <c r="D295" t="inlineStr">
        <is>
          <t>indeed</t>
        </is>
      </c>
      <c r="E295">
        <f>HYPERLINK("https://www.indeed.com/viewjob?jk=243b85dfc3377ee4", "https://www.indeed.com/viewjob?jk=243b85dfc3377ee4")</f>
        <v/>
      </c>
      <c r="F295">
        <f>HYPERLINK("https://www.amazon.jobs/jobs/3059256/sr-applied-scientist-prime-video--personalization-and-discovery-science?cmpid=DA_INAD200785B", "https://www.amazon.jobs/jobs/3059256/sr-applied-scientist-prime-video--personalization-and-discovery-science?cmpid=DA_INAD200785B")</f>
        <v/>
      </c>
      <c r="G295" t="inlineStr">
        <is>
          <t>Seattle, WA, US</t>
        </is>
      </c>
      <c r="H295" s="3" t="n">
        <v>45881</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in-85e92fb454944716</t>
        </is>
      </c>
      <c r="B296" t="inlineStr">
        <is>
          <t>Applied Scientist, Prime Video - Personalization and Discovery Science</t>
        </is>
      </c>
      <c r="C296" t="inlineStr">
        <is>
          <t>Amazon.com</t>
        </is>
      </c>
      <c r="D296" t="inlineStr">
        <is>
          <t>indeed</t>
        </is>
      </c>
      <c r="E296">
        <f>HYPERLINK("https://www.indeed.com/viewjob?jk=85e92fb454944716", "https://www.indeed.com/viewjob?jk=85e92fb454944716")</f>
        <v/>
      </c>
      <c r="F296">
        <f>HYPERLINK("https://www.amazon.jobs/jobs/3033050/applied-scientist-prime-video--personalization-and-discovery-science?cmpid=DA_INAD200785B", "https://www.amazon.jobs/jobs/3033050/applied-scientist-prime-video--personalization-and-discovery-science?cmpid=DA_INAD200785B")</f>
        <v/>
      </c>
      <c r="G296" t="inlineStr">
        <is>
          <t>Seattle, WA, US</t>
        </is>
      </c>
      <c r="H296" s="3" t="n">
        <v>45845</v>
      </c>
      <c r="I2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in-9e60c1168371cbce</t>
        </is>
      </c>
      <c r="B297" t="inlineStr">
        <is>
          <t>Applied Scientist, Prime Video - Personalization and Discovery Science</t>
        </is>
      </c>
      <c r="C297" t="inlineStr">
        <is>
          <t>Amazon.com</t>
        </is>
      </c>
      <c r="D297" t="inlineStr">
        <is>
          <t>indeed</t>
        </is>
      </c>
      <c r="E297">
        <f>HYPERLINK("https://www.indeed.com/viewjob?jk=9e60c1168371cbce", "https://www.indeed.com/viewjob?jk=9e60c1168371cbce")</f>
        <v/>
      </c>
      <c r="F297">
        <f>HYPERLINK("https://www.amazon.jobs/jobs/3033050/applied-scientist-prime-video--personalization-and-discovery-science?cmpid=DA_INAD200785B", "https://www.amazon.jobs/jobs/3033050/applied-scientist-prime-video--personalization-and-discovery-science?cmpid=DA_INAD200785B")</f>
        <v/>
      </c>
      <c r="G297" t="inlineStr">
        <is>
          <t>Sunnyvale, CA, US</t>
        </is>
      </c>
      <c r="H297" s="3" t="n">
        <v>45845</v>
      </c>
      <c r="I2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in-4d203517eb8176c9</t>
        </is>
      </c>
      <c r="B298" t="inlineStr">
        <is>
          <t>Applied Scientist, Prime Video - Personalization and Discovery Science</t>
        </is>
      </c>
      <c r="C298" t="inlineStr">
        <is>
          <t>Amazon.com</t>
        </is>
      </c>
      <c r="D298" t="inlineStr">
        <is>
          <t>indeed</t>
        </is>
      </c>
      <c r="E298">
        <f>HYPERLINK("https://www.indeed.com/viewjob?jk=4d203517eb8176c9", "https://www.indeed.com/viewjob?jk=4d203517eb8176c9")</f>
        <v/>
      </c>
      <c r="F298">
        <f>HYPERLINK("https://www.amazon.jobs/jobs/3033050/applied-scientist-prime-video--personalization-and-discovery-science?cmpid=DA_INAD200785B", "https://www.amazon.jobs/jobs/3033050/applied-scientist-prime-video--personalization-and-discovery-science?cmpid=DA_INAD200785B")</f>
        <v/>
      </c>
      <c r="G298" t="inlineStr">
        <is>
          <t>New York, NY, US</t>
        </is>
      </c>
      <c r="H298" s="3" t="n">
        <v>45845</v>
      </c>
      <c r="I2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in-7dffbaff52e31e44</t>
        </is>
      </c>
      <c r="B299" t="inlineStr">
        <is>
          <t>Applied Scientist, Denied Party Screening, AWS Compliance &amp; Security Assurance</t>
        </is>
      </c>
      <c r="C299" t="inlineStr">
        <is>
          <t>Amazon.com</t>
        </is>
      </c>
      <c r="D299" t="inlineStr">
        <is>
          <t>indeed</t>
        </is>
      </c>
      <c r="E299">
        <f>HYPERLINK("https://www.indeed.com/viewjob?jk=7dffbaff52e31e44", "https://www.indeed.com/viewjob?jk=7dffbaff52e31e44")</f>
        <v/>
      </c>
      <c r="F299">
        <f>HYPERLINK("https://www.amazon.jobs/jobs/3157154/applied-scientist-denied-party-screening-aws-compliance--security-assurance?cmpid=DA_INAD200785B", "https://www.amazon.jobs/jobs/3157154/applied-scientist-denied-party-screening-aws-compliance--security-assurance?cmpid=DA_INAD200785B")</f>
        <v/>
      </c>
      <c r="G299" t="inlineStr">
        <is>
          <t>Seattle, WA, US</t>
        </is>
      </c>
      <c r="H299" s="3" t="n">
        <v>46027</v>
      </c>
      <c r="I299"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300">
      <c r="A300" t="inlineStr">
        <is>
          <t>in-58396c0f86e8cf49</t>
        </is>
      </c>
      <c r="B300" t="inlineStr">
        <is>
          <t>Applied Scientist, Denied Party Screening, AWS Compliance &amp; Security Assurance</t>
        </is>
      </c>
      <c r="C300" t="inlineStr">
        <is>
          <t>Amazon.com</t>
        </is>
      </c>
      <c r="D300" t="inlineStr">
        <is>
          <t>indeed</t>
        </is>
      </c>
      <c r="E300">
        <f>HYPERLINK("https://www.indeed.com/viewjob?jk=58396c0f86e8cf49", "https://www.indeed.com/viewjob?jk=58396c0f86e8cf49")</f>
        <v/>
      </c>
      <c r="F300">
        <f>HYPERLINK("https://www.amazon.jobs/jobs/3157154/applied-scientist-denied-party-screening-aws-compliance--security-assurance?cmpid=DA_INAD200785B", "https://www.amazon.jobs/jobs/3157154/applied-scientist-denied-party-screening-aws-compliance--security-assurance?cmpid=DA_INAD200785B")</f>
        <v/>
      </c>
      <c r="G300" t="inlineStr">
        <is>
          <t>Dallas, TX, US</t>
        </is>
      </c>
      <c r="H300" s="3" t="n">
        <v>46027</v>
      </c>
      <c r="I300"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301">
      <c r="A301" t="inlineStr">
        <is>
          <t>in-c84800e56ee52419</t>
        </is>
      </c>
      <c r="B301" t="inlineStr">
        <is>
          <t>Senior Applied Scientist, Amazon Industrial Robotics</t>
        </is>
      </c>
      <c r="C301" t="inlineStr">
        <is>
          <t>Amazon.com</t>
        </is>
      </c>
      <c r="D301" t="inlineStr">
        <is>
          <t>indeed</t>
        </is>
      </c>
      <c r="E301">
        <f>HYPERLINK("https://www.indeed.com/viewjob?jk=c84800e56ee52419", "https://www.indeed.com/viewjob?jk=c84800e56ee52419")</f>
        <v/>
      </c>
      <c r="F301">
        <f>HYPERLINK("https://www.amazon.jobs/jobs/3154866/senior-applied-scientist-amazon-industrial-robotics?cmpid=DA_INAD200785B", "https://www.amazon.jobs/jobs/3154866/senior-applied-scientist-amazon-industrial-robotics?cmpid=DA_INAD200785B")</f>
        <v/>
      </c>
      <c r="G301" t="inlineStr">
        <is>
          <t>Reading, MA, US</t>
        </is>
      </c>
      <c r="H301" s="3" t="n">
        <v>46027</v>
      </c>
      <c r="I30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2">
      <c r="A302" t="inlineStr">
        <is>
          <t>in-e0accf06cbe03c8c</t>
        </is>
      </c>
      <c r="B302" t="inlineStr">
        <is>
          <t>Senior Applied Scientist, Amazon Industrial Robotics</t>
        </is>
      </c>
      <c r="C302" t="inlineStr">
        <is>
          <t>Amazon.com</t>
        </is>
      </c>
      <c r="D302" t="inlineStr">
        <is>
          <t>indeed</t>
        </is>
      </c>
      <c r="E302">
        <f>HYPERLINK("https://www.indeed.com/viewjob?jk=e0accf06cbe03c8c", "https://www.indeed.com/viewjob?jk=e0accf06cbe03c8c")</f>
        <v/>
      </c>
      <c r="F302">
        <f>HYPERLINK("https://www.amazon.jobs/jobs/3154866/senior-applied-scientist-amazon-industrial-robotics?cmpid=DA_INAD200785B", "https://www.amazon.jobs/jobs/3154866/senior-applied-scientist-amazon-industrial-robotics?cmpid=DA_INAD200785B")</f>
        <v/>
      </c>
      <c r="G302" t="inlineStr">
        <is>
          <t>Reading, MA, US</t>
        </is>
      </c>
      <c r="H302" s="3" t="n">
        <v>46027</v>
      </c>
      <c r="I30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3">
      <c r="A303" t="inlineStr">
        <is>
          <t>in-645dbb8544f3dcf4</t>
        </is>
      </c>
      <c r="B303" t="inlineStr">
        <is>
          <t>Senior Applied Scientist, Dexterous Manipulation , Amazon Industrial Robotics</t>
        </is>
      </c>
      <c r="C303" t="inlineStr">
        <is>
          <t>Amazon.com</t>
        </is>
      </c>
      <c r="D303" t="inlineStr">
        <is>
          <t>indeed</t>
        </is>
      </c>
      <c r="E303">
        <f>HYPERLINK("https://www.indeed.com/viewjob?jk=645dbb8544f3dcf4", "https://www.indeed.com/viewjob?jk=645dbb8544f3dcf4")</f>
        <v/>
      </c>
      <c r="F303">
        <f>HYPERLINK("https://www.amazon.jobs/jobs/3153852/senior-applied-scientist-dexterous-manipulation--amazon-industrial-robotics?cmpid=DA_INAD200785B", "https://www.amazon.jobs/jobs/3153852/senior-applied-scientist-dexterous-manipulation--amazon-industrial-robotics?cmpid=DA_INAD200785B")</f>
        <v/>
      </c>
      <c r="G303" t="inlineStr">
        <is>
          <t>Reading, MA, US</t>
        </is>
      </c>
      <c r="H303" s="3" t="n">
        <v>46027</v>
      </c>
      <c r="I30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4">
      <c r="A304" t="inlineStr">
        <is>
          <t>in-335eb5e681b97276</t>
        </is>
      </c>
      <c r="B304" t="inlineStr">
        <is>
          <t>Senior Applied Scientist, Dexterous Manipulation , Amazon Industrial Robotics</t>
        </is>
      </c>
      <c r="C304" t="inlineStr">
        <is>
          <t>Amazon.com</t>
        </is>
      </c>
      <c r="D304" t="inlineStr">
        <is>
          <t>indeed</t>
        </is>
      </c>
      <c r="E304">
        <f>HYPERLINK("https://www.indeed.com/viewjob?jk=335eb5e681b97276", "https://www.indeed.com/viewjob?jk=335eb5e681b97276")</f>
        <v/>
      </c>
      <c r="F304">
        <f>HYPERLINK("https://www.amazon.jobs/jobs/3153852/senior-applied-scientist-dexterous-manipulation--amazon-industrial-robotics?cmpid=DA_INAD200785B", "https://www.amazon.jobs/jobs/3153852/senior-applied-scientist-dexterous-manipulation--amazon-industrial-robotics?cmpid=DA_INAD200785B")</f>
        <v/>
      </c>
      <c r="G304" t="inlineStr">
        <is>
          <t>Reading, MA, US</t>
        </is>
      </c>
      <c r="H304" s="3" t="n">
        <v>46027</v>
      </c>
      <c r="I30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5">
      <c r="A305" t="inlineStr">
        <is>
          <t>in-def39dadb04acbea</t>
        </is>
      </c>
      <c r="B305" t="inlineStr">
        <is>
          <t>Applied Scientist, Amazon Special Projects</t>
        </is>
      </c>
      <c r="C305" t="inlineStr">
        <is>
          <t>Amazon.com</t>
        </is>
      </c>
      <c r="D305" t="inlineStr">
        <is>
          <t>indeed</t>
        </is>
      </c>
      <c r="E305">
        <f>HYPERLINK("https://www.indeed.com/viewjob?jk=def39dadb04acbea", "https://www.indeed.com/viewjob?jk=def39dadb04acbea")</f>
        <v/>
      </c>
      <c r="F305">
        <f>HYPERLINK("https://www.amazon.jobs/jobs/3152795/applied-scientist-amazon-special-projects?cmpid=DA_INAD200785B", "https://www.amazon.jobs/jobs/3152795/applied-scientist-amazon-special-projects?cmpid=DA_INAD200785B")</f>
        <v/>
      </c>
      <c r="G305" t="inlineStr">
        <is>
          <t>Seattle, WA, US</t>
        </is>
      </c>
      <c r="H305" s="3" t="n">
        <v>46026</v>
      </c>
      <c r="I30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in-b87c0a3f04de6c51</t>
        </is>
      </c>
      <c r="B306" t="inlineStr">
        <is>
          <t>Applied Scientist, Amazon Special Projects</t>
        </is>
      </c>
      <c r="C306" t="inlineStr">
        <is>
          <t>Amazon.com</t>
        </is>
      </c>
      <c r="D306" t="inlineStr">
        <is>
          <t>indeed</t>
        </is>
      </c>
      <c r="E306">
        <f>HYPERLINK("https://www.indeed.com/viewjob?jk=b87c0a3f04de6c51", "https://www.indeed.com/viewjob?jk=b87c0a3f04de6c51")</f>
        <v/>
      </c>
      <c r="F306">
        <f>HYPERLINK("https://www.amazon.jobs/jobs/3152795/applied-scientist-amazon-special-projects?cmpid=DA_INAD200785B", "https://www.amazon.jobs/jobs/3152795/applied-scientist-amazon-special-projects?cmpid=DA_INAD200785B")</f>
        <v/>
      </c>
      <c r="G306" t="inlineStr">
        <is>
          <t>Boston, MA, US</t>
        </is>
      </c>
      <c r="H306" s="3" t="n">
        <v>46026</v>
      </c>
      <c r="I30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in-854309d689e77855</t>
        </is>
      </c>
      <c r="B307" t="inlineStr">
        <is>
          <t>Applied Scientist, Last Mile Delivery Automation</t>
        </is>
      </c>
      <c r="C307" t="inlineStr">
        <is>
          <t>Amazon.com</t>
        </is>
      </c>
      <c r="D307" t="inlineStr">
        <is>
          <t>indeed</t>
        </is>
      </c>
      <c r="E307">
        <f>HYPERLINK("https://www.indeed.com/viewjob?jk=854309d689e77855", "https://www.indeed.com/viewjob?jk=854309d689e77855")</f>
        <v/>
      </c>
      <c r="F307">
        <f>HYPERLINK("https://www.amazon.jobs/jobs/3155354/applied-scientist-last-mile-delivery-automation?cmpid=DA_INAD200785B", "https://www.amazon.jobs/jobs/3155354/applied-scientist-last-mile-delivery-automation?cmpid=DA_INAD200785B")</f>
        <v/>
      </c>
      <c r="G307" t="inlineStr">
        <is>
          <t>Santa Clara, CA, US</t>
        </is>
      </c>
      <c r="H307" s="3" t="n">
        <v>46026</v>
      </c>
      <c r="I30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in-71993529eb943cfe</t>
        </is>
      </c>
      <c r="B308" t="inlineStr">
        <is>
          <t>Applied Scientist, Last Mile Delivery Automation</t>
        </is>
      </c>
      <c r="C308" t="inlineStr">
        <is>
          <t>Amazon.com</t>
        </is>
      </c>
      <c r="D308" t="inlineStr">
        <is>
          <t>indeed</t>
        </is>
      </c>
      <c r="E308">
        <f>HYPERLINK("https://www.indeed.com/viewjob?jk=71993529eb943cfe", "https://www.indeed.com/viewjob?jk=71993529eb943cfe")</f>
        <v/>
      </c>
      <c r="F308">
        <f>HYPERLINK("https://www.amazon.jobs/jobs/3155354/applied-scientist-last-mile-delivery-automation?cmpid=DA_INAD200785B", "https://www.amazon.jobs/jobs/3155354/applied-scientist-last-mile-delivery-automation?cmpid=DA_INAD200785B")</f>
        <v/>
      </c>
      <c r="G308" t="inlineStr">
        <is>
          <t>Bellevue, WA, US</t>
        </is>
      </c>
      <c r="H308" s="3" t="n">
        <v>46026</v>
      </c>
      <c r="I30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in-d5509eee3197414a</t>
        </is>
      </c>
      <c r="B309" t="inlineStr">
        <is>
          <t>Senior Applied Scientist, Distributed SQL</t>
        </is>
      </c>
      <c r="C309" t="inlineStr">
        <is>
          <t>Amazon Web Services</t>
        </is>
      </c>
      <c r="D309" t="inlineStr">
        <is>
          <t>indeed</t>
        </is>
      </c>
      <c r="E309">
        <f>HYPERLINK("https://www.indeed.com/viewjob?jk=d5509eee3197414a", "https://www.indeed.com/viewjob?jk=d5509eee3197414a")</f>
        <v/>
      </c>
      <c r="F309">
        <f>HYPERLINK("https://www.amazon.jobs/jobs/3148444/senior-applied-scientist-distributed-sql?cmpid=DA_INAD200785B", "https://www.amazon.jobs/jobs/3148444/senior-applied-scientist-distributed-sql?cmpid=DA_INAD200785B")</f>
        <v/>
      </c>
      <c r="G309" t="inlineStr">
        <is>
          <t>Seattle, WA, US</t>
        </is>
      </c>
      <c r="H309" s="3" t="n">
        <v>46012</v>
      </c>
      <c r="I30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10">
      <c r="A310" t="inlineStr">
        <is>
          <t>in-6390c97206340c35</t>
        </is>
      </c>
      <c r="B310" t="inlineStr">
        <is>
          <t>Senior Applied Scientist, Distributed SQL</t>
        </is>
      </c>
      <c r="C310" t="inlineStr">
        <is>
          <t>Amazon Web Services</t>
        </is>
      </c>
      <c r="D310" t="inlineStr">
        <is>
          <t>indeed</t>
        </is>
      </c>
      <c r="E310">
        <f>HYPERLINK("https://www.indeed.com/viewjob?jk=6390c97206340c35", "https://www.indeed.com/viewjob?jk=6390c97206340c35")</f>
        <v/>
      </c>
      <c r="F310">
        <f>HYPERLINK("https://www.amazon.jobs/jobs/3148444/senior-applied-scientist-distributed-sql?cmpid=DA_INAD200785B", "https://www.amazon.jobs/jobs/3148444/senior-applied-scientist-distributed-sql?cmpid=DA_INAD200785B")</f>
        <v/>
      </c>
      <c r="G310" t="inlineStr">
        <is>
          <t>East Palo Alto, CA, US</t>
        </is>
      </c>
      <c r="H310" s="3" t="n">
        <v>46012</v>
      </c>
      <c r="I31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11">
      <c r="A311" t="inlineStr">
        <is>
          <t>in-adc8f1cfe9f2e045</t>
        </is>
      </c>
      <c r="B311" t="inlineStr">
        <is>
          <t>Applied Scientist, ML Compiler</t>
        </is>
      </c>
      <c r="C311" t="inlineStr">
        <is>
          <t>Amazon Web Services</t>
        </is>
      </c>
      <c r="D311" t="inlineStr">
        <is>
          <t>indeed</t>
        </is>
      </c>
      <c r="E311">
        <f>HYPERLINK("https://www.indeed.com/viewjob?jk=adc8f1cfe9f2e045", "https://www.indeed.com/viewjob?jk=adc8f1cfe9f2e045")</f>
        <v/>
      </c>
      <c r="F311">
        <f>HYPERLINK("https://www.amazon.jobs/jobs/3136884/applied-scientist-ml-compiler?cmpid=DA_INAD200785B", "https://www.amazon.jobs/jobs/3136884/applied-scientist-ml-compiler?cmpid=DA_INAD200785B")</f>
        <v/>
      </c>
      <c r="G311" t="inlineStr">
        <is>
          <t>Seattle, WA, US</t>
        </is>
      </c>
      <c r="H311" s="3" t="n">
        <v>45993</v>
      </c>
      <c r="I31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in-1b705eaa07d30bc5</t>
        </is>
      </c>
      <c r="B312" t="inlineStr">
        <is>
          <t>Applied Scientist, ML Compiler</t>
        </is>
      </c>
      <c r="C312" t="inlineStr">
        <is>
          <t>Amazon Web Services</t>
        </is>
      </c>
      <c r="D312" t="inlineStr">
        <is>
          <t>indeed</t>
        </is>
      </c>
      <c r="E312">
        <f>HYPERLINK("https://www.indeed.com/viewjob?jk=1b705eaa07d30bc5", "https://www.indeed.com/viewjob?jk=1b705eaa07d30bc5")</f>
        <v/>
      </c>
      <c r="F312">
        <f>HYPERLINK("https://www.amazon.jobs/jobs/3136884/applied-scientist-ml-compiler?cmpid=DA_INAD200785B", "https://www.amazon.jobs/jobs/3136884/applied-scientist-ml-compiler?cmpid=DA_INAD200785B")</f>
        <v/>
      </c>
      <c r="G312" t="inlineStr">
        <is>
          <t>Cupertino, CA, US</t>
        </is>
      </c>
      <c r="H312" s="3" t="n">
        <v>45993</v>
      </c>
      <c r="I31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in-375f611b8e8ec7ad</t>
        </is>
      </c>
      <c r="B313" t="inlineStr">
        <is>
          <t>Senior Data Scientist, Data and Machine Learning, WWPS US Federal</t>
        </is>
      </c>
      <c r="C313" t="inlineStr">
        <is>
          <t>Amazon Web Services</t>
        </is>
      </c>
      <c r="D313" t="inlineStr">
        <is>
          <t>indeed</t>
        </is>
      </c>
      <c r="E313">
        <f>HYPERLINK("https://www.indeed.com/viewjob?jk=375f611b8e8ec7ad", "https://www.indeed.com/viewjob?jk=375f611b8e8ec7ad")</f>
        <v/>
      </c>
      <c r="F313">
        <f>HYPERLINK("https://www.amazon.jobs/jobs/3139664/senior-data-scientist-data-and-machine-learning-wwps-us-federal?cmpid=DA_INAD200785B", "https://www.amazon.jobs/jobs/3139664/senior-data-scientist-data-and-machine-learning-wwps-us-federal?cmpid=DA_INAD200785B")</f>
        <v/>
      </c>
      <c r="G313" t="inlineStr">
        <is>
          <t>Arlington, VA, US</t>
        </is>
      </c>
      <c r="H313" s="3" t="n">
        <v>45993</v>
      </c>
      <c r="I31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14">
      <c r="A314" t="inlineStr">
        <is>
          <t>in-3e76994d9a9102c9</t>
        </is>
      </c>
      <c r="B314" t="inlineStr">
        <is>
          <t>Senior Data Scientist, Data and Machine Learning, WWPS US Federal</t>
        </is>
      </c>
      <c r="C314" t="inlineStr">
        <is>
          <t>Amazon Web Services</t>
        </is>
      </c>
      <c r="D314" t="inlineStr">
        <is>
          <t>indeed</t>
        </is>
      </c>
      <c r="E314">
        <f>HYPERLINK("https://www.indeed.com/viewjob?jk=3e76994d9a9102c9", "https://www.indeed.com/viewjob?jk=3e76994d9a9102c9")</f>
        <v/>
      </c>
      <c r="F314">
        <f>HYPERLINK("https://www.amazon.jobs/jobs/3139664/senior-data-scientist-data-and-machine-learning-wwps-us-federal?cmpid=DA_INAD200785B", "https://www.amazon.jobs/jobs/3139664/senior-data-scientist-data-and-machine-learning-wwps-us-federal?cmpid=DA_INAD200785B")</f>
        <v/>
      </c>
      <c r="G314" t="inlineStr">
        <is>
          <t>Herndon, VA, US</t>
        </is>
      </c>
      <c r="H314" s="3" t="n">
        <v>45993</v>
      </c>
      <c r="I31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15">
      <c r="A315" t="inlineStr">
        <is>
          <t>in-f526490f60915dcf</t>
        </is>
      </c>
      <c r="B315" t="inlineStr">
        <is>
          <t>Senior Data Scientist, Data and Machine Learning, WWPS US Federal</t>
        </is>
      </c>
      <c r="C315" t="inlineStr">
        <is>
          <t>Amazon Web Services</t>
        </is>
      </c>
      <c r="D315" t="inlineStr">
        <is>
          <t>indeed</t>
        </is>
      </c>
      <c r="E315">
        <f>HYPERLINK("https://www.indeed.com/viewjob?jk=f526490f60915dcf", "https://www.indeed.com/viewjob?jk=f526490f60915dcf")</f>
        <v/>
      </c>
      <c r="F315">
        <f>HYPERLINK("https://www.amazon.jobs/jobs/3139664/senior-data-scientist-data-and-machine-learning-wwps-us-federal?cmpid=DA_INAD200785B", "https://www.amazon.jobs/jobs/3139664/senior-data-scientist-data-and-machine-learning-wwps-us-federal?cmpid=DA_INAD200785B")</f>
        <v/>
      </c>
      <c r="G315" t="inlineStr">
        <is>
          <t>Jessup, MD, US</t>
        </is>
      </c>
      <c r="H315" s="3" t="n">
        <v>45993</v>
      </c>
      <c r="I31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16">
      <c r="A316" t="inlineStr">
        <is>
          <t>in-4c3574bea8c50ce4</t>
        </is>
      </c>
      <c r="B316" t="inlineStr">
        <is>
          <t>Senior Data Scientist, Data and Machine Learning, WWPS US Federal</t>
        </is>
      </c>
      <c r="C316" t="inlineStr">
        <is>
          <t>Amazon Web Services</t>
        </is>
      </c>
      <c r="D316" t="inlineStr">
        <is>
          <t>indeed</t>
        </is>
      </c>
      <c r="E316">
        <f>HYPERLINK("https://www.indeed.com/viewjob?jk=4c3574bea8c50ce4", "https://www.indeed.com/viewjob?jk=4c3574bea8c50ce4")</f>
        <v/>
      </c>
      <c r="F316">
        <f>HYPERLINK("https://www.amazon.jobs/jobs/3139664/senior-data-scientist-data-and-machine-learning-wwps-us-federal?cmpid=DA_INAD200785B", "https://www.amazon.jobs/jobs/3139664/senior-data-scientist-data-and-machine-learning-wwps-us-federal?cmpid=DA_INAD200785B")</f>
        <v/>
      </c>
      <c r="G316" t="inlineStr">
        <is>
          <t>Denver, CO, US</t>
        </is>
      </c>
      <c r="H316" s="3" t="n">
        <v>45993</v>
      </c>
      <c r="I31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17">
      <c r="A317" t="inlineStr">
        <is>
          <t>in-d03d452f8c7cf331</t>
        </is>
      </c>
      <c r="B317" t="inlineStr">
        <is>
          <t>Data Scientist, Data and Machine Learning, WWPS US Federal</t>
        </is>
      </c>
      <c r="C317" t="inlineStr">
        <is>
          <t>Amazon Web Services</t>
        </is>
      </c>
      <c r="D317" t="inlineStr">
        <is>
          <t>indeed</t>
        </is>
      </c>
      <c r="E317">
        <f>HYPERLINK("https://www.indeed.com/viewjob?jk=d03d452f8c7cf331", "https://www.indeed.com/viewjob?jk=d03d452f8c7cf331")</f>
        <v/>
      </c>
      <c r="F317">
        <f>HYPERLINK("https://www.amazon.jobs/jobs/3136940/data-scientist-data-and-machine-learning-wwps-us-federal?cmpid=DA_INAD200785B", "https://www.amazon.jobs/jobs/3136940/data-scientist-data-and-machine-learning-wwps-us-federal?cmpid=DA_INAD200785B")</f>
        <v/>
      </c>
      <c r="G317" t="inlineStr">
        <is>
          <t>Jessup, MD, US</t>
        </is>
      </c>
      <c r="H317" s="3" t="n">
        <v>45993</v>
      </c>
      <c r="I31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18">
      <c r="A318" t="inlineStr">
        <is>
          <t>in-effe4a80a28a3c91</t>
        </is>
      </c>
      <c r="B318" t="inlineStr">
        <is>
          <t>Data Scientist, Data and Machine Learning, WWPS US Federal</t>
        </is>
      </c>
      <c r="C318" t="inlineStr">
        <is>
          <t>Amazon Web Services</t>
        </is>
      </c>
      <c r="D318" t="inlineStr">
        <is>
          <t>indeed</t>
        </is>
      </c>
      <c r="E318">
        <f>HYPERLINK("https://www.indeed.com/viewjob?jk=effe4a80a28a3c91", "https://www.indeed.com/viewjob?jk=effe4a80a28a3c91")</f>
        <v/>
      </c>
      <c r="F318">
        <f>HYPERLINK("https://www.amazon.jobs/jobs/3136940/data-scientist-data-and-machine-learning-wwps-us-federal?cmpid=DA_INAD200785B", "https://www.amazon.jobs/jobs/3136940/data-scientist-data-and-machine-learning-wwps-us-federal?cmpid=DA_INAD200785B")</f>
        <v/>
      </c>
      <c r="G318" t="inlineStr">
        <is>
          <t>Arlington, VA, US</t>
        </is>
      </c>
      <c r="H318" s="3" t="n">
        <v>45993</v>
      </c>
      <c r="I31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19">
      <c r="A319" t="inlineStr">
        <is>
          <t>in-cdcf33962ee3a943</t>
        </is>
      </c>
      <c r="B319" t="inlineStr">
        <is>
          <t>Data Scientist, Data and Machine Learning, WWPS US Federal</t>
        </is>
      </c>
      <c r="C319" t="inlineStr">
        <is>
          <t>Amazon Web Services</t>
        </is>
      </c>
      <c r="D319" t="inlineStr">
        <is>
          <t>indeed</t>
        </is>
      </c>
      <c r="E319">
        <f>HYPERLINK("https://www.indeed.com/viewjob?jk=cdcf33962ee3a943", "https://www.indeed.com/viewjob?jk=cdcf33962ee3a943")</f>
        <v/>
      </c>
      <c r="F319">
        <f>HYPERLINK("https://www.amazon.jobs/jobs/3136940/data-scientist-data-and-machine-learning-wwps-us-federal?cmpid=DA_INAD200785B", "https://www.amazon.jobs/jobs/3136940/data-scientist-data-and-machine-learning-wwps-us-federal?cmpid=DA_INAD200785B")</f>
        <v/>
      </c>
      <c r="G319" t="inlineStr">
        <is>
          <t>Herndon, VA, US</t>
        </is>
      </c>
      <c r="H319" s="3" t="n">
        <v>45993</v>
      </c>
      <c r="I31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20">
      <c r="A320" t="inlineStr">
        <is>
          <t>in-a95832c7f65b329e</t>
        </is>
      </c>
      <c r="B320" t="inlineStr">
        <is>
          <t>Data Scientist, Data and Machine Learning, WWPS US Federal</t>
        </is>
      </c>
      <c r="C320" t="inlineStr">
        <is>
          <t>Amazon Web Services</t>
        </is>
      </c>
      <c r="D320" t="inlineStr">
        <is>
          <t>indeed</t>
        </is>
      </c>
      <c r="E320">
        <f>HYPERLINK("https://www.indeed.com/viewjob?jk=a95832c7f65b329e", "https://www.indeed.com/viewjob?jk=a95832c7f65b329e")</f>
        <v/>
      </c>
      <c r="F320">
        <f>HYPERLINK("https://www.amazon.jobs/jobs/3136940/data-scientist-data-and-machine-learning-wwps-us-federal?cmpid=DA_INAD200785B", "https://www.amazon.jobs/jobs/3136940/data-scientist-data-and-machine-learning-wwps-us-federal?cmpid=DA_INAD200785B")</f>
        <v/>
      </c>
      <c r="G320" t="inlineStr">
        <is>
          <t>Denver, CO, US</t>
        </is>
      </c>
      <c r="H320" s="3" t="n">
        <v>45993</v>
      </c>
      <c r="I32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21">
      <c r="A321" t="inlineStr">
        <is>
          <t>in-9b944a3d4a1f6893</t>
        </is>
      </c>
      <c r="B321" t="inlineStr">
        <is>
          <t>Senior Data Scientist, Data and Machine Learning, WWPS US Federal</t>
        </is>
      </c>
      <c r="C321" t="inlineStr">
        <is>
          <t>Amazon Web Services</t>
        </is>
      </c>
      <c r="D321" t="inlineStr">
        <is>
          <t>indeed</t>
        </is>
      </c>
      <c r="E321">
        <f>HYPERLINK("https://www.indeed.com/viewjob?jk=9b944a3d4a1f6893", "https://www.indeed.com/viewjob?jk=9b944a3d4a1f6893")</f>
        <v/>
      </c>
      <c r="F321">
        <f>HYPERLINK("https://www.amazon.jobs/jobs/3139664/senior-data-scientist-data-and-machine-learning-wwps-us-federal?cmpid=DA_INAD200785B", "https://www.amazon.jobs/jobs/3139664/senior-data-scientist-data-and-machine-learning-wwps-us-federal?cmpid=DA_INAD200785B")</f>
        <v/>
      </c>
      <c r="G321" t="inlineStr">
        <is>
          <t>St. Louis, MO, US</t>
        </is>
      </c>
      <c r="H321" s="3" t="n">
        <v>45993</v>
      </c>
      <c r="I32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22">
      <c r="A322" t="inlineStr">
        <is>
          <t>in-5f59e87e9910ac07</t>
        </is>
      </c>
      <c r="B322" t="inlineStr">
        <is>
          <t>Data Scientist, Data and Machine Learning, WWPS US Federal</t>
        </is>
      </c>
      <c r="C322" t="inlineStr">
        <is>
          <t>Amazon Web Services</t>
        </is>
      </c>
      <c r="D322" t="inlineStr">
        <is>
          <t>indeed</t>
        </is>
      </c>
      <c r="E322">
        <f>HYPERLINK("https://www.indeed.com/viewjob?jk=5f59e87e9910ac07", "https://www.indeed.com/viewjob?jk=5f59e87e9910ac07")</f>
        <v/>
      </c>
      <c r="F322">
        <f>HYPERLINK("https://www.amazon.jobs/jobs/3136940/data-scientist-data-and-machine-learning-wwps-us-federal?cmpid=DA_INAD200785B", "https://www.amazon.jobs/jobs/3136940/data-scientist-data-and-machine-learning-wwps-us-federal?cmpid=DA_INAD200785B")</f>
        <v/>
      </c>
      <c r="G322" t="inlineStr">
        <is>
          <t>St. Louis, MO, US</t>
        </is>
      </c>
      <c r="H322" s="3" t="n">
        <v>45993</v>
      </c>
      <c r="I32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23">
      <c r="A323" t="inlineStr">
        <is>
          <t>in-fc69fdaa019594fb</t>
        </is>
      </c>
      <c r="B323" t="inlineStr">
        <is>
          <t>Senior Applied Scientist, Locomotion, Amazon Industrial Robotics</t>
        </is>
      </c>
      <c r="C323" t="inlineStr">
        <is>
          <t>Amazon.com</t>
        </is>
      </c>
      <c r="D323" t="inlineStr">
        <is>
          <t>indeed</t>
        </is>
      </c>
      <c r="E323">
        <f>HYPERLINK("https://www.indeed.com/viewjob?jk=fc69fdaa019594fb", "https://www.indeed.com/viewjob?jk=fc69fdaa019594fb")</f>
        <v/>
      </c>
      <c r="F323">
        <f>HYPERLINK("https://www.amazon.jobs/jobs/3134751/senior-applied-scientist-locomotion-amazon-industrial-robotics?cmpid=DA_INAD200785B", "https://www.amazon.jobs/jobs/3134751/senior-applied-scientist-locomotion-amazon-industrial-robotics?cmpid=DA_INAD200785B")</f>
        <v/>
      </c>
      <c r="G323" t="inlineStr">
        <is>
          <t>Reading, MA, US</t>
        </is>
      </c>
      <c r="H323" s="3" t="n">
        <v>45992</v>
      </c>
      <c r="I32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in-bb50e2f6c628c13b</t>
        </is>
      </c>
      <c r="B324" t="inlineStr">
        <is>
          <t>Senior Applied Scientist, Locomotion, Amazon Industrial Robotics</t>
        </is>
      </c>
      <c r="C324" t="inlineStr">
        <is>
          <t>Amazon.com</t>
        </is>
      </c>
      <c r="D324" t="inlineStr">
        <is>
          <t>indeed</t>
        </is>
      </c>
      <c r="E324">
        <f>HYPERLINK("https://www.indeed.com/viewjob?jk=bb50e2f6c628c13b", "https://www.indeed.com/viewjob?jk=bb50e2f6c628c13b")</f>
        <v/>
      </c>
      <c r="F324">
        <f>HYPERLINK("https://www.amazon.jobs/jobs/3134751/senior-applied-scientist-locomotion-amazon-industrial-robotics?cmpid=DA_INAD200785B", "https://www.amazon.jobs/jobs/3134751/senior-applied-scientist-locomotion-amazon-industrial-robotics?cmpid=DA_INAD200785B")</f>
        <v/>
      </c>
      <c r="G324" t="inlineStr">
        <is>
          <t>Reading, MA, US</t>
        </is>
      </c>
      <c r="H324" s="3" t="n">
        <v>45992</v>
      </c>
      <c r="I32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in-ef9be19bad23a05f</t>
        </is>
      </c>
      <c r="B325" t="inlineStr">
        <is>
          <t>Senior Applied Scientist, Artificial General Intelligence</t>
        </is>
      </c>
      <c r="C325" t="inlineStr">
        <is>
          <t>Amazon.com</t>
        </is>
      </c>
      <c r="D325" t="inlineStr">
        <is>
          <t>indeed</t>
        </is>
      </c>
      <c r="E325">
        <f>HYPERLINK("https://www.indeed.com/viewjob?jk=ef9be19bad23a05f", "https://www.indeed.com/viewjob?jk=ef9be19bad23a05f")</f>
        <v/>
      </c>
      <c r="F325">
        <f>HYPERLINK("https://www.amazon.jobs/jobs/3131971/senior-applied-scientist-artificial-general-intelligence?cmpid=DA_INAD200785B", "https://www.amazon.jobs/jobs/3131971/senior-applied-scientist-artificial-general-intelligence?cmpid=DA_INAD200785B")</f>
        <v/>
      </c>
      <c r="G325" t="inlineStr">
        <is>
          <t>Boston, MA, US</t>
        </is>
      </c>
      <c r="H325" s="3" t="n">
        <v>45980</v>
      </c>
      <c r="I32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in-19c627f1a5de00ea</t>
        </is>
      </c>
      <c r="B326" t="inlineStr">
        <is>
          <t>Senior Applied Scientist, Artificial General Intelligence</t>
        </is>
      </c>
      <c r="C326" t="inlineStr">
        <is>
          <t>Amazon.com</t>
        </is>
      </c>
      <c r="D326" t="inlineStr">
        <is>
          <t>indeed</t>
        </is>
      </c>
      <c r="E326">
        <f>HYPERLINK("https://www.indeed.com/viewjob?jk=19c627f1a5de00ea", "https://www.indeed.com/viewjob?jk=19c627f1a5de00ea")</f>
        <v/>
      </c>
      <c r="F326">
        <f>HYPERLINK("https://www.amazon.jobs/jobs/3131971/senior-applied-scientist-artificial-general-intelligence?cmpid=DA_INAD200785B", "https://www.amazon.jobs/jobs/3131971/senior-applied-scientist-artificial-general-intelligence?cmpid=DA_INAD200785B")</f>
        <v/>
      </c>
      <c r="G326" t="inlineStr">
        <is>
          <t>Sunnyvale, CA, US</t>
        </is>
      </c>
      <c r="H326" s="3" t="n">
        <v>45980</v>
      </c>
      <c r="I32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in-af68b88f93ecf008</t>
        </is>
      </c>
      <c r="B327" t="inlineStr">
        <is>
          <t>Senior Applied Scientist, Artificial General Intelligence</t>
        </is>
      </c>
      <c r="C327" t="inlineStr">
        <is>
          <t>Amazon.com</t>
        </is>
      </c>
      <c r="D327" t="inlineStr">
        <is>
          <t>indeed</t>
        </is>
      </c>
      <c r="E327">
        <f>HYPERLINK("https://www.indeed.com/viewjob?jk=af68b88f93ecf008", "https://www.indeed.com/viewjob?jk=af68b88f93ecf008")</f>
        <v/>
      </c>
      <c r="F327">
        <f>HYPERLINK("https://www.amazon.jobs/jobs/3131971/senior-applied-scientist-artificial-general-intelligence?cmpid=DA_INAD200785B", "https://www.amazon.jobs/jobs/3131971/senior-applied-scientist-artificial-general-intelligence?cmpid=DA_INAD200785B")</f>
        <v/>
      </c>
      <c r="G327" t="inlineStr">
        <is>
          <t>New York, NY, US</t>
        </is>
      </c>
      <c r="H327" s="3" t="n">
        <v>45980</v>
      </c>
      <c r="I32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in-0c13a0cb8e74b994</t>
        </is>
      </c>
      <c r="B328" t="inlineStr">
        <is>
          <t>Senior Applied Scientist, Artificial General Intelligence</t>
        </is>
      </c>
      <c r="C328" t="inlineStr">
        <is>
          <t>Amazon.com</t>
        </is>
      </c>
      <c r="D328" t="inlineStr">
        <is>
          <t>indeed</t>
        </is>
      </c>
      <c r="E328">
        <f>HYPERLINK("https://www.indeed.com/viewjob?jk=0c13a0cb8e74b994", "https://www.indeed.com/viewjob?jk=0c13a0cb8e74b994")</f>
        <v/>
      </c>
      <c r="F328">
        <f>HYPERLINK("https://www.amazon.jobs/jobs/3131971/senior-applied-scientist-artificial-general-intelligence?cmpid=DA_INAD200785B", "https://www.amazon.jobs/jobs/3131971/senior-applied-scientist-artificial-general-intelligence?cmpid=DA_INAD200785B")</f>
        <v/>
      </c>
      <c r="G328" t="inlineStr">
        <is>
          <t>Seattle, WA, US</t>
        </is>
      </c>
      <c r="H328" s="3" t="n">
        <v>45980</v>
      </c>
      <c r="I32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in-4cf640f7de7308f0</t>
        </is>
      </c>
      <c r="B329" t="inlineStr">
        <is>
          <t>Applied Scientist II, SPB Advertiser Guidance</t>
        </is>
      </c>
      <c r="C329" t="inlineStr">
        <is>
          <t>Amazon.com</t>
        </is>
      </c>
      <c r="D329" t="inlineStr">
        <is>
          <t>indeed</t>
        </is>
      </c>
      <c r="E329">
        <f>HYPERLINK("https://www.indeed.com/viewjob?jk=4cf640f7de7308f0", "https://www.indeed.com/viewjob?jk=4cf640f7de7308f0")</f>
        <v/>
      </c>
      <c r="F329">
        <f>HYPERLINK("https://www.amazon.jobs/jobs/3131876/applied-scientist-ii-spb-advertiser-guidance?cmpid=DA_INAD200785B", "https://www.amazon.jobs/jobs/3131876/applied-scientist-ii-spb-advertiser-guidance?cmpid=DA_INAD200785B")</f>
        <v/>
      </c>
      <c r="G329" t="inlineStr">
        <is>
          <t>Seattle, WA, US</t>
        </is>
      </c>
      <c r="H329" s="3" t="n">
        <v>45980</v>
      </c>
      <c r="I32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in-3cf0948a140c74a9</t>
        </is>
      </c>
      <c r="B330" t="inlineStr">
        <is>
          <t>Applied Scientist II, SPB Advertiser Guidance</t>
        </is>
      </c>
      <c r="C330" t="inlineStr">
        <is>
          <t>Amazon.com</t>
        </is>
      </c>
      <c r="D330" t="inlineStr">
        <is>
          <t>indeed</t>
        </is>
      </c>
      <c r="E330">
        <f>HYPERLINK("https://www.indeed.com/viewjob?jk=3cf0948a140c74a9", "https://www.indeed.com/viewjob?jk=3cf0948a140c74a9")</f>
        <v/>
      </c>
      <c r="F330">
        <f>HYPERLINK("https://www.amazon.jobs/jobs/3131876/applied-scientist-ii-spb-advertiser-guidance?cmpid=DA_INAD200785B", "https://www.amazon.jobs/jobs/3131876/applied-scientist-ii-spb-advertiser-guidance?cmpid=DA_INAD200785B")</f>
        <v/>
      </c>
      <c r="G330" t="inlineStr">
        <is>
          <t>New York, NY, US</t>
        </is>
      </c>
      <c r="H330" s="3" t="n">
        <v>45980</v>
      </c>
      <c r="I33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in-6e41cb6ea54820ef</t>
        </is>
      </c>
      <c r="B331" t="inlineStr">
        <is>
          <t>Applied Scientist II, SPB Advertiser Guidance</t>
        </is>
      </c>
      <c r="C331" t="inlineStr">
        <is>
          <t>Amazon.com</t>
        </is>
      </c>
      <c r="D331" t="inlineStr">
        <is>
          <t>indeed</t>
        </is>
      </c>
      <c r="E331">
        <f>HYPERLINK("https://www.indeed.com/viewjob?jk=6e41cb6ea54820ef", "https://www.indeed.com/viewjob?jk=6e41cb6ea54820ef")</f>
        <v/>
      </c>
      <c r="F331">
        <f>HYPERLINK("https://www.amazon.jobs/jobs/3131876/applied-scientist-ii-spb-advertiser-guidance?cmpid=DA_INAD200785B", "https://www.amazon.jobs/jobs/3131876/applied-scientist-ii-spb-advertiser-guidance?cmpid=DA_INAD200785B")</f>
        <v/>
      </c>
      <c r="G331" t="inlineStr">
        <is>
          <t>Palo Alto, CA, US</t>
        </is>
      </c>
      <c r="H331" s="3" t="n">
        <v>45980</v>
      </c>
      <c r="I33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in-8cc3e2813a24c08c</t>
        </is>
      </c>
      <c r="B332" t="inlineStr">
        <is>
          <t>Principal Applied Scientist, Sponsored Products and Brands</t>
        </is>
      </c>
      <c r="C332" t="inlineStr">
        <is>
          <t>Amazon.com</t>
        </is>
      </c>
      <c r="D332" t="inlineStr">
        <is>
          <t>indeed</t>
        </is>
      </c>
      <c r="E332">
        <f>HYPERLINK("https://www.indeed.com/viewjob?jk=8cc3e2813a24c08c", "https://www.indeed.com/viewjob?jk=8cc3e2813a24c08c")</f>
        <v/>
      </c>
      <c r="F332">
        <f>HYPERLINK("https://www.amazon.jobs/jobs/3130855/principal-applied-scientist-sponsored-products-and-brands?cmpid=DA_INAD200785B", "https://www.amazon.jobs/jobs/3130855/principal-applied-scientist-sponsored-products-and-brands?cmpid=DA_INAD200785B")</f>
        <v/>
      </c>
      <c r="G332" t="inlineStr">
        <is>
          <t>Seattle, WA, US</t>
        </is>
      </c>
      <c r="H332" s="3" t="n">
        <v>45979</v>
      </c>
      <c r="I33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in-917d68606eab6dbd</t>
        </is>
      </c>
      <c r="B333" t="inlineStr">
        <is>
          <t>Principal Applied Scientist, Sponsored Products and Brands</t>
        </is>
      </c>
      <c r="C333" t="inlineStr">
        <is>
          <t>Amazon.com</t>
        </is>
      </c>
      <c r="D333" t="inlineStr">
        <is>
          <t>indeed</t>
        </is>
      </c>
      <c r="E333">
        <f>HYPERLINK("https://www.indeed.com/viewjob?jk=917d68606eab6dbd", "https://www.indeed.com/viewjob?jk=917d68606eab6dbd")</f>
        <v/>
      </c>
      <c r="F333">
        <f>HYPERLINK("https://www.amazon.jobs/jobs/3130855/principal-applied-scientist-sponsored-products-and-brands?cmpid=DA_INAD200785B", "https://www.amazon.jobs/jobs/3130855/principal-applied-scientist-sponsored-products-and-brands?cmpid=DA_INAD200785B")</f>
        <v/>
      </c>
      <c r="G333" t="inlineStr">
        <is>
          <t>New York, NY, US</t>
        </is>
      </c>
      <c r="H333" s="3" t="n">
        <v>45979</v>
      </c>
      <c r="I33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in-bc5de21e22c6e182</t>
        </is>
      </c>
      <c r="B334" t="inlineStr">
        <is>
          <t>Applied Scientist, Personalization, DTx Science</t>
        </is>
      </c>
      <c r="C334" t="inlineStr">
        <is>
          <t>Amazon.com</t>
        </is>
      </c>
      <c r="D334" t="inlineStr">
        <is>
          <t>indeed</t>
        </is>
      </c>
      <c r="E334">
        <f>HYPERLINK("https://www.indeed.com/viewjob?jk=bc5de21e22c6e182", "https://www.indeed.com/viewjob?jk=bc5de21e22c6e182")</f>
        <v/>
      </c>
      <c r="F334">
        <f>HYPERLINK("https://www.amazon.jobs/jobs/3136853/applied-scientist-personalization-dtx-science?cmpid=DA_INAD200785B", "https://www.amazon.jobs/jobs/3136853/applied-scientist-personalization-dtx-science?cmpid=DA_INAD200785B")</f>
        <v/>
      </c>
      <c r="G334" t="inlineStr">
        <is>
          <t>New York, NY, US</t>
        </is>
      </c>
      <c r="H334" s="3" t="n">
        <v>45979</v>
      </c>
      <c r="I33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35">
      <c r="A335" t="inlineStr">
        <is>
          <t>in-0cad3929455c3839</t>
        </is>
      </c>
      <c r="B335" t="inlineStr">
        <is>
          <t>Applied Scientist, Personalization, DTx Science</t>
        </is>
      </c>
      <c r="C335" t="inlineStr">
        <is>
          <t>Amazon.com</t>
        </is>
      </c>
      <c r="D335" t="inlineStr">
        <is>
          <t>indeed</t>
        </is>
      </c>
      <c r="E335">
        <f>HYPERLINK("https://www.indeed.com/viewjob?jk=0cad3929455c3839", "https://www.indeed.com/viewjob?jk=0cad3929455c3839")</f>
        <v/>
      </c>
      <c r="F335">
        <f>HYPERLINK("https://www.amazon.jobs/jobs/3136853/applied-scientist-personalization-dtx-science?cmpid=DA_INAD200785B", "https://www.amazon.jobs/jobs/3136853/applied-scientist-personalization-dtx-science?cmpid=DA_INAD200785B")</f>
        <v/>
      </c>
      <c r="G335" t="inlineStr">
        <is>
          <t>Seattle, WA, US</t>
        </is>
      </c>
      <c r="H335" s="3" t="n">
        <v>45979</v>
      </c>
      <c r="I33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36">
      <c r="A336" t="inlineStr">
        <is>
          <t>in-a9012df11911dd5b</t>
        </is>
      </c>
      <c r="B336" t="inlineStr">
        <is>
          <t>Applied Scientist II, Robotics and ML, Amazon Industrial Robotics</t>
        </is>
      </c>
      <c r="C336" t="inlineStr">
        <is>
          <t>Amazon.com</t>
        </is>
      </c>
      <c r="D336" t="inlineStr">
        <is>
          <t>indeed</t>
        </is>
      </c>
      <c r="E336">
        <f>HYPERLINK("https://www.indeed.com/viewjob?jk=a9012df11911dd5b", "https://www.indeed.com/viewjob?jk=a9012df11911dd5b")</f>
        <v/>
      </c>
      <c r="F336">
        <f>HYPERLINK("https://www.amazon.jobs/jobs/3128219/applied-scientist-ii-robotics-and-ml-amazon-industrial-robotics?cmpid=DA_INAD200785B", "https://www.amazon.jobs/jobs/3128219/applied-scientist-ii-robotics-and-ml-amazon-industrial-robotics?cmpid=DA_INAD200785B")</f>
        <v/>
      </c>
      <c r="G336" t="inlineStr">
        <is>
          <t>Reading, MA, US</t>
        </is>
      </c>
      <c r="H336" s="3" t="n">
        <v>45975</v>
      </c>
      <c r="I33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in-2fed3b296cb3c175</t>
        </is>
      </c>
      <c r="B337" t="inlineStr">
        <is>
          <t>Applied Scientist II, Robotics and ML, Amazon Industrial Robotics</t>
        </is>
      </c>
      <c r="C337" t="inlineStr">
        <is>
          <t>Amazon.com</t>
        </is>
      </c>
      <c r="D337" t="inlineStr">
        <is>
          <t>indeed</t>
        </is>
      </c>
      <c r="E337">
        <f>HYPERLINK("https://www.indeed.com/viewjob?jk=2fed3b296cb3c175", "https://www.indeed.com/viewjob?jk=2fed3b296cb3c175")</f>
        <v/>
      </c>
      <c r="F337">
        <f>HYPERLINK("https://www.amazon.jobs/jobs/3128219/applied-scientist-ii-robotics-and-ml-amazon-industrial-robotics?cmpid=DA_INAD200785B", "https://www.amazon.jobs/jobs/3128219/applied-scientist-ii-robotics-and-ml-amazon-industrial-robotics?cmpid=DA_INAD200785B")</f>
        <v/>
      </c>
      <c r="G337" t="inlineStr">
        <is>
          <t>Reading, MA, US</t>
        </is>
      </c>
      <c r="H337" s="3" t="n">
        <v>45975</v>
      </c>
      <c r="I33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in-2dc3df58b620a226</t>
        </is>
      </c>
      <c r="B338" t="inlineStr">
        <is>
          <t>Principal Applied Scientist, Amazon AGI</t>
        </is>
      </c>
      <c r="C338" t="inlineStr">
        <is>
          <t>Amazon.com</t>
        </is>
      </c>
      <c r="D338" t="inlineStr">
        <is>
          <t>indeed</t>
        </is>
      </c>
      <c r="E338">
        <f>HYPERLINK("https://www.indeed.com/viewjob?jk=2dc3df58b620a226", "https://www.indeed.com/viewjob?jk=2dc3df58b620a226")</f>
        <v/>
      </c>
      <c r="F338">
        <f>HYPERLINK("https://www.amazon.jobs/jobs/3128808/principal-applied-scientist-amazon-agi?cmpid=DA_INAD200785B", "https://www.amazon.jobs/jobs/3128808/principal-applied-scientist-amazon-agi?cmpid=DA_INAD200785B")</f>
        <v/>
      </c>
      <c r="G338" t="inlineStr">
        <is>
          <t>San Francisco, CA, US</t>
        </is>
      </c>
      <c r="H338" s="3" t="n">
        <v>45964</v>
      </c>
      <c r="I33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in-9ea76a1781acd45a</t>
        </is>
      </c>
      <c r="B339" t="inlineStr">
        <is>
          <t>Principal Applied Scientist, Amazon AGI</t>
        </is>
      </c>
      <c r="C339" t="inlineStr">
        <is>
          <t>Amazon.com</t>
        </is>
      </c>
      <c r="D339" t="inlineStr">
        <is>
          <t>indeed</t>
        </is>
      </c>
      <c r="E339">
        <f>HYPERLINK("https://www.indeed.com/viewjob?jk=9ea76a1781acd45a", "https://www.indeed.com/viewjob?jk=9ea76a1781acd45a")</f>
        <v/>
      </c>
      <c r="F339">
        <f>HYPERLINK("https://www.amazon.jobs/jobs/3128808/principal-applied-scientist-amazon-agi?cmpid=DA_INAD200785B", "https://www.amazon.jobs/jobs/3128808/principal-applied-scientist-amazon-agi?cmpid=DA_INAD200785B")</f>
        <v/>
      </c>
      <c r="G339" t="inlineStr">
        <is>
          <t>Boston, MA, US</t>
        </is>
      </c>
      <c r="H339" s="3" t="n">
        <v>45964</v>
      </c>
      <c r="I33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in-2b2395ad1b6faf0b</t>
        </is>
      </c>
      <c r="B340" t="inlineStr">
        <is>
          <t>Sr. Applied Scientist, Sponsored Product Off-Search</t>
        </is>
      </c>
      <c r="C340" t="inlineStr">
        <is>
          <t>Amazon.com</t>
        </is>
      </c>
      <c r="D340" t="inlineStr">
        <is>
          <t>indeed</t>
        </is>
      </c>
      <c r="E340">
        <f>HYPERLINK("https://www.indeed.com/viewjob?jk=2b2395ad1b6faf0b", "https://www.indeed.com/viewjob?jk=2b2395ad1b6faf0b")</f>
        <v/>
      </c>
      <c r="F340">
        <f>HYPERLINK("https://www.amazon.jobs/jobs/3120815/sr-applied-scientist-sponsored-product-offsearch-?cmpid=DA_INAD200785B", "https://www.amazon.jobs/jobs/3120815/sr-applied-scientist-sponsored-product-offsearch-?cmpid=DA_INAD200785B")</f>
        <v/>
      </c>
      <c r="G340" t="inlineStr">
        <is>
          <t>New York, NY, US</t>
        </is>
      </c>
      <c r="H340" s="3" t="n">
        <v>45963</v>
      </c>
      <c r="I34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in-1cd6cb46aa7d2731</t>
        </is>
      </c>
      <c r="B341" t="inlineStr">
        <is>
          <t>Sr. Applied Scientist, Sponsored Product Off-Search</t>
        </is>
      </c>
      <c r="C341" t="inlineStr">
        <is>
          <t>Amazon.com</t>
        </is>
      </c>
      <c r="D341" t="inlineStr">
        <is>
          <t>indeed</t>
        </is>
      </c>
      <c r="E341">
        <f>HYPERLINK("https://www.indeed.com/viewjob?jk=1cd6cb46aa7d2731", "https://www.indeed.com/viewjob?jk=1cd6cb46aa7d2731")</f>
        <v/>
      </c>
      <c r="F341">
        <f>HYPERLINK("https://www.amazon.jobs/jobs/3120815/sr-applied-scientist-sponsored-product-offsearch-?cmpid=DA_INAD200785B", "https://www.amazon.jobs/jobs/3120815/sr-applied-scientist-sponsored-product-offsearch-?cmpid=DA_INAD200785B")</f>
        <v/>
      </c>
      <c r="G341" t="inlineStr">
        <is>
          <t>Seattle, WA, US</t>
        </is>
      </c>
      <c r="H341" s="3" t="n">
        <v>45963</v>
      </c>
      <c r="I34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in-e1ce4c78340e6464</t>
        </is>
      </c>
      <c r="B342" t="inlineStr">
        <is>
          <t>Applied Scientist, AWS Agentic AI</t>
        </is>
      </c>
      <c r="C342" t="inlineStr">
        <is>
          <t>Amazon Web Services</t>
        </is>
      </c>
      <c r="D342" t="inlineStr">
        <is>
          <t>indeed</t>
        </is>
      </c>
      <c r="E342">
        <f>HYPERLINK("https://www.indeed.com/viewjob?jk=e1ce4c78340e6464", "https://www.indeed.com/viewjob?jk=e1ce4c78340e6464")</f>
        <v/>
      </c>
      <c r="F342">
        <f>HYPERLINK("https://www.amazon.jobs/jobs/3141517/applied-scientist-aws-agentic-ai-?cmpid=DA_INAD200785B", "https://www.amazon.jobs/jobs/3141517/applied-scientist-aws-agentic-ai-?cmpid=DA_INAD200785B")</f>
        <v/>
      </c>
      <c r="G342" t="inlineStr">
        <is>
          <t>Seattle, WA, US</t>
        </is>
      </c>
      <c r="H342" s="3" t="n">
        <v>45962</v>
      </c>
      <c r="I34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in-fc1704d98ccf5f9c</t>
        </is>
      </c>
      <c r="B343" t="inlineStr">
        <is>
          <t>Applied Scientist, AWS Agentic AI</t>
        </is>
      </c>
      <c r="C343" t="inlineStr">
        <is>
          <t>Amazon Web Services</t>
        </is>
      </c>
      <c r="D343" t="inlineStr">
        <is>
          <t>indeed</t>
        </is>
      </c>
      <c r="E343">
        <f>HYPERLINK("https://www.indeed.com/viewjob?jk=fc1704d98ccf5f9c", "https://www.indeed.com/viewjob?jk=fc1704d98ccf5f9c")</f>
        <v/>
      </c>
      <c r="F343">
        <f>HYPERLINK("https://www.amazon.jobs/jobs/3141517/applied-scientist-aws-agentic-ai-?cmpid=DA_INAD200785B", "https://www.amazon.jobs/jobs/3141517/applied-scientist-aws-agentic-ai-?cmpid=DA_INAD200785B")</f>
        <v/>
      </c>
      <c r="G343" t="inlineStr">
        <is>
          <t>New York, NY, US</t>
        </is>
      </c>
      <c r="H343" s="3" t="n">
        <v>45962</v>
      </c>
      <c r="I34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in-0672e374bff9a470</t>
        </is>
      </c>
      <c r="B344" t="inlineStr">
        <is>
          <t>Applied Scientist, AWS Agentic AI</t>
        </is>
      </c>
      <c r="C344" t="inlineStr">
        <is>
          <t>Amazon Web Services</t>
        </is>
      </c>
      <c r="D344" t="inlineStr">
        <is>
          <t>indeed</t>
        </is>
      </c>
      <c r="E344">
        <f>HYPERLINK("https://www.indeed.com/viewjob?jk=0672e374bff9a470", "https://www.indeed.com/viewjob?jk=0672e374bff9a470")</f>
        <v/>
      </c>
      <c r="F344">
        <f>HYPERLINK("https://www.amazon.jobs/jobs/3141517/applied-scientist-aws-agentic-ai-?cmpid=DA_INAD200785B", "https://www.amazon.jobs/jobs/3141517/applied-scientist-aws-agentic-ai-?cmpid=DA_INAD200785B")</f>
        <v/>
      </c>
      <c r="G344" t="inlineStr">
        <is>
          <t>Santa Clara, CA, US</t>
        </is>
      </c>
      <c r="H344" s="3" t="n">
        <v>45962</v>
      </c>
      <c r="I34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in-b95634ee2ca80d5c</t>
        </is>
      </c>
      <c r="B345" t="inlineStr">
        <is>
          <t>Applied Scientist, Prime Video - Content Understanding, Localization &amp; Enrichment Team</t>
        </is>
      </c>
      <c r="C345" t="inlineStr">
        <is>
          <t>Amazon.com</t>
        </is>
      </c>
      <c r="D345" t="inlineStr">
        <is>
          <t>indeed</t>
        </is>
      </c>
      <c r="E345">
        <f>HYPERLINK("https://www.indeed.com/viewjob?jk=b95634ee2ca80d5c", "https://www.indeed.com/viewjob?jk=b95634ee2ca80d5c")</f>
        <v/>
      </c>
      <c r="F345">
        <f>HYPERLINK("https://www.amazon.jobs/jobs/3111928/applied-scientist-prime-video--content-understanding-localization--enrichment-team?cmpid=DA_INAD200785B", "https://www.amazon.jobs/jobs/3111928/applied-scientist-prime-video--content-understanding-localization--enrichment-team?cmpid=DA_INAD200785B")</f>
        <v/>
      </c>
      <c r="G345" t="inlineStr">
        <is>
          <t>San Francisco, CA, US</t>
        </is>
      </c>
      <c r="H345" s="3" t="n">
        <v>45943</v>
      </c>
      <c r="I3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346">
      <c r="A346" t="inlineStr">
        <is>
          <t>in-8b14b7c2d046bbb1</t>
        </is>
      </c>
      <c r="B346" t="inlineStr">
        <is>
          <t>Applied Scientist, Prime Video - Content Understanding, Localization &amp; Enrichment Team</t>
        </is>
      </c>
      <c r="C346" t="inlineStr">
        <is>
          <t>Amazon.com</t>
        </is>
      </c>
      <c r="D346" t="inlineStr">
        <is>
          <t>indeed</t>
        </is>
      </c>
      <c r="E346">
        <f>HYPERLINK("https://www.indeed.com/viewjob?jk=8b14b7c2d046bbb1", "https://www.indeed.com/viewjob?jk=8b14b7c2d046bbb1")</f>
        <v/>
      </c>
      <c r="F346">
        <f>HYPERLINK("https://www.amazon.jobs/jobs/3111928/applied-scientist-prime-video--content-understanding-localization--enrichment-team?cmpid=DA_INAD200785B", "https://www.amazon.jobs/jobs/3111928/applied-scientist-prime-video--content-understanding-localization--enrichment-team?cmpid=DA_INAD200785B")</f>
        <v/>
      </c>
      <c r="G346" t="inlineStr">
        <is>
          <t>Seattle, WA, US</t>
        </is>
      </c>
      <c r="H346" s="3" t="n">
        <v>45943</v>
      </c>
      <c r="I3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347">
      <c r="A347" t="inlineStr">
        <is>
          <t>in-00ca2781a5811eac</t>
        </is>
      </c>
      <c r="B347" t="inlineStr">
        <is>
          <t>Principal Applied Scientist, Advertiser Growth, Amazon Sponsored Products &amp; Brands</t>
        </is>
      </c>
      <c r="C347" t="inlineStr">
        <is>
          <t>Amazon.com</t>
        </is>
      </c>
      <c r="D347" t="inlineStr">
        <is>
          <t>indeed</t>
        </is>
      </c>
      <c r="E347">
        <f>HYPERLINK("https://www.indeed.com/viewjob?jk=00ca2781a5811eac", "https://www.indeed.com/viewjob?jk=00ca2781a5811eac")</f>
        <v/>
      </c>
      <c r="F347">
        <f>HYPERLINK("https://www.amazon.jobs/jobs/3115279/principal-applied-scientist-advertiser-growth-amazon-sponsored-products--brands?cmpid=DA_INAD200785B", "https://www.amazon.jobs/jobs/3115279/principal-applied-scientist-advertiser-growth-amazon-sponsored-products--brands?cmpid=DA_INAD200785B")</f>
        <v/>
      </c>
      <c r="G347" t="inlineStr">
        <is>
          <t>Palo Alto, CA, US</t>
        </is>
      </c>
      <c r="H347" s="3" t="n">
        <v>45942</v>
      </c>
      <c r="I34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in-b457ecfc7cf10d45</t>
        </is>
      </c>
      <c r="B348" t="inlineStr">
        <is>
          <t>Principal Applied Scientist, Advertiser Growth, Amazon Sponsored Products &amp; Brands</t>
        </is>
      </c>
      <c r="C348" t="inlineStr">
        <is>
          <t>Amazon.com</t>
        </is>
      </c>
      <c r="D348" t="inlineStr">
        <is>
          <t>indeed</t>
        </is>
      </c>
      <c r="E348">
        <f>HYPERLINK("https://www.indeed.com/viewjob?jk=b457ecfc7cf10d45", "https://www.indeed.com/viewjob?jk=b457ecfc7cf10d45")</f>
        <v/>
      </c>
      <c r="F348">
        <f>HYPERLINK("https://www.amazon.jobs/jobs/3115279/principal-applied-scientist-advertiser-growth-amazon-sponsored-products--brands?cmpid=DA_INAD200785B", "https://www.amazon.jobs/jobs/3115279/principal-applied-scientist-advertiser-growth-amazon-sponsored-products--brands?cmpid=DA_INAD200785B")</f>
        <v/>
      </c>
      <c r="G348" t="inlineStr">
        <is>
          <t>New York, NY, US</t>
        </is>
      </c>
      <c r="H348" s="3" t="n">
        <v>45942</v>
      </c>
      <c r="I34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in-817538c3fc21b9a3</t>
        </is>
      </c>
      <c r="B349" t="inlineStr">
        <is>
          <t>Principal Applied Scientist, Advertiser Growth, Amazon Sponsored Products &amp; Brands</t>
        </is>
      </c>
      <c r="C349" t="inlineStr">
        <is>
          <t>Amazon.com</t>
        </is>
      </c>
      <c r="D349" t="inlineStr">
        <is>
          <t>indeed</t>
        </is>
      </c>
      <c r="E349">
        <f>HYPERLINK("https://www.indeed.com/viewjob?jk=817538c3fc21b9a3", "https://www.indeed.com/viewjob?jk=817538c3fc21b9a3")</f>
        <v/>
      </c>
      <c r="F349">
        <f>HYPERLINK("https://www.amazon.jobs/jobs/3115279/principal-applied-scientist-advertiser-growth-amazon-sponsored-products--brands?cmpid=DA_INAD200785B", "https://www.amazon.jobs/jobs/3115279/principal-applied-scientist-advertiser-growth-amazon-sponsored-products--brands?cmpid=DA_INAD200785B")</f>
        <v/>
      </c>
      <c r="G349" t="inlineStr">
        <is>
          <t>Seattle, WA, US</t>
        </is>
      </c>
      <c r="H349" s="3" t="n">
        <v>45942</v>
      </c>
      <c r="I34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in-24cf7de8f66ee8ea</t>
        </is>
      </c>
      <c r="B350" t="inlineStr">
        <is>
          <t>Applied Scientist</t>
        </is>
      </c>
      <c r="C350" t="inlineStr">
        <is>
          <t>Amazon.com</t>
        </is>
      </c>
      <c r="D350" t="inlineStr">
        <is>
          <t>indeed</t>
        </is>
      </c>
      <c r="E350">
        <f>HYPERLINK("https://www.indeed.com/viewjob?jk=24cf7de8f66ee8ea", "https://www.indeed.com/viewjob?jk=24cf7de8f66ee8ea")</f>
        <v/>
      </c>
      <c r="F350">
        <f>HYPERLINK("https://www.amazon.jobs/jobs/3106501/applied-scientist?cmpid=DA_INAD200785B", "https://www.amazon.jobs/jobs/3106501/applied-scientist?cmpid=DA_INAD200785B")</f>
        <v/>
      </c>
      <c r="G350" t="inlineStr">
        <is>
          <t>Seattle, WA, US</t>
        </is>
      </c>
      <c r="H350" s="3" t="n">
        <v>45939</v>
      </c>
      <c r="I3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in-ae85d216d67a4d06</t>
        </is>
      </c>
      <c r="B351" t="inlineStr">
        <is>
          <t>Applied Scientist</t>
        </is>
      </c>
      <c r="C351" t="inlineStr">
        <is>
          <t>Amazon.com</t>
        </is>
      </c>
      <c r="D351" t="inlineStr">
        <is>
          <t>indeed</t>
        </is>
      </c>
      <c r="E351">
        <f>HYPERLINK("https://www.indeed.com/viewjob?jk=ae85d216d67a4d06", "https://www.indeed.com/viewjob?jk=ae85d216d67a4d06")</f>
        <v/>
      </c>
      <c r="F351">
        <f>HYPERLINK("https://www.amazon.jobs/jobs/3106501/applied-scientist?cmpid=DA_INAD200785B", "https://www.amazon.jobs/jobs/3106501/applied-scientist?cmpid=DA_INAD200785B")</f>
        <v/>
      </c>
      <c r="G351" t="inlineStr">
        <is>
          <t>New York, NY, US</t>
        </is>
      </c>
      <c r="H351" s="3" t="n">
        <v>45939</v>
      </c>
      <c r="I35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in-512e3c638947ca31</t>
        </is>
      </c>
      <c r="B352" t="inlineStr">
        <is>
          <t>Sr. Applied Scientist, SPB Advertiser Guidance</t>
        </is>
      </c>
      <c r="C352" t="inlineStr">
        <is>
          <t>Amazon.com</t>
        </is>
      </c>
      <c r="D352" t="inlineStr">
        <is>
          <t>indeed</t>
        </is>
      </c>
      <c r="E352">
        <f>HYPERLINK("https://www.indeed.com/viewjob?jk=512e3c638947ca31", "https://www.indeed.com/viewjob?jk=512e3c638947ca31")</f>
        <v/>
      </c>
      <c r="F352">
        <f>HYPERLINK("https://www.amazon.jobs/jobs/3106497/sr-applied-scientist-spb-advertiser-guidance?cmpid=DA_INAD200785B", "https://www.amazon.jobs/jobs/3106497/sr-applied-scientist-spb-advertiser-guidance?cmpid=DA_INAD200785B")</f>
        <v/>
      </c>
      <c r="G352" t="inlineStr">
        <is>
          <t>Seattle, WA, US</t>
        </is>
      </c>
      <c r="H352" s="3" t="n">
        <v>45939</v>
      </c>
      <c r="I35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in-5912a0757393bc23</t>
        </is>
      </c>
      <c r="B353" t="inlineStr">
        <is>
          <t>Sr. Applied Scientist, SPB Advertiser Guidance</t>
        </is>
      </c>
      <c r="C353" t="inlineStr">
        <is>
          <t>Amazon.com</t>
        </is>
      </c>
      <c r="D353" t="inlineStr">
        <is>
          <t>indeed</t>
        </is>
      </c>
      <c r="E353">
        <f>HYPERLINK("https://www.indeed.com/viewjob?jk=5912a0757393bc23", "https://www.indeed.com/viewjob?jk=5912a0757393bc23")</f>
        <v/>
      </c>
      <c r="F353">
        <f>HYPERLINK("https://www.amazon.jobs/jobs/3106497/sr-applied-scientist-spb-advertiser-guidance?cmpid=DA_INAD200785B", "https://www.amazon.jobs/jobs/3106497/sr-applied-scientist-spb-advertiser-guidance?cmpid=DA_INAD200785B")</f>
        <v/>
      </c>
      <c r="G353" t="inlineStr">
        <is>
          <t>New York, NY, US</t>
        </is>
      </c>
      <c r="H353" s="3" t="n">
        <v>45939</v>
      </c>
      <c r="I35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in-40d90bb824b59b17</t>
        </is>
      </c>
      <c r="B354" t="inlineStr">
        <is>
          <t>Sr. Applied Scientist, SPB Advertiser Guidance</t>
        </is>
      </c>
      <c r="C354" t="inlineStr">
        <is>
          <t>Amazon.com</t>
        </is>
      </c>
      <c r="D354" t="inlineStr">
        <is>
          <t>indeed</t>
        </is>
      </c>
      <c r="E354">
        <f>HYPERLINK("https://www.indeed.com/viewjob?jk=40d90bb824b59b17", "https://www.indeed.com/viewjob?jk=40d90bb824b59b17")</f>
        <v/>
      </c>
      <c r="F354">
        <f>HYPERLINK("https://www.amazon.jobs/jobs/3106497/sr-applied-scientist-spb-advertiser-guidance?cmpid=DA_INAD200785B", "https://www.amazon.jobs/jobs/3106497/sr-applied-scientist-spb-advertiser-guidance?cmpid=DA_INAD200785B")</f>
        <v/>
      </c>
      <c r="G354" t="inlineStr">
        <is>
          <t>Palo Alto, CA, US</t>
        </is>
      </c>
      <c r="H354" s="3" t="n">
        <v>45939</v>
      </c>
      <c r="I3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in-0763db14899927cd</t>
        </is>
      </c>
      <c r="B355" t="inlineStr">
        <is>
          <t>Applied Scientist</t>
        </is>
      </c>
      <c r="C355" t="inlineStr">
        <is>
          <t>Amazon.com</t>
        </is>
      </c>
      <c r="D355" t="inlineStr">
        <is>
          <t>indeed</t>
        </is>
      </c>
      <c r="E355">
        <f>HYPERLINK("https://www.indeed.com/viewjob?jk=0763db14899927cd", "https://www.indeed.com/viewjob?jk=0763db14899927cd")</f>
        <v/>
      </c>
      <c r="F355">
        <f>HYPERLINK("https://www.amazon.jobs/jobs/3106501/applied-scientist?cmpid=DA_INAD200785B", "https://www.amazon.jobs/jobs/3106501/applied-scientist?cmpid=DA_INAD200785B")</f>
        <v/>
      </c>
      <c r="G355" t="inlineStr">
        <is>
          <t>Palo Alto, CA, US</t>
        </is>
      </c>
      <c r="H355" s="3" t="n">
        <v>45939</v>
      </c>
      <c r="I3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in-6b9ed07cde2681d3</t>
        </is>
      </c>
      <c r="B356" t="inlineStr">
        <is>
          <t>Senior Applied Scientist, Sponsored Products and Brands</t>
        </is>
      </c>
      <c r="C356" t="inlineStr">
        <is>
          <t>Amazon.com</t>
        </is>
      </c>
      <c r="D356" t="inlineStr">
        <is>
          <t>indeed</t>
        </is>
      </c>
      <c r="E356">
        <f>HYPERLINK("https://www.indeed.com/viewjob?jk=6b9ed07cde2681d3", "https://www.indeed.com/viewjob?jk=6b9ed07cde2681d3")</f>
        <v/>
      </c>
      <c r="F356">
        <f>HYPERLINK("https://www.amazon.jobs/jobs/3094886/senior-applied-scientist-sponsored-products-and-brands?cmpid=DA_INAD200785B", "https://www.amazon.jobs/jobs/3094886/senior-applied-scientist-sponsored-products-and-brands?cmpid=DA_INAD200785B")</f>
        <v/>
      </c>
      <c r="G356" t="inlineStr">
        <is>
          <t>Seattle, WA, US</t>
        </is>
      </c>
      <c r="H356" s="3" t="n">
        <v>45922</v>
      </c>
      <c r="I35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in-496941c11bfc1f95</t>
        </is>
      </c>
      <c r="B357" t="inlineStr">
        <is>
          <t>Senior Applied Scientist, Sponsored Products and Brands</t>
        </is>
      </c>
      <c r="C357" t="inlineStr">
        <is>
          <t>Amazon.com</t>
        </is>
      </c>
      <c r="D357" t="inlineStr">
        <is>
          <t>indeed</t>
        </is>
      </c>
      <c r="E357">
        <f>HYPERLINK("https://www.indeed.com/viewjob?jk=496941c11bfc1f95", "https://www.indeed.com/viewjob?jk=496941c11bfc1f95")</f>
        <v/>
      </c>
      <c r="F357">
        <f>HYPERLINK("https://www.amazon.jobs/jobs/3094886/senior-applied-scientist-sponsored-products-and-brands?cmpid=DA_INAD200785B", "https://www.amazon.jobs/jobs/3094886/senior-applied-scientist-sponsored-products-and-brands?cmpid=DA_INAD200785B")</f>
        <v/>
      </c>
      <c r="G357" t="inlineStr">
        <is>
          <t>New York, NY, US</t>
        </is>
      </c>
      <c r="H357" s="3" t="n">
        <v>45922</v>
      </c>
      <c r="I35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in-99863748d6cc1c86</t>
        </is>
      </c>
      <c r="B358" t="inlineStr">
        <is>
          <t>Applied Scientist, Workplace Health &amp; Safety</t>
        </is>
      </c>
      <c r="C358" t="inlineStr">
        <is>
          <t>Amazon.com</t>
        </is>
      </c>
      <c r="D358" t="inlineStr">
        <is>
          <t>indeed</t>
        </is>
      </c>
      <c r="E358">
        <f>HYPERLINK("https://www.indeed.com/viewjob?jk=99863748d6cc1c86", "https://www.indeed.com/viewjob?jk=99863748d6cc1c86")</f>
        <v/>
      </c>
      <c r="F358">
        <f>HYPERLINK("https://www.amazon.jobs/jobs/3144886/applied-scientist-workplace-health--safety-?cmpid=DA_INAD200785B", "https://www.amazon.jobs/jobs/3144886/applied-scientist-workplace-health--safety-?cmpid=DA_INAD200785B")</f>
        <v/>
      </c>
      <c r="G358" t="inlineStr">
        <is>
          <t>Nashville, TN, US</t>
        </is>
      </c>
      <c r="H358" s="3" t="n">
        <v>45917</v>
      </c>
      <c r="I35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in-f40249932d9ddebe</t>
        </is>
      </c>
      <c r="B359" t="inlineStr">
        <is>
          <t>Applied Scientist, Workplace Health &amp; Safety</t>
        </is>
      </c>
      <c r="C359" t="inlineStr">
        <is>
          <t>Amazon.com</t>
        </is>
      </c>
      <c r="D359" t="inlineStr">
        <is>
          <t>indeed</t>
        </is>
      </c>
      <c r="E359">
        <f>HYPERLINK("https://www.indeed.com/viewjob?jk=f40249932d9ddebe", "https://www.indeed.com/viewjob?jk=f40249932d9ddebe")</f>
        <v/>
      </c>
      <c r="F359">
        <f>HYPERLINK("https://www.amazon.jobs/jobs/3144886/applied-scientist-workplace-health--safety-?cmpid=DA_INAD200785B", "https://www.amazon.jobs/jobs/3144886/applied-scientist-workplace-health--safety-?cmpid=DA_INAD200785B")</f>
        <v/>
      </c>
      <c r="G359" t="inlineStr">
        <is>
          <t>Bellevue, WA, US</t>
        </is>
      </c>
      <c r="H359" s="3" t="n">
        <v>45917</v>
      </c>
      <c r="I35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in-62beb57bbfca4c68</t>
        </is>
      </c>
      <c r="B360" t="inlineStr">
        <is>
          <t>Sr. Applied Scientist, Amazon Advertising</t>
        </is>
      </c>
      <c r="C360" t="inlineStr">
        <is>
          <t>Amazon.com</t>
        </is>
      </c>
      <c r="D360" t="inlineStr">
        <is>
          <t>indeed</t>
        </is>
      </c>
      <c r="E360">
        <f>HYPERLINK("https://www.indeed.com/viewjob?jk=62beb57bbfca4c68", "https://www.indeed.com/viewjob?jk=62beb57bbfca4c68")</f>
        <v/>
      </c>
      <c r="F360">
        <f>HYPERLINK("https://www.amazon.jobs/jobs/3035686/sr-applied-scientist-amazon-advertising?cmpid=DA_INAD200785B", "https://www.amazon.jobs/jobs/3035686/sr-applied-scientist-amazon-advertising?cmpid=DA_INAD200785B")</f>
        <v/>
      </c>
      <c r="G360" t="inlineStr">
        <is>
          <t>Simi Valley, CA, US</t>
        </is>
      </c>
      <c r="H360" s="3" t="n">
        <v>45851</v>
      </c>
      <c r="I36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in-8139e637ed84955f</t>
        </is>
      </c>
      <c r="B361" t="inlineStr">
        <is>
          <t>Sr. Applied Scientist, Amazon Advertising</t>
        </is>
      </c>
      <c r="C361" t="inlineStr">
        <is>
          <t>Amazon.com</t>
        </is>
      </c>
      <c r="D361" t="inlineStr">
        <is>
          <t>indeed</t>
        </is>
      </c>
      <c r="E361">
        <f>HYPERLINK("https://www.indeed.com/viewjob?jk=8139e637ed84955f", "https://www.indeed.com/viewjob?jk=8139e637ed84955f")</f>
        <v/>
      </c>
      <c r="F361">
        <f>HYPERLINK("https://www.amazon.jobs/jobs/3035686/sr-applied-scientist-amazon-advertising?cmpid=DA_INAD200785B", "https://www.amazon.jobs/jobs/3035686/sr-applied-scientist-amazon-advertising?cmpid=DA_INAD200785B")</f>
        <v/>
      </c>
      <c r="G361" t="inlineStr">
        <is>
          <t>New York, NY, US</t>
        </is>
      </c>
      <c r="H361" s="3" t="n">
        <v>45851</v>
      </c>
      <c r="I36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in-42afca78303bc345</t>
        </is>
      </c>
      <c r="B362" t="inlineStr">
        <is>
          <t>Sr. Applied Scientist, Amazon Advertising</t>
        </is>
      </c>
      <c r="C362" t="inlineStr">
        <is>
          <t>Amazon.com</t>
        </is>
      </c>
      <c r="D362" t="inlineStr">
        <is>
          <t>indeed</t>
        </is>
      </c>
      <c r="E362">
        <f>HYPERLINK("https://www.indeed.com/viewjob?jk=42afca78303bc345", "https://www.indeed.com/viewjob?jk=42afca78303bc345")</f>
        <v/>
      </c>
      <c r="F362">
        <f>HYPERLINK("https://www.amazon.jobs/jobs/3035686/sr-applied-scientist-amazon-advertising?cmpid=DA_INAD200785B", "https://www.amazon.jobs/jobs/3035686/sr-applied-scientist-amazon-advertising?cmpid=DA_INAD200785B")</f>
        <v/>
      </c>
      <c r="G362" t="inlineStr">
        <is>
          <t>Palo Alto, CA, US</t>
        </is>
      </c>
      <c r="H362" s="3" t="n">
        <v>45851</v>
      </c>
      <c r="I36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3">
      <c r="A363" t="inlineStr">
        <is>
          <t>in-66daa4113e9e3375</t>
        </is>
      </c>
      <c r="B363" t="inlineStr">
        <is>
          <t>Sr. Applied Scientist, Amazon Advertising</t>
        </is>
      </c>
      <c r="C363" t="inlineStr">
        <is>
          <t>Amazon.com</t>
        </is>
      </c>
      <c r="D363" t="inlineStr">
        <is>
          <t>indeed</t>
        </is>
      </c>
      <c r="E363">
        <f>HYPERLINK("https://www.indeed.com/viewjob?jk=66daa4113e9e3375", "https://www.indeed.com/viewjob?jk=66daa4113e9e3375")</f>
        <v/>
      </c>
      <c r="F363">
        <f>HYPERLINK("https://www.amazon.jobs/jobs/3035686/sr-applied-scientist-amazon-advertising?cmpid=DA_INAD200785B", "https://www.amazon.jobs/jobs/3035686/sr-applied-scientist-amazon-advertising?cmpid=DA_INAD200785B")</f>
        <v/>
      </c>
      <c r="G363" t="inlineStr">
        <is>
          <t>Austin, TX, US</t>
        </is>
      </c>
      <c r="H363" s="3" t="n">
        <v>45851</v>
      </c>
      <c r="I3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in-c3e31e1d37105a12</t>
        </is>
      </c>
      <c r="B364" t="inlineStr">
        <is>
          <t>Sr. Applied Scientist, Amazon Advertising</t>
        </is>
      </c>
      <c r="C364" t="inlineStr">
        <is>
          <t>Amazon.com</t>
        </is>
      </c>
      <c r="D364" t="inlineStr">
        <is>
          <t>indeed</t>
        </is>
      </c>
      <c r="E364">
        <f>HYPERLINK("https://www.indeed.com/viewjob?jk=c3e31e1d37105a12", "https://www.indeed.com/viewjob?jk=c3e31e1d37105a12")</f>
        <v/>
      </c>
      <c r="F364">
        <f>HYPERLINK("https://www.amazon.jobs/jobs/3035686/sr-applied-scientist-amazon-advertising?cmpid=DA_INAD200785B", "https://www.amazon.jobs/jobs/3035686/sr-applied-scientist-amazon-advertising?cmpid=DA_INAD200785B")</f>
        <v/>
      </c>
      <c r="G364" t="inlineStr">
        <is>
          <t>West Hollywood, CA, US</t>
        </is>
      </c>
      <c r="H364" s="3" t="n">
        <v>45851</v>
      </c>
      <c r="I3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in-c11111a1b66cd9c0</t>
        </is>
      </c>
      <c r="B365" t="inlineStr">
        <is>
          <t>Sr. Applied Scientist, Amazon Advertising</t>
        </is>
      </c>
      <c r="C365" t="inlineStr">
        <is>
          <t>Amazon.com</t>
        </is>
      </c>
      <c r="D365" t="inlineStr">
        <is>
          <t>indeed</t>
        </is>
      </c>
      <c r="E365">
        <f>HYPERLINK("https://www.indeed.com/viewjob?jk=c11111a1b66cd9c0", "https://www.indeed.com/viewjob?jk=c11111a1b66cd9c0")</f>
        <v/>
      </c>
      <c r="F365">
        <f>HYPERLINK("https://www.amazon.jobs/jobs/3035686/sr-applied-scientist-amazon-advertising?cmpid=DA_INAD200785B", "https://www.amazon.jobs/jobs/3035686/sr-applied-scientist-amazon-advertising?cmpid=DA_INAD200785B")</f>
        <v/>
      </c>
      <c r="G365" t="inlineStr">
        <is>
          <t>Arlington, VA, US</t>
        </is>
      </c>
      <c r="H365" s="3" t="n">
        <v>45851</v>
      </c>
      <c r="I36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in-aa394a76cd446e92</t>
        </is>
      </c>
      <c r="B366" t="inlineStr">
        <is>
          <t>Sr. Applied Scientist, Amazon Advertising</t>
        </is>
      </c>
      <c r="C366" t="inlineStr">
        <is>
          <t>Amazon.com</t>
        </is>
      </c>
      <c r="D366" t="inlineStr">
        <is>
          <t>indeed</t>
        </is>
      </c>
      <c r="E366">
        <f>HYPERLINK("https://www.indeed.com/viewjob?jk=aa394a76cd446e92", "https://www.indeed.com/viewjob?jk=aa394a76cd446e92")</f>
        <v/>
      </c>
      <c r="F366">
        <f>HYPERLINK("https://www.amazon.jobs/jobs/3035686/sr-applied-scientist-amazon-advertising?cmpid=DA_INAD200785B", "https://www.amazon.jobs/jobs/3035686/sr-applied-scientist-amazon-advertising?cmpid=DA_INAD200785B")</f>
        <v/>
      </c>
      <c r="G366" t="inlineStr">
        <is>
          <t>Los Angeles, CA, US</t>
        </is>
      </c>
      <c r="H366" s="3" t="n">
        <v>45851</v>
      </c>
      <c r="I3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in-48cf5413e35b8d63</t>
        </is>
      </c>
      <c r="B367" t="inlineStr">
        <is>
          <t>Sr. Applied Scientist, Amazon Advertising</t>
        </is>
      </c>
      <c r="C367" t="inlineStr">
        <is>
          <t>Amazon.com</t>
        </is>
      </c>
      <c r="D367" t="inlineStr">
        <is>
          <t>indeed</t>
        </is>
      </c>
      <c r="E367">
        <f>HYPERLINK("https://www.indeed.com/viewjob?jk=48cf5413e35b8d63", "https://www.indeed.com/viewjob?jk=48cf5413e35b8d63")</f>
        <v/>
      </c>
      <c r="F367">
        <f>HYPERLINK("https://www.amazon.jobs/jobs/3035686/sr-applied-scientist-amazon-advertising?cmpid=DA_INAD200785B", "https://www.amazon.jobs/jobs/3035686/sr-applied-scientist-amazon-advertising?cmpid=DA_INAD200785B")</f>
        <v/>
      </c>
      <c r="G367" t="inlineStr">
        <is>
          <t>Seattle, WA, US</t>
        </is>
      </c>
      <c r="H367" s="3" t="n">
        <v>45851</v>
      </c>
      <c r="I3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8">
      <c r="A368" t="inlineStr">
        <is>
          <t>in-6b86d87aa898dffa</t>
        </is>
      </c>
      <c r="B368" t="inlineStr">
        <is>
          <t>Senior Applied Scientist, Artificial General Intelligence</t>
        </is>
      </c>
      <c r="C368" t="inlineStr">
        <is>
          <t>Amazon.com</t>
        </is>
      </c>
      <c r="D368" t="inlineStr">
        <is>
          <t>indeed</t>
        </is>
      </c>
      <c r="E368">
        <f>HYPERLINK("https://www.indeed.com/viewjob?jk=6b86d87aa898dffa", "https://www.indeed.com/viewjob?jk=6b86d87aa898dffa")</f>
        <v/>
      </c>
      <c r="F368">
        <f>HYPERLINK("https://www.amazon.jobs/jobs/3032183/senior-applied-scientist-artificial-general-intelligence?cmpid=DA_INAD200785B", "https://www.amazon.jobs/jobs/3032183/senior-applied-scientist-artificial-general-intelligence?cmpid=DA_INAD200785B")</f>
        <v/>
      </c>
      <c r="G368" t="inlineStr">
        <is>
          <t>Boston, MA, US</t>
        </is>
      </c>
      <c r="H368" s="3" t="n">
        <v>45838</v>
      </c>
      <c r="I36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9">
      <c r="A369" t="inlineStr">
        <is>
          <t>in-2d4484749c999904</t>
        </is>
      </c>
      <c r="B369" t="inlineStr">
        <is>
          <t>Senior Applied Scientist, Artificial General Intelligence</t>
        </is>
      </c>
      <c r="C369" t="inlineStr">
        <is>
          <t>Amazon.com</t>
        </is>
      </c>
      <c r="D369" t="inlineStr">
        <is>
          <t>indeed</t>
        </is>
      </c>
      <c r="E369">
        <f>HYPERLINK("https://www.indeed.com/viewjob?jk=2d4484749c999904", "https://www.indeed.com/viewjob?jk=2d4484749c999904")</f>
        <v/>
      </c>
      <c r="F369">
        <f>HYPERLINK("https://www.amazon.jobs/jobs/3032183/senior-applied-scientist-artificial-general-intelligence?cmpid=DA_INAD200785B", "https://www.amazon.jobs/jobs/3032183/senior-applied-scientist-artificial-general-intelligence?cmpid=DA_INAD200785B")</f>
        <v/>
      </c>
      <c r="G369" t="inlineStr">
        <is>
          <t>Sunnyvale, CA, US</t>
        </is>
      </c>
      <c r="H369" s="3" t="n">
        <v>45838</v>
      </c>
      <c r="I36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in-bf44c1c236bcf819</t>
        </is>
      </c>
      <c r="B370" t="inlineStr">
        <is>
          <t>Senior Applied Scientist, Artificial General Intelligence</t>
        </is>
      </c>
      <c r="C370" t="inlineStr">
        <is>
          <t>Amazon.com</t>
        </is>
      </c>
      <c r="D370" t="inlineStr">
        <is>
          <t>indeed</t>
        </is>
      </c>
      <c r="E370">
        <f>HYPERLINK("https://www.indeed.com/viewjob?jk=bf44c1c236bcf819", "https://www.indeed.com/viewjob?jk=bf44c1c236bcf819")</f>
        <v/>
      </c>
      <c r="F370">
        <f>HYPERLINK("https://www.amazon.jobs/jobs/3032183/senior-applied-scientist-artificial-general-intelligence?cmpid=DA_INAD200785B", "https://www.amazon.jobs/jobs/3032183/senior-applied-scientist-artificial-general-intelligence?cmpid=DA_INAD200785B")</f>
        <v/>
      </c>
      <c r="G370" t="inlineStr">
        <is>
          <t>New York, NY, US</t>
        </is>
      </c>
      <c r="H370" s="3" t="n">
        <v>45838</v>
      </c>
      <c r="I37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in-e68b3b263fbe2e7f</t>
        </is>
      </c>
      <c r="B371" t="inlineStr">
        <is>
          <t>Sr. Applied Scientist, Sales AI</t>
        </is>
      </c>
      <c r="C371" t="inlineStr">
        <is>
          <t>Amazon.com</t>
        </is>
      </c>
      <c r="D371" t="inlineStr">
        <is>
          <t>indeed</t>
        </is>
      </c>
      <c r="E371">
        <f>HYPERLINK("https://www.indeed.com/viewjob?jk=e68b3b263fbe2e7f", "https://www.indeed.com/viewjob?jk=e68b3b263fbe2e7f")</f>
        <v/>
      </c>
      <c r="F371">
        <f>HYPERLINK("https://www.amazon.jobs/jobs/3020528/sr-applied-scientist-sales-ai?cmpid=DA_INAD200785B", "https://www.amazon.jobs/jobs/3020528/sr-applied-scientist-sales-ai?cmpid=DA_INAD200785B")</f>
        <v/>
      </c>
      <c r="G371" t="inlineStr">
        <is>
          <t>Sunnyvale, CA, US</t>
        </is>
      </c>
      <c r="H371" s="3" t="n">
        <v>45830</v>
      </c>
      <c r="I37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in-c3c4d4ef9c5c0925</t>
        </is>
      </c>
      <c r="B372" t="inlineStr">
        <is>
          <t>Sr. Applied Scientist, Sales AI</t>
        </is>
      </c>
      <c r="C372" t="inlineStr">
        <is>
          <t>Amazon.com</t>
        </is>
      </c>
      <c r="D372" t="inlineStr">
        <is>
          <t>indeed</t>
        </is>
      </c>
      <c r="E372">
        <f>HYPERLINK("https://www.indeed.com/viewjob?jk=c3c4d4ef9c5c0925", "https://www.indeed.com/viewjob?jk=c3c4d4ef9c5c0925")</f>
        <v/>
      </c>
      <c r="F372">
        <f>HYPERLINK("https://www.amazon.jobs/jobs/3020528/sr-applied-scientist-sales-ai?cmpid=DA_INAD200785B", "https://www.amazon.jobs/jobs/3020528/sr-applied-scientist-sales-ai?cmpid=DA_INAD200785B")</f>
        <v/>
      </c>
      <c r="G372" t="inlineStr">
        <is>
          <t>Seattle, WA, US</t>
        </is>
      </c>
      <c r="H372" s="3" t="n">
        <v>45830</v>
      </c>
      <c r="I37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in-bad7070f383dfee4</t>
        </is>
      </c>
      <c r="B373" t="inlineStr">
        <is>
          <t>Sr. Applied Scientist, Sales AI</t>
        </is>
      </c>
      <c r="C373" t="inlineStr">
        <is>
          <t>Amazon.com</t>
        </is>
      </c>
      <c r="D373" t="inlineStr">
        <is>
          <t>indeed</t>
        </is>
      </c>
      <c r="E373">
        <f>HYPERLINK("https://www.indeed.com/viewjob?jk=bad7070f383dfee4", "https://www.indeed.com/viewjob?jk=bad7070f383dfee4")</f>
        <v/>
      </c>
      <c r="F373">
        <f>HYPERLINK("https://www.amazon.jobs/jobs/3020528/sr-applied-scientist-sales-ai?cmpid=DA_INAD200785B", "https://www.amazon.jobs/jobs/3020528/sr-applied-scientist-sales-ai?cmpid=DA_INAD200785B")</f>
        <v/>
      </c>
      <c r="G373" t="inlineStr">
        <is>
          <t>New York, NY, US</t>
        </is>
      </c>
      <c r="H373" s="3" t="n">
        <v>45830</v>
      </c>
      <c r="I37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in-f17de5601fa09582</t>
        </is>
      </c>
      <c r="B374" t="inlineStr">
        <is>
          <t>Principal Applied Scientist, Delivery Foundation Model</t>
        </is>
      </c>
      <c r="C374" t="inlineStr">
        <is>
          <t>Amazon.com</t>
        </is>
      </c>
      <c r="D374" t="inlineStr">
        <is>
          <t>indeed</t>
        </is>
      </c>
      <c r="E374">
        <f>HYPERLINK("https://www.indeed.com/viewjob?jk=f17de5601fa09582", "https://www.indeed.com/viewjob?jk=f17de5601fa09582")</f>
        <v/>
      </c>
      <c r="F374">
        <f>HYPERLINK("https://www.amazon.jobs/jobs/3006938/principal-applied-scientist-delivery-foundation-model-?cmpid=DA_INAD200785B", "https://www.amazon.jobs/jobs/3006938/principal-applied-scientist-delivery-foundation-model-?cmpid=DA_INAD200785B")</f>
        <v/>
      </c>
      <c r="G374" t="inlineStr">
        <is>
          <t>Austin, TX, US</t>
        </is>
      </c>
      <c r="H374" s="3" t="n">
        <v>45810</v>
      </c>
      <c r="I37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in-1ca5ca6fba3fb5ff</t>
        </is>
      </c>
      <c r="B375" t="inlineStr">
        <is>
          <t>Principal Applied Scientist, Delivery Foundation Model</t>
        </is>
      </c>
      <c r="C375" t="inlineStr">
        <is>
          <t>Amazon.com</t>
        </is>
      </c>
      <c r="D375" t="inlineStr">
        <is>
          <t>indeed</t>
        </is>
      </c>
      <c r="E375">
        <f>HYPERLINK("https://www.indeed.com/viewjob?jk=1ca5ca6fba3fb5ff", "https://www.indeed.com/viewjob?jk=1ca5ca6fba3fb5ff")</f>
        <v/>
      </c>
      <c r="F375">
        <f>HYPERLINK("https://www.amazon.jobs/jobs/3006938/principal-applied-scientist-delivery-foundation-model-?cmpid=DA_INAD200785B", "https://www.amazon.jobs/jobs/3006938/principal-applied-scientist-delivery-foundation-model-?cmpid=DA_INAD200785B")</f>
        <v/>
      </c>
      <c r="G375" t="inlineStr">
        <is>
          <t>Santa Clara, CA, US</t>
        </is>
      </c>
      <c r="H375" s="3" t="n">
        <v>45810</v>
      </c>
      <c r="I37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in-e055b4cd38e021c4</t>
        </is>
      </c>
      <c r="B376" t="inlineStr">
        <is>
          <t>Principal Applied Scientist, Delivery Foundation Model</t>
        </is>
      </c>
      <c r="C376" t="inlineStr">
        <is>
          <t>Amazon.com</t>
        </is>
      </c>
      <c r="D376" t="inlineStr">
        <is>
          <t>indeed</t>
        </is>
      </c>
      <c r="E376">
        <f>HYPERLINK("https://www.indeed.com/viewjob?jk=e055b4cd38e021c4", "https://www.indeed.com/viewjob?jk=e055b4cd38e021c4")</f>
        <v/>
      </c>
      <c r="F376">
        <f>HYPERLINK("https://www.amazon.jobs/jobs/3006938/principal-applied-scientist-delivery-foundation-model-?cmpid=DA_INAD200785B", "https://www.amazon.jobs/jobs/3006938/principal-applied-scientist-delivery-foundation-model-?cmpid=DA_INAD200785B")</f>
        <v/>
      </c>
      <c r="G376" t="inlineStr">
        <is>
          <t>New York, NY, US</t>
        </is>
      </c>
      <c r="H376" s="3" t="n">
        <v>45810</v>
      </c>
      <c r="I37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in-899bc621f87b5856</t>
        </is>
      </c>
      <c r="B377" t="inlineStr">
        <is>
          <t>Principal Applied Scientist, Delivery Foundation Model</t>
        </is>
      </c>
      <c r="C377" t="inlineStr">
        <is>
          <t>Amazon.com</t>
        </is>
      </c>
      <c r="D377" t="inlineStr">
        <is>
          <t>indeed</t>
        </is>
      </c>
      <c r="E377">
        <f>HYPERLINK("https://www.indeed.com/viewjob?jk=899bc621f87b5856", "https://www.indeed.com/viewjob?jk=899bc621f87b5856")</f>
        <v/>
      </c>
      <c r="F377">
        <f>HYPERLINK("https://www.amazon.jobs/jobs/3006938/principal-applied-scientist-delivery-foundation-model-?cmpid=DA_INAD200785B", "https://www.amazon.jobs/jobs/3006938/principal-applied-scientist-delivery-foundation-model-?cmpid=DA_INAD200785B")</f>
        <v/>
      </c>
      <c r="G377" t="inlineStr">
        <is>
          <t>Bellevue, WA, US</t>
        </is>
      </c>
      <c r="H377" s="3" t="n">
        <v>45810</v>
      </c>
      <c r="I37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in-2d3c2364b6c1ec13</t>
        </is>
      </c>
      <c r="B378" t="inlineStr">
        <is>
          <t>Senior Applied Scientist, Delivery Foundation Model</t>
        </is>
      </c>
      <c r="C378" t="inlineStr">
        <is>
          <t>Amazon.com</t>
        </is>
      </c>
      <c r="D378" t="inlineStr">
        <is>
          <t>indeed</t>
        </is>
      </c>
      <c r="E378">
        <f>HYPERLINK("https://www.indeed.com/viewjob?jk=2d3c2364b6c1ec13", "https://www.indeed.com/viewjob?jk=2d3c2364b6c1ec13")</f>
        <v/>
      </c>
      <c r="F378">
        <f>HYPERLINK("https://www.amazon.jobs/jobs/2998435/senior-applied-scientist-delivery-foundation-model-?cmpid=DA_INAD200785B", "https://www.amazon.jobs/jobs/2998435/senior-applied-scientist-delivery-foundation-model-?cmpid=DA_INAD200785B")</f>
        <v/>
      </c>
      <c r="G378" t="inlineStr">
        <is>
          <t>New York, NY, US</t>
        </is>
      </c>
      <c r="H378" s="3" t="n">
        <v>45806</v>
      </c>
      <c r="I37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in-9dd0c47eb12305c1</t>
        </is>
      </c>
      <c r="B379" t="inlineStr">
        <is>
          <t>Senior Applied Scientist, Delivery Foundation Model</t>
        </is>
      </c>
      <c r="C379" t="inlineStr">
        <is>
          <t>Amazon.com</t>
        </is>
      </c>
      <c r="D379" t="inlineStr">
        <is>
          <t>indeed</t>
        </is>
      </c>
      <c r="E379">
        <f>HYPERLINK("https://www.indeed.com/viewjob?jk=9dd0c47eb12305c1", "https://www.indeed.com/viewjob?jk=9dd0c47eb12305c1")</f>
        <v/>
      </c>
      <c r="F379">
        <f>HYPERLINK("https://www.amazon.jobs/jobs/2998435/senior-applied-scientist-delivery-foundation-model-?cmpid=DA_INAD200785B", "https://www.amazon.jobs/jobs/2998435/senior-applied-scientist-delivery-foundation-model-?cmpid=DA_INAD200785B")</f>
        <v/>
      </c>
      <c r="G379" t="inlineStr">
        <is>
          <t>Santa Clara, CA, US</t>
        </is>
      </c>
      <c r="H379" s="3" t="n">
        <v>45806</v>
      </c>
      <c r="I37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in-02e0650090331579</t>
        </is>
      </c>
      <c r="B380" t="inlineStr">
        <is>
          <t>Senior Applied Scientist, Delivery Foundation Model</t>
        </is>
      </c>
      <c r="C380" t="inlineStr">
        <is>
          <t>Amazon.com</t>
        </is>
      </c>
      <c r="D380" t="inlineStr">
        <is>
          <t>indeed</t>
        </is>
      </c>
      <c r="E380">
        <f>HYPERLINK("https://www.indeed.com/viewjob?jk=02e0650090331579", "https://www.indeed.com/viewjob?jk=02e0650090331579")</f>
        <v/>
      </c>
      <c r="F380">
        <f>HYPERLINK("https://www.amazon.jobs/jobs/2998435/senior-applied-scientist-delivery-foundation-model-?cmpid=DA_INAD200785B", "https://www.amazon.jobs/jobs/2998435/senior-applied-scientist-delivery-foundation-model-?cmpid=DA_INAD200785B")</f>
        <v/>
      </c>
      <c r="G380" t="inlineStr">
        <is>
          <t>Bellevue, WA, US</t>
        </is>
      </c>
      <c r="H380" s="3" t="n">
        <v>45806</v>
      </c>
      <c r="I38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1">
      <c r="A381" t="inlineStr">
        <is>
          <t>in-c8ddba2752f4d9d7</t>
        </is>
      </c>
      <c r="B381" t="inlineStr">
        <is>
          <t>Principal Applied Scientist, Delivery Foundation Model</t>
        </is>
      </c>
      <c r="C381" t="inlineStr">
        <is>
          <t>Amazon.com</t>
        </is>
      </c>
      <c r="D381" t="inlineStr">
        <is>
          <t>indeed</t>
        </is>
      </c>
      <c r="E381">
        <f>HYPERLINK("https://www.indeed.com/viewjob?jk=c8ddba2752f4d9d7", "https://www.indeed.com/viewjob?jk=c8ddba2752f4d9d7")</f>
        <v/>
      </c>
      <c r="F381">
        <f>HYPERLINK("https://www.amazon.jobs/jobs/2998635/principal-applied-scientist-delivery-foundation-model-?cmpid=DA_INAD200785B", "https://www.amazon.jobs/jobs/2998635/principal-applied-scientist-delivery-foundation-model-?cmpid=DA_INAD200785B")</f>
        <v/>
      </c>
      <c r="G381" t="inlineStr">
        <is>
          <t>Santa Clara, CA, US</t>
        </is>
      </c>
      <c r="H381" s="3" t="n">
        <v>45757</v>
      </c>
      <c r="I38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2">
      <c r="A382" t="inlineStr">
        <is>
          <t>in-bd17de3b6437cee7</t>
        </is>
      </c>
      <c r="B382" t="inlineStr">
        <is>
          <t>Principal Applied Scientist, Delivery Foundation Model</t>
        </is>
      </c>
      <c r="C382" t="inlineStr">
        <is>
          <t>Amazon.com</t>
        </is>
      </c>
      <c r="D382" t="inlineStr">
        <is>
          <t>indeed</t>
        </is>
      </c>
      <c r="E382">
        <f>HYPERLINK("https://www.indeed.com/viewjob?jk=bd17de3b6437cee7", "https://www.indeed.com/viewjob?jk=bd17de3b6437cee7")</f>
        <v/>
      </c>
      <c r="F382">
        <f>HYPERLINK("https://www.amazon.jobs/jobs/2998635/principal-applied-scientist-delivery-foundation-model-?cmpid=DA_INAD200785B", "https://www.amazon.jobs/jobs/2998635/principal-applied-scientist-delivery-foundation-model-?cmpid=DA_INAD200785B")</f>
        <v/>
      </c>
      <c r="G382" t="inlineStr">
        <is>
          <t>New York, NY, US</t>
        </is>
      </c>
      <c r="H382" s="3" t="n">
        <v>45757</v>
      </c>
      <c r="I38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3">
      <c r="A383" t="inlineStr">
        <is>
          <t>in-ce066232eadc6fa9</t>
        </is>
      </c>
      <c r="B383" t="inlineStr">
        <is>
          <t>Principal Applied Scientist, Delivery Foundation Model</t>
        </is>
      </c>
      <c r="C383" t="inlineStr">
        <is>
          <t>Amazon.com</t>
        </is>
      </c>
      <c r="D383" t="inlineStr">
        <is>
          <t>indeed</t>
        </is>
      </c>
      <c r="E383">
        <f>HYPERLINK("https://www.indeed.com/viewjob?jk=ce066232eadc6fa9", "https://www.indeed.com/viewjob?jk=ce066232eadc6fa9")</f>
        <v/>
      </c>
      <c r="F383">
        <f>HYPERLINK("https://www.amazon.jobs/jobs/2998635/principal-applied-scientist-delivery-foundation-model-?cmpid=DA_INAD200785B", "https://www.amazon.jobs/jobs/2998635/principal-applied-scientist-delivery-foundation-model-?cmpid=DA_INAD200785B")</f>
        <v/>
      </c>
      <c r="G383" t="inlineStr">
        <is>
          <t>Bellevue, WA, US</t>
        </is>
      </c>
      <c r="H383" s="3" t="n">
        <v>45757</v>
      </c>
      <c r="I38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4">
      <c r="A384" t="inlineStr">
        <is>
          <t>in-6a236a709950d0f5</t>
        </is>
      </c>
      <c r="B384" t="inlineStr">
        <is>
          <t>Principal Applied Scientist, FAR (Frontier AI &amp; Robotics)</t>
        </is>
      </c>
      <c r="C384" t="inlineStr">
        <is>
          <t>Amazon.com</t>
        </is>
      </c>
      <c r="D384" t="inlineStr">
        <is>
          <t>indeed</t>
        </is>
      </c>
      <c r="E384">
        <f>HYPERLINK("https://www.indeed.com/viewjob?jk=6a236a709950d0f5", "https://www.indeed.com/viewjob?jk=6a236a709950d0f5")</f>
        <v/>
      </c>
      <c r="F384">
        <f>HYPERLINK("https://www.amazon.jobs/jobs/2938625/principal-applied-scientist-far-frontier-ai--robotics?cmpid=DA_INAD200785B", "https://www.amazon.jobs/jobs/2938625/principal-applied-scientist-far-frontier-ai--robotics?cmpid=DA_INAD200785B")</f>
        <v/>
      </c>
      <c r="G384" t="inlineStr">
        <is>
          <t>San Francisco, CA, US</t>
        </is>
      </c>
      <c r="H384" s="3" t="n">
        <v>45740</v>
      </c>
      <c r="I38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5">
      <c r="A385" t="inlineStr">
        <is>
          <t>in-54633d0e577ac824</t>
        </is>
      </c>
      <c r="B385" t="inlineStr">
        <is>
          <t>Principal Applied Scientist, FAR (Frontier AI &amp; Robotics)</t>
        </is>
      </c>
      <c r="C385" t="inlineStr">
        <is>
          <t>Amazon.com</t>
        </is>
      </c>
      <c r="D385" t="inlineStr">
        <is>
          <t>indeed</t>
        </is>
      </c>
      <c r="E385">
        <f>HYPERLINK("https://www.indeed.com/viewjob?jk=54633d0e577ac824", "https://www.indeed.com/viewjob?jk=54633d0e577ac824")</f>
        <v/>
      </c>
      <c r="F385">
        <f>HYPERLINK("https://www.amazon.jobs/jobs/2938625/principal-applied-scientist-far-frontier-ai--robotics?cmpid=DA_INAD200785B", "https://www.amazon.jobs/jobs/2938625/principal-applied-scientist-far-frontier-ai--robotics?cmpid=DA_INAD200785B")</f>
        <v/>
      </c>
      <c r="G385" t="inlineStr">
        <is>
          <t>Seattle, WA, US</t>
        </is>
      </c>
      <c r="H385" s="3" t="n">
        <v>45740</v>
      </c>
      <c r="I38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6">
      <c r="A386" t="inlineStr">
        <is>
          <t>in-7a1f69e7248e8ecf</t>
        </is>
      </c>
      <c r="B386" t="inlineStr">
        <is>
          <t>Applied Scientist, Alexa Smart Home</t>
        </is>
      </c>
      <c r="C386" t="inlineStr">
        <is>
          <t>Amazon.com</t>
        </is>
      </c>
      <c r="D386" t="inlineStr">
        <is>
          <t>indeed</t>
        </is>
      </c>
      <c r="E386">
        <f>HYPERLINK("https://www.indeed.com/viewjob?jk=7a1f69e7248e8ecf", "https://www.indeed.com/viewjob?jk=7a1f69e7248e8ecf")</f>
        <v/>
      </c>
      <c r="F386">
        <f>HYPERLINK("https://www.amazon.jobs/jobs/3169205/applied-scientist-alexa-smart-home?cmpid=DA_INAD200785B", "https://www.amazon.jobs/jobs/3169205/applied-scientist-alexa-smart-home?cmpid=DA_INAD200785B")</f>
        <v/>
      </c>
      <c r="G386" t="inlineStr">
        <is>
          <t>Seattle, WA, US</t>
        </is>
      </c>
      <c r="H386" s="3" t="n">
        <v>46033</v>
      </c>
      <c r="I38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87">
      <c r="A387" t="inlineStr">
        <is>
          <t>in-29d65a580d586784</t>
        </is>
      </c>
      <c r="B387" t="inlineStr">
        <is>
          <t>Applied Scientist, Alexa Smart Home</t>
        </is>
      </c>
      <c r="C387" t="inlineStr">
        <is>
          <t>Amazon.com</t>
        </is>
      </c>
      <c r="D387" t="inlineStr">
        <is>
          <t>indeed</t>
        </is>
      </c>
      <c r="E387">
        <f>HYPERLINK("https://www.indeed.com/viewjob?jk=29d65a580d586784", "https://www.indeed.com/viewjob?jk=29d65a580d586784")</f>
        <v/>
      </c>
      <c r="F387">
        <f>HYPERLINK("https://www.amazon.jobs/jobs/3169205/applied-scientist-alexa-smart-home?cmpid=DA_INAD200785B", "https://www.amazon.jobs/jobs/3169205/applied-scientist-alexa-smart-home?cmpid=DA_INAD200785B")</f>
        <v/>
      </c>
      <c r="G387" t="inlineStr">
        <is>
          <t>Sunnyvale, CA, US</t>
        </is>
      </c>
      <c r="H387" s="3" t="n">
        <v>46033</v>
      </c>
      <c r="I38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88">
      <c r="A388" t="inlineStr">
        <is>
          <t>in-1db0f37913c36fae</t>
        </is>
      </c>
      <c r="B388" t="inlineStr">
        <is>
          <t>Sr Applied Scientist, AWS Proactive Security</t>
        </is>
      </c>
      <c r="C388" t="inlineStr">
        <is>
          <t>Amazon.com</t>
        </is>
      </c>
      <c r="D388" t="inlineStr">
        <is>
          <t>indeed</t>
        </is>
      </c>
      <c r="E388">
        <f>HYPERLINK("https://www.indeed.com/viewjob?jk=1db0f37913c36fae", "https://www.indeed.com/viewjob?jk=1db0f37913c36fae")</f>
        <v/>
      </c>
      <c r="F388">
        <f>HYPERLINK("https://www.amazon.jobs/jobs/3164664/sr-applied-scientist-aws-proactive-security?cmpid=DA_INAD200785B", "https://www.amazon.jobs/jobs/3164664/sr-applied-scientist-aws-proactive-security?cmpid=DA_INAD200785B")</f>
        <v/>
      </c>
      <c r="G388" t="inlineStr">
        <is>
          <t>Arlington, VA, US</t>
        </is>
      </c>
      <c r="H388" s="3" t="n">
        <v>46030</v>
      </c>
      <c r="I38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89">
      <c r="A389" t="inlineStr">
        <is>
          <t>in-9d779eac7dcf9db3</t>
        </is>
      </c>
      <c r="B389" t="inlineStr">
        <is>
          <t>Sr Applied Scientist, AWS Proactive Security</t>
        </is>
      </c>
      <c r="C389" t="inlineStr">
        <is>
          <t>Amazon.com</t>
        </is>
      </c>
      <c r="D389" t="inlineStr">
        <is>
          <t>indeed</t>
        </is>
      </c>
      <c r="E389">
        <f>HYPERLINK("https://www.indeed.com/viewjob?jk=9d779eac7dcf9db3", "https://www.indeed.com/viewjob?jk=9d779eac7dcf9db3")</f>
        <v/>
      </c>
      <c r="F389">
        <f>HYPERLINK("https://www.amazon.jobs/jobs/3164664/sr-applied-scientist-aws-proactive-security?cmpid=DA_INAD200785B", "https://www.amazon.jobs/jobs/3164664/sr-applied-scientist-aws-proactive-security?cmpid=DA_INAD200785B")</f>
        <v/>
      </c>
      <c r="G389" t="inlineStr">
        <is>
          <t>Sunnyvale, CA, US</t>
        </is>
      </c>
      <c r="H389" s="3" t="n">
        <v>46030</v>
      </c>
      <c r="I38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90">
      <c r="A390" t="inlineStr">
        <is>
          <t>in-33af9189561bd46f</t>
        </is>
      </c>
      <c r="B390" t="inlineStr">
        <is>
          <t>Sr Applied Scientist, AWS Proactive Security</t>
        </is>
      </c>
      <c r="C390" t="inlineStr">
        <is>
          <t>Amazon.com</t>
        </is>
      </c>
      <c r="D390" t="inlineStr">
        <is>
          <t>indeed</t>
        </is>
      </c>
      <c r="E390">
        <f>HYPERLINK("https://www.indeed.com/viewjob?jk=33af9189561bd46f", "https://www.indeed.com/viewjob?jk=33af9189561bd46f")</f>
        <v/>
      </c>
      <c r="F390">
        <f>HYPERLINK("https://www.amazon.jobs/jobs/3164664/sr-applied-scientist-aws-proactive-security?cmpid=DA_INAD200785B", "https://www.amazon.jobs/jobs/3164664/sr-applied-scientist-aws-proactive-security?cmpid=DA_INAD200785B")</f>
        <v/>
      </c>
      <c r="G390" t="inlineStr">
        <is>
          <t>Herndon, VA, US</t>
        </is>
      </c>
      <c r="H390" s="3" t="n">
        <v>46030</v>
      </c>
      <c r="I39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li-4360673239</t>
        </is>
      </c>
      <c r="B2" t="inlineStr">
        <is>
          <t>Data Scientist - Growth Analytics (Performance Marketing)</t>
        </is>
      </c>
      <c r="C2" t="inlineStr">
        <is>
          <t>Spotify</t>
        </is>
      </c>
      <c r="D2" t="inlineStr">
        <is>
          <t>linkedin</t>
        </is>
      </c>
      <c r="E2" t="inlineStr"/>
      <c r="F2" t="inlineStr"/>
      <c r="G2" t="inlineStr">
        <is>
          <t>New York, NY</t>
        </is>
      </c>
      <c r="H2" t="inlineStr"/>
      <c r="I2" t="inlineStr">
        <is>
          <t>We are looking for a Data Scientist to join the Business Analytics team at Spotify. In this role, you’ll shape Spotify’s performance marketing and growth strategy by developing models, designing experiments and measuring the impact of marketing investments. Partnering with the Growth Analytics Lead, you’ll turn data into strategies that guide budget allocation, optimize spend and accelerate efficient growth across paid media channels. You’ll collaborate with a global, cross\-functional team of analysts, data scientists, marketers, business leaders, and engineers to scale insights and drive efficient growth. Learning and improving is part of our daily routine, and you will get a platform to develop your data skills and carve out efficient ways of working.
 The Business Analytics team is part of Spotify’s core business strategy organization. You’ll play a crucial role in the growth and direction of Spotify as we grow to 700M\+ users around the globe. At your fingertips, you’ll have access to all of the data Spotify has to offer, and the opportunity to be creative with how you use it to derive insights and strategies. Above all, your work will impact the way the world experiences audio!
 What You'll Do
* Develop data\-driven strategies to drive the growth of Spotify users and subscribers, with a focus on performance marketing
* Refine attribution practices and define robust, data\-backed methods to measure the incremental impact of marketing spend
* Partner with third\-party advertising platforms and agencies to design and implement comprehensive experiments and lift studies
* Contribute to annual and quarterly planning through impact forecasting, budget allocation and scenario modelling
* Build scalable data pipelines and dashboards to track marketing efficiency and Global business performance
* Collaborate closely with business partners to understand growth drivers and guide strategic marketing decisions
* Present insights and recommendations to senior stakeholders, influencing the course of our business
 Who You Are
* 3\+ years synthesizing insights from data using tools such as Python/R and SQL
* Hands\-on experience supporting marketing organizations with their paid media strategy, including running and analyzing incrementality tests on platforms like Meta, Google and TikTok
* Proven experience building advanced models to understand and optimise paid media campaigns
* Skilled at collaborating with business partners to measure the impact of marketing initiatives and presenting those findings in coherent recommendations
* Intellectually curious, creative, and diligent \- you enjoy thinking about the business as much as about the data
* Have a background in Computer Science, Statistics, Engineering or other relevant field
* Comfortable working on a globally distributed team (with occasional international travel)
 Where You'll Be
* This role is based in New York
* We offer you the flexibility to work where you work best! There will be some in person meetings, but still allows for flexibility to work from home.
 The United States base range for this position is $110,018 \- $157,169,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3">
      <c r="A3" t="inlineStr">
        <is>
          <t>li-4368124396</t>
        </is>
      </c>
      <c r="B3" t="inlineStr">
        <is>
          <t>Data Scientist</t>
        </is>
      </c>
      <c r="C3" t="inlineStr">
        <is>
          <t>Block</t>
        </is>
      </c>
      <c r="D3" t="inlineStr">
        <is>
          <t>linkedin</t>
        </is>
      </c>
      <c r="E3" t="inlineStr"/>
      <c r="F3" t="inlineStr"/>
      <c r="G3" t="inlineStr"/>
      <c r="H3" t="inlineStr"/>
      <c r="I3" t="inlineStr">
        <is>
          <t>**About The Company** 
 Since its inception in 2009, Block has been at the forefront of transforming the world of commerce through innovative financial technology solutions. Originally focused on enabling seamless payment processing for merchants, the company has expanded its offerings to include comprehensive software solutions that support omnichannel selling, inventory management, buy now, pay later functionalities, appointment booking, customer engagement, and staff management. Embedded within its platform are financial services tools that allow merchants to access business loans and manage cash flow efficiently. With a mission to empower sellers of all sizes—from small startups to large enterprise businesses—Block continues to develop solutions that unlock growth, foster competition, and enable merchants to capture the next generation of shoppers. Its commitment to building a more inclusive economy and fostering long\-term partnerships underscores its position as a leader in the fintech space, supporting millions of businesses worldwide.
**About The Role** 
 We are seeking an experienced Data Scientist to join Block’s AI, Data, and Analytics (AiDA) team, supporting the Financial Platform (FinPlat) organization. This role focuses on the acquiring side of payment processing, involving A/B testing, reporting, strategic analysis, and automation initiatives. FinPlat functions as the central nervous system of Block, facilitating the movement and ledgering of funds across our core businesses—Square, Cash App, and AfterPay. The successful candidate will leverage data to optimize transaction costs, improve authorization rates, and uncover insights that drive financial impact. This position offers the opportunity to influence product roadmaps, guide financial operations, and build comprehensive data products from raw event data to actionable insights and machine learning models. Collaboration with engineering and operational teams is essential to foster a data\-driven culture that enhances financial performance and customer experience. The role provides a unique opportunity to work at the intersection of finance, technology, and analytics, shaping the future of payments and financial services at Block.
**Qualifications** 
* 12\+ years of relevant experience in data science, preferably within payment analytics, chargebacks, or related fields, with a Bachelor’s degree; or 8\+ years with a Master’s degree; or a PhD with 5\+ years of experience; or equivalent professional experience.
* Bachelor’s degree or higher in a technical discipline such as Engineering, Physics, Mathematics, Computer Science, or related fields.
* Proven expertise in hypothesis testing, causal inference, and high\-impact problem solving in ambiguous environments.
* Strong hands\-on experience in building data pipelines, architectures, and scalable analytics solutions.
* Excellent communication skills with the ability to build relationships with cross\-functional teams and influence product development through data\-driven insights.
* Advanced proficiency in SQL, Python, and data visualization tools such as Looker.
* Experience working on complex problems with significant business impact, demonstrating innovative and efficient resolutions.
**Responsibilities** 
* Establish subject\-matter expertise in payment rails, including card networks (prepaid, debit, credit) and bank rails (wire, ACH, direct deposit).
* Influence product roadmaps by providing data\-driven insights and guiding the Financial Operations team through opportunities and challenges.
* Design, develop, and deploy end\-to\-end data products, transforming raw event data into actionable insights and machine learning models.
* Partner with engineering and operational leadership to foster a culture of data\-driven decision making that impacts financial outcomes.
* Develop and evangelize innovative data solutions to enhance analytics capabilities, insightfulness, and operational efficiency.
* Perform A/B testing, reporting, and strategic analysis to inform product features and optimize transaction processes.
* Automate data workflows and create scalable solutions to support ongoing analytics and reporting needs.
* Stay current with industry trends and advancements in data science, applying best practices to improve processes and outcomes.
**Benefits** 
* Comprehensive health, dental, and vision insurance plans to support your well\-being.
* Flexible work arrangements including remote work options.
* Generous paid time off and holidays to promote work\-life balance.
* Retirement savings plans with company matching contributions.
* Modern family planning and parental leave benefits.
* Professional development opportunities and ongoing learning programs.
* A collaborative and inclusive workplace culture that values diversity and innovation.
 Equal Opportunity
 Block is an equal opportunity employer committed to fostering an inclusive workplace. We evaluate all employees and job applicants without regard to race, color, religion, gender, gender identity or expression, sexual orientation, national origin, age, disability, or any other legally protected status.</t>
        </is>
      </c>
    </row>
    <row r="4">
      <c r="A4" t="inlineStr">
        <is>
          <t>li-4368124395</t>
        </is>
      </c>
      <c r="B4" t="inlineStr">
        <is>
          <t>Data Scientist, Sr.</t>
        </is>
      </c>
      <c r="C4" t="inlineStr">
        <is>
          <t>Waymo</t>
        </is>
      </c>
      <c r="D4" t="inlineStr">
        <is>
          <t>linkedin</t>
        </is>
      </c>
      <c r="E4" t="inlineStr"/>
      <c r="F4" t="inlineStr"/>
      <c r="G4" t="inlineStr"/>
      <c r="H4" t="inlineStr"/>
      <c r="I4" t="inlineStr">
        <is>
          <t>**About The Company** 
 Waymo is a pioneering autonomous driving technology company dedicated to transforming mobility and enhancing safety on roads worldwide. Originating from the Google Self\-Driving Car Project in 2009, Waymo has established itself as a leader in the development of self\-driving systems. The company's core mission is to become the world's most trusted driver by deploying the Waymo Driver—The World's Most Experienced Driver™—which powers its fully autonomous ride\-hail service and can be integrated into various vehicle platforms for diverse use cases. With over ten million rider\-only trips completed and more than 100 million miles driven on public roads across 15\+ U.S. states, Waymo continues to push the boundaries of autonomous vehicle technology. The company’s commitment to safety, innovation, and scalable deployment positions it at the forefront of the mobility revolution.
**About The Role** 
 Waymo is seeking a highly skilled Data Science Lead for Onboard Behavioral Evaluation to join its team. In this critical role, you will lead a specialized data science team responsible for providing early insights into the behavioral performance of the Waymo Driver across new hardware platforms and territories. Your primary focus will be on ensuring that the evaluation methodologies maintain the highest standards of rigor and safety while enabling scalable and actionable insights. You will collaborate closely with engineering, product, and data science teams to develop and adapt evaluation frameworks that support rapid deployment and continuous improvement of autonomous driving systems. As a technical leader, you will also act as an expert in behavioral software, ML models, and statistical methods, guiding the team in solving complex, ambiguous problems and driving data\-driven decision\-making processes. This hybrid position reports to the DS Lead for Onboard Behavioral Evaluation and offers an exciting opportunity to impact the future of autonomous mobility.
**Qualifications** 
* Degree in a quantitative field such as Statistics, Mathematics, Physics, or related disciplines
* Either a PhD in a quantitative field with 7\+ years of industry experience or 9\+ years of relevant industry experience in data science
* Proven experience as a technical lead in a broad data science domain
* Expertise in advanced statistical methods applied in real\-world settings
* Familiarity with machine learning systems and models
* Proficiency with data analysis libraries and packages in Python, R, and SQL
* Strong problem\-solving skills with the ability to scope and prioritize technical initiatives
* Excellent communication skills for stakeholder engagement and technical presentations
**Responsibilities** 
* Lead the development of efficient, opinionated evaluation methodologies for behavioral performance across new territories and vehicle platforms, ensuring scalability and consistency
* Establish and uphold high standards for evaluation rigor to ensure confidence in behavioral signals used for decision\-making
* Identify gaps in current evaluation signals and work proactively to enhance their actionability and reliability
* Design and adapt evaluation frameworks to accommodate evolving hardware and geographical deployment scenarios
* Leverage behavioral evaluation tools to deliver rapid, actionable feedback that informs release readiness and deployment strategies
* Communicate evaluation findings effectively to senior stakeholders, supporting strategic decision\-making
* Collaborate with product, engineering, and data science leads to align on roadmaps and unlock key deployment milestones
* Become an expert in the behavioral software underpinning the Waymo Driver, including large\-scale ML models, and serve as an approver for behavioral software changes
* Contribute technically to projects, mentor data scientists, and lead technical initiatives to solve complex problems
* Champion data science excellence and foster a culture of continuous improvement within the team
**Benefits** 
* Competitive salary package within the range of $281,000—$356,000 USD, commensurate with experience and location
* Participation in Waymo’s discretionary annual bonus program
* Equity incentive plan providing ownership opportunities
* Comprehensive health, dental, and vision insurance plans
* Generous paid time off and holiday policies
* Professional development opportunities and continuous learning support
* Flexible hybrid work environment to support work\-life balance
* Access to innovative projects at the forefront of autonomous vehicle technology
 Equal Opportunity
 Waymo is an equal opportunity employer committed to fostering an inclusive environment for all employees. We celebrate diversity and are dedicated to creating a workplace that reflects the communities we serve. All qualified applicants will receive consideration for employment without regard to race, color, religion, gender, gender identity or expression, sexual orientation, national origin, age, disability, or veteran status.</t>
        </is>
      </c>
    </row>
    <row r="5">
      <c r="A5" t="inlineStr">
        <is>
          <t>li-4368110622</t>
        </is>
      </c>
      <c r="B5" t="inlineStr">
        <is>
          <t>Data Scientist</t>
        </is>
      </c>
      <c r="C5" t="inlineStr">
        <is>
          <t>Pinterest</t>
        </is>
      </c>
      <c r="D5" t="inlineStr">
        <is>
          <t>linkedin</t>
        </is>
      </c>
      <c r="E5" t="inlineStr"/>
      <c r="F5" t="inlineStr"/>
      <c r="G5" t="inlineStr"/>
      <c r="H5" t="inlineStr"/>
      <c r="I5" t="inlineStr">
        <is>
          <t>**About The Company** 
 Pinterest is a global platform that inspires millions of users to discover and curate creative ideas across diverse interests, from home decor and fashion to travel and technology. With a mission to bring everyone the inspiration to create a life they love, Pinterest fosters a vibrant community where users can dream, plan, and bring their visions to life. The company is committed to innovation, inclusivity, and empowering its employees to make a meaningful impact through cutting\-edge technology and collaborative culture. As a leader in the technology and social media space, Pinterest continuously evolves to enhance user experience and provide valuable insights to businesses and creators worldwide.
**About The Role** 
 We are seeking a highly skilled and experienced Lead Data Scientist specializing in forecasting and time\-series analysis to join our dynamic team. In this pivotal role, you will serve as the technical leader for our forecasting team, spearheading the development and deployment of advanced models that predict key company metrics such as monthly active users. Your expertise will drive strategic decision\-making, operational efficiency, and business growth through accurate and interpretable forecasts. You will oversee the entire modeling lifecycle—from problem framing and feature engineering to model deployment and monitoring—while collaborating closely with engineering, product, and business teams. This role offers an exciting opportunity to shape the technical vision of Pinterest’s forecasting capabilities, influence high\-level strategic decisions, and mentor a team of talented data scientists. The ideal candidate will have a strong background in time\-series modeling, applied statistics, and experience working with web\-scale data, with a passion for translating complex analyses into actionable insights for senior leadership.
**Qualifications** 
* 8\+ years of experience building and deploying production\-level time\-series and forecasting models with large\-scale data
* Proven track record of delivering well\-calibrated, adjustable, and explainable forecasting systems that inform decision\-making
* Strong expertise in time\-series modeling, applied statistics, and econometrics
* Advanced degree (MS or PhD) in Computer Science, Statistics, Data Science, or related field preferred
* Proficiency in scripting languages, especially Python
* Strong SQL skills (Hive, Presto, Spark SQL) and experience developing reliable data pipelines (e.g., Airflow)
* Business acumen with the ability to connect model outputs to strategic business levers and impact
* Excellent communication skills, capable of translating complex analyses into clear narratives for executive audiences
* Demonstrated technical leadership, with experience leading critical projects and mentoring team members
**Responsibilities** 
* Act as the technical lead for the forecasting team, setting the vision and strategy for modeling efforts
* Own the end\-to\-end lifecycle of forecasting models including problem framing, feature engineering, development, experimentation, deployment, and monitoring
* Design and define model architectures and standards in collaboration with engineering teams to ensure scalability and efficiency
* Translate forecast outputs into strategic insights and decision frameworks; present findings to senior leadership with clarity and impact
* Drive innovation in broader time\-series applications such as anomaly detection, root\-cause analysis, attribution, and early warning systems
* Partner with Business Operations, Finance, and product teams to embed forecasting insights into operational workflows and strategic planning
* Mentor and guide at least two data scientists, fostering technical excellence and impact\-driven work
* Continuously evaluate and improve forecasting models to adapt to changing data patterns and business needs
**Benefits** 
* Competitive salary package aligned with experience and skills
* Equity options to share in the company's growth and success
* Flexible working arrangements including remote and in\-office collaboration as needed
* Comprehensive health, dental, and vision insurance plans
* Generous paid time off and family leave policies
* Professional development opportunities and continuous learning support
* Inclusive, equitable, and inspiring workplace environment
 Equal Opportunity
 Pinterest is an equal opportunity employer. We are committed to creating a diverse and inclusive workplace where all employees are valued and respected. Employment decisions are made based on merit, qualifications, and business needs without regard to race, color, religion, gender, gender identity, sexual orientation, age, marital status, national origin, disability, veteran status, or any other protected characteristic under applicable law.</t>
        </is>
      </c>
    </row>
    <row r="6">
      <c r="A6" t="inlineStr">
        <is>
          <t>li-4334758147</t>
        </is>
      </c>
      <c r="B6" t="inlineStr">
        <is>
          <t>Lead, Data Scientist</t>
        </is>
      </c>
      <c r="C6" t="inlineStr">
        <is>
          <t>Petco</t>
        </is>
      </c>
      <c r="D6" t="inlineStr">
        <is>
          <t>linkedin</t>
        </is>
      </c>
      <c r="E6" t="inlineStr"/>
      <c r="F6" t="inlineStr"/>
      <c r="G6" t="inlineStr">
        <is>
          <t>San Diego, CA</t>
        </is>
      </c>
      <c r="H6" t="inlineStr"/>
      <c r="I6"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**Position Purpose**
 As Lead Data Scientist on Petco’s Enterprise Analytics and Data Science team, you will spearhead the development and deployment of scalable, production\-grade machine learning models that enable personalized membership and digital experiences. You will partner closely with stakeholders in the membership and digital teams to plan and execute data science initiatives that support customer engagement, loyalty growth, and digital performance.
**Essential Job Functions:** 
*The incumbent must be able to perform all of the following duties and responsibilities* 
 w
 *ith or without a reasonable accommodation.*
* Build, maintain, optimize, and productionize machine learning models and advanced algorithms that enhance membership and digital customer experiences.
* Generate and test hypotheses and analyze and interpret results of experiments.
* Communicate insights and recommendations through clear written reports and verbal presentations to audiences of varying technical sophistication.
* Improve upon existing methodologies by developing new data sources, testing model enhancements, and refining model parameters.
* Define requirements and collaborate with engineering teams to develop analytic capabilities, platforms, and pipelines that enable scalable modeling.
* Develop and monitor KPIs across multiple business areas, ensuring accurate tracking and performance measurement.
* Provide leadership, including guiding and training, to more junior data scientists.
**Education And Experience**
* MS or PhD in Statistics, Math, Engineering, Economics, or a related quantitative field.
* 8\+ years of experience in business analytics and data science.
* Previous experience working with machine learning/deep learning for real\-world problems in a corporate environment is a must.
* Demonstrable track record of dealing well with ambiguity, prioritizing needs, and delivering results in a dynamic environment.
* Proficiency with SQL and Python required; proficiency in R is a strong plus.
* Ability to explain/present complicated/advanced analytical methodology and results to non\-technical audiences.
* Advanced quantitative modeling, statistical analysis, and critical thinking skills.
* Related experience in a retail organization is a strong plus.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$142,100\.00 \- $213,100\.00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7">
      <c r="A7" t="inlineStr">
        <is>
          <t>li-4357162472</t>
        </is>
      </c>
      <c r="B7" t="inlineStr">
        <is>
          <t>Senior Data Scientist</t>
        </is>
      </c>
      <c r="C7" t="inlineStr">
        <is>
          <t>SoTalent</t>
        </is>
      </c>
      <c r="D7" t="inlineStr">
        <is>
          <t>linkedin</t>
        </is>
      </c>
      <c r="E7" t="inlineStr"/>
      <c r="F7" t="inlineStr"/>
      <c r="G7" t="inlineStr">
        <is>
          <t>Henrico, VA</t>
        </is>
      </c>
      <c r="H7" t="inlineStr"/>
      <c r="I7" t="inlineStr">
        <is>
          <t>**Senior Data Scientist** 
**Industry:** 
 Automotive Retail / E\-commerce / Data \&amp; Analytics
**Location:** 
 Richmond, VA · Dallas, TX · Atlanta, GA (Hybrid)
**Estimated Salary:** 
 $102,400 – $122,880 annually
**Employment Type:** 
 Full\-time
**The Opportunity** 
 A leading
 **omni\-channel automotive retailer** 
 is transforming how customers buy cars through advanced analytics, machine learning, and data\-powered decision\-making. As a
 **Senior Data Scientist** 
 , you’ll play a key role in embedding data science across the business—developing models that personalize customer journeys, optimize operations, and fuel digital growth at scale.
 With millions of customer interactions daily, this role offers access to rich, proprietary datasets and the chance to build algorithms that directly impact customer experience and business performance.
**What You’ll Do** 
* Design, build, and deploy machine learning models that enable highly personalized customer experiences
* Develop predictive algorithms using large\-scale customer, web, and transactional data
* Apply advanced modeling techniques including training, evaluation, validation, and production implementation
* Identify and design experimentation and testing strategies to continuously improve model performance
* Partner cross\-functionally with Product, Engineering, Marketing, Operations, and Strategy teams to deliver data\-driven solutions
* Translate complex analytical insights into clear, compelling narratives that influence business decisions
* Contribute to analytics best practices, mentor peers, and elevate the data science community
**What You Bring** 
* Degree in
 **Statistics, Data Science, Mathematics, Engineering, or a related field**
* **Master’s or PhD preferred** 
 in a quantitative discipline
* **1–2\+ years** 
 of hands\-on experience in:
* Python, R, Scala, or similar languages
* Machine learning, data mining, and statistical modeling
* Cloud computing and data lake environments
* Strong problem\-solving mindset with a passion for applying advanced analytics to real\-world business challenges
* Ability to clearly communicate technical concepts to non\-technical stakeholders
* Proven ability to manage multiple projects in a fast\-paced environment
**Nice to Have** 
* Experience with
 **recommender systems, search algorithms, or personalization engines**
* Background operationalizing models for web or digital product integration
**Why This Role** 
 This is an opportunity to work at
 **enterprise scale** 
 , influence high\-visibility initiatives, and help shape the future of digital retail through advanced analytics—while collaborating with teams that value experimentation, innovation, and impact.</t>
        </is>
      </c>
    </row>
    <row r="8">
      <c r="A8" t="inlineStr">
        <is>
          <t>li-4328307611</t>
        </is>
      </c>
      <c r="B8" t="inlineStr">
        <is>
          <t>Data Scientist II</t>
        </is>
      </c>
      <c r="C8" t="inlineStr">
        <is>
          <t>Microsoft</t>
        </is>
      </c>
      <c r="D8" t="inlineStr">
        <is>
          <t>linkedin</t>
        </is>
      </c>
      <c r="E8" t="inlineStr"/>
      <c r="F8" t="inlineStr"/>
      <c r="G8" t="inlineStr">
        <is>
          <t>Redmond, WA</t>
        </is>
      </c>
      <c r="H8" t="inlineStr"/>
      <c r="I8" t="inlineStr">
        <is>
          <t>**Overview**
 Microsoft is a company where innovators come to collaborate.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highly strategic to Microsoft. Microsoft Dataverse and the Power Platform Managed Platform provide secure, scalable, and cost\-efficient foundations for building AI\-powered, governed, and compliant applications at global scale. This team builds platform capabilities and microservices that deliver global scale, security, governance, and managed runtime for customers across Power Platform. You will be part of a team of engineers who thrive on solving complex problems at scale with impeccable quality.
 We are looking for a
 **Data Scientist II** 
 to join the Managed Platform team, which provides the foundation for global scale, security, governance, and compliance across Power Platform and Dataverse. In this role, you will apply data science techniques to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and deploy machine learning models and statistical analyses to improve platform performance, reliability, and cost efficiency.
* Partner with engineering teams to integrate predictive insights into distributed systems and services.
* Design and analyze experiments (e.g., A/B tests) to validate hypotheses and measure impact on customer experience and platform health.
* Develop dashboards and metrics to monitor model performance and service health.
* Communicate findings and recommendations to technical and business stakeholders through clear, actionable insights.
* Collaborate with cross\-functional teams to ensure data quality and effective use of analytics in decision\-making.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 2\+ years of experience in data science, analytics, or related areas.
* 2\+ years of experience in applied machine learning, statistical modeling, and experimentation.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Proficiency in Python for data analysis and model development.
* Experience with SQL and working with large datasets.
 Additional Details
 \#BICJobs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
      <c r="A9" t="inlineStr">
        <is>
          <t>li-4321069266</t>
        </is>
      </c>
      <c r="B9" t="inlineStr">
        <is>
          <t>Principal Applied Scientist</t>
        </is>
      </c>
      <c r="C9" t="inlineStr">
        <is>
          <t>Viant Technology</t>
        </is>
      </c>
      <c r="D9" t="inlineStr">
        <is>
          <t>linkedin</t>
        </is>
      </c>
      <c r="E9" t="inlineStr"/>
      <c r="F9" t="inlineStr"/>
      <c r="G9" t="inlineStr">
        <is>
          <t>Irvine, CA</t>
        </is>
      </c>
      <c r="H9" t="inlineStr"/>
      <c r="I9" t="inlineStr">
        <is>
          <t>**WHAT YOU’LL DO**
 Viant’s Machine Learning team is at the forefront of transforming the Ad Tech industry through cutting\-edge machine learning and AI\-driven automation. By eliminating manual processes in digital ad creation, optimization, and measurement, we build autonomous, scalable systems that process hundreds of millions of events daily.
 We are seeking an exceptional Principal Applied Scientist to drive groundbreaking innovation in applied machine learning. In this role, you will lead end\-to\-end AI strategy, shape the applied science roadmap, and develop next\-generation models in NLP, deep learning, and large\-scale AI systems. Your expertise will push the boundaries of AI capabilities, delivering measurable business impact while fostering a research\-driven, data\-centric culture at Viant.
 THE DAY\-TO\-DAY
* Lead and Define AI Strategy – Set the vision for applied ML research and AI\-driven decision\-making across Viant’s products and services.
* Drive High\-Impact Research – Conduct advanced research in NLP, RL, LLMs, and deep learning, publishing in top\-tier conferences while applying findings to real\-world production systems.
* Architect and Deploy ML at Scale – Develop, optimize, and deploy high\-throughput, low\-latency ML models, collaborating with engineers to bring solutions into production.
* Innovate in Generative AI \&amp; Causal ML – Explore novel AI techniques, such as LLMs, reinforcement learning, and causal inference, to enhance targeting, personalization, and attribution models.
* Experimentation and Validation – Design, run, and analyze A/B experiments to test ML\-driven strategies, ensuring data\-driven decision\-making.
* Mentor and Influence – Provide technical leadership for a team of applied scientists and ML engineers, fostering a culture of innovation and excellence.
 MUST HAVE
* Experience: 7\+ years of experience building and deploying machine learning models at scale.
* Technical Leadership: Demonstrated ability to lead complex, high\-ambiguity ML projects from research to production.
* Academic \&amp; Industry Recognition: Masters \+ At least two peer\-reviewed publications in deep learning, NLP, or a related AI domain or a PhD in Computer Science, Machine Learning, Statistics, or a related quantitative field.
* Deep Expertise in ML \&amp; AI: Strong foundation in deep learning, NLP, generative AI, and causal inference.
* Programming \&amp; Frameworks: Proficiency in Python and deep learning frameworks (TensorFlow, PyTorch, LangChain, Llama Index).
* Scalability \&amp; Cloud: Experience with distributed computing, cloud ML platforms (AWS, GCP, or Azure), and real\-time AI inference.
 GREAT TO HAVE
* Industry Impact: Publications at top\-tier ML/NLP conferences (NeurIPS, ICML, ICLR, ACL, EMNLP, NAACL, AAAI).
* Ad Tech Expertise: Experience in digital advertising, real\-time bidding, or audience modeling.
* Generative AI Applications: Hands\-on experience with LLMs and multimodal AI applications.
* Optimization \&amp; Personalization: Strong background in reinforcement learning, dynamic pricing, or recommendation systems.
 LIFE AT VIANT
 Investing in our employee’s professional growth is important to us, but so is investing in their well\-being. That’s why Viant was voted one of the best places to work and some of our favorite employee benefits include
 **fully paid health insurance** 
 ,
 **paid parental leave** 
 and
 **unlimited PTO** 
 and more.
 Base compensation range: $220,000 \- $260,000
 In accordance with California law, the range provided is Viant’s reasonable estimate of the compensation for this role. Final title and compensation for the position will be based on several factors including work experience and education.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10">
      <c r="A10" t="inlineStr">
        <is>
          <t>li-4315313676</t>
        </is>
      </c>
      <c r="B10" t="inlineStr">
        <is>
          <t>Senior Data Scientist</t>
        </is>
      </c>
      <c r="C10" t="inlineStr">
        <is>
          <t>Best Buy</t>
        </is>
      </c>
      <c r="D10" t="inlineStr">
        <is>
          <t>linkedin</t>
        </is>
      </c>
      <c r="E10" t="inlineStr"/>
      <c r="F10" t="inlineStr"/>
      <c r="G10" t="inlineStr">
        <is>
          <t>Minneapolis, MN</t>
        </is>
      </c>
      <c r="H10" t="inlineStr"/>
      <c r="I10" t="inlineStr">
        <is>
          <t>As a
 **Senior Data Scientist,** 
 you will lead high\-impact analytics initiatives within our Ads Analytics team. In this manager\-level role, you’ll guide technical execution, mentor data scientists, and collaborate across teams to deliver insights that shape our advertising ecosystem.
 You’ll dive deep into experimental design, predictive modeling, and Bayesian statistics—while also helping build scalable analytics infrastructure and AI\-powered tools. If you love solving complex problems and translating data into clear, actionable strategies, this is the role for you.
**What You’ll Do**
* Lead analytics projects focused on ad performance, client measurement, and experimentation.
* Design and oversee experiments to evaluate product impact and optimize advertising outcomes.
* Build forecasting models and apply Bayesian frameworks to support strategic decisions.
* Develop scalable data pipelines and reporting tools across cloud platforms.
* Communicate insights through clear, compelling visualizations for technical and non\-technical audiences.
* Mentor junior data scientists and foster technical excellence across the team.
**Basic qualifications**
* 4\+ years of experience in data science roles focused on advertising, marketing analytics, or client measurement, with a strong ability to connect data insights to business strategy.
* 2\+ years of experience in experimental design, statistical modeling, and causal inference, with a conceptual understanding of how these methods support decision\-making and business impact.
* Proficient in Python or R and SQL, with 1\+ years of experience writing code that supports both analytical rigor and scalable data workflows.
* 1\+ year of experience working within cloud\-based data environments (e.g., GCP, AWS, Azure), with a conceptual understanding of cloud infrastructure and its role in scalable analytics.
* 2\+ years of experience leading data\-driven projects, influencing cross\-functional teams, and translating complex concepts into actionable strategies
* Bachelor's Degree on Statistics, Computer Science or a related field
**Preferred Qualifications**
* Advanced degree in Statistics, Computer Science, or a related field.
* Experience in ad tech or client\-facing analytics.
* Familiarity with AI/ML tools and their business applications.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Data Scientist, Location: Minneapolis, MN \- 55423</t>
        </is>
      </c>
    </row>
    <row r="11">
      <c r="A11" t="inlineStr">
        <is>
          <t>li-4305777752</t>
        </is>
      </c>
      <c r="B11" t="inlineStr">
        <is>
          <t>Data Scientist Graduate (TikTok Shop Business Product DS) - 2026 Start (PhD)</t>
        </is>
      </c>
      <c r="C11" t="inlineStr">
        <is>
          <t>TikTok</t>
        </is>
      </c>
      <c r="D11" t="inlineStr">
        <is>
          <t>linkedin</t>
        </is>
      </c>
      <c r="E11" t="inlineStr"/>
      <c r="F11" t="inlineStr"/>
      <c r="G11" t="inlineStr">
        <is>
          <t>Seattle, WA</t>
        </is>
      </c>
      <c r="H11" t="inlineStr"/>
      <c r="I11" t="inlineStr">
        <is>
          <t>**Responsibilities**
 TikTok Global E\-commerce Data Science team leverages rigorous data analysis and scientific methodologies to drive business growth, enhance operational efficiency, and improve the experience for users, merchants, and creators worldwide. The team conducts exploratory analyses and forward\-looking insights to identify market trends and user/merchant/creator behavioral patterns, uncovering opportunities for optimization. We design and interpret A/B tests, apply causal inference methodology to support product iterations for both to C and to B products. We also build foundational data infrastructure and develop dashboards to empower product, operations, engineering, and cross\-functional teams to monitor performance and identify areas for improvement. At TikTok, we champion a data science philosophy rooted in statistical rigor, data\-driven decision\-making, and scalable methodologies to support global e\-commerce expansion.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Online Assessment
 Candidates who pass resume screening will be invited to participate in TikTok's technical online assessment.
**Responsibilities:**
* Conduct data analysis for TikTok’s global e\-commerce products, covering areas such as creators \&amp; merchants, content e\-commerce, promotion tools, shoptap, and transaction flow;
* Design and analyze A/B tests, evaluate product optimizations, analyze campaign performance, monitor key metric fluctuations, and assess client\-side version updates;
* Analyze country\-specific factors influencing product optimization and business growth, and propose actionable product improvement solutions aligned with business direction;
* Collaborate closely with product managers, operations, engineering, and algorithm teams to implement data\-driven strategies and deliver measurable business impact;
* Build and maintain e\-commerce product metric systems, work with data engineering teams to construct foundational data pipelines and visual dashboards, and enable business stakeholders to gain actionable insights.
**Qualifications**
 Minimum Qualifications:
* Currently pursuing a PhD in Computer Science, Statistics, Econometrics, Mathematics or other quantitative disciplines;
* Proficient in data analysis tools and languages such as SQL, Python, or R;
* Solid foundation in statistics, with hands\-on experience in A/B testing, regression analysis, and causal inference; \- Strong data visualization skills and ability to clearly communicate analytical insights through dashboards and reports;
* Results\-driven, highly self\-motivated, and accountable; excellent team player with strong organizational and communication skills.
**Preferred Qualifications:**
* Currently pursuing a PhD in Computer Science, Statistics, Econometrics, Mathematics or other quantitative disciplines;
* Experience in cross\-border or international e\-commerce data analysis or modeling;
* Familiarity with machine learning frameworks or predictive modeling; hands\-on experience with tools such as Scikit\-learn, TensorFlow, or PyTorch;
* Experience working with big data technologies such as Hive, Spark, or Hadoop;
* Strong cross\-functional communication skills.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$136800 \- $228000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
      <c r="A12" t="inlineStr">
        <is>
          <t>li-4328287717</t>
        </is>
      </c>
      <c r="B12" t="inlineStr">
        <is>
          <t>Applied Scientist II</t>
        </is>
      </c>
      <c r="C12" t="inlineStr">
        <is>
          <t>Microsoft</t>
        </is>
      </c>
      <c r="D12" t="inlineStr">
        <is>
          <t>linkedin</t>
        </is>
      </c>
      <c r="E12" t="inlineStr"/>
      <c r="F12" t="inlineStr"/>
      <c r="G12" t="inlineStr">
        <is>
          <t>Redmond, WA</t>
        </is>
      </c>
      <c r="H12" t="inlineStr"/>
      <c r="I12" t="inlineStr">
        <is>
          <t>**Overview**
 We seek an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\#MicrosoftAI \#Search\#MAI \#BING \#ML\# \#NLP\#GenAI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
      <c r="A13" t="inlineStr">
        <is>
          <t>li-4328227807</t>
        </is>
      </c>
      <c r="B13" t="inlineStr">
        <is>
          <t>Senior Applied Scientist</t>
        </is>
      </c>
      <c r="C13" t="inlineStr">
        <is>
          <t>Microsoft</t>
        </is>
      </c>
      <c r="D13" t="inlineStr">
        <is>
          <t>linkedin</t>
        </is>
      </c>
      <c r="E13" t="inlineStr"/>
      <c r="F13" t="inlineStr"/>
      <c r="G13" t="inlineStr">
        <is>
          <t>Redmond, WA</t>
        </is>
      </c>
      <c r="H13" t="inlineStr"/>
      <c r="I13"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
      <c r="A14" t="inlineStr">
        <is>
          <t>li-4328630284</t>
        </is>
      </c>
      <c r="B14" t="inlineStr">
        <is>
          <t>Principal Data Scientist (CMS)</t>
        </is>
      </c>
      <c r="C14" t="inlineStr">
        <is>
          <t>General Dynamics Information Technology</t>
        </is>
      </c>
      <c r="D14" t="inlineStr">
        <is>
          <t>linkedin</t>
        </is>
      </c>
      <c r="E14" t="inlineStr"/>
      <c r="F14" t="inlineStr"/>
      <c r="G14" t="inlineStr"/>
      <c r="H14" t="inlineStr"/>
      <c r="I14" t="inlineStr">
        <is>
          <t>****Job Description:****
**Type of Requisition:**
 Regular
****Clearance Level Must Currently Possess:****
 None
****Clearance Level Must Be Able To Obtain:****
 None
****Public Trust/Other Required:****
 NACI (T1\)
****Job Family:****
 Data Science and Data Engineering
****Skills:****
**Job Qualifications:**
 Data Analysis, Data Science, Machine Learning (ML)
****Certifications:****
 None
****Experience:****
 8 \+ years of related experience
****US Citizenship Required:****
 No
****Job Description:****
 At GDIT, people are our differentiator. As a Principal Data Scientist you will help ensure today is safe and tomorrow is smarter. Our work depends on a Principal Data Scientist joining our team to support the Centers for Medicare \&amp; Medicaid Services (CMS) mission to conduct oversight, monitoring, and audits of the Medicare Drug Price Negotiation Program.
****Responsibilities:****
* Performs data analysis, interpretation, and reporting duties. Develops rules and methodologies for data collection and analysis.
* Works with a team to conduct analysis and present findings to our team and customer.
* Collaborate with leadership and team members to identify and create solutions to complex challenges.
* Use critical thinking and exploratory research to understand program rules and how data can provide insights to inform decision making.
* Incorporate business and technical processes in designing workflows across multiple applications to support program efficiency and compliance.
* Utilize analytic skills including ability to efficiently work with and integrate large datasets to uncover patterns and trends that are meaningful to program oversight and action.
****Required Skills:****
* Masters Degree and at least 8 years of related experience using technology to conduct analysis, develop models, and report findings.
* Must have experience conducting in depth analysis of healthcare data, including prescription drug claims.
* Experience using SQL, Python, Tableau, SAS or similar analytic and reporting tools.
****Desired Skills:****
* Excellent communication and problem\-solving skills
 The likely salary range for this position is $119,000 \- $161,000\.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5">
      <c r="A15" t="inlineStr">
        <is>
          <t>li-4328187996</t>
        </is>
      </c>
      <c r="B15" t="inlineStr">
        <is>
          <t>Member of Technical Staff, Data Scientist</t>
        </is>
      </c>
      <c r="C15" t="inlineStr">
        <is>
          <t>Microsoft</t>
        </is>
      </c>
      <c r="D15" t="inlineStr">
        <is>
          <t>linkedin</t>
        </is>
      </c>
      <c r="E15" t="inlineStr"/>
      <c r="F15" t="inlineStr"/>
      <c r="G15" t="inlineStr">
        <is>
          <t>Mountain View, CA</t>
        </is>
      </c>
      <c r="H15" t="inlineStr"/>
      <c r="I15"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(MS AI) is seeking an experienced Data Scientist to help build the next wave of capabilities of our personal AI, Copilot. We’re looking for someone who thinks deeply about measurement and human\-AI interactions\- in this role you help us describe and measure how people use Microsoft Copilot. We seek a versatile data scientist who can architect solutions that stand the test of time and who will bring an abundance of positive energy, empathy, and kindness to the team every day, in addition to being highly effective. The Data Science team is responsible for driving insights to build great products and guide business decisions using statistical analysis, machine learning, experiments, data mining, and data storytelling.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Develop metrics for Copilot usage and quality.
* Drive product insights, opportunity analysis, and track metrics to support Microsoft Copilot.
* Drive new ways of instrumentation and measurement approach to evaluate new feature performance through experimentation.
* Enable A\|B experimentation for new features.
* Hands\-on analysis of large volumes of telemetry data using various algorithms and tools including your own.
* Articulate insights, storyboard with data and communication to influence leadership and other key decision makers.
* Find a path to get things done despite roadblocks to get your work into the hands of users quickly and iteratively.
* Enjoy working in a fast\-paced, design\-driven, product development cycle.
* Embody our Culture and Values.
**Qualifications**
**Required Qualifications:**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data\-science experience (e.g., managing structured and unstructured data, applying statistical techniques and reporting results)
+ OR equivalent experience.
* Experience with prompt engineering and using LLMs.
* Experience building data pipelines to support analytics and experiment scenarios
* Experience working on product analytics to drive product improvements
* 1\+ years of experience in leveraging complex data, applied data science, developing sophisticated algorithms, executing large\-scale A/B testing, and possessing extensive product knowledge.
* Experience with metrics creation, predicting trend analysis, measuring traffic patterns, and assessing experimentation results.
* Proficiency in using one or more programming or scripting language like Python, R, C\# to work with data required.
* Dedication to writing clean, maintainable, and well\-documented code with a focus on application quality, performance, and security.
* Demonstrated interpersonal skills and ability to work closely with cross\-functional teams, including product managers, designers, and other engineers, while clearly communicating complex technical concepts to both technical and non\-technical stakeholders
* Keen interest in learning new technologies and staying up to date with industry trends, best practices, and emerging technologies in web development and AI.
* Ability to work in a fast\-paced environment, manage multiple priorities, and adapt to changing requirements and deadlines.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
      <c r="A16" t="inlineStr">
        <is>
          <t>li-4328198007</t>
        </is>
      </c>
      <c r="B16" t="inlineStr">
        <is>
          <t>Principal Applied Scientist</t>
        </is>
      </c>
      <c r="C16" t="inlineStr">
        <is>
          <t>Microsoft</t>
        </is>
      </c>
      <c r="D16" t="inlineStr">
        <is>
          <t>linkedin</t>
        </is>
      </c>
      <c r="E16" t="inlineStr"/>
      <c r="F16" t="inlineStr"/>
      <c r="G16" t="inlineStr">
        <is>
          <t>Redmond, WA</t>
        </is>
      </c>
      <c r="H16" t="inlineStr"/>
      <c r="I16" t="inlineStr">
        <is>
          <t>**Overview**
 The MSAI Search Relevance team is at the forefront of delivering world\-class search quality across Microsoft's ecosystem. We are the driving force behind the relevance of results in Copilot Search experiences and serve as the core retrieval layer in the RAG architecture powering Bizchat (CoPilot Chat). Our impact also extends to maintaining high search quality across traditional endpoints like Outlook, Teams, and SharePoint Search. Our team thrives at the intersection of innovation and applied machine learning.
 We are looking for a
 **Principal Applied Scientist** 
 to help us deliver breakthrough applied machine learning and information retrieval solutions at enterprise scale. This role is a unique opportunity to apply state\-of\-the\-art techniques\-including dense retrieval, hybrid search, multilingual large language models (LLMs), RAG (Retrieval\-Augmented Generation), and transformer\-based re\-ranking models and agentic search\-to solve complex challenges in Copilot\-driven enterprise search.
 As a Principal Applied Scientist, you'll be responsible for delivering mission\-critical innovations that directly improve Copilot experiences such as:
* Agentic Search in modern orchestrator architectures
* Adapting advanced vector search algorithms (e.g., FAISS, ANN, ScaNN) for enterprise\-scale semantic retrieval
* Improving classic and neural keyword search quality through deep language understanding
* Designing and training relevance models, including LLM fine\-tuning and learning\-to\-rank (LTR) approaches
* Building robust evaluation pipelines using offline metrics and online A/B experimentation
* Driving cross\-org collaboration with platform partners, other applied science teams, and product teams across time zones
 This role requires a mix of technical depth, strategic execution, and people management to shape the next generation of AI\-powered search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end\-to\-end applied science projects: From ideation and design to implementation, experimentation, and shipping, you will lead high\-impact projects that directly improve Copilot Chat, Copilot Search, and BizChat experiences. This includes identifying search and relevance gaps, formulating innovative hypotheses, and delivering scalable solutions.
* Inspire help to grow a high\-performing applied science team: mentor, and empower a team of applied scientists\-owning their technical direction, project execution, and career development. You will guide day\-to\-day work, ensure scientific and engineering rigor, and be accountable for the team's output and impact.
* Innovate with scientific rigor: Invent and apply cutting\-edge techniques in machine learning, natural language processing, and information retrieval to address real\-world challenges at enterprise scale. You will design novel approaches for improving retrieval, ranking, query understanding, and semantic search in Copilot systems.
* Document, share, and amplify learnings: Promote a culture of transparency and innovation by capturing experimental results, documenting methodology, and publishing internal learnings. You'll drive knowledge sharing that enables broader impact across the organization.
* Translate business goals into scientific strategy: Partner closely with product and business stakeholders to align team efforts with high\-priority objectives. You will translate ambiguous product requirements into clear, data\-driven, and technically feasible directions.
* Collaborate across organizations and time zones: Work cross\-functionally with platform engineering teams, peer science orgs, and product managers to ensure alignment, resolve dependencies, and unblock progress. You'll be a key bridge between applied science innovation and product delivery.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4\+ years experience in applied science projects from ideation to production\-in high\-scale environments such as search, recommendation, or conversational AI.
* 4\+ years experience in data analysis at scale, including working with logs, telemetry, and large datasets to uncover behavioral patterns, build evaluation datasets, and derive insights.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search and ranking systems, semantic retrieval, and information retrieval at scale.
* Applied experience with state\-of\-the\-art sparse and dense retrieval and ranking techniques.
* Experience with RAG (Retrieval\-Augmented Generation) architectures using LLMs such as OpenAI GPT, T5, or Llama.
* Experience with Fine\-tuning or prompt engineering of large\-scale language models for query rewriting, summarization, and document reranking.
* Familiarity with hybrid search strategies, learning\-to\-rank (LTR) frameworks, and evaluation methodologies for IR systems (offline metrics, A/B testing, relevance judgments).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
      <c r="A17" t="inlineStr">
        <is>
          <t>li-4328207796</t>
        </is>
      </c>
      <c r="B17" t="inlineStr">
        <is>
          <t>Principal Applied Scientist</t>
        </is>
      </c>
      <c r="C17" t="inlineStr">
        <is>
          <t>Microsoft</t>
        </is>
      </c>
      <c r="D17" t="inlineStr">
        <is>
          <t>linkedin</t>
        </is>
      </c>
      <c r="E17" t="inlineStr"/>
      <c r="F17" t="inlineStr"/>
      <c r="G17" t="inlineStr">
        <is>
          <t>Redmond, WA</t>
        </is>
      </c>
      <c r="H17" t="inlineStr"/>
      <c r="I17" t="inlineStr">
        <is>
          <t>**Overview**
 We are building large 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Principal Applied Scientist, you will define scientific vision and lead the development of both ML and LLM components. This includes designing robust models, driving experimentation, ensuring statistical rigor, and guiding the platform’s evolution toward greater automation, accuracy, and scalability. You will partner closely with engineering and product teams to translate research into reliable production systems, influence long\-term strategy, and deliver intelligence that enables smarter, faster, and more informed decisions.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the modeling strategy for the advertising recommendations platform, spanning classical machine learning (for analytics on structured data) and the use of generative AI. You will set the direction on which problems to tackle with ML (e.g. predictive modeling, anomaly detection, clustering) and how to leverage LLMs to maximize user understanding and value.
* Architect end\-to\-end machine learning pipelines – oversee the design of data processing workflows, feature stores, model training/validation routines, and deployment mechanisms that can reliably produce daily insights for all customers. Ensure these pipelines are scalable, efficient, and maintainable, working closely with data engineering leaders on implementation.
* Lead the incorporation of LLM\-based components for the platform’s intelligent narrative generation. This includes guiding the development of prompt frameworks, fine\-tuning strategies, and retrieval\-augmented techniques so that the system can answer complex sales questions and explain insights in conversational language.
* Oversee cross\-team initiatives and collaboration, coordinating with engineering, program management, and stakeholder teams. You will chair technical design reviews, balance priorities, and guarantee that the data science efforts align with product requirements and timelines.
* Mentor and develop the applied science team, providing technical guidance to other scientists and engineers. Champion best practices in experimentation, coding, and MLOps, and foster a culture of scientific excellence and continuous learning.
* Ensure robust evaluation and governance of all AI/ML solutions. You will establish metrics for success (accuracy, precision of alerts, coverage of insights), closely monitor model performance in production, and implement processes for periodic retraining, validation, and Responsible AI compliance (addressing bias, fairness, and transparency).
* Stay ahead of the curve by tracking emerging trends in AI, whether it’s new algorithms in anomaly detection or breakthroughs in large language models, and assess their potential to enhance the platform. Drive the incubation of innovative ideas, experimentally verify their benefits, and incorporate promising approaches to keep the platform technologically ahead and highly effective.
**Qualifications**
**Required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**Preferred Qualifications**
* 5\+ years of experience with developing and deploying machine learning solutions in production, with proven ownership of complex projects end\-to\-end (from problem formulation and data acquisition to model deployment and monitoring).
* 3\+ years of technical leadership experience in an applied science or data science team setting – this could include leading a team of scientists or acting as the key technical decision\-maker on cross\-discipline projects, with responsibility for delivering major features or systems.
* Extensive hands\-on expertise in ML techniques for predictive analytics, pattern recognition, and optimization. You should be comfortable selecting and tuning algorithms for regression, classification, clustering, time\-series forecasting, etc., and understand their trade\-offs.
* Strategic thinking and excellent communication abilities – capable of translating high\-level business objectives into technical plans and articulating complex AI concepts and project updates to senior leadership and non\-technical stakeholders.
* Proficiency in programming and data infrastructure – solid coding skills in a programming language commonly used in ML (Python, etc.), experience with machine learning frameworks (e.g. PyTorch, Tensorflow), and familiarity with data pipelines and databases.
* Experience with natural language processing and LLMs – a deep understanding of how large language models can be applied, and practical experience either using pre\-trained LLM APIs or training/fine\-tuning NLP models for tasks such as summarization, question\-answering, or conversational interfaces.
* Practical exposure applying LLMs to domain heavy contexts such as medical/health, farming/agriculture, social sciences, or related settings (e.g., domain adaptation, terminology grounding, retrieval augmented patterns) while adhering to privacy and Responsible AI expectations.
* Solid background in big data and cloud technologies – experience with Azure or similar cloud platforms for big data (Azure Synapse, Data Lake, etc.) and ML ops (Azure ML, MLflow), including building pipelines that handle streaming or real\-time data for immediate insights.
* Proven track record of innovation and impact – for example, contributions to significant AI products or platforms, authorship of influential research publications or patents, or recognized leadership in the data science community.
* High proficiency in MLOps and AI governance – experience setting up automated training, implementing continuous monitoring and alerting for model performance, and ensuring models meet security, compliance, and ethical standards.
* Excellent cross\-organizational leadership – ability to influence and drive alignment among teams with different priorities (engineering, sales, marketing, etc.), and to build consensus for ambitious technical initiatives that span multiple orgs or disciplines.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
      <c r="A18" t="inlineStr">
        <is>
          <t>li-4357450206</t>
        </is>
      </c>
      <c r="B18" t="inlineStr">
        <is>
          <t>Data Scientist - Python - Houston, TX - Up To $130,000 Per Year</t>
        </is>
      </c>
      <c r="C18" t="inlineStr">
        <is>
          <t>Hunter Bond</t>
        </is>
      </c>
      <c r="D18" t="inlineStr">
        <is>
          <t>linkedin</t>
        </is>
      </c>
      <c r="E18" t="inlineStr"/>
      <c r="F18" t="inlineStr"/>
      <c r="G18" t="inlineStr">
        <is>
          <t>Houston, TX</t>
        </is>
      </c>
      <c r="H18" t="inlineStr"/>
      <c r="I18" t="inlineStr">
        <is>
          <t>**Role:** 
 Data Scientist
**Location:** 
 Houston
**Comp:** 
 Up To $130,000 Per Year
**Type** 
 : Hybrid
**Overview** 
 A global, well\-established organisation operating in a complex, data\-driven commercial environment is expanding its analytics capability. The business works across multiple regions and relies heavily on data, technology, and quantitative insight to support decision\-making.
 This role sits within a collaborative technical team that partners closely with the business, focusing on practical analytics, modelling, and insight delivery rather than purely academic research.
**What you’ll do** 
* Work with structured and unstructured data to clean, transform, and prepare datasets for analysis
* Perform exploratory analysis to uncover trends, patterns, and actionable insights
* Support the development, testing, and improvement of statistical or machine\-learning models
* Create visualisations, reports, and analytical outputs for a range of stakeholders
* Collaborate with engineers, analysts, and business users to deliver data\-driven solutions
**What’s required** 
* A strong quantitative background in data science, statistics, computer science, or a related field
* Experience using Python\-based analytics tools and working with data programmatically
* Familiarity with common modelling techniques and data analysis approaches
* Comfort working with databases, queries, and basic data pipelines
* Strong problem\-solving skills and the ability to communicate insights clearly
 If this is you or someone you know please reach out now!</t>
        </is>
      </c>
    </row>
    <row r="19">
      <c r="A19" t="inlineStr">
        <is>
          <t>li-4368111972</t>
        </is>
      </c>
      <c r="B19" t="inlineStr">
        <is>
          <t>Senior Data Scientist</t>
        </is>
      </c>
      <c r="C19" t="inlineStr">
        <is>
          <t>Mochi Health</t>
        </is>
      </c>
      <c r="D19" t="inlineStr">
        <is>
          <t>linkedin</t>
        </is>
      </c>
      <c r="E19" t="inlineStr"/>
      <c r="F19" t="inlineStr"/>
      <c r="G19" t="inlineStr">
        <is>
          <t>San Francisco, CA</t>
        </is>
      </c>
      <c r="H19" t="inlineStr"/>
      <c r="I19"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**$150** 
**,000** 
**\- $22** 
**0,000**
 Full\-time / Onsite (5 days/week)
**About The Role**
 We’re a telehealth company helping people lose weight at scale. Experimentation is central to our growth and patient experience—we need to know what truly works, what doesn’t, and why. We’re looking for a Senior Data Scientist who thrives on designing, running, and interpreting experiments across product, pharmacy, and design. You’ll work side\-by\-side with clinicians, designers, and engineers to push forward a culture of evidence\-based decision\-making.
 This role is ideal for someone who wants to set the standard for how experiments are run at Mochi Health—bringing statistical rigor, practical intuition, and a deep sense of ownership.
 What You’ll Do
* Own the design and execution of experiments (A/B tests, quasi\-experiments) across pharmacy, design, and product flows
* Partner with design and pharmacy teams to ideate, prioritize, and scope impactful experiments
* Build frameworks and tools to standardize experimentation and causal inference across teams
* Ensure experiment integrity—sample sizing, randomization, stopping rules, multiple\-testing corrections
* Move beyond binary “did it win?” to nuanced insights: heterogeneous treatment effects, and trade\-offs
* Automate experiment reporting and integrate results into dashboards / internal tools
* Mentor teammates and set best practices for experimentation at the company
 Who You Are
* Bachelor’s or Master’s in a quantitative field (e.g., Statistics, Engineering, Economics)
* Bachelor’s, Master’s, or PhD in a quantitative field (e.g., Statistics, Computer Science, Economics)
* 4\+ years of industry experience in applied experimentation (growth or product preferred)
* Deep expertise in causal inference methods (A/B testing, DiD, matching, Bayesian methods)
* Strong Python and SQL skills; capable of building reusable frameworks, not just one\-off analyses
* Clear communicator who can translate complex experimental results into actionable recommendations
* Comfortable with ambiguity, fast iteration, and working across very different teams (Example: pharmacy, design, ops)
* Motivated by impact \- you want your work to directly shape patient care and company growth
**Life at Mochi**
 At Mochi, we believe your best work happens when you feel your best—so we’ve designed an environment that fuels your creativity, supports your growth, and makes every day exciting.
**Daily Meals and Espresso Bar \-** 
 Breakfast, lunch, and dinner every weekday. Our on\-site barista keeps the espresso and matcha flowing all day
**Pre\-Tax Commuter Perks \-** 
 Save on transit and parking through pre\-tax commuter benefits
**Top\-of\-Market Compensation \-** 
 We offer competitive salaries along with generous equity packages so you can share in the success you help create
**Profitable and Rapid Growth \-** 
 We’re scaling fast, with financial discipline and long\-term vision. No VC constraints, just sustainable momentum and smart decisions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**Time to Recharge** 
 – Enjoy unlimited PTO, generous company holidays, and true flexibility. We trust you to take the time you need to rest, reset, and thrive.
**Wellness First** 
 – From weekly mindfulness sessions to group workouts and fitness perks, your physical and mental health are top priority
**Team Socials and Community \-** 
 We make time to connect through regular socials, happy hours, and spontaneous events. Our stocked kitchen doesn’t hurt either
**Downtown SF HQ \-** 
 Our San Francisco office is just steps from BART, Muni, and great food. It’s designed for deep work and casual collaboration
 The base salary for this full\-time position ranges from $150,000 to $220,000,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20">
      <c r="A20" t="inlineStr">
        <is>
          <t>li-4367752857</t>
        </is>
      </c>
      <c r="B20" t="inlineStr">
        <is>
          <t>Data Scientist</t>
        </is>
      </c>
      <c r="C20" t="inlineStr">
        <is>
          <t>RemoteHunter</t>
        </is>
      </c>
      <c r="D20" t="inlineStr">
        <is>
          <t>linkedin</t>
        </is>
      </c>
      <c r="E20" t="inlineStr"/>
      <c r="F20" t="inlineStr"/>
      <c r="G20" t="inlineStr"/>
      <c r="H20" t="inlineStr"/>
      <c r="I20"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li-4367757835</t>
        </is>
      </c>
      <c r="B21" t="inlineStr">
        <is>
          <t>Data Scientist | Clinical AI</t>
        </is>
      </c>
      <c r="C21" t="inlineStr">
        <is>
          <t>RemoteHunter</t>
        </is>
      </c>
      <c r="D21" t="inlineStr">
        <is>
          <t>linkedin</t>
        </is>
      </c>
      <c r="E21" t="inlineStr"/>
      <c r="F21" t="inlineStr"/>
      <c r="G21" t="inlineStr"/>
      <c r="H21" t="inlineStr"/>
      <c r="I21"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li-4368130085</t>
        </is>
      </c>
      <c r="B22" t="inlineStr">
        <is>
          <t>Lead Data Scientist</t>
        </is>
      </c>
      <c r="C22" t="inlineStr">
        <is>
          <t>Arcadia</t>
        </is>
      </c>
      <c r="D22" t="inlineStr">
        <is>
          <t>linkedin</t>
        </is>
      </c>
      <c r="E22" t="inlineStr"/>
      <c r="F22" t="inlineStr"/>
      <c r="G22" t="inlineStr"/>
      <c r="H22" t="inlineStr"/>
      <c r="I22" t="inlineStr">
        <is>
          <t>**Who We Are** 
 Arcadia is the global utility data and energy solutions platform. With our leading data platform, AI\-powered analytics, industry expertise, and expansive partner network, we deliver solutions for every stage of the enterprise energy management lifecycle across carbon, cost, and reliability. 
 Arcadia’s Enterprise Energy Management Solutions are built on a foundational data platform that has been developed for over a decade and scaled across millions of customer facilities.  We transform fragmented data and siloed processes into coordinated, enterprise\-wide action with comprehensive solutions including:
* Utility Bill Management:  Lower utility costs and streamline bill management with automated bill payment, proactive error identification, optimized tariff structures, and budgeting \&amp; forecasting.
* Energy Procurement Advisory: Source clean energy through a comprehensive evaluation of supply options \- including traditional retail options and onsite and offsite resources — to effectively manage risks, reduce costs, and achieve corporate sustainability goals.
* Sustainability Reporting:  Achieve compliance goals and track carbon emissions with standardized energy data and seamless integration with leading sustainability platforms.
 Tackling an enterprise client’s most critical energy challenges requires out\-of\-the\-box thinking \&amp; diverse perspectives. We’re building a team of individuals from different backgrounds, industries, \&amp; educational experiences. If you share our passion for ushering in the era of the clean, cost\-effective electrons, we look forward to learning what you would uniquely bring to Arcadia!
**What we’re looking for:** 
 We are seeking an innovative and results\-oriented  Lead Data Scientist with a strong understanding of machine learning, generative AI, and data\-driven product development to join our dynamic AI Strategy and Development Team. This pivotal role focuses on architecting and implementing cutting\-edge AI solutions for the energy sector, working directly with leadership to shape our technical vision and product roadmap. This role will initially report to SVP, R\&amp;D.
 Arcadia is remote\-first and employees have access to co\-working spaces. We are open to candidates based in Washington DC or New York.
 **What you'll do:** 
* Collaborate directly with executive leadership to shape the technical AI strategy and product development at Arcadia
* Efficiently develop notebook\-based and agentic solutions for internal and external customers, utilizing AI models, and Arcadia’s APIs and data
* Lead the development and integration of Gen\-AI models and agents into Arcadia’s products and processes
* Design and implement Machine Learning algorithms for critical energy applications, including forecasting, anomaly detection, and energy optimization
* Partner with data teams, Arcadia’s subject matter experts, and customer teams to seek, understand, validate, interpret, and correctly use data, models, and outputs.
* Work with engineering to integrate models into the Arcadia Platform, contributing to design documents, code commits, and AI product documentation
* Contribute code to enhance our platform’s  AI and data capabilities
* Collaborate effectively with remote team members
**What will help you succeed:** 
* Gen AI experience \- both in the development of agentic / LLM\-based product features and the use of Gen AI\-based products in day\-to\-day model development
* 2\-5 years of experience developing Machine Learning/AI\-based systems  in an iiterative or dynamic/agile development environment. Experience in the energy sector is preferred.
* A minimum of 10\-12 years of technical experience in data and/or engineering
* Master’s or Doctoral degree in Computer Science, Electrical Engineering, Statistics, or equivalent fields.
* Practical experience with Applied Machine Learning techniques, including  regression, classification, and supervised/unsupervised learning
* Fluency with Python or R, SQL, and Java or JavaScript
* Experience with software engineering for real\-world applications (ideally through professional experience)
* Strong foundation in mathematics including, linear algebra, calculus, probability, and statistics
* Experience with scalable machine learning (MapReduce, streaming).
* Experience with time series and dynamical systems.
* Ability to manage projects and work efficiently independently and collaboratively
* Ability to quickly formulate and document assumptions to advance projects
* Strong commitment to continuous learning and professional growth,  solution\-oriented, and committed to making a positive impact
* Ability to communicate complex technical concepts to both technical and non\-technical stakeholders
* Prepared to share project portfolio (GitHub, papers, etc.).
**Benefits:** 
* "Remote first" culture \- work anywhere in the US as long as you have a reliable internet connection
* Flexible PTO \- no accrued hours and no limit on the number of vacation days exempt employees can take each year
* 12 annual holidays
* 10 days sick leave
* Up to 4 weeks bereavement leave
* 2 volunteer days off
* 2 professional development days off
* 12 weeks paid parental leave for
 *all* 
 parents
* 75\-95% employer cost coverage for medical, dental, and vision benefits for employees and dependents
**Eliminating carbon footprints, eliminating carbon copies.** 
 Here at Arcadia, we cultivate diversity, celebrate individuality, and believe unique perspectives are key to our collective success in creating a clean energy future. Arcadia is committed to equal employment opportunities regardless of race, color, religion, gender, sexual orientation, gender identity or expression, national origin, age, disability, genetic information, protected veteran status, or any status protected by applicable federal, state, or local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by emailing careers@arcadia.com prior to completing your application..
 Target Base Range for this role will be $146,250 to $262,000\. There will also be a competitive benefits and equity component to the package. The exact compensation at which this job is filled will be determined by the skills, experience, and location of the qualified candidate. Please note that we are unable to offer visa sponsorship for this position at this time.
**Automated Screening Technology:** 
 To ensure a fair and timely review of the high volume of applications we receive, Arcadia may utilize AI\-assisted technologies to help our team identify candidates who best meet the qualification criteria for this role (based on skills, experience, and education).
*Please Note:* 
 Automated tools provide recommendations based on your resume content and application questions. While we may use automated screening for basic eligibility (e.g., visa status, location),
 **employment decisions regarding qualifications are not made solely by AI without human oversight.** 
**Data Privacy \&amp; California Residents:** 
 You voluntarily provide personal information (such as your resume, contact details, and assessment responses) when submitting an application. We may use this to evaluate your candidacy and derive inferences from this data to match your profile with open roles. For California Residents: This collection is consistent with the CCPA. You have the right to request access to or deletion of your data by contacting careers@arcadia.com
 \*Visa Sponsorship
* **Select R\&amp;D \&amp; Data roles:** 
 We are proud to offer visa sponsorship opportunities for qualified candidates interested in joining our team
* **Other roles:** 
 Please note that we are unable to offer visa sponsorship for this position at this time
 Thank you</t>
        </is>
      </c>
    </row>
    <row r="23">
      <c r="A23" t="inlineStr">
        <is>
          <t>li-4366044240</t>
        </is>
      </c>
      <c r="B23" t="inlineStr">
        <is>
          <t>Senior Data Scientist - ML &amp; Operational Analytics</t>
        </is>
      </c>
      <c r="C23" t="inlineStr">
        <is>
          <t>Jobs via Dice</t>
        </is>
      </c>
      <c r="D23" t="inlineStr">
        <is>
          <t>linkedin</t>
        </is>
      </c>
      <c r="E23" t="inlineStr"/>
      <c r="F23" t="inlineStr"/>
      <c r="G23" t="inlineStr">
        <is>
          <t>Washington, DC</t>
        </is>
      </c>
      <c r="H23" t="inlineStr"/>
      <c r="I23" t="inlineStr">
        <is>
          <t>RESPONSIBILITIES:
 Kforce has a client in Washington, DC that is seeking a Senior Data Scientist \- ML \&amp; Operational Analytics.
 Responsibilities:
* Build and deploy ML models (regression, classification, time\-series) for operational use cases
* Perform data preparation, feature engineering, and ensure data quality
 REQUIREMENTS:
* MS in Computer Science, Statistics, Mathematics, Engineering, Physics, or related quantitative field
* 5\+ years of experience in data science with operational analytics
* Proficiency in Python, R, SQL, and ML libraries
* Strong statistical foundation (probability, inference, regression, experimental design)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4">
      <c r="A24" t="inlineStr">
        <is>
          <t>li-4368124396</t>
        </is>
      </c>
      <c r="B24" t="inlineStr">
        <is>
          <t>Data Scientist</t>
        </is>
      </c>
      <c r="C24" t="inlineStr">
        <is>
          <t>Block</t>
        </is>
      </c>
      <c r="D24" t="inlineStr">
        <is>
          <t>linkedin</t>
        </is>
      </c>
      <c r="E24">
        <f>HYPERLINK("https://www.linkedin.com/jobs/view/4368124396", "https://www.linkedin.com/jobs/view/4368124396")</f>
        <v/>
      </c>
      <c r="F24" t="inlineStr"/>
      <c r="G24" t="inlineStr"/>
      <c r="H24" t="inlineStr"/>
      <c r="I24" t="inlineStr">
        <is>
          <t>**About The Company** 
 Since its inception in 2009, Block has been at the forefront of transforming the world of commerce through innovative financial technology solutions. Originally focused on enabling seamless payment processing for merchants, the company has expanded its offerings to include comprehensive software solutions that support omnichannel selling, inventory management, buy now, pay later functionalities, appointment booking, customer engagement, and staff management. Embedded within its platform are financial services tools that allow merchants to access business loans and manage cash flow efficiently. With a mission to empower sellers of all sizes—from small startups to large enterprise businesses—Block continues to develop solutions that unlock growth, foster competition, and enable merchants to capture the next generation of shoppers. Its commitment to building a more inclusive economy and fostering long\-term partnerships underscores its position as a leader in the fintech space, supporting millions of businesses worldwide.
**About The Role** 
 We are seeking an experienced Data Scientist to join Block’s AI, Data, and Analytics (AiDA) team, supporting the Financial Platform (FinPlat) organization. This role focuses on the acquiring side of payment processing, involving A/B testing, reporting, strategic analysis, and automation initiatives. FinPlat functions as the central nervous system of Block, facilitating the movement and ledgering of funds across our core businesses—Square, Cash App, and AfterPay. The successful candidate will leverage data to optimize transaction costs, improve authorization rates, and uncover insights that drive financial impact. This position offers the opportunity to influence product roadmaps, guide financial operations, and build comprehensive data products from raw event data to actionable insights and machine learning models. Collaboration with engineering and operational teams is essential to foster a data\-driven culture that enhances financial performance and customer experience. The role provides a unique opportunity to work at the intersection of finance, technology, and analytics, shaping the future of payments and financial services at Block.
**Qualifications** 
* 12\+ years of relevant experience in data science, preferably within payment analytics, chargebacks, or related fields, with a Bachelor’s degree; or 8\+ years with a Master’s degree; or a PhD with 5\+ years of experience; or equivalent professional experience.
* Bachelor’s degree or higher in a technical discipline such as Engineering, Physics, Mathematics, Computer Science, or related fields.
* Proven expertise in hypothesis testing, causal inference, and high\-impact problem solving in ambiguous environments.
* Strong hands\-on experience in building data pipelines, architectures, and scalable analytics solutions.
* Excellent communication skills with the ability to build relationships with cross\-functional teams and influence product development through data\-driven insights.
* Advanced proficiency in SQL, Python, and data visualization tools such as Looker.
* Experience working on complex problems with significant business impact, demonstrating innovative and efficient resolutions.
**Responsibilities** 
* Establish subject\-matter expertise in payment rails, including card networks (prepaid, debit, credit) and bank rails (wire, ACH, direct deposit).
* Influence product roadmaps by providing data\-driven insights and guiding the Financial Operations team through opportunities and challenges.
* Design, develop, and deploy end\-to\-end data products, transforming raw event data into actionable insights and machine learning models.
* Partner with engineering and operational leadership to foster a culture of data\-driven decision making that impacts financial outcomes.
* Develop and evangelize innovative data solutions to enhance analytics capabilities, insightfulness, and operational efficiency.
* Perform A/B testing, reporting, and strategic analysis to inform product features and optimize transaction processes.
* Automate data workflows and create scalable solutions to support ongoing analytics and reporting needs.
* Stay current with industry trends and advancements in data science, applying best practices to improve processes and outcomes.
**Benefits** 
* Comprehensive health, dental, and vision insurance plans to support your well\-being.
* Flexible work arrangements including remote work options.
* Generous paid time off and holidays to promote work\-life balance.
* Retirement savings plans with company matching contributions.
* Modern family planning and parental leave benefits.
* Professional development opportunities and ongoing learning programs.
* A collaborative and inclusive workplace culture that values diversity and innovation.
 Equal Opportunity
 Block is an equal opportunity employer committed to fostering an inclusive workplace. We evaluate all employees and job applicants without regard to race, color, religion, gender, gender identity or expression, sexual orientation, national origin, age, disability, or any other legally protected status.</t>
        </is>
      </c>
    </row>
    <row r="25">
      <c r="A25" t="inlineStr">
        <is>
          <t>li-4368110622</t>
        </is>
      </c>
      <c r="B25" t="inlineStr">
        <is>
          <t>Data Scientist</t>
        </is>
      </c>
      <c r="C25" t="inlineStr">
        <is>
          <t>Pinterest</t>
        </is>
      </c>
      <c r="D25" t="inlineStr">
        <is>
          <t>linkedin</t>
        </is>
      </c>
      <c r="E25">
        <f>HYPERLINK("https://www.linkedin.com/jobs/view/4368110622", "https://www.linkedin.com/jobs/view/4368110622")</f>
        <v/>
      </c>
      <c r="F25">
        <f>HYPERLINK("https://www.wiraa.com/job-description/usBE6E0554B3E4FB462E28756BACC6A06E?source=Linkedin&amp;urlHash=6y_K", "https://www.wiraa.com/job-description/usBE6E0554B3E4FB462E28756BACC6A06E?source=Linkedin&amp;urlHash=6y_K")</f>
        <v/>
      </c>
      <c r="G25" t="inlineStr"/>
      <c r="H25" t="inlineStr"/>
      <c r="I25" t="inlineStr">
        <is>
          <t>**About The Company** 
 Pinterest is a global platform that inspires millions of users to discover and curate creative ideas across diverse interests, from home decor and fashion to travel and technology. With a mission to bring everyone the inspiration to create a life they love, Pinterest fosters a vibrant community where users can dream, plan, and bring their visions to life. The company is committed to innovation, inclusivity, and empowering its employees to make a meaningful impact through cutting\-edge technology and collaborative culture. As a leader in the technology and social media space, Pinterest continuously evolves to enhance user experience and provide valuable insights to businesses and creators worldwide.
**About The Role** 
 We are seeking a highly skilled and experienced Lead Data Scientist specializing in forecasting and time\-series analysis to join our dynamic team. In this pivotal role, you will serve as the technical leader for our forecasting team, spearheading the development and deployment of advanced models that predict key company metrics such as monthly active users. Your expertise will drive strategic decision\-making, operational efficiency, and business growth through accurate and interpretable forecasts. You will oversee the entire modeling lifecycle—from problem framing and feature engineering to model deployment and monitoring—while collaborating closely with engineering, product, and business teams. This role offers an exciting opportunity to shape the technical vision of Pinterest’s forecasting capabilities, influence high\-level strategic decisions, and mentor a team of talented data scientists. The ideal candidate will have a strong background in time\-series modeling, applied statistics, and experience working with web\-scale data, with a passion for translating complex analyses into actionable insights for senior leadership.
**Qualifications** 
* 8\+ years of experience building and deploying production\-level time\-series and forecasting models with large\-scale data
* Proven track record of delivering well\-calibrated, adjustable, and explainable forecasting systems that inform decision\-making
* Strong expertise in time\-series modeling, applied statistics, and econometrics
* Advanced degree (MS or PhD) in Computer Science, Statistics, Data Science, or related field preferred
* Proficiency in scripting languages, especially Python
* Strong SQL skills (Hive, Presto, Spark SQL) and experience developing reliable data pipelines (e.g., Airflow)
* Business acumen with the ability to connect model outputs to strategic business levers and impact
* Excellent communication skills, capable of translating complex analyses into clear narratives for executive audiences
* Demonstrated technical leadership, with experience leading critical projects and mentoring team members
**Responsibilities** 
* Act as the technical lead for the forecasting team, setting the vision and strategy for modeling efforts
* Own the end\-to\-end lifecycle of forecasting models including problem framing, feature engineering, development, experimentation, deployment, and monitoring
* Design and define model architectures and standards in collaboration with engineering teams to ensure scalability and efficiency
* Translate forecast outputs into strategic insights and decision frameworks; present findings to senior leadership with clarity and impact
* Drive innovation in broader time\-series applications such as anomaly detection, root\-cause analysis, attribution, and early warning systems
* Partner with Business Operations, Finance, and product teams to embed forecasting insights into operational workflows and strategic planning
* Mentor and guide at least two data scientists, fostering technical excellence and impact\-driven work
* Continuously evaluate and improve forecasting models to adapt to changing data patterns and business needs
**Benefits** 
* Competitive salary package aligned with experience and skills
* Equity options to share in the company's growth and success
* Flexible working arrangements including remote and in\-office collaboration as needed
* Comprehensive health, dental, and vision insurance plans
* Generous paid time off and family leave policies
* Professional development opportunities and continuous learning support
* Inclusive, equitable, and inspiring workplace environment
 Equal Opportunity
 Pinterest is an equal opportunity employer. We are committed to creating a diverse and inclusive workplace where all employees are valued and respected. Employment decisions are made based on merit, qualifications, and business needs without regard to race, color, religion, gender, gender identity, sexual orientation, age, marital status, national origin, disability, veteran status, or any other protected characteristic under applicable law.</t>
        </is>
      </c>
    </row>
    <row r="26">
      <c r="A26" t="inlineStr">
        <is>
          <t>li-4368124395</t>
        </is>
      </c>
      <c r="B26" t="inlineStr">
        <is>
          <t>Data Scientist, Sr.</t>
        </is>
      </c>
      <c r="C26" t="inlineStr">
        <is>
          <t>Waymo</t>
        </is>
      </c>
      <c r="D26" t="inlineStr">
        <is>
          <t>linkedin</t>
        </is>
      </c>
      <c r="E26">
        <f>HYPERLINK("https://www.linkedin.com/jobs/view/4368124395", "https://www.linkedin.com/jobs/view/4368124395")</f>
        <v/>
      </c>
      <c r="F26" t="inlineStr"/>
      <c r="G26" t="inlineStr"/>
      <c r="H26" t="inlineStr"/>
      <c r="I26" t="inlineStr">
        <is>
          <t>**About The Company** 
 Waymo is a pioneering autonomous driving technology company dedicated to transforming mobility and enhancing safety on roads worldwide. Originating from the Google Self\-Driving Car Project in 2009, Waymo has established itself as a leader in the development of self\-driving systems. The company's core mission is to become the world's most trusted driver by deploying the Waymo Driver—The World's Most Experienced Driver™—which powers its fully autonomous ride\-hail service and can be integrated into various vehicle platforms for diverse use cases. With over ten million rider\-only trips completed and more than 100 million miles driven on public roads across 15\+ U.S. states, Waymo continues to push the boundaries of autonomous vehicle technology. The company’s commitment to safety, innovation, and scalable deployment positions it at the forefront of the mobility revolution.
**About The Role** 
 Waymo is seeking a highly skilled Data Science Lead for Onboard Behavioral Evaluation to join its team. In this critical role, you will lead a specialized data science team responsible for providing early insights into the behavioral performance of the Waymo Driver across new hardware platforms and territories. Your primary focus will be on ensuring that the evaluation methodologies maintain the highest standards of rigor and safety while enabling scalable and actionable insights. You will collaborate closely with engineering, product, and data science teams to develop and adapt evaluation frameworks that support rapid deployment and continuous improvement of autonomous driving systems. As a technical leader, you will also act as an expert in behavioral software, ML models, and statistical methods, guiding the team in solving complex, ambiguous problems and driving data\-driven decision\-making processes. This hybrid position reports to the DS Lead for Onboard Behavioral Evaluation and offers an exciting opportunity to impact the future of autonomous mobility.
**Qualifications** 
* Degree in a quantitative field such as Statistics, Mathematics, Physics, or related disciplines
* Either a PhD in a quantitative field with 7\+ years of industry experience or 9\+ years of relevant industry experience in data science
* Proven experience as a technical lead in a broad data science domain
* Expertise in advanced statistical methods applied in real\-world settings
* Familiarity with machine learning systems and models
* Proficiency with data analysis libraries and packages in Python, R, and SQL
* Strong problem\-solving skills with the ability to scope and prioritize technical initiatives
* Excellent communication skills for stakeholder engagement and technical presentations
**Responsibilities** 
* Lead the development of efficient, opinionated evaluation methodologies for behavioral performance across new territories and vehicle platforms, ensuring scalability and consistency
* Establish and uphold high standards for evaluation rigor to ensure confidence in behavioral signals used for decision\-making
* Identify gaps in current evaluation signals and work proactively to enhance their actionability and reliability
* Design and adapt evaluation frameworks to accommodate evolving hardware and geographical deployment scenarios
* Leverage behavioral evaluation tools to deliver rapid, actionable feedback that informs release readiness and deployment strategies
* Communicate evaluation findings effectively to senior stakeholders, supporting strategic decision\-making
* Collaborate with product, engineering, and data science leads to align on roadmaps and unlock key deployment milestones
* Become an expert in the behavioral software underpinning the Waymo Driver, including large\-scale ML models, and serve as an approver for behavioral software changes
* Contribute technically to projects, mentor data scientists, and lead technical initiatives to solve complex problems
* Champion data science excellence and foster a culture of continuous improvement within the team
**Benefits** 
* Competitive salary package within the range of $281,000—$356,000 USD, commensurate with experience and location
* Participation in Waymo’s discretionary annual bonus program
* Equity incentive plan providing ownership opportunities
* Comprehensive health, dental, and vision insurance plans
* Generous paid time off and holiday policies
* Professional development opportunities and continuous learning support
* Flexible hybrid work environment to support work\-life balance
* Access to innovative projects at the forefront of autonomous vehicle technology
 Equal Opportunity
 Waymo is an equal opportunity employer committed to fostering an inclusive environment for all employees. We celebrate diversity and are dedicated to creating a workplace that reflects the communities we serve. All qualified applicants will receive consideration for employment without regard to race, color, religion, gender, gender identity or expression, sexual orientation, national origin, age, disability, or veteran status.</t>
        </is>
      </c>
    </row>
    <row r="27">
      <c r="A27" t="inlineStr">
        <is>
          <t>li-4357450206</t>
        </is>
      </c>
      <c r="B27" t="inlineStr">
        <is>
          <t>Data Scientist - Python - Houston, TX - Up To $130,000 Per Year</t>
        </is>
      </c>
      <c r="C27" t="inlineStr">
        <is>
          <t>Hunter Bond</t>
        </is>
      </c>
      <c r="D27" t="inlineStr">
        <is>
          <t>linkedin</t>
        </is>
      </c>
      <c r="E27">
        <f>HYPERLINK("https://www.linkedin.com/jobs/view/4357450206", "https://www.linkedin.com/jobs/view/4357450206")</f>
        <v/>
      </c>
      <c r="F27" t="inlineStr"/>
      <c r="G27" t="inlineStr">
        <is>
          <t>Houston, TX</t>
        </is>
      </c>
      <c r="H27" t="inlineStr"/>
      <c r="I27" t="inlineStr">
        <is>
          <t>**Role:** 
 Data Scientist
**Location:** 
 Houston
**Comp:** 
 Up To $130,000 Per Year
**Type** 
 : Hybrid
**Overview** 
 A global, well\-established organisation operating in a complex, data\-driven commercial environment is expanding its analytics capability. The business works across multiple regions and relies heavily on data, technology, and quantitative insight to support decision\-making.
 This role sits within a collaborative technical team that partners closely with the business, focusing on practical analytics, modelling, and insight delivery rather than purely academic research.
**What you’ll do** 
* Work with structured and unstructured data to clean, transform, and prepare datasets for analysis
* Perform exploratory analysis to uncover trends, patterns, and actionable insights
* Support the development, testing, and improvement of statistical or machine\-learning models
* Create visualisations, reports, and analytical outputs for a range of stakeholders
* Collaborate with engineers, analysts, and business users to deliver data\-driven solutions
**What’s required** 
* A strong quantitative background in data science, statistics, computer science, or a related field
* Experience using Python\-based analytics tools and working with data programmatically
* Familiarity with common modelling techniques and data analysis approaches
* Comfort working with databases, queries, and basic data pipelines
* Strong problem\-solving skills and the ability to communicate insights clearly
 If this is you or someone you know please reach out now!</t>
        </is>
      </c>
    </row>
    <row r="28">
      <c r="A28" t="inlineStr">
        <is>
          <t>li-4368111972</t>
        </is>
      </c>
      <c r="B28" t="inlineStr">
        <is>
          <t>Senior Data Scientist</t>
        </is>
      </c>
      <c r="C28" t="inlineStr">
        <is>
          <t>Mochi Health</t>
        </is>
      </c>
      <c r="D28" t="inlineStr">
        <is>
          <t>linkedin</t>
        </is>
      </c>
      <c r="E28">
        <f>HYPERLINK("https://www.linkedin.com/jobs/view/4368111972", "https://www.linkedin.com/jobs/view/4368111972")</f>
        <v/>
      </c>
      <c r="F28" t="inlineStr"/>
      <c r="G28" t="inlineStr">
        <is>
          <t>San Francisco, CA</t>
        </is>
      </c>
      <c r="H28" t="inlineStr"/>
      <c r="I28"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**$150** 
**,000** 
**\- $22** 
**0,000**
 Full\-time / Onsite (5 days/week)
**About The Role**
 We’re a telehealth company helping people lose weight at scale. Experimentation is central to our growth and patient experience—we need to know what truly works, what doesn’t, and why. We’re looking for a Senior Data Scientist who thrives on designing, running, and interpreting experiments across product, pharmacy, and design. You’ll work side\-by\-side with clinicians, designers, and engineers to push forward a culture of evidence\-based decision\-making.
 This role is ideal for someone who wants to set the standard for how experiments are run at Mochi Health—bringing statistical rigor, practical intuition, and a deep sense of ownership.
 What You’ll Do
* Own the design and execution of experiments (A/B tests, quasi\-experiments) across pharmacy, design, and product flows
* Partner with design and pharmacy teams to ideate, prioritize, and scope impactful experiments
* Build frameworks and tools to standardize experimentation and causal inference across teams
* Ensure experiment integrity—sample sizing, randomization, stopping rules, multiple\-testing corrections
* Move beyond binary “did it win?” to nuanced insights: heterogeneous treatment effects, and trade\-offs
* Automate experiment reporting and integrate results into dashboards / internal tools
* Mentor teammates and set best practices for experimentation at the company
 Who You Are
* Bachelor’s or Master’s in a quantitative field (e.g., Statistics, Engineering, Economics)
* Bachelor’s, Master’s, or PhD in a quantitative field (e.g., Statistics, Computer Science, Economics)
* 4\+ years of industry experience in applied experimentation (growth or product preferred)
* Deep expertise in causal inference methods (A/B testing, DiD, matching, Bayesian methods)
* Strong Python and SQL skills; capable of building reusable frameworks, not just one\-off analyses
* Clear communicator who can translate complex experimental results into actionable recommendations
* Comfortable with ambiguity, fast iteration, and working across very different teams (Example: pharmacy, design, ops)
* Motivated by impact \- you want your work to directly shape patient care and company growth
**Life at Mochi**
 At Mochi, we believe your best work happens when you feel your best—so we’ve designed an environment that fuels your creativity, supports your growth, and makes every day exciting.
**Daily Meals and Espresso Bar \-** 
 Breakfast, lunch, and dinner every weekday. Our on\-site barista keeps the espresso and matcha flowing all day
**Pre\-Tax Commuter Perks \-** 
 Save on transit and parking through pre\-tax commuter benefits
**Top\-of\-Market Compensation \-** 
 We offer competitive salaries along with generous equity packages so you can share in the success you help create
**Profitable and Rapid Growth \-** 
 We’re scaling fast, with financial discipline and long\-term vision. No VC constraints, just sustainable momentum and smart decisions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**Time to Recharge** 
 – Enjoy unlimited PTO, generous company holidays, and true flexibility. We trust you to take the time you need to rest, reset, and thrive.
**Wellness First** 
 – From weekly mindfulness sessions to group workouts and fitness perks, your physical and mental health are top priority
**Team Socials and Community \-** 
 We make time to connect through regular socials, happy hours, and spontaneous events. Our stocked kitchen doesn’t hurt either
**Downtown SF HQ \-** 
 Our San Francisco office is just steps from BART, Muni, and great food. It’s designed for deep work and casual collaboration
 The base salary for this full\-time position ranges from $150,000 to $220,000,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29">
      <c r="A29" t="inlineStr">
        <is>
          <t>li-4367752857</t>
        </is>
      </c>
      <c r="B29" t="inlineStr">
        <is>
          <t>Data Scientist</t>
        </is>
      </c>
      <c r="C29" t="inlineStr">
        <is>
          <t>RemoteHunter</t>
        </is>
      </c>
      <c r="D29" t="inlineStr">
        <is>
          <t>linkedin</t>
        </is>
      </c>
      <c r="E29">
        <f>HYPERLINK("https://www.linkedin.com/jobs/view/4367752857", "https://www.linkedin.com/jobs/view/4367752857")</f>
        <v/>
      </c>
      <c r="F29" t="inlineStr"/>
      <c r="G29" t="inlineStr"/>
      <c r="H29" t="inlineStr"/>
      <c r="I29"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li-4367757835</t>
        </is>
      </c>
      <c r="B30" t="inlineStr">
        <is>
          <t>Data Scientist | Clinical AI</t>
        </is>
      </c>
      <c r="C30" t="inlineStr">
        <is>
          <t>RemoteHunter</t>
        </is>
      </c>
      <c r="D30" t="inlineStr">
        <is>
          <t>linkedin</t>
        </is>
      </c>
      <c r="E30">
        <f>HYPERLINK("https://www.linkedin.com/jobs/view/4367757835", "https://www.linkedin.com/jobs/view/4367757835")</f>
        <v/>
      </c>
      <c r="F30" t="inlineStr"/>
      <c r="G30" t="inlineStr"/>
      <c r="H30" t="inlineStr"/>
      <c r="I30"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li-4368130085</t>
        </is>
      </c>
      <c r="B31" t="inlineStr">
        <is>
          <t>Lead Data Scientist</t>
        </is>
      </c>
      <c r="C31" t="inlineStr">
        <is>
          <t>Arcadia</t>
        </is>
      </c>
      <c r="D31" t="inlineStr">
        <is>
          <t>linkedin</t>
        </is>
      </c>
      <c r="E31">
        <f>HYPERLINK("https://www.linkedin.com/jobs/view/4368130085", "https://www.linkedin.com/jobs/view/4368130085")</f>
        <v/>
      </c>
      <c r="F31" t="inlineStr"/>
      <c r="G31" t="inlineStr"/>
      <c r="H31" t="inlineStr"/>
      <c r="I31" t="inlineStr">
        <is>
          <t>**Who We Are** 
 Arcadia is the global utility data and energy solutions platform. With our leading data platform, AI\-powered analytics, industry expertise, and expansive partner network, we deliver solutions for every stage of the enterprise energy management lifecycle across carbon, cost, and reliability. 
 Arcadia’s Enterprise Energy Management Solutions are built on a foundational data platform that has been developed for over a decade and scaled across millions of customer facilities.  We transform fragmented data and siloed processes into coordinated, enterprise\-wide action with comprehensive solutions including:
* Utility Bill Management:  Lower utility costs and streamline bill management with automated bill payment, proactive error identification, optimized tariff structures, and budgeting \&amp; forecasting.
* Energy Procurement Advisory: Source clean energy through a comprehensive evaluation of supply options \- including traditional retail options and onsite and offsite resources — to effectively manage risks, reduce costs, and achieve corporate sustainability goals.
* Sustainability Reporting:  Achieve compliance goals and track carbon emissions with standardized energy data and seamless integration with leading sustainability platforms.
 Tackling an enterprise client’s most critical energy challenges requires out\-of\-the\-box thinking \&amp; diverse perspectives. We’re building a team of individuals from different backgrounds, industries, \&amp; educational experiences. If you share our passion for ushering in the era of the clean, cost\-effective electrons, we look forward to learning what you would uniquely bring to Arcadia!
**What we’re looking for:** 
 We are seeking an innovative and results\-oriented  Lead Data Scientist with a strong understanding of machine learning, generative AI, and data\-driven product development to join our dynamic AI Strategy and Development Team. This pivotal role focuses on architecting and implementing cutting\-edge AI solutions for the energy sector, working directly with leadership to shape our technical vision and product roadmap. This role will initially report to SVP, R\&amp;D.
 Arcadia is remote\-first and employees have access to co\-working spaces. We are open to candidates based in Washington DC or New York.
 **What you'll do:** 
* Collaborate directly with executive leadership to shape the technical AI strategy and product development at Arcadia
* Efficiently develop notebook\-based and agentic solutions for internal and external customers, utilizing AI models, and Arcadia’s APIs and data
* Lead the development and integration of Gen\-AI models and agents into Arcadia’s products and processes
* Design and implement Machine Learning algorithms for critical energy applications, including forecasting, anomaly detection, and energy optimization
* Partner with data teams, Arcadia’s subject matter experts, and customer teams to seek, understand, validate, interpret, and correctly use data, models, and outputs.
* Work with engineering to integrate models into the Arcadia Platform, contributing to design documents, code commits, and AI product documentation
* Contribute code to enhance our platform’s  AI and data capabilities
* Collaborate effectively with remote team members
**What will help you succeed:** 
* Gen AI experience \- both in the development of agentic / LLM\-based product features and the use of Gen AI\-based products in day\-to\-day model development
* 2\-5 years of experience developing Machine Learning/AI\-based systems  in an iiterative or dynamic/agile development environment. Experience in the energy sector is preferred.
* A minimum of 10\-12 years of technical experience in data and/or engineering
* Master’s or Doctoral degree in Computer Science, Electrical Engineering, Statistics, or equivalent fields.
* Practical experience with Applied Machine Learning techniques, including  regression, classification, and supervised/unsupervised learning
* Fluency with Python or R, SQL, and Java or JavaScript
* Experience with software engineering for real\-world applications (ideally through professional experience)
* Strong foundation in mathematics including, linear algebra, calculus, probability, and statistics
* Experience with scalable machine learning (MapReduce, streaming).
* Experience with time series and dynamical systems.
* Ability to manage projects and work efficiently independently and collaboratively
* Ability to quickly formulate and document assumptions to advance projects
* Strong commitment to continuous learning and professional growth,  solution\-oriented, and committed to making a positive impact
* Ability to communicate complex technical concepts to both technical and non\-technical stakeholders
* Prepared to share project portfolio (GitHub, papers, etc.).
**Benefits:** 
* "Remote first" culture \- work anywhere in the US as long as you have a reliable internet connection
* Flexible PTO \- no accrued hours and no limit on the number of vacation days exempt employees can take each year
* 12 annual holidays
* 10 days sick leave
* Up to 4 weeks bereavement leave
* 2 volunteer days off
* 2 professional development days off
* 12 weeks paid parental leave for
 *all* 
 parents
* 75\-95% employer cost coverage for medical, dental, and vision benefits for employees and dependents
**Eliminating carbon footprints, eliminating carbon copies.** 
 Here at Arcadia, we cultivate diversity, celebrate individuality, and believe unique perspectives are key to our collective success in creating a clean energy future. Arcadia is committed to equal employment opportunities regardless of race, color, religion, gender, sexual orientation, gender identity or expression, national origin, age, disability, genetic information, protected veteran status, or any status protected by applicable federal, state, or local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by emailing careers@arcadia.com prior to completing your application..
 Target Base Range for this role will be $146,250 to $262,000\. There will also be a competitive benefits and equity component to the package. The exact compensation at which this job is filled will be determined by the skills, experience, and location of the qualified candidate. Please note that we are unable to offer visa sponsorship for this position at this time.
**Automated Screening Technology:** 
 To ensure a fair and timely review of the high volume of applications we receive, Arcadia may utilize AI\-assisted technologies to help our team identify candidates who best meet the qualification criteria for this role (based on skills, experience, and education).
*Please Note:* 
 Automated tools provide recommendations based on your resume content and application questions. While we may use automated screening for basic eligibility (e.g., visa status, location),
 **employment decisions regarding qualifications are not made solely by AI without human oversight.** 
**Data Privacy \&amp; California Residents:** 
 You voluntarily provide personal information (such as your resume, contact details, and assessment responses) when submitting an application. We may use this to evaluate your candidacy and derive inferences from this data to match your profile with open roles. For California Residents: This collection is consistent with the CCPA. You have the right to request access to or deletion of your data by contacting careers@arcadia.com
 \*Visa Sponsorship
* **Select R\&amp;D \&amp; Data roles:** 
 We are proud to offer visa sponsorship opportunities for qualified candidates interested in joining our team
* **Other roles:** 
 Please note that we are unable to offer visa sponsorship for this position at this time
 Thank you</t>
        </is>
      </c>
    </row>
    <row r="32">
      <c r="A32" t="inlineStr">
        <is>
          <t>li-4367775160</t>
        </is>
      </c>
      <c r="B32" t="inlineStr">
        <is>
          <t>Sr. Political Data Scientist</t>
        </is>
      </c>
      <c r="C32" t="inlineStr">
        <is>
          <t>GoodParty.org</t>
        </is>
      </c>
      <c r="D32" t="inlineStr">
        <is>
          <t>linkedin</t>
        </is>
      </c>
      <c r="E32">
        <f>HYPERLINK("https://www.linkedin.com/jobs/view/4367775160", "https://www.linkedin.com/jobs/view/4367775160")</f>
        <v/>
      </c>
      <c r="F32" t="inlineStr"/>
      <c r="G32" t="inlineStr"/>
      <c r="H32" t="inlineStr"/>
      <c r="I32" t="inlineStr">
        <is>
          <t>**Senior Political Data Scientist**
 GoodParty.org is looking for a Senior Political Data Scientist / Political Researcher / Data Analyst to join our mission to make people matter more than money in our democracy. In this role, you’ll use data, experiments, and quantitative models to support independent candidates at every level, helping them run smarter, win more often, and serve their communities better. You’ll join a fully remote, fast\-growing startup where your work directly shapes the future of our democracy.
**About GoodParty.org:**
 A majority of voters, including more than half of Millennials and Gen Z, say that neither major party represents them. GoodParty.org is the solution.
 We’re on a mission to make people matter more than money in our democracy by empowering Independent candidates to run, win, and serve.
 Since 2024, 13,000\+ Independent candidates have won their races across all 50 states using our tools, training, and support. Our AI\-powered platform provides free tools to launch and run campaigns, connect with voters, and serve their communities effectively. The only things our elected officials have in common is that they prioritize people over parties and community over corporate interests.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 Develop, test, and refine quantitative models of electoral outcomes, including vote propensity, voter support scoring, and pathways to victory for independent candidates.
* Model constituencies and public service outcomes by collecting, imputing, and analyzing public opinion data to help independent candidates and public officials better understand and serve their communities.
* Implement and iterate on public opinion measurement methods (e.g., surveys or in\-product feedback) to build feedback loops on constituent priorities.
* Design and run surveys and political field experiments to understand how independents can best run, win, and serve once in office.
* Find opportunities for natural experiments in our product, user, and election result data.
* Improve measurements of electoral and public service outcomes.
* Identify new data sources and improve the usage of our existing data on campaigns, elections, voting, and constituencies (e.g., improving our nationwide election identification system by surfacing candidate and election data as far ahead of each election as possible).
* Partner with engineering, operations, and product teams to incorporate new datasets and modeling into a scalable data pipeline and internal tools.
* Enhance product features for candidates and public officials through the application of political data and modeling best practices, while continuously improving our core political models.
* Work independently as a senior member of a small research team to drive measurable results quickly.
* Own a cycle of constant model improvement, aiming for steady, measurable accuracy gains and better decision\-making week over week.
* Reports to the Research Director.
**Who we’re looking for:**
* You’re up for the audacious challenge of driving money out of politics and democratizing democracy.
* You have 5\+ years of relevant experience; or a Master’s degree in a quantitative or social science field (e.g., political science, statistics, economics, public policy, data science) and 3\+ years of applied work experience; or a PhD with evidence of experience working quickly with concrete deliverables.
* You have a strong background applying data science, statistics, or computation to politics. This expertise could take many forms, but may include several of: econometrics, causal inference, sampling and survey design, political applications of machine learning and AI, or social scientific simulations.
* You have experience with public opinion data: either designing and fielding surveys or analyzing combinations of data sources on public opinion or behavior and imputing data where appropriate. You’ve worked to develop statewide or nationwide pictures of voter/constituent thoughts and behaviors.
* You have experience designing and deploying field experiments, either in the context of a product, campaigns, or governance, or you have a fine sense for identifying natural experiments and opportunities for causal measurement in political data.
* You have experience with forecasts, predictions, or inferential models about politics. Examples could be counterfactual event simulation, propensity scoring or support scoring on campaigns, or data\-journalistic predictive models of electoral success.
* You have hands\-on experience with U.S. election data or other types of U.S. political data, and are comfortable working with messy, real\-world datasets (election returns, voter files, or other types of administrative data).
* You are able to scope questions, choose methods, ship analyses, and iterate independently.
* You have used a statistical programming language in a previous role (preferably R or Python), are comfortable writing queries in SQL, and have experimented with how cutting\-edge AI models can be used to address political data and research questions.
**Bonus if:**
* You have experience working with elected officials or government agencies in a data or modeling intensive role.
* You have led the design or implementation of real field experiments, ideally through digital products such as apps or web tools.
* You have experience turning research ideas on the whiteboard into prototypes or minimum viable examples of software that can be scaled by an engineering team and deployed in a product.
* You’ve studied, worked, or volunteered in politics, civics, or democracy reform.
* You’re sick of sitting on the sidelines watching our democracy fail to meet its potential.
**Why you should work at GoodParty.org:**
* Join us in solving the biggest problem of our time – fixing our democracy – so all other problems can be solved.
* We’re a Public Benefit Corporation that prioritizes social impact over profit.
* Innovative Bitcoin denominated deferred bonus plan, allowing you to have the amazing upside of being in a startup while working on a truly meaningful mission.
* Work where and how you like, on a fully remote team spread across the country.
* Join a passionate team with diverse political views focused on one mission.
* 100% coverage of health, dental, and vision benefits for you and your dependents.
* We encourage you to take time off to recharge and have an unlimited PTO (sick and vacation) policy. This is a marathon, not a sprint. We believe a work\-life balance is needed to get there.
* 401(k) program available so you can contribute toward retirement savings (no employer match).
* Individual learning \&amp; development budget to fund your growth.
* We’ll make sure you’ve got what you need to work remotely through our workspace setup stipend.
* If you work from home, we give $50/month to help with your internet and other expenses. If you prefer co\-working, that’s an option we can discuss too.
* Fully funded for our mission. No stressing over whether the next round of funding will come through. Focus on making an impact. That’s what matters here.
 The salary range is $136,000 \- $170,000 for this remote, full\-time position with excellent benefits. This range reflects the range of possible compensation for this role at the time of this posting. We may ultimately pay more or less than the posted range. An employee’s position within the salary range will be based on several factors including, but not limited to, relevant experience, skills, seniority, education, qualifications, certifications, and organizational needs. We reserve the right to modify this pay range at any time.
 We are not considering candidates currently based outside of the US, so please only apply if you are physically located in the US. Unfortunately, we are not able to provide sponsorship for any of our roles at this time.
**Ready to learn more and apply?**
 We hope you'll apply! You can also keep up with the latest by signing up at GoodParty.org/about. If you know anyone else who may be interested, please share this job posting – thanks!</t>
        </is>
      </c>
    </row>
    <row r="33">
      <c r="A33" t="inlineStr">
        <is>
          <t>li-4367781040</t>
        </is>
      </c>
      <c r="B33" t="inlineStr">
        <is>
          <t>Data Scientist AI Lead/Advisory role</t>
        </is>
      </c>
      <c r="C33" t="inlineStr">
        <is>
          <t>Tata Consultancy Services</t>
        </is>
      </c>
      <c r="D33" t="inlineStr">
        <is>
          <t>linkedin</t>
        </is>
      </c>
      <c r="E33">
        <f>HYPERLINK("https://www.linkedin.com/jobs/view/4367781040", "https://www.linkedin.com/jobs/view/4367781040")</f>
        <v/>
      </c>
      <c r="F33">
        <f>HYPERLINK("https://ibegin.tcsapps.com/candidate/jobs/394287J&amp;urlHash=wMWN", "https://ibegin.tcsapps.com/candidate/jobs/394287J&amp;urlHash=wMWN")</f>
        <v/>
      </c>
      <c r="G33" t="inlineStr">
        <is>
          <t>San Jose, CA</t>
        </is>
      </c>
      <c r="H33" t="inlineStr"/>
      <c r="I33" t="inlineStr">
        <is>
          <t>**Job Description**
**Must have Skills:**
 Ability to frame business problems into analytical use cases.
 Excellent communication for stakeholder management.
 Strong grounding in AI governance, ethics, and risk.
 Gen AI, Machine Learning
 NLP models \[Hugging face, transformers, LLMs (BERT, GPT), Custom Chatbot, NLU, NLG]
 Programming skills with Python, SQL
 Having Advisory/Lead role exp with Strong Analytical skills
**Good To Have**
 Cloud Knowledge \- Azure/AWS/GCP
 Kubernetes
 Linux
 Tableau/Thoughtspot
 Supply Chain experience
**Roles \&amp; Responsibilities**
 Leading AI Transformation initiatives across supply chain with Python, AI/ML, Gen AI,
 Translate business challenges into AI‑powered solutions.
 Define AI adoption roadmaps, enterprise AI workflows, and operating models.
 Drive responsible AI governance, bias checks, model validation protocols, and regulatory compliance.
 Work with stakeholders in IT, product, business, and compliance teams.
 Educate executives and staff on AI capabilities and limitations.
 Drive change management and organizational enablement for AI transformation
 Coordinate in Collect, clean, and analyze structured and unstructured data using
 Python (pandas as NumPy), SQL and databases like Snowflake
 Perform Exploratory data analysis (EDA) and communicate insights through
 visualizations and dashboards
 Build and deploy Machine learning/Deep learning models for predictive analysis,
 NLP tasks, and Gen AI use using libraries such as scikit\-learn, PyTorch, HuggingFace etc.,
 Coordinate and Implement solutions such as conversational bots, summarization
 Deploy models using FAST API/Docker and automate pipelines on Google Cloud.
 Ensure version control and scalability through cloud\-native solutions
 Work cross\-functionally to align tech solutions with business needs
 Work on POCs and research, prototyping and GenAI experiments
 Ensure to Maintain clear documentation and support reproducibility in projects
 Salary Range: $38,000\-$140,000 a year</t>
        </is>
      </c>
    </row>
    <row r="34">
      <c r="A34" t="inlineStr">
        <is>
          <t>li-4366044240</t>
        </is>
      </c>
      <c r="B34" t="inlineStr">
        <is>
          <t>Senior Data Scientist - ML &amp; Operational Analytics</t>
        </is>
      </c>
      <c r="C34" t="inlineStr">
        <is>
          <t>Jobs via Dice</t>
        </is>
      </c>
      <c r="D34" t="inlineStr">
        <is>
          <t>linkedin</t>
        </is>
      </c>
      <c r="E34">
        <f>HYPERLINK("https://www.linkedin.com/jobs/view/4366044240", "https://www.linkedin.com/jobs/view/4366044240")</f>
        <v/>
      </c>
      <c r="F34" t="inlineStr"/>
      <c r="G34" t="inlineStr">
        <is>
          <t>Washington, DC</t>
        </is>
      </c>
      <c r="H34" t="inlineStr"/>
      <c r="I34" t="inlineStr">
        <is>
          <t>RESPONSIBILITIES:
 Kforce has a client in Washington, DC that is seeking a Senior Data Scientist \- ML \&amp; Operational Analytics.
 Responsibilities:
* Build and deploy ML models (regression, classification, time\-series) for operational use cases
* Perform data preparation, feature engineering, and ensure data quality
 REQUIREMENTS:
* MS in Computer Science, Statistics, Mathematics, Engineering, Physics, or related quantitative field
* 5\+ years of experience in data science with operational analytics
* Proficiency in Python, R, SQL, and ML libraries
* Strong statistical foundation (probability, inference, regression, experimental design)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2026-02-02T01:03:55Z</dcterms:created>
  <dcterms:modified xsi:type="dcterms:W3CDTF">2026-02-02T01:03:55Z</dcterms:modified>
</cp:coreProperties>
</file>