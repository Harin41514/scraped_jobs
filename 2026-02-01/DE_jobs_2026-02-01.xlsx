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in-754a378bf7b36557</t>
        </is>
      </c>
      <c r="B2" t="inlineStr">
        <is>
          <t>Data Engineer</t>
        </is>
      </c>
      <c r="C2" t="inlineStr">
        <is>
          <t>General Dynamics Information Technology</t>
        </is>
      </c>
      <c r="D2" t="inlineStr">
        <is>
          <t>indeed</t>
        </is>
      </c>
      <c r="E2" t="inlineStr"/>
      <c r="F2" t="inlineStr"/>
      <c r="G2" t="inlineStr">
        <is>
          <t>IN, US</t>
        </is>
      </c>
      <c r="H2" s="2" t="n">
        <v>46053</v>
      </c>
      <c r="I2" t="inlineStr">
        <is>
          <t>Your Impact
Own your opportunity to work alongside federal civilian agencies. Make an impact by providing services that help the government ensure the well being of U.S. citizens.
Job Description
DATA ENGINEER  
Own your opportunity to turn data into measurable outcomes for our customers’ most complex challenges. As a Data Engineer at GDIT, you’ll power innovation to drive mission impact and grow your expertise to power your career forward.  
MEANINGFUL WORK AND PERSONAL IMPACT  
As a Data Engineer, the work you’ll do at GDIT will be impactful to the mission of
IRS \- Unified Application Programming Interface (UAPI)
. You will play a crucial role in leading data pipeline projects and mentoring junior engineers.  
* Lead/Manage/Support building and optimizing ETL/ELT pipelines using tools like Apache Airflow, Spark, dbt, Kafka, Databricks, or Flink.
* Collaborate with IRS and Treasury Department Information Technology personnel.
* Drive modernization of APIs that provide data access that replace legacy command codes while ensuring secure, validated, and scalable integration.
* Utilize SQL, Python or Scala, and working with data warehouses (Snowflake, BigQuery, Redshift) and data lakes (e.g., Delta Lake, Lakehouse architecture), Apache Airflow, Spark, dbt, Kafka, Databricks, or Flink.
WHAT YOU’LL NEED TO SUCCEED  
Bring your expertise and drive for innovation to GDIT. The Data Engineer must have:  
* Education: Bachelor of Science
* Experience: 3\+ years of related experience
* Technical skills: SQL, Python or Scala, and working with data warehouses (Snowflake, BigQuery, Redshift) and data lakes (e.g., Delta Lake, Lakehouse architecture), Apache Airflow, Spark, dbt, Kafka, Databricks, or Flink
* Security clearance level: Minimum Background Investigation
* US citizenship required
* Role requirements: : 3–5\+ years in data engineering or backend data systems, with experience leading data pipeline projects and mentoring junior engineers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Work Requirements
Years of Experience
3 \+ years of related experience* may vary based on technical training, certification(s), *or* degree
Certification
Travel Required
None
Citizenship
U.S. Citizenship Required
Salary and Benefit Information
The likely salary range for this position is $103,499 \- $140,027\.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in-1eb23666925d364c</t>
        </is>
      </c>
      <c r="B3" t="inlineStr">
        <is>
          <t>Data Engineer, Global Planning, Amazon Leo</t>
        </is>
      </c>
      <c r="C3" t="inlineStr">
        <is>
          <t>Amazon.com</t>
        </is>
      </c>
      <c r="D3" t="inlineStr">
        <is>
          <t>indeed</t>
        </is>
      </c>
      <c r="E3" t="inlineStr"/>
      <c r="F3" t="inlineStr"/>
      <c r="G3" t="inlineStr">
        <is>
          <t>Bellevue, WA, US</t>
        </is>
      </c>
      <c r="H3" s="2" t="n">
        <v>46037</v>
      </c>
      <c r="I3"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4">
      <c r="A4" t="inlineStr">
        <is>
          <t>in-555666bd67958921</t>
        </is>
      </c>
      <c r="B4" t="inlineStr">
        <is>
          <t>Data Engineer, Global Planning, Amazon Leo</t>
        </is>
      </c>
      <c r="C4" t="inlineStr">
        <is>
          <t>Amazon.com</t>
        </is>
      </c>
      <c r="D4" t="inlineStr">
        <is>
          <t>indeed</t>
        </is>
      </c>
      <c r="E4" t="inlineStr"/>
      <c r="F4" t="inlineStr"/>
      <c r="G4" t="inlineStr">
        <is>
          <t>Arlington, VA, US</t>
        </is>
      </c>
      <c r="H4" s="2" t="n">
        <v>46037</v>
      </c>
      <c r="I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5">
      <c r="A5" t="inlineStr">
        <is>
          <t>in-5c13649496c69a78</t>
        </is>
      </c>
      <c r="B5" t="inlineStr">
        <is>
          <t>Data Engineer, Denied Party Screening, AWS Compliance &amp; Security Assurance</t>
        </is>
      </c>
      <c r="C5" t="inlineStr">
        <is>
          <t>Amazon.com</t>
        </is>
      </c>
      <c r="D5" t="inlineStr">
        <is>
          <t>indeed</t>
        </is>
      </c>
      <c r="E5" t="inlineStr"/>
      <c r="F5" t="inlineStr"/>
      <c r="G5" t="inlineStr">
        <is>
          <t>Dallas, TX, US</t>
        </is>
      </c>
      <c r="H5" s="2" t="n">
        <v>46029</v>
      </c>
      <c r="I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6">
      <c r="A6" t="inlineStr">
        <is>
          <t>in-56e96041b3826e02</t>
        </is>
      </c>
      <c r="B6" t="inlineStr">
        <is>
          <t>Data Engineer, Denied Party Screening, AWS Compliance &amp; Security Assurance</t>
        </is>
      </c>
      <c r="C6" t="inlineStr">
        <is>
          <t>Amazon.com</t>
        </is>
      </c>
      <c r="D6" t="inlineStr">
        <is>
          <t>indeed</t>
        </is>
      </c>
      <c r="E6" t="inlineStr"/>
      <c r="F6" t="inlineStr"/>
      <c r="G6" t="inlineStr">
        <is>
          <t>Seattle, WA, US</t>
        </is>
      </c>
      <c r="H6" s="2" t="n">
        <v>46029</v>
      </c>
      <c r="I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7">
      <c r="A7" t="inlineStr">
        <is>
          <t>in-78b3131adb480bb5</t>
        </is>
      </c>
      <c r="B7" t="inlineStr">
        <is>
          <t>Data Engineer</t>
        </is>
      </c>
      <c r="C7" t="inlineStr">
        <is>
          <t>Amazon.com</t>
        </is>
      </c>
      <c r="D7" t="inlineStr">
        <is>
          <t>indeed</t>
        </is>
      </c>
      <c r="E7" t="inlineStr"/>
      <c r="F7" t="inlineStr"/>
      <c r="G7" t="inlineStr">
        <is>
          <t>Seattle, WA, US</t>
        </is>
      </c>
      <c r="H7" s="2" t="n">
        <v>46001</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in-0daaec56c4ac6108</t>
        </is>
      </c>
      <c r="B8" t="inlineStr">
        <is>
          <t>Data Engineer</t>
        </is>
      </c>
      <c r="C8" t="inlineStr">
        <is>
          <t>Amazon.com</t>
        </is>
      </c>
      <c r="D8" t="inlineStr">
        <is>
          <t>indeed</t>
        </is>
      </c>
      <c r="E8" t="inlineStr"/>
      <c r="F8" t="inlineStr"/>
      <c r="G8" t="inlineStr">
        <is>
          <t>San Francisco, CA, US</t>
        </is>
      </c>
      <c r="H8" s="2" t="n">
        <v>46001</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in-6550e5198fd061dc</t>
        </is>
      </c>
      <c r="B9" t="inlineStr">
        <is>
          <t>Delivery Consultant - Data Engineer, Data and Machine Learning, WWPS US Federal</t>
        </is>
      </c>
      <c r="C9" t="inlineStr">
        <is>
          <t>Amazon Web Services</t>
        </is>
      </c>
      <c r="D9" t="inlineStr">
        <is>
          <t>indeed</t>
        </is>
      </c>
      <c r="E9" t="inlineStr"/>
      <c r="F9" t="inlineStr"/>
      <c r="G9" t="inlineStr">
        <is>
          <t>Arlington, VA, US</t>
        </is>
      </c>
      <c r="H9" s="2" t="n">
        <v>45991</v>
      </c>
      <c r="I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in-f2b9f6682e056473</t>
        </is>
      </c>
      <c r="B10" t="inlineStr">
        <is>
          <t>Delivery Consultant - Data Engineer, Data and Machine Learning, WWPS US Federal</t>
        </is>
      </c>
      <c r="C10" t="inlineStr">
        <is>
          <t>Amazon Web Services</t>
        </is>
      </c>
      <c r="D10" t="inlineStr">
        <is>
          <t>indeed</t>
        </is>
      </c>
      <c r="E10" t="inlineStr"/>
      <c r="F10" t="inlineStr"/>
      <c r="G10" t="inlineStr">
        <is>
          <t>Herndon, VA, US</t>
        </is>
      </c>
      <c r="H10" s="2" t="n">
        <v>45991</v>
      </c>
      <c r="I1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in-573958457586b627</t>
        </is>
      </c>
      <c r="B11" t="inlineStr">
        <is>
          <t>Senior Data Engineer</t>
        </is>
      </c>
      <c r="C11" t="inlineStr">
        <is>
          <t>SportsBiz Group Inc</t>
        </is>
      </c>
      <c r="D11" t="inlineStr">
        <is>
          <t>indeed</t>
        </is>
      </c>
      <c r="E11" t="inlineStr"/>
      <c r="F11" t="inlineStr"/>
      <c r="G11" t="inlineStr">
        <is>
          <t>Remote, US</t>
        </is>
      </c>
      <c r="H11" s="2" t="n">
        <v>46054</v>
      </c>
      <c r="I11" t="inlineStr">
        <is>
          <t>**The SportsBiz Opportunity**
Are you passionate about building clean, scalable software? Do you thrive in a fast\-paced startup, where your work directly impacts the direction of the product and company? Are you excited by analytics, automation, and the potential of AI to reshape how decisions get made?
SportsBiz (SportsBiz.com) is revolutionizing the $100B sports sponsorship industry with DeepSport Solutions, our proprietary analytics and decision\-intelligence platform. We empower brands to uncover inefficiencies, optimize spend, and make smarter investments through advanced data science, automation, and intuitive GenAI software.
We’re looking for a highly skilled, motivated Senior Data Engineer to help build out the SportsBiz Application Platform from frontend to backend—delivering usable, elegant, scalable tools that shape the future of sports marketing.
**Important – Compensation Structure**
Transparency is our culture.
SportsBiz's valuation as of Q4 2025 is $25M pre\-money. Management is presently engaged in a $5M advanced seed round. With that said, all current team members are compensated through:
* **Equity** (until fundraising closes, anticipated Q1/Q2\)
* **Full salary \+ Equity \+ Benefits** commence immediately after successful funding
This role is ideal for candidates who are energized by early\-stage building and want meaningful ownership and impact.
**Full\-Time Responsibilities:**
* Design, develop, and maintain data pipelines for the SportsBiz Data Platform including data collection, cleansing, processing and storage using PySpark and **Databricks**.
* Automate data collection, data testing and deployment processes.
* Implement monitoring and logging systems to ensure data collection and enrichment processes run smoothly in production.
* Collaborate with engineering, data science and product around solutions and products.
* Develop and maintain documentation for both pipelines and infrastructure.
* Develop data applications and services using Python aligning with our business needs and technical requirements.
* Collaborate with cross\-functional teams to understand their data needs and provide technical guidance and support.
**Qualifications:**
* Bachelor's or Master's degree in Data Science, Computer Science, or a related field
* Very strong programming skills in Python
* Advanced SQL skills and ability to transform data in dbt
* Experience with Databricks platform and PySpark for large\-scale data processing
* Experience with AWS Cloud infrastructure
* Experience with web scraping, interfacing with APIs, and other data collection methods
* Understanding of ETL/ELT Architecture and Data Warehousing Patterns
* Strong written and verbal communication skills
* Willingness and ability to learn new skills, tools, and business domains quickly on the job
* Must be highly adaptable with excellent problem\-solving skills and able to work with minimal supervision
* Knowledge of recommender engines
* Experience in a startup environment is a plus
***Please note that SportsBiz is unable to support any candidate who is requires a special visa consideration or approval.***
Job Type: Full\-time
Pay: $100,000\.00 \- $125,000\.00 per year
Benefits:
* Health insurance
* Paid time off
Experience:
* data engineering : 5 years (Required)
Work Location: Remote</t>
        </is>
      </c>
    </row>
    <row r="12">
      <c r="A12" t="inlineStr">
        <is>
          <t>in-00478c49a9cad965</t>
        </is>
      </c>
      <c r="B12" t="inlineStr">
        <is>
          <t>Senior Data Engineer</t>
        </is>
      </c>
      <c r="C12" t="inlineStr">
        <is>
          <t>Tripoint Solutions</t>
        </is>
      </c>
      <c r="D12" t="inlineStr">
        <is>
          <t>indeed</t>
        </is>
      </c>
      <c r="E12" t="inlineStr"/>
      <c r="F12" t="inlineStr"/>
      <c r="G12" t="inlineStr">
        <is>
          <t>US</t>
        </is>
      </c>
      <c r="H12" s="2" t="n">
        <v>46053</v>
      </c>
      <c r="I12" t="inlineStr">
        <is>
          <t>**About Tripoint Solutions**
We are technology innovators, partnered with state\-of\-the\-art providers, such as AWS, ServiceNow, and UiPath, to drive digital transformation in the federal space. TPS teams are bringing automation and data science into areas of the government that are crying out for fresh tech—making positive impacts felt by tens of thousands of users, countless citizens, and all six branches of the military each day. Our Agile teams are responsible for envisioning, launching, and operating the massive data systems and analytics platforms used to manage $14\.5B in government procurements and $200B in military real estate assets globally. At TPS, we apply the power of cloud technologies to help the government think smarter and function better—for everyone.
**TPS Company Values**
* We value and respect each employee's dedicated work and unique contributions as they directly impact who we are and what we do.
* Your talent and innovative thinking bring leading\-edge solutions to our customers.
* Our success is driven by the dedication of our employees.
* Employee\-generated solutions have sustained our continued success and customer satisfaction
**Benefit Offerings**
Tripoint Solutions builds flexibility into health benefit plan choices, covers most of the monthly premiums, and helps employees build a career with impact through our generous professional development program.
We offer all full\-time employees:
* Medical, Dental, Vision benefits with a national provider network
* Flexible Spending and Health Savings Accounts (FSA \&amp; HSA)
* Company\-paid Life and Disability insurance including Short\-Term, Long\-Term, and Accidental
* Supplemental Insurance
* Paid time off (PTO)
* 11 paid holidays
* 401(k) Retirement Plan
* Professional Development Reimbursement Program to pursue undergraduate, graduate, training, and certifications
* Monthly transportation, parking, and cell phone service reimbursement
*Tripoint Solutions is an Equal Opportunity Employer/Veterans/Disabled*
**About the Role:**
As a Senior Data Engineer, you will lead the design, development, and optimization of scalable data architectures that support complex business intelligence and analytics initiatives. Your role is pivotal in transforming raw data into actionable insights by building robust data pipelines and integrating diverse data sources using cloud\-based databases. You will collaborate closely with data scientists, analysts, and stakeholders to ensure data quality, accessibility, and security across the organization. This position demands a strategic thinker who can anticipate future data needs and implement frameworks that enhance data usability and performance.
**Location: Remote.** The selected candidate must be currently located in, or willing to relocate to, one of the states supported by Tripoint Solutions corporate offices: AL, CO, DC, DE, FL, GA, IL, IN, KS, LA, MD, MN, MS, NC, NJ, OH, PA, SC, TN, TX, or VA. (No relocation assistance provided.)
**Clearance Requirements:**
* Applicants selected may be subject to a government security investigation.
* USA Citizenship is required.
**Responsibilities:**
* Design, develop, and maintain scalable and efficient data pipelines and architectures using modern data engineering frameworks.
* Develop and maintain Data\-as\-a\-Service capabilities.
* Implement and manage cloud database solutions to support large\-scale data storage and processing requirements.
* Collaborate with business intelligence teams to integrate BI tools and ensure seamless data flow for reporting and analytics.
* Monitor and optimize data systems for performance, reliability, and security, adhering to best practices and compliance standards.
* Lead data engineering projects, mentor junior engineers, and contribute to the continuous improvement of data infrastructure and processes.
* Collaborate with cross\-functional teams to align data strategies with business objectives.
**Minimum Qualifications:**
* Bachelor’s degree in Computer Science, Information Technology, Engineering, or a related field.
* 5\+ years of professional experience in data engineering or a closely related role.
* Proficiency with data architecture frameworks and designing data models for complex systems.
* Hands\-on experience with cloud databases such as AWS Redshift, Google BigQuery, or Azure SQL Database.
* Strong knowledge of BI tools like Tableau, Power BI, or Looker and their integration with data pipelines.
**Preferred Qualifications:**
* Master’s degree in a relevant technical discipline.
* Experience with big data technologies such as Apache Spark, Hadoop, or Kafka.
* Familiarity with containerization and orchestration tools like Docker and Kubernetes.
* Certifications in cloud platforms (AWS, Azure, GCP) or data engineering specialties.
* Proven track record of leading cross\-functional teams and managing complex data projects.</t>
        </is>
      </c>
    </row>
    <row r="13">
      <c r="A13" t="inlineStr">
        <is>
          <t>in-b7ba5ae4830b7672</t>
        </is>
      </c>
      <c r="B13" t="inlineStr">
        <is>
          <t>Lead Data Engineer</t>
        </is>
      </c>
      <c r="C13" t="inlineStr">
        <is>
          <t>Coca Cola Southwest Beverages</t>
        </is>
      </c>
      <c r="D13" t="inlineStr">
        <is>
          <t>indeed</t>
        </is>
      </c>
      <c r="E13" t="inlineStr"/>
      <c r="F13" t="inlineStr"/>
      <c r="G13" t="inlineStr">
        <is>
          <t>Dallas, TX, US</t>
        </is>
      </c>
      <c r="H13" s="2" t="n">
        <v>46053</v>
      </c>
      <c r="I13" t="inlineStr">
        <is>
          <t>Req ID: 233648
**General Purpose**
-------------------
This role oversees and manages the work of Data Engineer who design and develop ETL pipelines and processes in our Cloud Infrastructure. They are responsible for the overall data integrity and quality, pipeline performance, and cost optimization within our Cloud (Azure) infrastructure.
**Duties and Responsibilities**
-------------------------------
* Manages the day\-to\-day tasks and development work of the Data Engineering team to ensure alignment with objectives and deliverables
* Conducts continuous evaluation and improvement on the ETL pipelines created by the Data Engineers to ensure cost effectiveness and performance
* Designs and implement automatic data quality reporting, communicating directly with different stakeholders whenever there are deviations
* Create and implement technical roadmaps to ensure we have the most up\-to\-date Cloud infrastructure
* Ensure technical alignment with the Data Engineering team from HQ.
**Qualifications**
------------------
* Bachelor's degree in computer science, software engineering, information technology, or a related field.
* Advanced degree is a plus.
* 3\+ years experience in data engineering, including hands\-on experience in building and maintaining data pipelines and data infrastructure.
* 3\+ years proven experience leading and managing a team of data engineers, including setting objectives, providing guidance, and assessing performance
* A strong foundation in data engineering principles, including data integration, ETL (Extract, Transform, Load) processes, data warehousing, and data modeling.
* Proficiency in programming languages commonly used in data engineering, such as Python, Java, Scala, or SQL.
* Proficiency with big data technologies and platforms, such as Hadoop, Spark, Apache Kafka, and distributed data processing frameworks.
* Experience with various database systems, including relational databases (e.g., SQL Server, PostgreSQL) and NoSQL databases (e.g., MongoDB, Cassandra).
* Proficiency on cloud platforms like Azure, AWS, etc. for data storage and processing.
* Ability to lead and manage a team of data engineers, including setting objectives, providing guidance, and assessing performance.
* 30% travel projected
Applicants with disabilities may be entitled to reasonable accommodation under the Americans with Disabilities Act and certain Texas or local laws. A reasonable accommodation is a change in the way things are normally done which will ensure an equal employment opportunity without imposing undue hardship on Coca\-Cola Southwest Beverages. Please inform us at talentacquisition@cocacolaswb.com if you need assistance completing this application or to otherwise participate in the application process.
Know Your Rights dol.gov
Coca\-Cola Southwest Beverages LLC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t>
        </is>
      </c>
    </row>
    <row r="14">
      <c r="A14" t="inlineStr">
        <is>
          <t>in-0bfb98a447405f4b</t>
        </is>
      </c>
      <c r="B14" t="inlineStr">
        <is>
          <t>Data Engineer, Global Planning, Amazon Leo</t>
        </is>
      </c>
      <c r="C14" t="inlineStr">
        <is>
          <t>Amazon.com</t>
        </is>
      </c>
      <c r="D14" t="inlineStr">
        <is>
          <t>indeed</t>
        </is>
      </c>
      <c r="E14" t="inlineStr"/>
      <c r="F14" t="inlineStr"/>
      <c r="G14" t="inlineStr">
        <is>
          <t>Arlington, VA, US</t>
        </is>
      </c>
      <c r="H14" s="2" t="n">
        <v>46037</v>
      </c>
      <c r="I1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5">
      <c r="A15" t="inlineStr">
        <is>
          <t>in-c2daf8577e69eace</t>
        </is>
      </c>
      <c r="B15" t="inlineStr">
        <is>
          <t>Data Engineer, Global Planning, Amazon Leo</t>
        </is>
      </c>
      <c r="C15" t="inlineStr">
        <is>
          <t>Amazon.com</t>
        </is>
      </c>
      <c r="D15" t="inlineStr">
        <is>
          <t>indeed</t>
        </is>
      </c>
      <c r="E15" t="inlineStr"/>
      <c r="F15" t="inlineStr"/>
      <c r="G15" t="inlineStr">
        <is>
          <t>Bellevue, WA, US</t>
        </is>
      </c>
      <c r="H15" s="2" t="n">
        <v>46037</v>
      </c>
      <c r="I15"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16">
      <c r="A16" t="inlineStr">
        <is>
          <t>in-f7451d983615b871</t>
        </is>
      </c>
      <c r="B16" t="inlineStr">
        <is>
          <t>Data Engineer, Denied Party Screening, AWS Compliance &amp; Security Assurance</t>
        </is>
      </c>
      <c r="C16" t="inlineStr">
        <is>
          <t>Amazon.com</t>
        </is>
      </c>
      <c r="D16" t="inlineStr">
        <is>
          <t>indeed</t>
        </is>
      </c>
      <c r="E16" t="inlineStr"/>
      <c r="F16" t="inlineStr"/>
      <c r="G16" t="inlineStr">
        <is>
          <t>Seattle, WA, US</t>
        </is>
      </c>
      <c r="H16" s="2" t="n">
        <v>46029</v>
      </c>
      <c r="I1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7">
      <c r="A17" t="inlineStr">
        <is>
          <t>in-b01170662699f5a3</t>
        </is>
      </c>
      <c r="B17" t="inlineStr">
        <is>
          <t>Data Engineer, Denied Party Screening, AWS Compliance &amp; Security Assurance</t>
        </is>
      </c>
      <c r="C17" t="inlineStr">
        <is>
          <t>Amazon.com</t>
        </is>
      </c>
      <c r="D17" t="inlineStr">
        <is>
          <t>indeed</t>
        </is>
      </c>
      <c r="E17" t="inlineStr"/>
      <c r="F17" t="inlineStr"/>
      <c r="G17" t="inlineStr">
        <is>
          <t>Dallas, TX, US</t>
        </is>
      </c>
      <c r="H17" s="2" t="n">
        <v>46029</v>
      </c>
      <c r="I1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8">
      <c r="A18" t="inlineStr">
        <is>
          <t>in-0435f5ef498827e0</t>
        </is>
      </c>
      <c r="B18" t="inlineStr">
        <is>
          <t>Data Engineer</t>
        </is>
      </c>
      <c r="C18" t="inlineStr">
        <is>
          <t>Amazon.com</t>
        </is>
      </c>
      <c r="D18" t="inlineStr">
        <is>
          <t>indeed</t>
        </is>
      </c>
      <c r="E18" t="inlineStr"/>
      <c r="F18" t="inlineStr"/>
      <c r="G18" t="inlineStr">
        <is>
          <t>San Francisco, CA, US</t>
        </is>
      </c>
      <c r="H18" s="2" t="n">
        <v>46001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in-a76926fe6a6b4491</t>
        </is>
      </c>
      <c r="B19" t="inlineStr">
        <is>
          <t>Data Engineer</t>
        </is>
      </c>
      <c r="C19" t="inlineStr">
        <is>
          <t>Amazon.com</t>
        </is>
      </c>
      <c r="D19" t="inlineStr">
        <is>
          <t>indeed</t>
        </is>
      </c>
      <c r="E19" t="inlineStr"/>
      <c r="F19" t="inlineStr"/>
      <c r="G19" t="inlineStr">
        <is>
          <t>Seattle, WA, US</t>
        </is>
      </c>
      <c r="H19" s="2" t="n">
        <v>46001</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in-d1154a929e4c2fde</t>
        </is>
      </c>
      <c r="B20" t="inlineStr">
        <is>
          <t>Delivery Consultant - Data Engineer, Data and Machine Learning, WWPS US Federal</t>
        </is>
      </c>
      <c r="C20" t="inlineStr">
        <is>
          <t>Amazon Web Services</t>
        </is>
      </c>
      <c r="D20" t="inlineStr">
        <is>
          <t>indeed</t>
        </is>
      </c>
      <c r="E20" t="inlineStr"/>
      <c r="F20" t="inlineStr"/>
      <c r="G20" t="inlineStr">
        <is>
          <t>Arlington, VA, US</t>
        </is>
      </c>
      <c r="H20" s="2" t="n">
        <v>45991</v>
      </c>
      <c r="I2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in-3f9720e0f1376bdc</t>
        </is>
      </c>
      <c r="B21" t="inlineStr">
        <is>
          <t>Delivery Consultant - Data Engineer, Data and Machine Learning, WWPS US Federal</t>
        </is>
      </c>
      <c r="C21" t="inlineStr">
        <is>
          <t>Amazon Web Services</t>
        </is>
      </c>
      <c r="D21" t="inlineStr">
        <is>
          <t>indeed</t>
        </is>
      </c>
      <c r="E21" t="inlineStr"/>
      <c r="F21" t="inlineStr"/>
      <c r="G21" t="inlineStr">
        <is>
          <t>Herndon, VA, US</t>
        </is>
      </c>
      <c r="H21" s="2" t="n">
        <v>45991</v>
      </c>
      <c r="I2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in-00478c49a9cad965</t>
        </is>
      </c>
      <c r="B22" t="inlineStr">
        <is>
          <t>Senior Data Engineer</t>
        </is>
      </c>
      <c r="C22" t="inlineStr">
        <is>
          <t>Tripoint Solutions</t>
        </is>
      </c>
      <c r="D22" t="inlineStr">
        <is>
          <t>indeed</t>
        </is>
      </c>
      <c r="E22">
        <f>HYPERLINK("https://www.indeed.com/viewjob?jk=00478c49a9cad965", "https://www.indeed.com/viewjob?jk=00478c49a9cad965")</f>
        <v/>
      </c>
      <c r="F22">
        <f>HYPERLINK("https://workforcenow.adp.com/mascsr/default/mdf/recruitment/recruitment.html?cid=de4c688d-500c-4c2c-88c8-bea24ba06d99&amp;ccId=19000101_000001&amp;jobId=547377&amp;source=IN&amp;lang=en_US", "https://workforcenow.adp.com/mascsr/default/mdf/recruitment/recruitment.html?cid=de4c688d-500c-4c2c-88c8-bea24ba06d99&amp;ccId=19000101_000001&amp;jobId=547377&amp;source=IN&amp;lang=en_US")</f>
        <v/>
      </c>
      <c r="G22" t="inlineStr">
        <is>
          <t>US</t>
        </is>
      </c>
      <c r="H22" s="3" t="n">
        <v>46053</v>
      </c>
      <c r="I22" t="inlineStr">
        <is>
          <t>**About Tripoint Solutions**
We are technology innovators, partnered with state\-of\-the\-art providers, such as AWS, ServiceNow, and UiPath, to drive digital transformation in the federal space. TPS teams are bringing automation and data science into areas of the government that are crying out for fresh tech—making positive impacts felt by tens of thousands of users, countless citizens, and all six branches of the military each day. Our Agile teams are responsible for envisioning, launching, and operating the massive data systems and analytics platforms used to manage $14\.5B in government procurements and $200B in military real estate assets globally. At TPS, we apply the power of cloud technologies to help the government think smarter and function better—for everyone.
**TPS Company Values**
* We value and respect each employee's dedicated work and unique contributions as they directly impact who we are and what we do.
* Your talent and innovative thinking bring leading\-edge solutions to our customers.
* Our success is driven by the dedication of our employees.
* Employee\-generated solutions have sustained our continued success and customer satisfaction
**Benefit Offerings**
Tripoint Solutions builds flexibility into health benefit plan choices, covers most of the monthly premiums, and helps employees build a career with impact through our generous professional development program.
We offer all full\-time employees:
* Medical, Dental, Vision benefits with a national provider network
* Flexible Spending and Health Savings Accounts (FSA \&amp; HSA)
* Company\-paid Life and Disability insurance including Short\-Term, Long\-Term, and Accidental
* Supplemental Insurance
* Paid time off (PTO)
* 11 paid holidays
* 401(k) Retirement Plan
* Professional Development Reimbursement Program to pursue undergraduate, graduate, training, and certifications
* Monthly transportation, parking, and cell phone service reimbursement
*Tripoint Solutions is an Equal Opportunity Employer/Veterans/Disabled*
**About the Role:**
As a Senior Data Engineer, you will lead the design, development, and optimization of scalable data architectures that support complex business intelligence and analytics initiatives. Your role is pivotal in transforming raw data into actionable insights by building robust data pipelines and integrating diverse data sources using cloud\-based databases. You will collaborate closely with data scientists, analysts, and stakeholders to ensure data quality, accessibility, and security across the organization. This position demands a strategic thinker who can anticipate future data needs and implement frameworks that enhance data usability and performance.
**Location: Remote.** The selected candidate must be currently located in, or willing to relocate to, one of the states supported by Tripoint Solutions corporate offices: AL, CO, DC, DE, FL, GA, IL, IN, KS, LA, MD, MN, MS, NC, NJ, OH, PA, SC, TN, TX, or VA. (No relocation assistance provided.)
**Clearance Requirements:**
* Applicants selected may be subject to a government security investigation.
* USA Citizenship is required.
**Responsibilities:**
* Design, develop, and maintain scalable and efficient data pipelines and architectures using modern data engineering frameworks.
* Develop and maintain Data\-as\-a\-Service capabilities.
* Implement and manage cloud database solutions to support large\-scale data storage and processing requirements.
* Collaborate with business intelligence teams to integrate BI tools and ensure seamless data flow for reporting and analytics.
* Monitor and optimize data systems for performance, reliability, and security, adhering to best practices and compliance standards.
* Lead data engineering projects, mentor junior engineers, and contribute to the continuous improvement of data infrastructure and processes.
* Collaborate with cross\-functional teams to align data strategies with business objectives.
**Minimum Qualifications:**
* Bachelor’s degree in Computer Science, Information Technology, Engineering, or a related field.
* 5\+ years of professional experience in data engineering or a closely related role.
* Proficiency with data architecture frameworks and designing data models for complex systems.
* Hands\-on experience with cloud databases such as AWS Redshift, Google BigQuery, or Azure SQL Database.
* Strong knowledge of BI tools like Tableau, Power BI, or Looker and their integration with data pipelines.
**Preferred Qualifications:**
* Master’s degree in a relevant technical discipline.
* Experience with big data technologies such as Apache Spark, Hadoop, or Kafka.
* Familiarity with containerization and orchestration tools like Docker and Kubernetes.
* Certifications in cloud platforms (AWS, Azure, GCP) or data engineering specialties.
* Proven track record of leading cross\-functional teams and managing complex data projects.</t>
        </is>
      </c>
    </row>
    <row r="23">
      <c r="A23" t="inlineStr">
        <is>
          <t>in-b7ba5ae4830b7672</t>
        </is>
      </c>
      <c r="B23" t="inlineStr">
        <is>
          <t>Lead Data Engineer</t>
        </is>
      </c>
      <c r="C23" t="inlineStr">
        <is>
          <t>Coca Cola Southwest Beverages</t>
        </is>
      </c>
      <c r="D23" t="inlineStr">
        <is>
          <t>indeed</t>
        </is>
      </c>
      <c r="E23">
        <f>HYPERLINK("https://www.indeed.com/viewjob?jk=b7ba5ae4830b7672", "https://www.indeed.com/viewjob?jk=b7ba5ae4830b7672")</f>
        <v/>
      </c>
      <c r="F23">
        <f>HYPERLINK("https://conaservices.jobs2web.com/southwest/job/Dallas-Lead-Data-Engineer-TX-75240/1322980000/?feedId=331200&amp;utm_source=Indeed&amp;utm_campaign=CONA_Indeed", "https://conaservices.jobs2web.com/southwest/job/Dallas-Lead-Data-Engineer-TX-75240/1322980000/?feedId=331200&amp;utm_source=Indeed&amp;utm_campaign=CONA_Indeed")</f>
        <v/>
      </c>
      <c r="G23" t="inlineStr">
        <is>
          <t>Dallas, TX, US</t>
        </is>
      </c>
      <c r="H23" s="3" t="n">
        <v>46053</v>
      </c>
      <c r="I23" t="inlineStr">
        <is>
          <t>Req ID: 233648
**General Purpose**
-------------------
This role oversees and manages the work of Data Engineer who design and develop ETL pipelines and processes in our Cloud Infrastructure. They are responsible for the overall data integrity and quality, pipeline performance, and cost optimization within our Cloud (Azure) infrastructure.
**Duties and Responsibilities**
-------------------------------
* Manages the day\-to\-day tasks and development work of the Data Engineering team to ensure alignment with objectives and deliverables
* Conducts continuous evaluation and improvement on the ETL pipelines created by the Data Engineers to ensure cost effectiveness and performance
* Designs and implement automatic data quality reporting, communicating directly with different stakeholders whenever there are deviations
* Create and implement technical roadmaps to ensure we have the most up\-to\-date Cloud infrastructure
* Ensure technical alignment with the Data Engineering team from HQ.
**Qualifications**
------------------
* Bachelor's degree in computer science, software engineering, information technology, or a related field.
* Advanced degree is a plus.
* 3\+ years experience in data engineering, including hands\-on experience in building and maintaining data pipelines and data infrastructure.
* 3\+ years proven experience leading and managing a team of data engineers, including setting objectives, providing guidance, and assessing performance
* A strong foundation in data engineering principles, including data integration, ETL (Extract, Transform, Load) processes, data warehousing, and data modeling.
* Proficiency in programming languages commonly used in data engineering, such as Python, Java, Scala, or SQL.
* Proficiency with big data technologies and platforms, such as Hadoop, Spark, Apache Kafka, and distributed data processing frameworks.
* Experience with various database systems, including relational databases (e.g., SQL Server, PostgreSQL) and NoSQL databases (e.g., MongoDB, Cassandra).
* Proficiency on cloud platforms like Azure, AWS, etc. for data storage and processing.
* Ability to lead and manage a team of data engineers, including setting objectives, providing guidance, and assessing performance.
* 30% travel projected
Applicants with disabilities may be entitled to reasonable accommodation under the Americans with Disabilities Act and certain Texas or local laws. A reasonable accommodation is a change in the way things are normally done which will ensure an equal employment opportunity without imposing undue hardship on Coca\-Cola Southwest Beverages. Please inform us at talentacquisition@cocacolaswb.com if you need assistance completing this application or to otherwise participate in the application process.
Know Your Rights dol.gov
Coca\-Cola Southwest Beverages LLC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t>
        </is>
      </c>
    </row>
    <row r="24">
      <c r="A24" t="inlineStr">
        <is>
          <t>in-0bfb98a447405f4b</t>
        </is>
      </c>
      <c r="B24" t="inlineStr">
        <is>
          <t>Data Engineer, Global Planning, Amazon Leo</t>
        </is>
      </c>
      <c r="C24" t="inlineStr">
        <is>
          <t>Amazon.com</t>
        </is>
      </c>
      <c r="D24" t="inlineStr">
        <is>
          <t>indeed</t>
        </is>
      </c>
      <c r="E24">
        <f>HYPERLINK("https://www.indeed.com/viewjob?jk=0bfb98a447405f4b", "https://www.indeed.com/viewjob?jk=0bfb98a447405f4b")</f>
        <v/>
      </c>
      <c r="F24">
        <f>HYPERLINK("https://www.amazon.jobs/jobs/3169773/data-engineer-global-planning-amazon-leo?cmpid=DA_INAD200785B", "https://www.amazon.jobs/jobs/3169773/data-engineer-global-planning-amazon-leo?cmpid=DA_INAD200785B")</f>
        <v/>
      </c>
      <c r="G24" t="inlineStr">
        <is>
          <t>Arlington, VA, US</t>
        </is>
      </c>
      <c r="H24" s="3" t="n">
        <v>46037</v>
      </c>
      <c r="I2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25">
      <c r="A25" t="inlineStr">
        <is>
          <t>in-c2daf8577e69eace</t>
        </is>
      </c>
      <c r="B25" t="inlineStr">
        <is>
          <t>Data Engineer, Global Planning, Amazon Leo</t>
        </is>
      </c>
      <c r="C25" t="inlineStr">
        <is>
          <t>Amazon.com</t>
        </is>
      </c>
      <c r="D25" t="inlineStr">
        <is>
          <t>indeed</t>
        </is>
      </c>
      <c r="E25">
        <f>HYPERLINK("https://www.indeed.com/viewjob?jk=c2daf8577e69eace", "https://www.indeed.com/viewjob?jk=c2daf8577e69eace")</f>
        <v/>
      </c>
      <c r="F25">
        <f>HYPERLINK("https://www.amazon.jobs/jobs/3169773/data-engineer-global-planning-amazon-leo?cmpid=DA_INAD200785B", "https://www.amazon.jobs/jobs/3169773/data-engineer-global-planning-amazon-leo?cmpid=DA_INAD200785B")</f>
        <v/>
      </c>
      <c r="G25" t="inlineStr">
        <is>
          <t>Bellevue, WA, US</t>
        </is>
      </c>
      <c r="H25" s="3" t="n">
        <v>46037</v>
      </c>
      <c r="I25"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26">
      <c r="A26" t="inlineStr">
        <is>
          <t>in-f7451d983615b871</t>
        </is>
      </c>
      <c r="B26" t="inlineStr">
        <is>
          <t>Data Engineer, Denied Party Screening, AWS Compliance &amp; Security Assurance</t>
        </is>
      </c>
      <c r="C26" t="inlineStr">
        <is>
          <t>Amazon.com</t>
        </is>
      </c>
      <c r="D26" t="inlineStr">
        <is>
          <t>indeed</t>
        </is>
      </c>
      <c r="E26">
        <f>HYPERLINK("https://www.indeed.com/viewjob?jk=f7451d983615b871", "https://www.indeed.com/viewjob?jk=f7451d983615b871")</f>
        <v/>
      </c>
      <c r="F26">
        <f>HYPERLINK("https://www.amazon.jobs/jobs/3160403/data-engineer-denied-party-screening-aws-compliance--security-assurance?cmpid=DA_INAD200785B", "https://www.amazon.jobs/jobs/3160403/data-engineer-denied-party-screening-aws-compliance--security-assurance?cmpid=DA_INAD200785B")</f>
        <v/>
      </c>
      <c r="G26" t="inlineStr">
        <is>
          <t>Seattle, WA, US</t>
        </is>
      </c>
      <c r="H26" s="3" t="n">
        <v>46029</v>
      </c>
      <c r="I2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7">
      <c r="A27" t="inlineStr">
        <is>
          <t>in-b01170662699f5a3</t>
        </is>
      </c>
      <c r="B27" t="inlineStr">
        <is>
          <t>Data Engineer, Denied Party Screening, AWS Compliance &amp; Security Assurance</t>
        </is>
      </c>
      <c r="C27" t="inlineStr">
        <is>
          <t>Amazon.com</t>
        </is>
      </c>
      <c r="D27" t="inlineStr">
        <is>
          <t>indeed</t>
        </is>
      </c>
      <c r="E27">
        <f>HYPERLINK("https://www.indeed.com/viewjob?jk=b01170662699f5a3", "https://www.indeed.com/viewjob?jk=b01170662699f5a3")</f>
        <v/>
      </c>
      <c r="F27">
        <f>HYPERLINK("https://www.amazon.jobs/jobs/3160403/data-engineer-denied-party-screening-aws-compliance--security-assurance?cmpid=DA_INAD200785B", "https://www.amazon.jobs/jobs/3160403/data-engineer-denied-party-screening-aws-compliance--security-assurance?cmpid=DA_INAD200785B")</f>
        <v/>
      </c>
      <c r="G27" t="inlineStr">
        <is>
          <t>Dallas, TX, US</t>
        </is>
      </c>
      <c r="H27" s="3" t="n">
        <v>46029</v>
      </c>
      <c r="I2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8">
      <c r="A28" t="inlineStr">
        <is>
          <t>in-0435f5ef498827e0</t>
        </is>
      </c>
      <c r="B28" t="inlineStr">
        <is>
          <t>Data Engineer</t>
        </is>
      </c>
      <c r="C28" t="inlineStr">
        <is>
          <t>Amazon.com</t>
        </is>
      </c>
      <c r="D28" t="inlineStr">
        <is>
          <t>indeed</t>
        </is>
      </c>
      <c r="E28">
        <f>HYPERLINK("https://www.indeed.com/viewjob?jk=0435f5ef498827e0", "https://www.indeed.com/viewjob?jk=0435f5ef498827e0")</f>
        <v/>
      </c>
      <c r="F28">
        <f>HYPERLINK("https://www.amazon.jobs/jobs/3141339/data-engineer?cmpid=DA_INAD200785B", "https://www.amazon.jobs/jobs/3141339/data-engineer?cmpid=DA_INAD200785B")</f>
        <v/>
      </c>
      <c r="G28" t="inlineStr">
        <is>
          <t>San Francisco, CA, US</t>
        </is>
      </c>
      <c r="H28" s="3" t="n">
        <v>46001</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in-a76926fe6a6b4491</t>
        </is>
      </c>
      <c r="B29" t="inlineStr">
        <is>
          <t>Data Engineer</t>
        </is>
      </c>
      <c r="C29" t="inlineStr">
        <is>
          <t>Amazon.com</t>
        </is>
      </c>
      <c r="D29" t="inlineStr">
        <is>
          <t>indeed</t>
        </is>
      </c>
      <c r="E29">
        <f>HYPERLINK("https://www.indeed.com/viewjob?jk=a76926fe6a6b4491", "https://www.indeed.com/viewjob?jk=a76926fe6a6b4491")</f>
        <v/>
      </c>
      <c r="F29">
        <f>HYPERLINK("https://www.amazon.jobs/jobs/3141339/data-engineer?cmpid=DA_INAD200785B", "https://www.amazon.jobs/jobs/3141339/data-engineer?cmpid=DA_INAD200785B")</f>
        <v/>
      </c>
      <c r="G29" t="inlineStr">
        <is>
          <t>Seattle, WA, US</t>
        </is>
      </c>
      <c r="H29" s="3" t="n">
        <v>46001</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in-d1154a929e4c2fde</t>
        </is>
      </c>
      <c r="B30" t="inlineStr">
        <is>
          <t>Delivery Consultant - Data Engineer, Data and Machine Learning, WWPS US Federal</t>
        </is>
      </c>
      <c r="C30" t="inlineStr">
        <is>
          <t>Amazon Web Services</t>
        </is>
      </c>
      <c r="D30" t="inlineStr">
        <is>
          <t>indeed</t>
        </is>
      </c>
      <c r="E30">
        <f>HYPERLINK("https://www.indeed.com/viewjob?jk=d1154a929e4c2fde", "https://www.indeed.com/viewjob?jk=d1154a929e4c2fde")</f>
        <v/>
      </c>
      <c r="F30">
        <f>HYPERLINK("https://www.amazon.jobs/jobs/3134583/delivery-consultant--data-engineer-data-and-machine-learning-wwps-us-federal?cmpid=DA_INAD200785B", "https://www.amazon.jobs/jobs/3134583/delivery-consultant--data-engineer-data-and-machine-learning-wwps-us-federal?cmpid=DA_INAD200785B")</f>
        <v/>
      </c>
      <c r="G30" t="inlineStr">
        <is>
          <t>Arlington, VA, US</t>
        </is>
      </c>
      <c r="H30" s="3" t="n">
        <v>45991</v>
      </c>
      <c r="I3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in-3f9720e0f1376bdc</t>
        </is>
      </c>
      <c r="B31" t="inlineStr">
        <is>
          <t>Delivery Consultant - Data Engineer, Data and Machine Learning, WWPS US Federal</t>
        </is>
      </c>
      <c r="C31" t="inlineStr">
        <is>
          <t>Amazon Web Services</t>
        </is>
      </c>
      <c r="D31" t="inlineStr">
        <is>
          <t>indeed</t>
        </is>
      </c>
      <c r="E31">
        <f>HYPERLINK("https://www.indeed.com/viewjob?jk=3f9720e0f1376bdc", "https://www.indeed.com/viewjob?jk=3f9720e0f1376bdc")</f>
        <v/>
      </c>
      <c r="F31">
        <f>HYPERLINK("https://www.amazon.jobs/jobs/3134583/delivery-consultant--data-engineer-data-and-machine-learning-wwps-us-federal?cmpid=DA_INAD200785B", "https://www.amazon.jobs/jobs/3134583/delivery-consultant--data-engineer-data-and-machine-learning-wwps-us-federal?cmpid=DA_INAD200785B")</f>
        <v/>
      </c>
      <c r="G31" t="inlineStr">
        <is>
          <t>Herndon, VA, US</t>
        </is>
      </c>
      <c r="H31" s="3" t="n">
        <v>45991</v>
      </c>
      <c r="I3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li-4368118442</t>
        </is>
      </c>
      <c r="B2" t="inlineStr">
        <is>
          <t>Data Engineer</t>
        </is>
      </c>
      <c r="C2" t="inlineStr">
        <is>
          <t>General Dynamics Information Technology</t>
        </is>
      </c>
      <c r="D2" t="inlineStr">
        <is>
          <t>linkedin</t>
        </is>
      </c>
      <c r="E2" t="inlineStr"/>
      <c r="F2" t="inlineStr"/>
      <c r="G2" t="inlineStr"/>
      <c r="H2" t="inlineStr"/>
      <c r="I2" t="inlineStr">
        <is>
          <t>****Job Description:****
**Type of Requisition:**
 Regular
****Clearance Level Must Currently Possess:****
 None
****Clearance Level Must Be Able To Obtain:****
 None
****Public Trust/Other Required:****
 MBI (T2\)
****Job Family:****
 Data Science and Data Engineering
****Skills:****
**Job Qualifications:**
 Data Access, Data Flows, Datasets, Datasource, Data Warehousing (DW)
****Certifications:****
 None
****Experience:****
 3 \+ years of related experience
****US Citizenship Required:****
 Yes
****Job Description:****
 DATA ENGINEER
 Own your opportunity to turn data into measurable outcomes for our customers’ most complex challenges. As a Data Engineer at GDIT, you’ll power innovation to drive mission impact and grow your expertise to power your career forward.
 MEANINGFUL WORK AND PERSONAL IMPACT
 As a Data Engineer, the work you’ll do at GDIT will be impactful to the mission of
 IRS \- Unified Application Programming Interface (UAPI)
* You will play a crucial role in leading data pipeline projects and mentoring junior engineers.
* Lead/Manage/Support building and optimizing ETL/ELT pipelines using tools like Apache Airflow, Spark, dbt, Kafka, Databricks, or Flink.
* Collaborate with IRS and Treasury Department Information Technology personnel.
* Drive modernization of APIs that provide data access that replace legacy command codes while ensuring secure, validated, and scalable integration.
* Utilize SQL, Python or Scala, and working with data warehouses (Snowflake, BigQuery, Redshift) and data lakes (e.g., Delta Lake, Lakehouse architecture), Apache Airflow, Spark, dbt, Kafka, Databricks, or Flink.
**What You’ll Need To Succeed**
 Bring your expertise and drive for innovation to GDIT. The Data Engineer must have:
* Education: Bachelor of Science
* Experience: 3\+ years of related experience
* Technical skills: SQL, Python or Scala, and working with data warehouses (Snowflake, BigQuery, Redshift) and data lakes (e.g., Delta Lake, Lakehouse architecture), Apache Airflow, Spark, dbt, Kafka, Databricks, or Flink
* Security clearance level: Minimum Background Investigation
* US citizenship required
* Role requirements: : 3–5\+ years in data engineering or backend data systems, with experience leading data pipeline projects and mentoring junior engineers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$103,499 \- $140,027\.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3">
      <c r="A3" t="inlineStr">
        <is>
          <t>li-4368126543</t>
        </is>
      </c>
      <c r="B3" t="inlineStr">
        <is>
          <t>Data Engineer</t>
        </is>
      </c>
      <c r="C3" t="inlineStr">
        <is>
          <t>Hirenza</t>
        </is>
      </c>
      <c r="D3" t="inlineStr">
        <is>
          <t>linkedin</t>
        </is>
      </c>
      <c r="E3" t="inlineStr"/>
      <c r="F3" t="inlineStr"/>
      <c r="G3" t="inlineStr"/>
      <c r="H3" t="inlineStr"/>
      <c r="I3" t="inlineStr">
        <is>
          <t>**About The Company**
 AttainX Inc. is a distinguished SBA Certified 8(a), Women Owned Small Business (WOSB), and Economically Disadvantaged WOSB (EDWOSB). Our organization holds a CMMI Level 3 certification and ISO 9001:2015 certification for our Quality Management System. As a Silver Level SaFe Partner, AttainX has established a reputation for delivering innovative emergent technologies, high\-quality software products, and comprehensive services tailored to meet the complex needs of our Federal Government clients. Over the past 12 years, we have experienced significant growth, expanding our contract portfolio and securing "Best in Class" contract vehicles such as GSA MAS, OASIS Small Business, and 8(a) Pools 1, 2, and 3\. Our team is proud to be a prime contractor on several Agency Specific IDIQs and BPAs with agencies including the National Oceanic and Atmospheric Administration, Department of Energy, Navy, Health and Human Services, and the Defense Intelligence Agency. At AttainX, we are committed to maintaining the highest standards of quality and excellence, recognizing that our people are the key to achieving our clients’ mission objectives effectively.
**About The Role**
 We are seeking an experienced Azure Data Engineer to join our dynamic team. The ideal candidate will possess a proven track record in evaluating, modernizing, and optimizing enterprise data warehouse environments within the Azure cloud platform. This role requires a blend of deep technical expertise and practical experience in data integration, automation, and performance tuning to deliver secure, scalable, and future\-ready data solutions aligned with government data and AI strategies. The Azure Data Engineer will be responsible for designing, developing, and maintaining data pipelines, supporting metadata\-driven ETL/ELT processes, and collaborating with cross\-functional teams to ensure solutions meet organizational goals. This position is remote, with occasional travel to client sites or industry events, and requires the candidate to reside within a commutable distance of Silver Spring, MD for potential onsite work.
**Qualifications**
 The successful candidate will possess a Bachelor's degree in Computer Science, Information Systems, Data Science, or a related field, or equivalent professional experience. A minimum of 5\+ years of hands\-on experience in Azure Data Engineering, including expertise with Azure Data Factory, Synapse Analytics, Data Lake, and SQL environments, is required. Candidates must hold a Microsoft Azure Data Engineer Associate certification; additional certifications such as Power BI Data Analyst Associate, Azure Solutions Architect Expert, ITIL v4 Foundation, and SAFe Agile certifications are preferred. Strong background in SQL, data modeling, OLAP, and ETL/ELT processes is essential, along with experience in building and optimizing metadata\-driven pipelines. Familiarity with programming languages such as Python, PowerShell, Java, JavaScript, and PL/SQL, as well as BI/reporting platforms like Power BI and Microsoft Fabric, is highly desirable. The candidate must be a U.S. citizen with an active Secret clearance and demonstrate the ability to adapt quickly in large\-scale enterprise environments.
**Responsibilities**
 The Azure Data Engineer will be responsible for assessing the current state of enterprise data warehouses, identifying gaps, and recommending improvements. Building and maintaining robust ETL/ELT pipelines, with an emphasis on metadata models and automation scripts, to enhance performance and facilitate seamless data transitions is a core duty. The engineer will deliver hands\-on solutions across Azure Data Factory, Synapse Analytics, Data Lake, and SQL Managed Instances, ensuring optimal performance, scalability, and security. Preparing detailed designs for supporting database systems and implementing measures to support performance improvements are key tasks. Collaboration with cross\-functional teams to align engineering efforts with strategic objectives and development roadmaps is essential. The role also involves supporting projection planning, with experience in 1\-2 year execution roadmaps and 3\-5 year scalability planning. Developing, enhancing, and troubleshooting pipelines, datasets, SQL queries, stored procedures, and integrated runtimes within the Azure environment will be ongoing responsibilities. The engineer will manage connections between various data sources, including Power BI, Power Apps, and external or on\-premises environments. Continual research and integration of new technologies to optimize data factory operations, migrations, and integrations are expected, along with comprehensive documentation of configurations and developments to ensure operational continuity.
**Benefits**
 AttainX offers a competitive compensation package complemented by a comprehensive benefits program. Employees are entitled to paid vacation, medical, dental, and vision insurance, as well as a matching 401(k) retirement plan. Additional benefits include tuition and training reimbursement programs, Long \&amp; Short\-Term Disability coverage, and opportunities for professional development. Our commitment is to foster a supportive work environment that promotes growth, learning, and work\-life balance.
 Equal Opportunity
 AttainX is an equal employment opportunity employer committed to fostering an inclusive workplace. We do not discriminate based on race, color, religion, sex, national origin, age, disability, veteran status, or any other protected class under applicable federal, state, or local laws. We believe in providing equal opportunities for all applicants and employees, ensuring a fair and respectful work environment. We encourage individuals from diverse backgrounds to apply and join our team.</t>
        </is>
      </c>
    </row>
    <row r="4">
      <c r="A4" t="inlineStr">
        <is>
          <t>li-4367754625</t>
        </is>
      </c>
      <c r="B4" t="inlineStr">
        <is>
          <t>Data Engineer</t>
        </is>
      </c>
      <c r="C4" t="inlineStr">
        <is>
          <t>RemoteHunter</t>
        </is>
      </c>
      <c r="D4" t="inlineStr">
        <is>
          <t>linkedin</t>
        </is>
      </c>
      <c r="E4" t="inlineStr"/>
      <c r="F4" t="inlineStr"/>
      <c r="G4" t="inlineStr"/>
      <c r="H4" t="inlineStr"/>
      <c r="I4"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
      <c r="A5" t="inlineStr">
        <is>
          <t>li-4368122309</t>
        </is>
      </c>
      <c r="B5" t="inlineStr">
        <is>
          <t>Data Engineer</t>
        </is>
      </c>
      <c r="C5" t="inlineStr">
        <is>
          <t>Calyptus</t>
        </is>
      </c>
      <c r="D5" t="inlineStr">
        <is>
          <t>linkedin</t>
        </is>
      </c>
      <c r="E5" t="inlineStr"/>
      <c r="F5" t="inlineStr"/>
      <c r="G5" t="inlineStr">
        <is>
          <t>New York, United States</t>
        </is>
      </c>
      <c r="H5" t="inlineStr"/>
      <c r="I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6">
      <c r="A6" t="inlineStr">
        <is>
          <t>li-4357312181</t>
        </is>
      </c>
      <c r="B6" t="inlineStr">
        <is>
          <t>Principal Data Engineer</t>
        </is>
      </c>
      <c r="C6" t="inlineStr">
        <is>
          <t>SoTalent</t>
        </is>
      </c>
      <c r="D6" t="inlineStr">
        <is>
          <t>linkedin</t>
        </is>
      </c>
      <c r="E6" t="inlineStr"/>
      <c r="F6" t="inlineStr"/>
      <c r="G6" t="inlineStr"/>
      <c r="H6" t="inlineStr"/>
      <c r="I6" t="inlineStr">
        <is>
          <t>**Principal, Data Engineering (Remote)** 
 📍 Remote \| 💼 Full\-time \| 💲 Estimated Salary: $120,000 – $144,000 per year
**About the Role** 
 We are seeking a
 **Principal Data Engineer** 
 to lead and support complex data engineering initiatives across Research \&amp; Development. This role will be responsible for designing, developing, and maintaining data pipelines that process diverse data sources, including
 **clinical trials, medical devices, pre\-clinical studies, omics, and real\-world data** 
 . The position is fully remote, with global collaboration across research, data science, and business stakeholders.
**Key Responsibilities** 
* Design, build, and maintain data pipelines for structured and unstructured data using AWS services, Python, R, and SQL.
* Create and optimize ETL/ELT processes for diverse healthcare and research data.
* Develop and manage data repositories (AWS S3, FSx) and data warehousing solutions (Amazon Redshift).
* Build and maintain standard data models to support analytics and reporting.
* Implement data quality frameworks, validation processes, and KPIs.
* Ensure data versioning, lineage tracking, and compliance with regulatory requirements (HIPAA, GDPR).
* Document architectures, workflows, and processes to ensure transparency and reproducibility.
* Apply best practices in software development (CI/CD, DevOps, code versioning).
* Collaborate with researchers, data scientists, and stakeholders to deliver tailored solutions.
* Support or deliver data literacy training across R\&amp;D teams.
**Qualifications** 
* Bachelor’s degree in Computer Science, Statistics, Mathematics, Life Sciences, or related field (Master’s preferred).
* 3–5 years of experience in
 **data engineering** 
 , including at least 1\.5 years with healthcare, research, or clinical data.
* Strong skills in
 **Python, R, SQL** 
 , and AWS (S3, Redshift, FSx, Glue, Lambda).
* Experience with relational databases, data modeling, and database design.
* Familiarity with NoSQL, graph databases, Docker, Kubernetes, and big data technologies.
* Exposure to healthcare data standards (CDISC, HL7, FHIR, SNOMED CT, OMOP, DICOM).
* Knowledge of MLOps and deploying machine learning models is a plus.
* Strong problem\-solving, analytical, and communication skills.
* Experience in Agile development environments.
**Compensation \&amp; Benefits** 
* Salary range:
 **$120,000 – $144,000 per year** 
 (with potential up to $198,000 depending on experience).
* Discretionary bonus and long\-term equity incentive eligibility.
* Comprehensive benefits including medical, dental, vision, 401k, and flexible paid time off.</t>
        </is>
      </c>
    </row>
    <row r="7">
      <c r="A7" t="inlineStr">
        <is>
          <t>li-4368111635</t>
        </is>
      </c>
      <c r="B7" t="inlineStr">
        <is>
          <t>Data Engineer, Sr.</t>
        </is>
      </c>
      <c r="C7" t="inlineStr">
        <is>
          <t>Centene Corporation</t>
        </is>
      </c>
      <c r="D7" t="inlineStr">
        <is>
          <t>linkedin</t>
        </is>
      </c>
      <c r="E7" t="inlineStr"/>
      <c r="F7" t="inlineStr"/>
      <c r="G7" t="inlineStr"/>
      <c r="H7" t="inlineStr"/>
      <c r="I7" t="inlineStr">
        <is>
          <t>**About The Company** 
 Centene Corporation is a diversified, national organization committed to transforming the health of our members and communities through innovative healthcare solutions. Serving over 28 million members nationwide, Centene leverages technology and data\-driven strategies to improve health outcomes and provide accessible, high\-quality care. Our organization values diversity, inclusion, and a collaborative work environment, offering our employees opportunities to grow professionally while making a meaningful impact on public health. With a focus on innovation and excellence, Centene provides a comprehensive benefits package and a flexible work culture designed to support work\-life balance and career development.
**About The Role** 
 We are seeking a skilled Data Engineer to join our dynamic team. In this role, you will be responsible for developing and operationalizing complex data pipelines that facilitate data availability for reports and advanced analytics. Your expertise will ensure the seamless ingestion, transformation, validation, and optimization of data across various environments. You will collaborate closely with DevSecOps Engineers during continuous integration and deployment processes, guiding the design and implementation of data management procedures including data staging, ingestion, preparation, provisioning, and destruction. As a senior member of the team, you will provide insights into evolving data requirements, develop scalable architectures, and drive initiatives to enhance data reliability, efficiency, and quality. Your work will directly support Centene’s mission to improve health outcomes through innovative data solutions and automation.
**Qualifications** 
* Bachelor’s degree in a quantitative or business field such as statistics, mathematics, engineering, or computer science
* 4 to 6 years of relevant experience in data engineering or related roles
* Proven expertise in Python and SQL programming languages
* Experience with Snowflake or similar cloud data warehousing platforms
* Strong understanding of data pipelines, ETL/ELT processes, and data architecture design
* Knowledge of DevSecOps practices and experience with CI/CD pipelines
* Ability to develop real\-time processing applications and maintain high\-performance data systems
* Excellent problem\-solving skills and attention to detail
* Effective communication skills to collaborate with cross\-functional teams
**Responsibilities** 
* Design, develop, and maintain scalable data pipelines for ingestion, transformation, and delivery of data for analytics and reporting
* Operationalize data workflows ensuring data quality, validation, and consistency across environments
* Collaborate with DevSecOps engineers to implement continuous integration and deployment strategies
* Guide the design and implementation of complex data management procedures including data staging, ingestion, and destruction
* Develop and maintain real\-time data processing applications and pipelines to support live analytics
* Ensure the integrity, security, and compliance of data as it moves across systems
* Provide senior\-level insights into data environment changes, storage solutions, and processing requirements
* Construct, test, and optimize data architectures using advanced programming tools and languages
* Identify opportunities to automate tasks, improve data reliability, and enhance overall data quality
* Perform other related duties as assigned to support organizational goals
* Maintain adherence to all company policies, standards, and best practices
**Benefits** 
* Competitive salary range of $87,000 to $161,300 per year
* Comprehensive health insurance plans
* Retirement plans including 401K and stock purchase options
* Tuition reimbursement programs
* Paid time off and holidays
* Flexible work arrangements including remote, hybrid, field, or office schedules
* Opportunities for professional growth and development
* Supportive and inclusive work environment
 qual Opportunity
 Centene is an equal opportunity employer committed to diversity and inclusion. We value the unique perspectives and experiences of our employees and are dedicated to creating a workplace free from discrimination. All qualified applicants will receive consideration for employment regardless of race, color, religion, sex, sexual orientation, gender identity, national origin, disability, veteran status, or any other characteristic protected by law.</t>
        </is>
      </c>
    </row>
    <row r="8">
      <c r="A8" t="inlineStr">
        <is>
          <t>li-4306283458</t>
        </is>
      </c>
      <c r="B8" t="inlineStr">
        <is>
          <t>Data Engineer</t>
        </is>
      </c>
      <c r="C8" t="inlineStr">
        <is>
          <t>Underdog</t>
        </is>
      </c>
      <c r="D8" t="inlineStr">
        <is>
          <t>linkedin</t>
        </is>
      </c>
      <c r="E8" t="inlineStr"/>
      <c r="F8" t="inlineStr"/>
      <c r="G8" t="inlineStr"/>
      <c r="H8" t="inlineStr"/>
      <c r="I8"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As a Data Engineer on the Data Engineering team at Underdog, you’ll focus on building robust data pipelines that empower cross\-functional stakeholders including Marketing, Product, Analytics, and Data Science with reliable, actionable data. You’ll work closely with these teams to understand their data needs and deliver scalable solutions that support their top initiatives and priorities. This role blends hands\-on pipeline development with shaping the future of Underdog’s evolving data platform.
**About The Role**
* You’ll be developing data pipelines and maintaining production quality datasets that support Underdog’s analytics, data science, and marketing teams
* Design, build, and optimize scalable data platform infrastructure to support batch and real\-time data processing and storage in the cloud
* Collaborate with analytics, data scientists, engineers, and other business stakeholders to understand data requirements and translate them into scalable technical solutions
* Implement and maintain monitoring, alerting, and logging mechanisms to ensure the health and performance of the pipelines and platforms
* Perform validation and build data quality checks on production datasets and ensure there are minimal data quality issues
* Communicate continuously about progress, blockers, and resolution steps to all relevant stakeholders
**Who you are**
* 3\+ years of experience building scalable data pipelines in a cloud\-native environment (AWS, GCP, or Azure)
* 2\+ years of experience using dbt, Flink, or Spark for data transformations and BI tools such as Sigma or Looker
* Advanced proficiency with Python and SQL
* Some experience with streaming data infrastructure such as Apache Kafka, Apache Flink, GCP Datastream or AWS Kinesis
* Some familiarity with DevOps practices such as CI/CD pipelines, and infrastructure\-as\-code tools (e.g. Terraform, CDK)
* Strong ownership mindset; you’re focused on delivering results in a fast\-paced, entrepreneurial environment
* A proactive problem solver who finds and implements opportunities to improve systems and processes
* Excellent communication skills, with the ability to influence and collaborate effectively across teams
**Even better if you have**
* Strong interest in sports
* Prior experience in the sports betting industry
* Experience working highly regulated industries and familiarity with data privacy and compliance frameworks (e.g. GDPR, CCPA)
* Knowledge of ML concepts, with some experience in building ML platforms
*Our target starting base salary range for this position is between $135,000 and $165,000, plus pre\-IPO equity. Our comp range reflects the full scale of expected compensation for this role. Offers are calibrated based on experience, skills, impact, and geographies. Most new hires land in the lower half of the band, with the opportunity to advance toward the upper end over time.*
**What we can offer you:**
* Unlimited PTO (we're extremely flexible with the exception of the first few weeks before \&amp; into the NFL season)
* 16 weeks of fully paid parental leave
* Home office stipend
* A connected virtual 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9">
      <c r="A9" t="inlineStr">
        <is>
          <t>li-4368124036</t>
        </is>
      </c>
      <c r="B9" t="inlineStr">
        <is>
          <t>Data Engineer</t>
        </is>
      </c>
      <c r="C9" t="inlineStr">
        <is>
          <t>Best Job Tool</t>
        </is>
      </c>
      <c r="D9" t="inlineStr">
        <is>
          <t>linkedin</t>
        </is>
      </c>
      <c r="E9" t="inlineStr"/>
      <c r="F9" t="inlineStr"/>
      <c r="G9" t="inlineStr"/>
      <c r="H9" t="inlineStr"/>
      <c r="I9" t="inlineStr">
        <is>
          <t>**About The Company**
 Ernst \&amp; Young Oman is a leading professional services firm committed to delivering exceptional value to its clients through innovative solutions and expert insights. As part of the global Ernst \&amp; Young network, we leverage international best practices combined with local expertise to support organizations across various industries in Oman. Our firm specializes in audit, advisory, tax, and transaction advisory services, fostering a culture of integrity, collaboration, and excellence. We are dedicated to empowering our clients and nurturing the professional growth of our team members in a dynamic and inclusive work environment.
**About The Role**
 We are seeking a highly motivated and detail\-oriented individual to join our team in the position of Senior Auditor. The successful candidate will play a key role in conducting high\-quality audits for our diverse portfolio of clients, ensuring compliance with local and international standards. This role offers an excellent opportunity to develop your expertise in financial auditing, work closely with industry professionals, and contribute to the growth and reputation of Ernst \&amp; Young Oman. You will be responsible for leading audit engagements, supervising junior staff, and providing valuable insights to clients to enhance their financial reporting processes.
**Qualifications**
 The ideal candidate should possess a bachelor’s degree in accounting, finance, or a related field. Professional certifications such as CPA, ACCA, or equivalent are highly preferred. Candidates should have a minimum of 3\-5 years of relevant experience in external auditing, preferably within a reputable firm or multinational corporation. Strong knowledge of International Financial Reporting Standards (IFRS) and local regulatory requirements is essential. Excellent analytical, organizational, and communication skills are required, along with the ability to work effectively both independently and as part of a team. Fluency in English is mandatory, and proficiency in Arabic is an advantage.
**Responsibilities**
 As a Senior Auditor at Ernst \&amp; Young Oman, your responsibilities will include planning and executing audit engagements from start to finish, ensuring all work complies with professional standards and client expectations. You will review financial statements, assess internal controls, and identify areas of risk, providing recommendations for improvement. Leading and mentoring junior team members is a key aspect of this role, fostering a collaborative and productive work environment. You will also communicate findings effectively to clients and prepare detailed audit documentation. Maintaining up\-to\-date knowledge of auditing standards and regulations is essential to ensure the quality and integrity of all audit work performed. Additionally, you will participate in business development activities, contribute to proposals, and support the firm’s initiatives to expand client relationships.
**Benefits**
 Ernst \&amp; Young Oman offers a competitive salary package complemented by comprehensive benefits including health insurance, annual leave, and professional development support. Our firm emphasizes work\-life balance through flexible working arrangements and encourages continuous learning through training programs and certifications. Employees also benefit from a vibrant and inclusive workplace culture that promotes diversity, teamwork, and recognition of individual achievements. Opportunities for career advancement and international exposure are integral parts of our employee development strategy, ensuring our team members grow both professionally and personally.
 Equal Opportunity
 Ernst \&amp; Young Oman is an equal opportunity employer. We are committed to creating an inclusive environment where all employees are valued and respected regardless of race, gender, age, religion, disability, or background. We believe that diversity enhances our ability to serve our clients and fosters innovation within our team. We encourage applications from all qualified individuals and are dedicated to providing equal employment opportunities to promote a fair and equitable workplace.</t>
        </is>
      </c>
    </row>
    <row r="10">
      <c r="A10" t="inlineStr">
        <is>
          <t>li-4367745592</t>
        </is>
      </c>
      <c r="B10" t="inlineStr">
        <is>
          <t>Data Engineer</t>
        </is>
      </c>
      <c r="C10" t="inlineStr">
        <is>
          <t>Haystack</t>
        </is>
      </c>
      <c r="D10" t="inlineStr">
        <is>
          <t>linkedin</t>
        </is>
      </c>
      <c r="E10" t="inlineStr"/>
      <c r="F10" t="inlineStr"/>
      <c r="G10" t="inlineStr"/>
      <c r="H10" t="inlineStr"/>
      <c r="I10" t="inlineStr">
        <is>
          <t>**Senior Data Engineer/Architect \| New York, NY \| Hybrid \| $64 \- $77** 
 We're working with NTT DATA on this exciting opportunity.
 Join NTT DATA as a Senior Data Architect and spearhead the design and implementation of enterprise\-level data architectures for large\-scale banking and financial systems. Leverage your expertise in data modeling, ETL/ELT pipelines with Informatica or Talend, and scalable data storage solutions across PostgreSQL, Oracle, and Snowflake to drive innovation.
**The Role** 
 • Lead the design and implementation of enterprise\-level data architecture for financial systems.
 • Develop comprehensive data models (conceptual, logical, physical) for various workloads.
 • Architect and optimize data transformation, integration, and ETL/ELT pipelines using Informatica or Talend.
 • Design scalable data storage, archival, retention, and retrieval solutions across PostgreSQL, Oracle, and Snowflake.
 • Build and support enterprise dashboards by enabling Power BI semantic models and performance tuning.
**What You'll Need** 
 • Minimum 10\+ years of enterprise\-level experience in data architecture, modeling, transformation, and storage.
 • Advanced hands\-on experience with Informatica or Talend for ETL/ELT development (5\+ years).
 • Strong expertise with PostgreSQL, Oracle, and Snowflake (7\+ years combined).
 • Extensive experience writing and tuning Advanced SQL for large\-scale datasets (8\+ years).
 • 5\+ years of experience creating and optimizing Power BI dashboards, semantic models, and DAX expressions.
**What's On Offer** 
 • Opportunity to work on cutting\-edge data architecture for banking and financial systems.
 • Collaborate with cross\-functional teams and drive continuous improvement.
 • Engage in Agile ceremonies and ensure data security and governance.
 • Competitive hourly rate of $64 \- $77\.
**Apply via Haystack today!**</t>
        </is>
      </c>
    </row>
    <row r="11">
      <c r="A11" t="inlineStr">
        <is>
          <t>li-4357520049</t>
        </is>
      </c>
      <c r="B11" t="inlineStr">
        <is>
          <t>Data Engineer</t>
        </is>
      </c>
      <c r="C11" t="inlineStr">
        <is>
          <t>Codoxo</t>
        </is>
      </c>
      <c r="D11" t="inlineStr">
        <is>
          <t>linkedin</t>
        </is>
      </c>
      <c r="E11" t="inlineStr"/>
      <c r="F11" t="inlineStr"/>
      <c r="G11" t="inlineStr">
        <is>
          <t>Atlanta, GA</t>
        </is>
      </c>
      <c r="H11" t="inlineStr"/>
      <c r="I11" t="inlineStr">
        <is>
          <t>PLEASE NOTE BEFORE APPLYING:
 CODOXO IS NOT ABLE TO OFFER SPONSORSHIP OR ACCOMMODATE ANY CANDIDATES THAT ARE CURRENTLY BEING SPONSORED NOW OR IN THE FUTURE
**This is for a Full Time Role with Codoxo, NOT C2C**
 Of the $3\.8T we spend on healthcare in the United States annually, about a third of it is estimated to be lost due to waste, fraud and abuse. Codoxo is the premier provider of artificial intelligence\-driven solutions and services that help healthcare companies and agencies proactively detect and reduce risks from fraud, waste, and abuse and ensure payment integrity. Codoxo helps clients manage costs across network management, clinical care, provider coding and billing, payment integrity, and special investigation units. Our software\-as\-a service applications are built on our proven Forensic AI Engine, which uses patented AI\-based technology to identify problems and suspicious behavior far faster and earlier than traditional techniques.
 We are venture backed by some of the top investors in the country, with strong financials, and remain one of the fastest growing healthcare AI companies in the industry.
***Position Summary***
 :
 We have built a SaaS application that is supported by large volumes of healthcare data, on which we must frequently perform large queries very efficiently and return results in real\-time to the user.
***Key Responsibilities***
*:* 
* We are seeking a junior to mid level Data Engineer with experience in the following areas:
* Ingestion of large volumes of data
* Performing Data Validations/Cleansing
* Data integration/loading into target Data Objects.
* Building large reservoirs of data
* Performing efficient queries using SQL
* **NOTE:** 
 Claims loading experience in healthcare space is desired, but not required.
***Qualifications:***
* Bachelor or master's degree in Computer Science, Engineering or related field
* At least 2 years of experience in the software industry
* Experience using Relational databases (PostgreSQL is preferred)
* Prior experience in SQL scripting, including analytical queries
* Experience in Python programming
* Experience in UNIX Shell Scripting
**Beneficial technical skills:**
* PL/SQL or PL/pgSQL
* PySpark
* AWS Glue, S3, Aurora, Data Lake, Sagemaker
* Proven experience processing billions of records
* Experience processing medical claims or related health care data
* Physical Requirements: Work is performed in an office environment (either in our office or work\-from home) and requires the ability to work on a computer, operate standard office equipment, and work at a desk.
*Accessibility Notice: If you need reasonable accommodation for any part of the employment process due to a physical or mental disability, please send an email to careers@codoxo.com with the subject* 
**Benefits for You** 
* Health, Dental, and Vision insurance with 100% employee premium coverage (Starts Day 1\)
* Unlimited PTO
* Annual Professional Development stipend
* Annual home office stipend
* 401K Match (after 90 days)
**We are an Equal Opportunity Employer** 
 :
 Codoxo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row>
    <row r="12">
      <c r="A12" t="inlineStr">
        <is>
          <t>li-4366672381</t>
        </is>
      </c>
      <c r="B12" t="inlineStr">
        <is>
          <t>Senior Data Engineer</t>
        </is>
      </c>
      <c r="C12" t="inlineStr">
        <is>
          <t>Success Academy Charter Schools</t>
        </is>
      </c>
      <c r="D12" t="inlineStr">
        <is>
          <t>linkedin</t>
        </is>
      </c>
      <c r="E12" t="inlineStr"/>
      <c r="F12" t="inlineStr"/>
      <c r="G12" t="inlineStr">
        <is>
          <t>New York, United States</t>
        </is>
      </c>
      <c r="H12" t="inlineStr"/>
      <c r="I12" t="inlineStr">
        <is>
          <t>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
 The Enterprise Data and Analytics department’s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
 This new Senior Data Engineer we are seeking will be instrumental in designing, building, and optimizing our data pipelines and data warehouse solutions on AWS. You will leverage your deep technical expertise to solve complex data challenges, implement best practices, and contribute to the evolution of our data platform. You will collaborate closely with data analysts, data scientists, and other engineering teams to deliver high\-quality data solutions that drive business value.
 As a Senior Data Engineer, you will be responsible for building and maintaining the data infrastructure that powers our business intelligence and analytical insights. We work with cutting\-edge cloud technologies to ensure data is accessible, reliable, and performant, enabling data\-driven decision\-making across the organization. We embrace DevOps practices and value innovation and continuous improvement.
****Key Responsibilities****
* Design, develop, and maintain robust and scalable data pipelines using Talend ETL tool.
* Build and optimize our data warehouse on Amazon Redshift, ensuring performance and reliability.
* Develop and implement data transformation models using DBT.
* Write complex and efficient SQL queries to extract, transform, and load data.
* Collaborate with data analysts and business stakeholders to understand data requirements and deliver effective solutions.
* Implement and maintain CI/CD pipelines using GitHub for code management and deployment.
* Participate in agile development processes, utilizing JIRA for task management and tracking.
* Monitor and troubleshoot data pipelines and data warehouse performance, identifying and resolving issues proactively.
* Contribute to the design and implementation of data governance and data quality processes.
* Stay up\-to\-date with the latest trends and technologies in data engineering and cloud computing.
* Mentor and guide junior data engineers on the team.
**Qualifications**
* Bachelor's degree in Computer Science, Engineering, Mathematics, or a related field.
* 4\+ years of experience in data engineering or a similar role.
* Strong proficiency in building and maintaining ETL processes using Talend.
* Extensive experience with Amazon Web Services (AWS) cloud infrastructure, particularly S3 and Redshift.
* Hands\-on experience with DBT for data transformation and modeling.
* Excellent SQL skills with the ability to write complex and optimized queries.
* Solid understanding of data warehousing concepts and best practices.
* Experience with CI/CD pipelines and version control using Git (preferably GitHub).
* Familiarity with agile development methodologies and project management tools like JIRA.
* Strong problem\-solving and analytical skills with a keen attention to detail.
* Excellent communication and collaboration skills.
* Ability to work independently and as part of a team in a fast\-paced environment.
**Preferred Qualifications**
* Experience with other AWS services relevant to data engineering (e.g., Glue, EMR, Athena).
* Knowledge of scripting languages such as Python.
* Experience with data visualization tools, particularly Looker.
* Familiarity with data governance frameworks.
* Contributions to open\-source projects.
 Exact compensation may vary based on skills and experience. This position is not bonus eligible.
 Compensation Range
 $150,000—$170,000 USD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
**Privacy Policy**
 By providing your phone number, you consent to receive text message updates from Success Academy regarding your application. Reply STOP to unsubscribe. View our Privacy Policy.
**Current Success Academies Employees**
 Please apply through the Internal Job Board via Greenhouse.
 You will be asked to log in through your Okta Profile.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
*Success Academy Charter Schools does not offer employment\-based immigration sponsorship.*</t>
        </is>
      </c>
    </row>
    <row r="13">
      <c r="A13" t="inlineStr">
        <is>
          <t>li-4368115560</t>
        </is>
      </c>
      <c r="B13" t="inlineStr">
        <is>
          <t>Data Engineer</t>
        </is>
      </c>
      <c r="C13" t="inlineStr">
        <is>
          <t>Crunchbase</t>
        </is>
      </c>
      <c r="D13" t="inlineStr">
        <is>
          <t>linkedin</t>
        </is>
      </c>
      <c r="E13" t="inlineStr"/>
      <c r="F13" t="inlineStr"/>
      <c r="G13" t="inlineStr"/>
      <c r="H13" t="inlineStr"/>
      <c r="I13" t="inlineStr">
        <is>
          <t>**About The Company** 
 Crunchbase is a leading provider of predictive solutions that deliver comprehensive intelligence on private companies. Powered by a unique combination of live private company data, artificial intelligence, and market activity from over 80 million users, Crunchbase helps investors, dealmakers, and analysts anticipate private market movements that matter. Our mission is to empower our clients with accurate, timely insights to make informed decisions in a rapidly evolving business landscape. We are committed to fostering a positive, diverse, and inclusive culture by hiring for potential and embracing individuals with diverse perspectives, backgrounds, experiences, and skill sets. Our remote\-first approach allows us to attract talent from various regions, with a focus on creating an environment where innovation and collaboration thrive. We value transparency, openness, and continuous learning, which are integral to our company's growth and success.
**About The Role** 
 We are seeking a highly skilled and experienced Staff Data Engineer to join our dynamic team. In this role, you will be responsible for designing, implementing, and maintaining robust data systems that enable the development and deployment of data\-driven products. Your expertise will be pivotal in building scalable, efficient, and reliable data architectures that support advanced analytics, machine learning, and generative AI workloads. You will collaborate closely with cross\-functional teams including engineering, product, and analytics to deliver seamless data integrations and support strategic decision\-making. This position offers an exciting opportunity to lead complex initiatives, influence architectural decisions, and contribute to the continuous improvement of our data ecosystem. The ideal candidate will have a passion for innovation, a deep understanding of data engineering best practices, and a commitment to fostering a collaborative and inclusive work environment.
**Qualifications** 
* Bachelor’s or Master’s degree in Computer Science, Engineering, or a related field
* 6\+ years of experience in data engineering, with a focus on building scalable data solutions
* Proficiency in Python and SQL
* Experience with data pipelines, ETL processes, and data warehousing
* Hands\-on experience developing end\-to\-end solutions in a production environment
* Preferred: experience with streaming data systems such as Kafka
* Knowledge of databases including Postgres, Elasticsearch, and Redis
* Proven leadership skills with the ability to mentor and guide team members
* Experience with cloud platforms like AWS, Azure, GCP, or Snowflake (preferred)
* Familiarity with containerization technologies such as Docker and Kubernetes
* Experience with CI/CD tools and practices
* Experience with AI tools and agentic development platforms like Codex (a plus)
* Strong analytical and problem\-solving skills with a curiosity for emerging technologies
* Excellent communication and collaboration abilities
**Responsibilities** 
* Design, develop, and maintain core components of the company's data platform, ensuring scalability and efficiency
* Own complex data initiatives from conception to deployment, guiding architectural decisions to meet business needs
* Architect data structures and pipelines optimized for analytics, machine learning, and AI workloads
* Collaborate with engineering, product, and analytics teams to deliver seamless data integrations and support organizational decision\-making
* Continuously monitor and optimize data storage, processing, and retrieval systems to enhance performance and resilience
* Diagnose and resolve performance bottlenecks proactively, ensuring high data quality and system reliability
* Stay current with emerging data technologies and evaluate new tools and approaches to improve our data ecosystem
* Implement and maintain data quality checks and governance standards to ensure trustworthy data assets
* Mentor and coach junior engineers, fostering a culture of technical excellence and continuous learning
**Benefits** 
* Competitive salary range of $210,000 \- $235,000 plus equity in the form of stock options
* Remote\-first work environment with flexibility to work from approved states
* Comprehensive health benefits including medical, dental, and vision coverage
* Generous paid time off and wellness resources to support physical and mental health
* Reimbursement for professional development and continuous learning opportunities
* 401(k) and Roth retirement plans with annual financial advisory sessions
* Home office setup allowance and internet stipend to facilitate remote work
* Charitable giving match and community impact initiatives
* Collaborative, transparent, and innovative company culture focused on growth and impact
 Equal Opportunity
 Crunchbase is an equal opportunity employer. We celebrate diversity and are committed to creating an inclusive environment for all employees. We do not discriminate based on race, creed, color, ethnicity, national origin, religion, sex, sexual orientation, gender identity, age, height, weight, veteran status, military obligations, marital status, or any other protected characteristic.</t>
        </is>
      </c>
    </row>
    <row r="14">
      <c r="A14" t="inlineStr">
        <is>
          <t>li-4367756349</t>
        </is>
      </c>
      <c r="B14" t="inlineStr">
        <is>
          <t>Azure Databricks Data Engineer</t>
        </is>
      </c>
      <c r="C14" t="inlineStr">
        <is>
          <t>Tata Consultancy Services</t>
        </is>
      </c>
      <c r="D14" t="inlineStr">
        <is>
          <t>linkedin</t>
        </is>
      </c>
      <c r="E14" t="inlineStr"/>
      <c r="F14" t="inlineStr"/>
      <c r="G14" t="inlineStr">
        <is>
          <t>Seattle, WA</t>
        </is>
      </c>
      <c r="H14" t="inlineStr"/>
      <c r="I14"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5">
      <c r="A15" t="inlineStr">
        <is>
          <t>li-4367754386</t>
        </is>
      </c>
      <c r="B15" t="inlineStr">
        <is>
          <t>Azure Databricks Data Engineer</t>
        </is>
      </c>
      <c r="C15" t="inlineStr">
        <is>
          <t>Tata Consultancy Services</t>
        </is>
      </c>
      <c r="D15" t="inlineStr">
        <is>
          <t>linkedin</t>
        </is>
      </c>
      <c r="E15" t="inlineStr"/>
      <c r="F15" t="inlineStr"/>
      <c r="G15" t="inlineStr">
        <is>
          <t>Seattle, WA</t>
        </is>
      </c>
      <c r="H15" t="inlineStr"/>
      <c r="I15"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6">
      <c r="A16" t="inlineStr">
        <is>
          <t>li-4367762472</t>
        </is>
      </c>
      <c r="B16" t="inlineStr">
        <is>
          <t>Lead Data Engineer</t>
        </is>
      </c>
      <c r="C16" t="inlineStr">
        <is>
          <t>Haystack</t>
        </is>
      </c>
      <c r="D16" t="inlineStr">
        <is>
          <t>linkedin</t>
        </is>
      </c>
      <c r="E16" t="inlineStr"/>
      <c r="F16" t="inlineStr"/>
      <c r="G16" t="inlineStr"/>
      <c r="H16" t="inlineStr"/>
      <c r="I16" t="inlineStr">
        <is>
          <t>**Lead Data Engineer \| $111,500 \- 185,900** 
 We're working with Cox Automotive on this exciting opportunity.
 Are you a seasoned Data Engineer ready to lead? Join Cox Automotive, a leader in the automotive industry, and drive the future of data! You'll be instrumental in architecting and optimizing robust data solutions, working with cutting\-edge technologies like Snowflake, Python, and AWS.
**The Role** 
 • Lead the design and implementation of highly scalable data solutions in enterprise data warehouses and big data repositories.
 • Spearhead data quality initiatives, implementing tools and frameworks to automate identification of issues and ensure data integrity.
 • Mentor and guide less experienced data engineers, fostering a culture of technical excellence and continuous improvement.
 • Drive Agile planning, collaborating with analytics teams to solve complex data challenges and reduce technical debt.
 • Monitor emerging data technologies, integrating best practices and innovative solutions into our evolving data ecosystem.
**What You'll Need** 
 • 6\+ years of hands\-on experience in data engineering, with a strong focus on batch and real\-time data processing frameworks.
 • Expert\-level proficiency in data modeling, data access, schemas, and data storage techniques, particularly with Snowflake.
 • Solid working experience with relational databases including SQL, MySQL, and PostgreSQL, and strong ETL process knowledge.
 • Proven experience in the design, development, and implementation of highly scalable, high\-volume software systems and components.
 • Familiarity with business intelligence tools, data quality systems, Git, and Agile methodologies is essential.
**What's On Offer** 
 • Competitive base salary of $111,500\.00 \- $185,900\.00 with potential for additional incentive programs.
 • Comprehensive benefits including flexible paid time off, seven paid holidays, and 160 hours of annual paid wellness.
 • Opportunities for professional development and growth, with a focus on staying updated with emerging data technologies.
 • A collaborative and innovative work environment where your contributions directly impact the future of the automotive industry.
**Apply via Haystack today!**</t>
        </is>
      </c>
    </row>
    <row r="17">
      <c r="A17" t="inlineStr">
        <is>
          <t>li-4367744416</t>
        </is>
      </c>
      <c r="B17" t="inlineStr">
        <is>
          <t>Azure Databricks Data Engineer</t>
        </is>
      </c>
      <c r="C17" t="inlineStr">
        <is>
          <t>Tata Consultancy Services</t>
        </is>
      </c>
      <c r="D17" t="inlineStr">
        <is>
          <t>linkedin</t>
        </is>
      </c>
      <c r="E17" t="inlineStr"/>
      <c r="F17" t="inlineStr"/>
      <c r="G17" t="inlineStr">
        <is>
          <t>Seattle, WA</t>
        </is>
      </c>
      <c r="H17" t="inlineStr"/>
      <c r="I17"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8">
      <c r="A18" t="inlineStr">
        <is>
          <t>li-4367742611</t>
        </is>
      </c>
      <c r="B18" t="inlineStr">
        <is>
          <t>Azure Databricks Data Engineer</t>
        </is>
      </c>
      <c r="C18" t="inlineStr">
        <is>
          <t>Tata Consultancy Services</t>
        </is>
      </c>
      <c r="D18" t="inlineStr">
        <is>
          <t>linkedin</t>
        </is>
      </c>
      <c r="E18" t="inlineStr"/>
      <c r="F18" t="inlineStr"/>
      <c r="G18" t="inlineStr">
        <is>
          <t>Seattle, WA</t>
        </is>
      </c>
      <c r="H18" t="inlineStr"/>
      <c r="I18"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9">
      <c r="A19" t="inlineStr">
        <is>
          <t>li-4367924978</t>
        </is>
      </c>
      <c r="B19" t="inlineStr">
        <is>
          <t>Senior Data Engineer II (Operational Business Insights  Quality Data Engineer)</t>
        </is>
      </c>
      <c r="C19" t="inlineStr">
        <is>
          <t>BioSpace</t>
        </is>
      </c>
      <c r="D19" t="inlineStr">
        <is>
          <t>linkedin</t>
        </is>
      </c>
      <c r="E19" t="inlineStr"/>
      <c r="F19" t="inlineStr"/>
      <c r="G19" t="inlineStr">
        <is>
          <t>North Chicago, IL</t>
        </is>
      </c>
      <c r="H19" t="inlineStr"/>
      <c r="I19"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**Key Responsibilities**
* Design \&amp; develop scalable data solutions \&amp; platforms for efficient data processing \&amp; presentation.
* Collaborate with cross\-functional teams, including data engineers, reporting teams, \&amp; data scientists, to understand data requirements \&amp; optimize loading processes.
* Build \&amp; optimize secure endpoints to facilitate data access, retrieval, \&amp; integration across diverse applications \&amp; source systems.
* Implement data governance, security measures, \&amp; performance optimizations to ensure data integrity \&amp; quick, accurate access.
* Provide technical leadership, stay updated with emerging technologies, \&amp; collaborate to address data integration challenges \&amp; drive innovation.
**Qualifications**
**Education \&amp; Experience**
 Must possess a BS in Engineering \&amp; 5 years of work experience preparing \&amp; analyzing data \&amp; preparing insights \&amp; visualizations in a large,public company.
**Of Experience Required, Must Have 5 Years:**
* working with Database Technologies, SQL \&amp; NoSQL databases, \&amp; Analytics fields;
* interpreting \&amp; analyzing data \&amp; sharing issues \&amp; insights by creating reports \&amp; dashboards for visualization;
* designing \&amp; implementing large data processing, ETL systems, \&amp; testing performance of data\-driven products;
* creating, defining, \&amp; executing rigorous roadmaps for new data analytics projects \&amp; aligning data projects with organizational goals; \&amp;
* managing project stakeholders, business teams, \&amp; practicing a business mindset to understand real business issues or requirements.
**Of Experience Required, Must Have:**
* 3 years working in cloud technologies, terminologies, platforms, \&amp; AWS services;
* 2 years ensuring data quality, integrity, security \&amp; governance; \&amp;
* 1 year working on machine learning, automation, and latest analytics languages (R or Python).
 Alternatively, would accept Masters in Engineering \&amp; 3 years of work experience preparing \&amp; analyzing data \&amp; preparing insights \&amp; visualizations in a large, public company.
 Of experience required, must have 3 years of (i), (ii), (iii), (iv) \&amp; (v).
**Of Experience Required, Must Have:**
* 2 years working in cloud technologies, terminologies, platforms, \&amp; AWS services;
* 1 year ensuring data quality, integrity, security \&amp; governance; \&amp;
* 1 year working on machine learning, automation, and latest analytics languages (R or Python).
 Work experience may be gained concurrently. Will accept any combination of education, training \&amp; work experience
 Additional Information
 Salary Range: $160,555 \- $178,500 per year.
 Apply online at https://careers.abbvie.com/en or send resume to Job.opportunity.abbvie@abbvie.com. Refer to Req ID: REF49650I
 We offer a comprehensive package of benefits including paid time off (vacation, holidays, sick), medical/dental/vision insurance and 401(k) to eligible employees. This job is eligible to participate in our short\-term and long\-term incentive programs.
 AbbVie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20">
      <c r="A20" t="inlineStr">
        <is>
          <t>li-4368108705</t>
        </is>
      </c>
      <c r="B20" t="inlineStr">
        <is>
          <t>Associate Director - Integrated Risk Data Engineer</t>
        </is>
      </c>
      <c r="C20" t="inlineStr">
        <is>
          <t>BioSpace</t>
        </is>
      </c>
      <c r="D20" t="inlineStr">
        <is>
          <t>linkedin</t>
        </is>
      </c>
      <c r="E20" t="inlineStr"/>
      <c r="F20" t="inlineStr"/>
      <c r="G20" t="inlineStr">
        <is>
          <t>Indianapolis, IN</t>
        </is>
      </c>
      <c r="H20" t="inlineStr"/>
      <c r="I20"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**Integrated Risk Management Program Overview**
 Lilly's Integrated Risk Management (IRM) program is a strategic enterprise initiative that transforms traditional risk management into a competitive advantage by uniting multi\-functional expertise with pioneering analytics and technology. IRM enables faster, better informed decision\-making that protects what matters most: our operations, reputation, and ability to deliver life\-saving medicines to patients. This integrated approach creates a coordinated and proactive system that helps Lilly stay resilient and agile as we continue reaching more patients than ever before.
**Position Description**
 The Integrated Risk Data Engineer serves as the technical expert who is responsible for the data foundation powering risk intelligence across the enterprise. This individual contributor role independently leads data architecture and engineering initiatives from conception through delivery, integrating fragmented systems, designing unified data pipelines, and ensuring risk leaders have access to complete, accurate, and timely risk data. Working within the centralized IRM Analytics team, you will define and implement the Microsoft Fabric architecture and data governance framework that connects disparate risk platforms, including ServiceNow GRC, assurance systems, enterprise applications, and business\-specific tools, into cohesive data ecosystems that enable comprehensive risk visibility.
 This role requires depth and breadth of expertise in data engineering, with recognized proficiency that positions you as a key technical resource within the IRM function. You will lead the design and maintenance of robust data infrastructure using Microsoft Fabric's medallion architecture, lead data pipeline and transformation initiatives, and establish data governance standards that ensure data quality, security, and accessibility across all IRM functions. Balancing hands\-on delivery with standards definition and technical leadership, you will transform how risk data flows through the organization—breaking down historical silos and creating analytics and AI\-ready datasets that enable advanced analytics, real\-time monitoring, and predictive risk intelligence.
**Primary Position Responsibilities**
**Data Architecture \&amp; Infrastructure Leadership**
* Lead the Microsoft Fabric architecture for IRM, defining standards, design patterns, and procedures that ensure scalable, maintainable, and high\-performing data infrastructure across the risk ecosystem
* Design, build, and maintain enterprise risk data pipelines using Microsoft Fabric with medallion architecture (bronze, silver, gold layers) that integrate data from multiple risk domains and enterprise systems
* Architect and implement data engineering workflows using Fabric Data Factory, Synapse Data Engineering (Spark notebooks), and Dataflows Gen2 to consolidate fragmented risk data from ServiceNow GRC, SAP, Workday, SuccessFactors, assurance platforms, and other enterprise and function\-specific systems
* Design unified data models and Power BI semantic models that enable multi\-functional risk analytics, ensuring data consistency, accuracy, and accessibility across all risk functions
* Establish and lead the data governance framework for IRM, including data quality standards, validation rules, supervising processes, security protocols, and access controls that protect critical risk information while enabling appropriate data sharing
**Solution Delivery \&amp; Technical Excellence**
* Serve as a key technical resource partnering with Analytics Developers, Architects, and Data Scientists to understand data requirements and deliver datasets that power dashboards, reports, predictive models, and risk assessments
* Architect and build scalable, automated data solutions using Fabric pipelines and dataflows that reduce manual data preparation efforts and enable real\-time or near\-real\-time risk monitoring capabilities
* Optimize data pipeline performance using Fabric's compute resources and data storage options (Lakehouse, Data Warehouse) to ensure collaborators receive timely, accurate risk intelligence when decisions need to be made
* Design and implement data observability and monitoring solutions that proactively identify and resolve data quality issues before they impact business decisions
* Lead migration and integration initiatives as new risk technologies and platforms are adopted across the enterprise, independently owning project planning, solution architecture, and delivery
**Operational Excellence \&amp; Standards Definition**
* Independently respond to sophisticated data requests from risk functions, producing clean, well\-documented datasets in Fabric Lakehouses and Data Warehouses that support risk assessments, audits, investigations, and critical initiatives
* Anticipate and resolve complex data quality issues, working with source system owners and business partners to implement sustainable fixes that prevent recurrence
* Define and maintain comprehensive documentation standards for data lineage, transformation logic, data dictionaries, and technical architecture that enable knowledge sharing and maintain institutional knowledge
* Build strategic relationships with Tech@Lilly (IT), risk platform administrators, and business data owners to identify and resolve data integration challenges that impact the broader IRM function
**Strategic Partnership \&amp; Influence**
* Build and maintain strategic relationships with risk data owners, assurance function partners, and enterprise data teams to identify internal customer requirements and opportunities to improve data availability, quality, and integration
* Lead standardization of data definitions, taxonomies, and integration patterns across risk functions, influencing technical decisions that enable more effective multi\-functional analytics
* Lead the upskilling of IRM team members and business partners in data engineering concepts, serving as an authority and contributing to data literacy across the organization
* Know the latest on emerging data engineering technologies, practices, and tools, evaluating and applying relevant innovations to enhance Lilly's risk data capabilities
**Basic Qualifications/Requirements**
* Bachelor's Degree in Computer Science, Information Systems, Data Engineering, or related field
* 5\+ years of relevant professional experience in data engineering, ETL development, or data integration, with demonstrated progression in responsibility and complexity
* Qualified applicants must be authorized to work in the United States on a full\-time basis. Lilly will not provide support for or sponsor work authorization and/or visas for this role.
**Additional Skills/Preferences**
* Sophisticated SQL skills and deep experience with both relational and non\-relational database technologies
* Demonstrated experience independently leading data engineering projects from planning through delivery, including architecture design and standards definition
* Demonstrated ability to translate sophisticated business requirements into scalable technical data solutions with sound decision\-making within functional guidelines
* Solid understanding of Power BI data modeling, semantic model design, and optimizing datasets for analytical performance
* Expert proficiency with Microsoft Fabric (preferred) or similar cloud data platforms (Azure Data Factory, Synapse Analytics, Databricks), with ability to define architecture standards and guidelines
* Hands\-on experience with Microsoft Fabric components including Data Factory, Synapse Data Engineering, Data Warehouse, Lakehouse, and Dataflows Gen2
* Experience designing and implementing medallion architecture or similar layered data lake design patterns at enterprise scale
* Experience with ServiceNow platform, ServiceNow GRC, or other governance, risk, and compliance systems
* Proficiency in dimensional modeling, star schema design, and data warehouse concepts
* Experience in pharmaceutical, healthcare, or highly regulated industries with complex data governance requirements
* Background in risk management, audit, compliance, or assurance domain data
* Familiarity with Power Platform integration (Power Automate, Power Apps) with Fabric
* Strong problem\-solving skills with ability to anticipate, diagnose, and resolve complex data integration challenges
* Demonstrable ability to collaborate effectively with both technical teams and non\-technical business collaborators, translating technical concepts into business language
* Diligent with commitment to data quality and comprehensive documentation
* Self\-directed professional who works independently, takes initiative on sophisticated problems, and proactively sees opportunities for improvement
* Demonstrated strong motivation, rapid learning agility, and growth mindset
**Travel**
 Up to 5\-10% travel based on business needs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$124,500 \- $182,600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1">
      <c r="A21" t="inlineStr">
        <is>
          <t>li-4368114911</t>
        </is>
      </c>
      <c r="B21" t="inlineStr">
        <is>
          <t>Databricks Engineer - Data Engineer</t>
        </is>
      </c>
      <c r="C21" t="inlineStr">
        <is>
          <t>Mango Analytics</t>
        </is>
      </c>
      <c r="D21" t="inlineStr">
        <is>
          <t>linkedin</t>
        </is>
      </c>
      <c r="E21" t="inlineStr"/>
      <c r="F21" t="inlineStr"/>
      <c r="G21" t="inlineStr">
        <is>
          <t>Charlotte, NC</t>
        </is>
      </c>
      <c r="H21" t="inlineStr"/>
      <c r="I21" t="inlineStr">
        <is>
          <t>**Data Bricks Engineer**
****Charlotte North Carolina (Hybrid 3 days onsite and 2 day Remote)****
****Duration: 4\-6 months, possibility to extend****
**Look for Nearby candidates**
**Independent consultant with 12 months visa validity**
**Must Haves**
* 5\-7 years of experience at minimum
* Data Bricks Experience
 SAP 4 Hana
 Snowflake experience
**Core Of The Req**
 Day\-day
 Data bricks experience
 Transformations and push to snowflake
**SAP ECC**
 Manufacturing data is unstable, clean it up and push to snowflake
**Plusses**
* Manufacturing industry experience
 Short term consulting experience</t>
        </is>
      </c>
    </row>
    <row r="22">
      <c r="A22" t="inlineStr">
        <is>
          <t>li-4368127936</t>
        </is>
      </c>
      <c r="B22" t="inlineStr">
        <is>
          <t>Data Engineer</t>
        </is>
      </c>
      <c r="C22" t="inlineStr">
        <is>
          <t>Hyra</t>
        </is>
      </c>
      <c r="D22" t="inlineStr">
        <is>
          <t>linkedin</t>
        </is>
      </c>
      <c r="E22" t="inlineStr"/>
      <c r="F22" t="inlineStr"/>
      <c r="G22" t="inlineStr"/>
      <c r="H22" t="inlineStr"/>
      <c r="I22" t="inlineStr">
        <is>
          <t>Azure Data Engineer
 Location: Dallas, Texas, 75243 \| Type: Hybrid \| Salary: Competitive salary
 Hyra is working on behalf of ATTAINX INC to hire for the position of Azure Data Engineer. This role focuses on evaluating, optimizing, and modernizing enterprise data warehouse environments to deliver secure and scalable solutions. The engineer will align technical data integration strategies with organizational AI and data objectives.
 What you'll be doing
 • Assess enterprise data warehouse states to identify optimization opportunities and technical gaps.
 • Build and maintain automated ETL/ELT pipelines using Azure Data Factory and Synapse Analytics.
 • Deliver hands\-on engineering solutions across Data Lake and SQL Managed Instances.
 • Design and implement database measures to improve performance and architectural scalability.
 • Collaborate with cross\-functional teams to align engineering delivery with strategic roadmaps.
 What we're looking for
 • Five years of experience engineering Azure data solutions including ADF and Synapse.
 • Microsoft Azure Data Engineer Associate certification and a relevant Bachelor’s degree.
 • Proficiency in SQL, data modeling, OLAP, and metadata\-driven pipeline optimization.
 • Experience with programming concepts in Python, PowerShell, or PL/SQL for data environments.
 • Must be legally authorized to work in the US and hold an active security clearance.
 What ATTAINX INC offers
 • Opportunity to work on large\-scale enterprise data implementations.
 • Professional development within evolving Data and AI government strategies.
 • Collaborative environment focused on modernizing legacy data architectures.
 • Competitive compensation and benefits package.
 Apply via Hyra to be considered for this opportunity.</t>
        </is>
      </c>
    </row>
    <row r="23">
      <c r="A23" t="inlineStr">
        <is>
          <t>li-4367751816</t>
        </is>
      </c>
      <c r="B23" t="inlineStr">
        <is>
          <t>Analytics Engineer</t>
        </is>
      </c>
      <c r="C23" t="inlineStr">
        <is>
          <t>RemoteHunter</t>
        </is>
      </c>
      <c r="D23" t="inlineStr">
        <is>
          <t>linkedin</t>
        </is>
      </c>
      <c r="E23" t="inlineStr"/>
      <c r="F23" t="inlineStr"/>
      <c r="G23" t="inlineStr"/>
      <c r="H23" t="inlineStr"/>
      <c r="I23"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li-4367763817</t>
        </is>
      </c>
      <c r="B24" t="inlineStr">
        <is>
          <t>Sr. Analytics Engineer</t>
        </is>
      </c>
      <c r="C24" t="inlineStr">
        <is>
          <t>RemoteHunter</t>
        </is>
      </c>
      <c r="D24" t="inlineStr">
        <is>
          <t>linkedin</t>
        </is>
      </c>
      <c r="E24" t="inlineStr"/>
      <c r="F24" t="inlineStr"/>
      <c r="G24" t="inlineStr"/>
      <c r="H24" t="inlineStr"/>
      <c r="I24" t="inlineStr">
        <is>
          <t>About the Opportunity:
 The organization leads in Real\-Time Care Intelligence solutions aimed at improving outcomes for individuals facing physical and behavioral health challenges. The Senior Analytics Engineer role involves working with the Analytics and Visualization team and internal stakeholders to develop reporting solutions using a unique data pipeline. This position requires creative problem\-solving, cross\-team collaboration, and independent thinking to leverage data and enhance healthcare delivery.
 Responsibilities:
 • Design and manage data pipelines supporting reporting solutions
 • Develop dashboards and reporting features to improve user satisfaction
 • Serve as the technical authority on reporting components of the product suite
 • Foster collaboration across Agile teams and functions to implement solutions
 • Use data and advanced analytics to provide actionable insights to stakeholders
 • Support business\-aligned projects to meet organizational goals
 • Identify repetitive tasks and partner to implement scalable automation
 • Stay informed on emerging AI tools to enhance work within the function
 Requirements:
 • Bachelor’s Degree in a quantitative or technical discipline; advanced degree is a plus
 • 5\+ years of professional experience in data analytics
 • Experience designing user\-friendly analytics solutions with Tableau, Looker, or similar software
 • Proficiency in SQL for data collection, cleaning, and aggregation
 • Solid understanding of database technologies (PostgreSQL, MySQL, DynamoDB) and coding for data collection
 • Knowledge of data warehousing concepts and experience with platforms such as Amazon Redshift
 • Working knowledge of Tableau for creating user\-facing analytics solutions
 • Proficiency with Python, GitHub, and standard development tools
 • Comfort using or learning AI\-supported tools such as ChatGPT or CoPilot
 • Strong analytical and problem\-solving skills with creativity in solution design
 • Ability to thrive in fast\-paced, evolving environments
 • Effective remote work skills with high\-quality virtual interactions
 • Ability to travel periodically for work
 Benefits \&amp; Perks:
 • Opportunity to work with an innovative healthcare technology team
 • Freedom to create within a highly supportive environment
 • Exposure to strategic priorities and learning from top investors and advisors
 • Competitive compensation including health, dental, vision, and other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li-4368133311</t>
        </is>
      </c>
      <c r="B25" t="inlineStr">
        <is>
          <t>Data Engineer</t>
        </is>
      </c>
      <c r="C25" t="inlineStr">
        <is>
          <t>Heitmeyer Consulting</t>
        </is>
      </c>
      <c r="D25" t="inlineStr">
        <is>
          <t>linkedin</t>
        </is>
      </c>
      <c r="E25" t="inlineStr"/>
      <c r="F25" t="inlineStr"/>
      <c r="G25" t="inlineStr">
        <is>
          <t>Dallas, TX</t>
        </is>
      </c>
      <c r="H25" t="inlineStr"/>
      <c r="I25" t="inlineStr">
        <is>
          <t>Heitmeyer Consulting has a banking client that has a need within their Chief Data Office for a strong Data Engineer to specialize in building and optimizing high\-performance, real\-time data pipelines. This role is central to leveraging the power of Apache Kafka for event streaming and Apache Flink for complex, stateful stream processing and analytics. The ideal candidate will transform raw, high\-velocity data into actionable, low\-latency insights that drive core business functionality, working within our AWS\-based data ecosystem leveraging S3 for storage. Role must be based in Dallas, TX or Tulsa, OK.
**Top Required Skills:**
* Require extensive experience as a Data Engineer building and maintaining production\-grade data pipelines with a focus on real\-time systems.
* In\-depth experience with Apache Kafka along with hands\-on experience with Apache Flink, including understanding of state management, fault tolerance and time semantics.
* Significant cloud background with strong expertise in AWS cloud services related to data engineering (S3, MSK, Glue, Athena, EMR, DynamoDB, etc.).
* Proficiency in programming/scripting languages such as Python, Java, or Scala.
* Familiar with modern data stack and big data technologies (Spark, Airflow, Iceberg, SQL) along with understanding of distributed systems and processing real\-time data at scale.
* Excellent problem\-solving skills and the ability to troubleshoot complex issues in distributed systems.
**Nice\-to\-have:**
* Background within financial services would be preferred but not required.
**Key Responsibilities**
* Design, develop, and deploy robust, high\-throughput, low\-latency streaming applications using Apache Flink and Java/Scala/Python APIs.
* Architect and optimize Kafka\-based event\-driven systems, including topic design, schema enforcement via Schema Registry, and integration using Kafka Connect.
* Lead data transformation through implementation of complex business logic, stateful processing, windowing, and data enrichment within Flink jobs to transform raw Kafka streams into analytics\-ready datasets, ensuring exactly\-once semantics and fault tolerance.
* Ensure cloud integration with storage and manage processed data efficiently in AWS S3 and potentially using an open format like Apache Iceberg, connecting seamlessly with downstream analytics tools (e.g., Athena).
* Optimize performance and observability – tune Flink and Kafka configurations for maximum performance, efficiency, and scalability, implementing robust monitoring and alerting for production environments.
* Partner closely with data scientists, software engineers, and business stakeholders to translate functional requirements into reliable data processing solutions.
* Champion software engineering best practices, including automated testing, code review, CI/CD pipelines, and documentation of data lineage and logic.
*Heitmeyer Consulting is an equal opportunity employer, and we encourage all qualified candidates to apply. Qualified applicants will be considered without regard to minority status, gender, disability, veteran status or any other characteristic protected by law.*</t>
        </is>
      </c>
    </row>
    <row r="26">
      <c r="A26" t="inlineStr">
        <is>
          <t>li-4367760830</t>
        </is>
      </c>
      <c r="B26" t="inlineStr">
        <is>
          <t>Senior Data Engineer</t>
        </is>
      </c>
      <c r="C26" t="inlineStr">
        <is>
          <t>RemoteHunter</t>
        </is>
      </c>
      <c r="D26" t="inlineStr">
        <is>
          <t>linkedin</t>
        </is>
      </c>
      <c r="E26" t="inlineStr"/>
      <c r="F26" t="inlineStr"/>
      <c r="G26" t="inlineStr"/>
      <c r="H26" t="inlineStr"/>
      <c r="I26" t="inlineStr">
        <is>
          <t>About the Opportunity:
 The organization is a purpose\-driven fintech company focused on providing clearer credit options to underserved consumers in the U.S. The Data Engineering team builds and maintains analytical data infrastructure and ETL/Reverse ETL pipelines that support the data warehouse. This role involves developing and maintaining data pipelines, promoting software engineering best practices, and collaborating with cross\-functional teams to meet evolving data needs.
 Responsibilities:
 • Design, develop, and maintain high\-performance data pipelines using Python, SQL, dbt, and Snowflake on GCP
 • Improve code quality, test coverage, and maintainability of data pipelines
 • Implement software engineering best practices including code reviews, testing, CI/CD, and documentation
 • Support adoption of data quality tools and practices such as data lineage and automated alerting
 • Research and recommend new technologies and tools to enhance the data platform
 • Contribute to data architecture and design of the data warehouse
 • Collaborate with software engineering teams to define data structures and streamline ingestion
 • Work with data scientists, analysts, and business users to translate data needs into technical requirements
 • Troubleshoot and resolve complex data pipeline issues to ensure data quality and reliability
 • Develop and maintain CI/CD pipelines for data infrastructure
 • Participate in on\-call rotation supporting critical data pipelines
 • Identify and address inefficiencies in data engineering processes
 Requirements:
 • Bachelor''s degree in Computer Science, Engineering, or related field
 • Minimum 2 years experience in data engineering
 • Strong analytical SQL and Python skills
 • Knowledge of software engineering principles including version control, testing, and CI/CD
 • Experience with data warehousing technologies
 • Experience with cloud platforms, preferably Google Cloud Platform (GCP), including Cloud Functions and GCS
 • Proven ability to design and implement reliable, resilient ETL/ELT pipelines
 • Familiarity with Snowflake, dbt, Montecarlo, and Airflow
 • Excellent communication, collaboration, and problem\-solving skills
 Preferred Qualifications:
 • Experience with data governance and data quality frameworks
 • Knowledge of data modeling principles
 • Experience with infrastructure\-as\-code tools such as Terraform or Kubernetes Config Connector
 Benefits \&amp; Perks:
 • Access to training programs and opportunities for advancement
 • Full health, dental, and vision insurance
 • Flexible Spending Accounts for medical and childcare expenses
 • Paid parental leave
 • 401(k) Company Match
 • Generous paid time off
 • Flexible work schedules
 • Subscription to wellness app (Calm)
 • Remote\-friendly work environment
 Compensation:
 • Target Base Salary: 110,000 to 126,000 USD
 • Additional compensation through annual incentive program and equity based on role,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li-4368128770</t>
        </is>
      </c>
      <c r="B27" t="inlineStr">
        <is>
          <t>Data Engineer</t>
        </is>
      </c>
      <c r="C27" t="inlineStr">
        <is>
          <t>Storm3</t>
        </is>
      </c>
      <c r="D27" t="inlineStr">
        <is>
          <t>linkedin</t>
        </is>
      </c>
      <c r="E27">
        <f>HYPERLINK("https://www.linkedin.com/jobs/view/4368128770", "https://www.linkedin.com/jobs/view/4368128770")</f>
        <v/>
      </c>
      <c r="F27" t="inlineStr"/>
      <c r="G27" t="inlineStr">
        <is>
          <t>New York, United States</t>
        </is>
      </c>
      <c r="H27" t="inlineStr"/>
      <c r="I27" t="inlineStr">
        <is>
          <t>**💻 Founding Data Engineer** 
 📋
 **GenAI Healthcare** 
**📍 Hybrid in NY** 
**💸 Strong base \+ equity** 
 We are working with a fast growing healthtech who's solving one of the toughest challenges in healthcare \- financial data interoperability.
 They are looking for a Senior Data Engineer or a Software Engineer with a focus in data to play a key role in shaping their data integration strategy and enable them to onboard customers at scale. This role is an opportunity to have an impact on the company's trajectory and work on a critical problem that's key to their success while also make a huge difference to the healthcare industry.
**Responsibilities:** 
* Develop and scale their data integration infrastructure to connect seamlessly with a variety of healthcare systems.
* Drive the architecture, design, and implementation of complex pipelines for AI agents and data ingestion sources
* Solve interoperability challenges to help healthcare practices recover lost revenue and understand their financial health.
* Work closely with the engineering and product teams to improve onboarding speed and build a robust data strategy.
* Actively contribute to building the team’s architectural vision and technical roadmap
* Collaborate on code reviews and technical design documents to ensure code quality and distribute knowledge
**Requirements:** 
* Passionate about mission\-driven companies in the HealthTech space
* Excited and able to shape the direction and future of the engineering team \&amp; lead by example
* Strong technical execution
* 5\+ years of data engineering experience, with a focus on data pipelines and integrations (ideally healthcare data and interoperability challenges)
* Python and database systems, familiarity with performance and optimization for scale
* Experience with distribute systems coordination and AI pipelines
* Familiarity with big data
* CI/CD workflows such as Github actions
*📧 Interested in applying? Please click on the ‘Easy Apply’ button or alternatively email me your resume at* 
***stefani.lukic@storm3\.com***
*⚡ Storm3 is a HealthTech \&amp; Biotech recruitment firm with clients across major Tech hubs in Europe, APAC and North America. To discuss open opportunities or career options, please visit our website at storm3\.com and follow the Storm3 LinkedIn page for the latest jobs and int* 
 el</t>
        </is>
      </c>
    </row>
    <row r="28">
      <c r="A28" t="inlineStr">
        <is>
          <t>li-4368114911</t>
        </is>
      </c>
      <c r="B28" t="inlineStr">
        <is>
          <t>Databricks Engineer - Data Engineer</t>
        </is>
      </c>
      <c r="C28" t="inlineStr">
        <is>
          <t>Mango Analytics</t>
        </is>
      </c>
      <c r="D28" t="inlineStr">
        <is>
          <t>linkedin</t>
        </is>
      </c>
      <c r="E28">
        <f>HYPERLINK("https://www.linkedin.com/jobs/view/4368114911", "https://www.linkedin.com/jobs/view/4368114911")</f>
        <v/>
      </c>
      <c r="F28" t="inlineStr"/>
      <c r="G28" t="inlineStr">
        <is>
          <t>Charlotte, NC</t>
        </is>
      </c>
      <c r="H28" t="inlineStr"/>
      <c r="I28" t="inlineStr">
        <is>
          <t>**Data Bricks Engineer**
****Charlotte North Carolina (Hybrid 3 days onsite and 2 day Remote)****
****Duration: 4\-6 months, possibility to extend****
**Look for Nearby candidates**
**Independent consultant with 12 months visa validity**
**Must Haves**
* 5\-7 years of experience at minimum
* Data Bricks Experience
 SAP 4 Hana
 Snowflake experience
**Core Of The Req**
 Day\-day
 Data bricks experience
 Transformations and push to snowflake
**SAP ECC**
 Manufacturing data is unstable, clean it up and push to snowflake
**Plusses**
* Manufacturing industry experience
 Short term consulting experience</t>
        </is>
      </c>
    </row>
    <row r="29">
      <c r="A29" t="inlineStr">
        <is>
          <t>li-4367768245</t>
        </is>
      </c>
      <c r="B29" t="inlineStr">
        <is>
          <t>Data Engineer</t>
        </is>
      </c>
      <c r="C29" t="inlineStr">
        <is>
          <t>Robert Half</t>
        </is>
      </c>
      <c r="D29" t="inlineStr">
        <is>
          <t>linkedin</t>
        </is>
      </c>
      <c r="E29">
        <f>HYPERLINK("https://www.linkedin.com/jobs/view/4367768245", "https://www.linkedin.com/jobs/view/4367768245")</f>
        <v/>
      </c>
      <c r="F29" t="inlineStr"/>
      <c r="G29" t="inlineStr">
        <is>
          <t>Calabasas, CA</t>
        </is>
      </c>
      <c r="H29" t="inlineStr"/>
      <c r="I29" t="inlineStr">
        <is>
          <t>Robert Half is partnering with a well\-known brand seeking an experienced Senior Data Engineer with Databricks experience. Working alongside data scientists and software developers, you’ll work will directly impact dynamic pricing strategies by ensuring the availability, accuracy, and scalability of data systems. This position is full time with full benefits and 3 days onsite in the Woodland Hills, CA area.
 Responsibilities:
* Design, build, and maintain scalable data pipelines for dynamic pricing models.
* Collaborate with data scientists to prepare data for model training, validation, and deployment.
* Develop and optimize ETL processes to ensure data quality and reliability.
* Monitor and troubleshoot data workflows for continuous integration and performance.
* Partner with software engineers to embed data solutions into product architecture.
* Ensure compliance with data governance, privacy, and security standards.
* Translate stakeholder requirements into technical specifications.
* Document processes and contribute to data engineering best practices.
 Requirements:
* Bachelor’s or Master’s degree in Computer Science, Engineering, or a related field.
* 4\+ years of experience in data engineering, data warehousing, and big data technologies.
* Proficiency in SQL and experience with relational databases (e.g., PostgreSQL, MySQL, SQL Server).
* Must have experience in Databricks.
* Experience working within Azure or AWS or GCP environment.
* Familiarity with big data tools like Spark, Hadoop, or Databricks.
* Experience in real\-time data pipeline tools.
* Experienced with Python</t>
        </is>
      </c>
    </row>
    <row r="30">
      <c r="A30" t="inlineStr">
        <is>
          <t>li-4368127936</t>
        </is>
      </c>
      <c r="B30" t="inlineStr">
        <is>
          <t>Data Engineer</t>
        </is>
      </c>
      <c r="C30" t="inlineStr">
        <is>
          <t>Hyra</t>
        </is>
      </c>
      <c r="D30" t="inlineStr">
        <is>
          <t>linkedin</t>
        </is>
      </c>
      <c r="E30">
        <f>HYPERLINK("https://www.linkedin.com/jobs/view/4368127936", "https://www.linkedin.com/jobs/view/4368127936")</f>
        <v/>
      </c>
      <c r="F30">
        <f>HYPERLINK("https://joinhyra.com/jobs/ef817a5a-834a-4014-b76d-0dd6a54ab6ec?src=linkedin&amp;urlHash=GfDh", "https://joinhyra.com/jobs/ef817a5a-834a-4014-b76d-0dd6a54ab6ec?src=linkedin&amp;urlHash=GfDh")</f>
        <v/>
      </c>
      <c r="G30" t="inlineStr"/>
      <c r="H30" t="inlineStr"/>
      <c r="I30" t="inlineStr">
        <is>
          <t>Azure Data Engineer
 Location: Dallas, Texas, 75243 \| Type: Hybrid \| Salary: Competitive salary
 Hyra is working on behalf of ATTAINX INC to hire for the position of Azure Data Engineer. This role focuses on evaluating, optimizing, and modernizing enterprise data warehouse environments to deliver secure and scalable solutions. The engineer will align technical data integration strategies with organizational AI and data objectives.
 What you'll be doing
 • Assess enterprise data warehouse states to identify optimization opportunities and technical gaps.
 • Build and maintain automated ETL/ELT pipelines using Azure Data Factory and Synapse Analytics.
 • Deliver hands\-on engineering solutions across Data Lake and SQL Managed Instances.
 • Design and implement database measures to improve performance and architectural scalability.
 • Collaborate with cross\-functional teams to align engineering delivery with strategic roadmaps.
 What we're looking for
 • Five years of experience engineering Azure data solutions including ADF and Synapse.
 • Microsoft Azure Data Engineer Associate certification and a relevant Bachelor’s degree.
 • Proficiency in SQL, data modeling, OLAP, and metadata\-driven pipeline optimization.
 • Experience with programming concepts in Python, PowerShell, or PL/SQL for data environments.
 • Must be legally authorized to work in the US and hold an active security clearance.
 What ATTAINX INC offers
 • Opportunity to work on large\-scale enterprise data implementations.
 • Professional development within evolving Data and AI government strategies.
 • Collaborative environment focused on modernizing legacy data architectures.
 • Competitive compensation and benefits package.
 Apply via Hyra to be considered for this opportunity.</t>
        </is>
      </c>
    </row>
    <row r="31">
      <c r="A31" t="inlineStr">
        <is>
          <t>li-4368111635</t>
        </is>
      </c>
      <c r="B31" t="inlineStr">
        <is>
          <t>Data Engineer, Sr.</t>
        </is>
      </c>
      <c r="C31" t="inlineStr">
        <is>
          <t>Centene Corporation</t>
        </is>
      </c>
      <c r="D31" t="inlineStr">
        <is>
          <t>linkedin</t>
        </is>
      </c>
      <c r="E31">
        <f>HYPERLINK("https://www.linkedin.com/jobs/view/4368111635", "https://www.linkedin.com/jobs/view/4368111635")</f>
        <v/>
      </c>
      <c r="F31" t="inlineStr"/>
      <c r="G31" t="inlineStr"/>
      <c r="H31" t="inlineStr"/>
      <c r="I31" t="inlineStr">
        <is>
          <t>**About The Company** 
 Centene Corporation is a diversified, national organization committed to transforming the health of our members and communities through innovative healthcare solutions. Serving over 28 million members nationwide, Centene leverages technology and data\-driven strategies to improve health outcomes and provide accessible, high\-quality care. Our organization values diversity, inclusion, and a collaborative work environment, offering our employees opportunities to grow professionally while making a meaningful impact on public health. With a focus on innovation and excellence, Centene provides a comprehensive benefits package and a flexible work culture designed to support work\-life balance and career development.
**About The Role** 
 We are seeking a skilled Data Engineer to join our dynamic team. In this role, you will be responsible for developing and operationalizing complex data pipelines that facilitate data availability for reports and advanced analytics. Your expertise will ensure the seamless ingestion, transformation, validation, and optimization of data across various environments. You will collaborate closely with DevSecOps Engineers during continuous integration and deployment processes, guiding the design and implementation of data management procedures including data staging, ingestion, preparation, provisioning, and destruction. As a senior member of the team, you will provide insights into evolving data requirements, develop scalable architectures, and drive initiatives to enhance data reliability, efficiency, and quality. Your work will directly support Centene’s mission to improve health outcomes through innovative data solutions and automation.
**Qualifications** 
* Bachelor’s degree in a quantitative or business field such as statistics, mathematics, engineering, or computer science
* 4 to 6 years of relevant experience in data engineering or related roles
* Proven expertise in Python and SQL programming languages
* Experience with Snowflake or similar cloud data warehousing platforms
* Strong understanding of data pipelines, ETL/ELT processes, and data architecture design
* Knowledge of DevSecOps practices and experience with CI/CD pipelines
* Ability to develop real\-time processing applications and maintain high\-performance data systems
* Excellent problem\-solving skills and attention to detail
* Effective communication skills to collaborate with cross\-functional teams
**Responsibilities** 
* Design, develop, and maintain scalable data pipelines for ingestion, transformation, and delivery of data for analytics and reporting
* Operationalize data workflows ensuring data quality, validation, and consistency across environments
* Collaborate with DevSecOps engineers to implement continuous integration and deployment strategies
* Guide the design and implementation of complex data management procedures including data staging, ingestion, and destruction
* Develop and maintain real\-time data processing applications and pipelines to support live analytics
* Ensure the integrity, security, and compliance of data as it moves across systems
* Provide senior\-level insights into data environment changes, storage solutions, and processing requirements
* Construct, test, and optimize data architectures using advanced programming tools and languages
* Identify opportunities to automate tasks, improve data reliability, and enhance overall data quality
* Perform other related duties as assigned to support organizational goals
* Maintain adherence to all company policies, standards, and best practices
**Benefits** 
* Competitive salary range of $87,000 to $161,300 per year
* Comprehensive health insurance plans
* Retirement plans including 401K and stock purchase options
* Tuition reimbursement programs
* Paid time off and holidays
* Flexible work arrangements including remote, hybrid, field, or office schedules
* Opportunities for professional growth and development
* Supportive and inclusive work environment
 qual Opportunity
 Centene is an equal opportunity employer committed to diversity and inclusion. We value the unique perspectives and experiences of our employees and are dedicated to creating a workplace free from discrimination. All qualified applicants will receive consideration for employment regardless of race, color, religion, sex, sexual orientation, gender identity, national origin, disability, veteran status, or any other characteristic protected by law.</t>
        </is>
      </c>
    </row>
    <row r="32">
      <c r="A32" t="inlineStr">
        <is>
          <t>li-4357470316</t>
        </is>
      </c>
      <c r="B32" t="inlineStr">
        <is>
          <t>Data Engineer - Manufacturing</t>
        </is>
      </c>
      <c r="C32" t="inlineStr">
        <is>
          <t>ChatGPT Jobs</t>
        </is>
      </c>
      <c r="D32" t="inlineStr">
        <is>
          <t>linkedin</t>
        </is>
      </c>
      <c r="E32">
        <f>HYPERLINK("https://www.linkedin.com/jobs/view/4357470316", "https://www.linkedin.com/jobs/view/4357470316")</f>
        <v/>
      </c>
      <c r="F32" t="inlineStr"/>
      <c r="G32" t="inlineStr"/>
      <c r="H32" t="inlineStr"/>
      <c r="I32"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33">
      <c r="A33" t="inlineStr">
        <is>
          <t>li-4367751816</t>
        </is>
      </c>
      <c r="B33" t="inlineStr">
        <is>
          <t>Analytics Engineer</t>
        </is>
      </c>
      <c r="C33" t="inlineStr">
        <is>
          <t>RemoteHunter</t>
        </is>
      </c>
      <c r="D33" t="inlineStr">
        <is>
          <t>linkedin</t>
        </is>
      </c>
      <c r="E33">
        <f>HYPERLINK("https://www.linkedin.com/jobs/view/4367751816", "https://www.linkedin.com/jobs/view/4367751816")</f>
        <v/>
      </c>
      <c r="F33" t="inlineStr"/>
      <c r="G33" t="inlineStr"/>
      <c r="H33" t="inlineStr"/>
      <c r="I33"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4">
      <c r="A34" t="inlineStr">
        <is>
          <t>li-4368133311</t>
        </is>
      </c>
      <c r="B34" t="inlineStr">
        <is>
          <t>Data Engineer</t>
        </is>
      </c>
      <c r="C34" t="inlineStr">
        <is>
          <t>Heitmeyer Consulting</t>
        </is>
      </c>
      <c r="D34" t="inlineStr">
        <is>
          <t>linkedin</t>
        </is>
      </c>
      <c r="E34">
        <f>HYPERLINK("https://www.linkedin.com/jobs/view/4368133311", "https://www.linkedin.com/jobs/view/4368133311")</f>
        <v/>
      </c>
      <c r="F34" t="inlineStr"/>
      <c r="G34" t="inlineStr">
        <is>
          <t>Dallas, TX</t>
        </is>
      </c>
      <c r="H34" t="inlineStr"/>
      <c r="I34" t="inlineStr">
        <is>
          <t>Heitmeyer Consulting has a banking client that has a need within their Chief Data Office for a strong Data Engineer to specialize in building and optimizing high\-performance, real\-time data pipelines. This role is central to leveraging the power of Apache Kafka for event streaming and Apache Flink for complex, stateful stream processing and analytics. The ideal candidate will transform raw, high\-velocity data into actionable, low\-latency insights that drive core business functionality, working within our AWS\-based data ecosystem leveraging S3 for storage. Role must be based in Dallas, TX or Tulsa, OK.
**Top Required Skills:**
* Require extensive experience as a Data Engineer building and maintaining production\-grade data pipelines with a focus on real\-time systems.
* In\-depth experience with Apache Kafka along with hands\-on experience with Apache Flink, including understanding of state management, fault tolerance and time semantics.
* Significant cloud background with strong expertise in AWS cloud services related to data engineering (S3, MSK, Glue, Athena, EMR, DynamoDB, etc.).
* Proficiency in programming/scripting languages such as Python, Java, or Scala.
* Familiar with modern data stack and big data technologies (Spark, Airflow, Iceberg, SQL) along with understanding of distributed systems and processing real\-time data at scale.
* Excellent problem\-solving skills and the ability to troubleshoot complex issues in distributed systems.
**Nice\-to\-have:**
* Background within financial services would be preferred but not required.
**Key Responsibilities**
* Design, develop, and deploy robust, high\-throughput, low\-latency streaming applications using Apache Flink and Java/Scala/Python APIs.
* Architect and optimize Kafka\-based event\-driven systems, including topic design, schema enforcement via Schema Registry, and integration using Kafka Connect.
* Lead data transformation through implementation of complex business logic, stateful processing, windowing, and data enrichment within Flink jobs to transform raw Kafka streams into analytics\-ready datasets, ensuring exactly\-once semantics and fault tolerance.
* Ensure cloud integration with storage and manage processed data efficiently in AWS S3 and potentially using an open format like Apache Iceberg, connecting seamlessly with downstream analytics tools (e.g., Athena).
* Optimize performance and observability – tune Flink and Kafka configurations for maximum performance, efficiency, and scalability, implementing robust monitoring and alerting for production environments.
* Partner closely with data scientists, software engineers, and business stakeholders to translate functional requirements into reliable data processing solutions.
* Champion software engineering best practices, including automated testing, code review, CI/CD pipelines, and documentation of data lineage and logic.
*Heitmeyer Consulting is an equal opportunity employer, and we encourage all qualified candidates to apply. Qualified applicants will be considered without regard to minority status, gender, disability, veteran status or any other characteristic protected by law.*</t>
        </is>
      </c>
    </row>
    <row r="35">
      <c r="A35" t="inlineStr">
        <is>
          <t>li-4367763817</t>
        </is>
      </c>
      <c r="B35" t="inlineStr">
        <is>
          <t>Sr. Analytics Engineer</t>
        </is>
      </c>
      <c r="C35" t="inlineStr">
        <is>
          <t>RemoteHunter</t>
        </is>
      </c>
      <c r="D35" t="inlineStr">
        <is>
          <t>linkedin</t>
        </is>
      </c>
      <c r="E35">
        <f>HYPERLINK("https://www.linkedin.com/jobs/view/4367763817", "https://www.linkedin.com/jobs/view/4367763817")</f>
        <v/>
      </c>
      <c r="F35">
        <f>HYPERLINK("https://www.remotehunter.com/apply-with-ai/04b2d6e3-0565-4105-a53a-d421b7ea1701?utm_medium=job_posting&amp;utm_source=linkedin&amp;utm_campaign=analytics_engineer_remote&amp;utm_category=analytics_engineer&amp;utm_term=sr_analytics_engineer&amp;urlHash=QX-m", "https://www.remotehunter.com/apply-with-ai/04b2d6e3-0565-4105-a53a-d421b7ea1701?utm_medium=job_posting&amp;utm_source=linkedin&amp;utm_campaign=analytics_engineer_remote&amp;utm_category=analytics_engineer&amp;utm_term=sr_analytics_engineer&amp;urlHash=QX-m")</f>
        <v/>
      </c>
      <c r="G35" t="inlineStr"/>
      <c r="H35" t="inlineStr"/>
      <c r="I35" t="inlineStr">
        <is>
          <t>About the Opportunity:
 The organization leads in Real\-Time Care Intelligence solutions aimed at improving outcomes for individuals facing physical and behavioral health challenges. The Senior Analytics Engineer role involves working with the Analytics and Visualization team and internal stakeholders to develop reporting solutions using a unique data pipeline. This position requires creative problem\-solving, cross\-team collaboration, and independent thinking to leverage data and enhance healthcare delivery.
 Responsibilities:
 • Design and manage data pipelines supporting reporting solutions
 • Develop dashboards and reporting features to improve user satisfaction
 • Serve as the technical authority on reporting components of the product suite
 • Foster collaboration across Agile teams and functions to implement solutions
 • Use data and advanced analytics to provide actionable insights to stakeholders
 • Support business\-aligned projects to meet organizational goals
 • Identify repetitive tasks and partner to implement scalable automation
 • Stay informed on emerging AI tools to enhance work within the function
 Requirements:
 • Bachelor’s Degree in a quantitative or technical discipline; advanced degree is a plus
 • 5\+ years of professional experience in data analytics
 • Experience designing user\-friendly analytics solutions with Tableau, Looker, or similar software
 • Proficiency in SQL for data collection, cleaning, and aggregation
 • Solid understanding of database technologies (PostgreSQL, MySQL, DynamoDB) and coding for data collection
 • Knowledge of data warehousing concepts and experience with platforms such as Amazon Redshift
 • Working knowledge of Tableau for creating user\-facing analytics solutions
 • Proficiency with Python, GitHub, and standard development tools
 • Comfort using or learning AI\-supported tools such as ChatGPT or CoPilot
 • Strong analytical and problem\-solving skills with creativity in solution design
 • Ability to thrive in fast\-paced, evolving environments
 • Effective remote work skills with high\-quality virtual interactions
 • Ability to travel periodically for work
 Benefits \&amp; Perks:
 • Opportunity to work with an innovative healthcare technology team
 • Freedom to create within a highly supportive environment
 • Exposure to strategic priorities and learning from top investors and advisors
 • Competitive compensation including health, dental, vision, and other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li-4368115560</t>
        </is>
      </c>
      <c r="B36" t="inlineStr">
        <is>
          <t>Data Engineer</t>
        </is>
      </c>
      <c r="C36" t="inlineStr">
        <is>
          <t>Crunchbase</t>
        </is>
      </c>
      <c r="D36" t="inlineStr">
        <is>
          <t>linkedin</t>
        </is>
      </c>
      <c r="E36">
        <f>HYPERLINK("https://www.linkedin.com/jobs/view/4368115560", "https://www.linkedin.com/jobs/view/4368115560")</f>
        <v/>
      </c>
      <c r="F36" t="inlineStr"/>
      <c r="G36" t="inlineStr"/>
      <c r="H36" t="inlineStr"/>
      <c r="I36" t="inlineStr">
        <is>
          <t>**About The Company** 
 Crunchbase is a leading provider of predictive solutions that deliver comprehensive intelligence on private companies. Powered by a unique combination of live private company data, artificial intelligence, and market activity from over 80 million users, Crunchbase helps investors, dealmakers, and analysts anticipate private market movements that matter. Our mission is to empower our clients with accurate, timely insights to make informed decisions in a rapidly evolving business landscape. We are committed to fostering a positive, diverse, and inclusive culture by hiring for potential and embracing individuals with diverse perspectives, backgrounds, experiences, and skill sets. Our remote\-first approach allows us to attract talent from various regions, with a focus on creating an environment where innovation and collaboration thrive. We value transparency, openness, and continuous learning, which are integral to our company's growth and success.
**About The Role** 
 We are seeking a highly skilled and experienced Staff Data Engineer to join our dynamic team. In this role, you will be responsible for designing, implementing, and maintaining robust data systems that enable the development and deployment of data\-driven products. Your expertise will be pivotal in building scalable, efficient, and reliable data architectures that support advanced analytics, machine learning, and generative AI workloads. You will collaborate closely with cross\-functional teams including engineering, product, and analytics to deliver seamless data integrations and support strategic decision\-making. This position offers an exciting opportunity to lead complex initiatives, influence architectural decisions, and contribute to the continuous improvement of our data ecosystem. The ideal candidate will have a passion for innovation, a deep understanding of data engineering best practices, and a commitment to fostering a collaborative and inclusive work environment.
**Qualifications** 
* Bachelor’s or Master’s degree in Computer Science, Engineering, or a related field
* 6\+ years of experience in data engineering, with a focus on building scalable data solutions
* Proficiency in Python and SQL
* Experience with data pipelines, ETL processes, and data warehousing
* Hands\-on experience developing end\-to\-end solutions in a production environment
* Preferred: experience with streaming data systems such as Kafka
* Knowledge of databases including Postgres, Elasticsearch, and Redis
* Proven leadership skills with the ability to mentor and guide team members
* Experience with cloud platforms like AWS, Azure, GCP, or Snowflake (preferred)
* Familiarity with containerization technologies such as Docker and Kubernetes
* Experience with CI/CD tools and practices
* Experience with AI tools and agentic development platforms like Codex (a plus)
* Strong analytical and problem\-solving skills with a curiosity for emerging technologies
* Excellent communication and collaboration abilities
**Responsibilities** 
* Design, develop, and maintain core components of the company's data platform, ensuring scalability and efficiency
* Own complex data initiatives from conception to deployment, guiding architectural decisions to meet business needs
* Architect data structures and pipelines optimized for analytics, machine learning, and AI workloads
* Collaborate with engineering, product, and analytics teams to deliver seamless data integrations and support organizational decision\-making
* Continuously monitor and optimize data storage, processing, and retrieval systems to enhance performance and resilience
* Diagnose and resolve performance bottlenecks proactively, ensuring high data quality and system reliability
* Stay current with emerging data technologies and evaluate new tools and approaches to improve our data ecosystem
* Implement and maintain data quality checks and governance standards to ensure trustworthy data assets
* Mentor and coach junior engineers, fostering a culture of technical excellence and continuous learning
**Benefits** 
* Competitive salary range of $210,000 \- $235,000 plus equity in the form of stock options
* Remote\-first work environment with flexibility to work from approved states
* Comprehensive health benefits including medical, dental, and vision coverage
* Generous paid time off and wellness resources to support physical and mental health
* Reimbursement for professional development and continuous learning opportunities
* 401(k) and Roth retirement plans with annual financial advisory sessions
* Home office setup allowance and internet stipend to facilitate remote work
* Charitable giving match and community impact initiatives
* Collaborative, transparent, and innovative company culture focused on growth and impact
 Equal Opportunity
 Crunchbase is an equal opportunity employer. We celebrate diversity and are committed to creating an inclusive environment for all employees. We do not discriminate based on race, creed, color, ethnicity, national origin, religion, sex, sexual orientation, gender identity, age, height, weight, veteran status, military obligations, marital status, or any other protected characteristic.</t>
        </is>
      </c>
    </row>
    <row r="37">
      <c r="A37" t="inlineStr">
        <is>
          <t>li-4367760830</t>
        </is>
      </c>
      <c r="B37" t="inlineStr">
        <is>
          <t>Senior Data Engineer</t>
        </is>
      </c>
      <c r="C37" t="inlineStr">
        <is>
          <t>RemoteHunter</t>
        </is>
      </c>
      <c r="D37" t="inlineStr">
        <is>
          <t>linkedin</t>
        </is>
      </c>
      <c r="E37">
        <f>HYPERLINK("https://www.linkedin.com/jobs/view/4367760830", "https://www.linkedin.com/jobs/view/4367760830")</f>
        <v/>
      </c>
      <c r="F37" t="inlineStr"/>
      <c r="G37" t="inlineStr"/>
      <c r="H37" t="inlineStr"/>
      <c r="I37" t="inlineStr">
        <is>
          <t>About the Opportunity:
 The organization is a purpose\-driven fintech company focused on providing clearer credit options to underserved consumers in the U.S. The Data Engineering team builds and maintains analytical data infrastructure and ETL/Reverse ETL pipelines that support the data warehouse. This role involves developing and maintaining data pipelines, promoting software engineering best practices, and collaborating with cross\-functional teams to meet evolving data needs.
 Responsibilities:
 • Design, develop, and maintain high\-performance data pipelines using Python, SQL, dbt, and Snowflake on GCP
 • Improve code quality, test coverage, and maintainability of data pipelines
 • Implement software engineering best practices including code reviews, testing, CI/CD, and documentation
 • Support adoption of data quality tools and practices such as data lineage and automated alerting
 • Research and recommend new technologies and tools to enhance the data platform
 • Contribute to data architecture and design of the data warehouse
 • Collaborate with software engineering teams to define data structures and streamline ingestion
 • Work with data scientists, analysts, and business users to translate data needs into technical requirements
 • Troubleshoot and resolve complex data pipeline issues to ensure data quality and reliability
 • Develop and maintain CI/CD pipelines for data infrastructure
 • Participate in on\-call rotation supporting critical data pipelines
 • Identify and address inefficiencies in data engineering processes
 Requirements:
 • Bachelor''s degree in Computer Science, Engineering, or related field
 • Minimum 2 years experience in data engineering
 • Strong analytical SQL and Python skills
 • Knowledge of software engineering principles including version control, testing, and CI/CD
 • Experience with data warehousing technologies
 • Experience with cloud platforms, preferably Google Cloud Platform (GCP), including Cloud Functions and GCS
 • Proven ability to design and implement reliable, resilient ETL/ELT pipelines
 • Familiarity with Snowflake, dbt, Montecarlo, and Airflow
 • Excellent communication, collaboration, and problem\-solving skills
 Preferred Qualifications:
 • Experience with data governance and data quality frameworks
 • Knowledge of data modeling principles
 • Experience with infrastructure\-as\-code tools such as Terraform or Kubernetes Config Connector
 Benefits \&amp; Perks:
 • Access to training programs and opportunities for advancement
 • Full health, dental, and vision insurance
 • Flexible Spending Accounts for medical and childcare expenses
 • Paid parental leave
 • 401(k) Company Match
 • Generous paid time off
 • Flexible work schedules
 • Subscription to wellness app (Calm)
 • Remote\-friendly work environment
 Compensation:
 • Target Base Salary: 110,000 to 126,000 USD
 • Additional compensation through annual incentive program and equity based on role,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li-4368148003</t>
        </is>
      </c>
      <c r="B38" t="inlineStr">
        <is>
          <t>Senior Data Engineer / Data Architect</t>
        </is>
      </c>
      <c r="C38" t="inlineStr">
        <is>
          <t>McLaren Strategic Solutions (MSS)</t>
        </is>
      </c>
      <c r="D38" t="inlineStr">
        <is>
          <t>linkedin</t>
        </is>
      </c>
      <c r="E38">
        <f>HYPERLINK("https://www.linkedin.com/jobs/view/4368148003", "https://www.linkedin.com/jobs/view/4368148003")</f>
        <v/>
      </c>
      <c r="F38">
        <f>HYPERLINK("https://jobs.lever.co/doranjones/d8465336-c394-4f54-bdc4-d10370111c91?lever-origin=applied&amp;lever-source%5B%5D=LinkedIn&amp;urlHash=o2_1", "https://jobs.lever.co/doranjones/d8465336-c394-4f54-bdc4-d10370111c91?lever-origin=applied&amp;lever-source%5B%5D=LinkedIn&amp;urlHash=o2_1")</f>
        <v/>
      </c>
      <c r="G38" t="inlineStr">
        <is>
          <t>Dallas, TX</t>
        </is>
      </c>
      <c r="H38" t="inlineStr"/>
      <c r="I38" t="inlineStr">
        <is>
          <t>We are looking for a Senior Data Engineer / Data Architect to lead automation\-led modernization of legacy data and reporting platforms at scale.
 This role drives operational automation, repeatable architecture, and AI\-assisted tooling, eliminating manual work and accelerating delivery across multiple environments. A core focus is leading the migration of data pipelines and integrations from Informatica to Databricks, while building scalable, repeatable patterns used across states and teams.
 This is a hands\-on, senior role with ownership across architecture, design, and executio
 **n.** 
**Responsibilities** 
* Assess legacy data and reporting workloads to identify where automation replaces manual effort.
* Lead the migration of Informatica\-based data workloads to Databricks, ensuring performance, reliability, and data integrity.
* Design and execute an automation\-first modernization strategy for data pipelines, reporting systems, and analytics platforms.
* Apply tool\-assisted and AI\-assisted techniques to accelerate modernization while maintaining compliance and control.
* Build repeatable frameworks and patterns for: Data ingestion, transformation, and orchestration; Reporting and analytics modernization; Data validation, reconciliation, and quality controls.
* Establish governance to ensure modernization efforts are consistent, auditable, and scalable.
* Partner with distributed data teams to deploy and scale modernization patterns across environments.
* Provide hands\-on technical leadership while remaining engaged in execution.
**Required Experience** 
* 10\+ years in data engineering and/or data architecture.
* Proven track record of modernizing large\-scale, complex, legacy data and reporting environments.
* Hands\-on experience migrating or modernizing Informatica\-based data pipelines to modern platforms such as Databricks.
* Demonstrated use of automation frameworks, accelerators, or AI\-assisted tools to compress delivery timelines.
* Hands\-on experience with Azure, Cloudera, and Power BI.
* Strong experience designing and operating ETL/ELT pipelines and analytics layers.
* Deep understanding of data quality, lineage, reconciliation, and validation frameworks.
* Experience working in large\-scale or regulated enterprise environments.
**Preferred Experience** 
* Experience in payer, healthcare, or other regulated domains.
* Experience designing solutions that support multi\-environment scalability.
* Exposure to GenAI tooling for code generation and automation.
* Experience as a technical thought leader for new platform init
 *iatives.*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 
*Visit* 
***McLaren Strategic Solutions***
*to learn more!* 
**Doran Jones**
 Inc. is proud to be part of the McLaren Strategic Ventures Group.</t>
        </is>
      </c>
    </row>
    <row r="39">
      <c r="A39" t="inlineStr">
        <is>
          <t>li-4367772157</t>
        </is>
      </c>
      <c r="B39" t="inlineStr">
        <is>
          <t>Senior Cloud Data Engineer</t>
        </is>
      </c>
      <c r="C39" t="inlineStr">
        <is>
          <t>RSI-Renaissance Systems, Inc.</t>
        </is>
      </c>
      <c r="D39" t="inlineStr">
        <is>
          <t>linkedin</t>
        </is>
      </c>
      <c r="E39">
        <f>HYPERLINK("https://www.linkedin.com/jobs/view/4367772157", "https://www.linkedin.com/jobs/view/4367772157")</f>
        <v/>
      </c>
      <c r="F39" t="inlineStr"/>
      <c r="G39" t="inlineStr">
        <is>
          <t>Austin, TX</t>
        </is>
      </c>
      <c r="H39" t="inlineStr"/>
      <c r="I39" t="inlineStr">
        <is>
          <t>**Company Description** 
 Since 1982, RSI has delivered innovative technology solutions, proactive IT services, cybersecurity, and custom software development. We also support compliance, risk management, data security, and disaster recovery.
**Role Description** 
 As a Senior Cloud Data Engineer (Azure \&amp; Snowflake), you will play a critical hands\-on, leadership role in designing, building, supporting, and optimizing modern cloud\-based data platforms. You will architect secure, scalable data pipelines. Integrate and transform complex datasets using Azure and Snowflake technologies while supporting analytics, reporting, and AI driven initiatives across both client projects and internal RSI systems. You will spearhead development in a high\-paced, collaborative environment and engage in continuous improvement while fostering growth through mentorship. This role blends data engineering excellence, cloud architecture, modern software development practices, and low\-code solutions to advance RSI’s mission of digital transformation, while supporting current RSI software customers and codebases.
 Reports to: VP of Software Development \&amp; Innovation
 Status: Salaried, Hybrid, Full\-time position.
 Office Location:  Austin, TX or DFW, TX
**Duties/Responsibilities:** 
 • Collaborate with stakeholders (including customers, product owners, and designers) to translate business needs into scalable, high impact cloud data solutions.
 • Lead the design and development of enterprise grade data pipelines using Azure data engineering tools, including Data Factory, Data Lake Storage, and Azure SQL/Synapse.
 • Architect and optimize Snowflake data warehouses and pipelines, ensuring efficient data modeling, performance, cost management, and seamless integration with Azure data flows.
 • Enable enterprise analytics by delivering high\-quality, well modeled datasets and semantic layers for BI platforms (e.g., Power BI), providing teams with consistent, self\-service insights.
 • Champion high standards in code quality, performance, reliability, and scalability across all data engineering and development work.
 • Contribute to defining and refining best practices for SDLC, source control, code reviews, test automation, documentation, and CI/CD processes.
 • Design and implement integrations with third\-party APIs, cloud native services (Azure, AWS), and enterprise BI platforms (Power BI, Strategy, SAS).
 • Mentor junior developers and data engineers, fostering a collaborative culture of innovation, accountability, and continuous learning.
 • Participate in and help lead SDLC activities using the methodology best suited to each project (Agile, Scrum, RAD, etc.).
 • Partner with QA, DevOps, and Operations to ensure secure, reliable, and high\-performance deployment of data and software solutions.
 • Support modernization of legacy systems, emphasizing modular architecture, microservices, and cloud native design patterns.
 • Help drive adoption of RSI’s engineering standards and contribute to building a cohesive, high performing technical team.
 • Perform other duties as assigned.
 Required Skills/Abilities: 
 • Deep understanding of Windows Operating Systems, Apple iOS, Android, computer hardware, and networking; ability to define client business requirements and design solutions to meet them.
 • Strong foundation in SQL and a modern programming language (e.g., Python, C\#), with a solid understanding of architecture, design patterns, and scalable system design.
 • Strong knowledge of SDLC and DevOps practices, including CI/CD, version control, testing automation, and effective communication across technical and nontechnical teams.
 • Excellent verbal and written communication skills.
**Required Education and Experience:** 
 • Bachelor’s or Master’s degree in Computer Science, MIS, Engineering, or related field.
 • 10\+ years of experience in software and/or data engineering, with strong capability in cloud\-based development.
 • Hands\-on expertise with Microsoft Azure data services (ADF, ADLS, Azure SQL/Synapse) and working proficiency with Snowflake for data modeling and pipeline optimization.
**Other Requirements:** 
 • Be a US Citizen or possess a valid work visa.
 • Valid driver’s license and proof of auto insurance.
 • Ability to pass a criminal background check and drug screening.
 • Provide at least three (3\) references, past salary, and work history. 
 • Overnight travel to other RSI offices and client sites, as needed.</t>
        </is>
      </c>
    </row>
    <row r="40">
      <c r="A40" t="inlineStr">
        <is>
          <t>li-4367746887</t>
        </is>
      </c>
      <c r="B40" t="inlineStr">
        <is>
          <t>Senior AI Data Engineer</t>
        </is>
      </c>
      <c r="C40" t="inlineStr">
        <is>
          <t>RemoteHunter</t>
        </is>
      </c>
      <c r="D40" t="inlineStr">
        <is>
          <t>linkedin</t>
        </is>
      </c>
      <c r="E40">
        <f>HYPERLINK("https://www.linkedin.com/jobs/view/4367746887", "https://www.linkedin.com/jobs/view/4367746887")</f>
        <v/>
      </c>
      <c r="F40">
        <f>HYPERLINK("https://www.remotehunter.com/apply-with-ai/38199144-9118-49fa-9333-318c3fa924b7?utm_medium=job_posting&amp;utm_source=linkedin&amp;utm_campaign=data_engineer_remote&amp;utm_category=data_engineer&amp;utm_term=senior_ai_data_engineer&amp;urlHash=NAOq", "https://www.remotehunter.com/apply-with-ai/38199144-9118-49fa-9333-318c3fa924b7?utm_medium=job_posting&amp;utm_source=linkedin&amp;utm_campaign=data_engineer_remote&amp;utm_category=data_engineer&amp;utm_term=senior_ai_data_engineer&amp;urlHash=NAOq")</f>
        <v/>
      </c>
      <c r="G40" t="inlineStr"/>
      <c r="H40" t="inlineStr"/>
      <c r="I40" t="inlineStr">
        <is>
          <t>About the Opportunity:
 The organization is focused on advancing advertising by integrating linear TV and digital video data to enable holistic planning, transacting, and measurement of deduplicated audiences across multiple platforms. The Senior AI Data Engineer role involves building AI and LLM\-powered systems within large\-scale data pipelines to support audience measurement, identity, currency, and metadata workflows for linear and digital media.
 Responsibilities:
 • Design and operate AI\- and LLM\-enabled data pipelines processing billions of linear and digital records
 • Build and productionize LLM\-driven systems addressing network and program schedule normalization, program identity inference, and schedule discrepancy detection
 • Interpret and normalize hourly and sub\-hourly viewership logs with varying schemas using LLMs for schema inference, validation, and anomaly explanation
 • Enrich and classify commercial schedules and ad spot metadata; resolve inconsistencies between planned and aired spots
 • Support automated deduplication and alignment of ad spots across networks and feeds
 • Combine LLMs with rules, heuristics, and ML models to ensure deterministic and auditable outcomes
 • Own end\-to\-end AI lifecycle: prompt design, evaluation, feature engineering, training pipelines, deployment, monitoring, drift detection, and retraining
 • Integrate LLMs responsibly into batch and event\-driven workflows balancing accuracy, latency, and cost
 • Build human\-in\-the\-loop workflows for high\-impact or low\-confidence cases
 • Collaborate with Measurement, Identity, Library, and Product teams to develop scalable AI solutions for ambiguous data issues
 • Provide technical leadership through design reviews, mentorship, and architectural guidance
 Requirements:
 • 4 or more years of experience in AI/ML engineering, applied ML systems, or data engineering
 • Proven experience deploying LLM\-powered systems into production
 • Strong knowledge of prompt engineering and evaluation frameworks
 • Experience with embeddings and similarity search on structured and semi\-structured data
 • Expertise in hybrid AI systems combining LLMs with deterministic logic
 • Proficiency in Python and SQL with strong software engineering fundamentals
 • Experience with large\-scale data platforms and distributed systems
 • Ability to design AI systems meeting measurement\-grade reliability, explainability, and auditability standards
 Strong Plus:
 • Experience with TV schedules, viewership logs, or advertising metadata
 • Familiarity with linear TV measurement or media data pipelines
 • Experience applying AI in compliance\-sensitive or customer\-facing measurement systems
 • Knowledge of MLOps and LLMOps best practices
 Compensation:
 • Salary range between $150,000 and $170,000 plus equity and benefits
 • Actual compensation varies based on qualifications, skills, and experience
 Benefits \&amp; Perks:
 • Discretionary and flexible paid time off
 • Additional breaks during Spring, Summer, and Winter alongside standard US holidays
 • Comprehensive medical, dental, and vision benefits for employees and dependents with multiple fully covered options
 • Unlimited financial wellness sessions with financial advisors
 • 401k plan with matching
 • Health Savings Account (HSA) and Flexible Spending Account (FSA)
 • Commuter benefits
 • Cell phone reimbursement
 • Paid maternity and parental leave for all family additions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li-4367017759</t>
        </is>
      </c>
      <c r="B41" t="inlineStr">
        <is>
          <t>Data Engineer- FTE &amp; W2</t>
        </is>
      </c>
      <c r="C41" t="inlineStr">
        <is>
          <t>Call Quest Solution</t>
        </is>
      </c>
      <c r="D41" t="inlineStr">
        <is>
          <t>linkedin</t>
        </is>
      </c>
      <c r="E41">
        <f>HYPERLINK("https://www.linkedin.com/jobs/view/4367017759", "https://www.linkedin.com/jobs/view/4367017759")</f>
        <v/>
      </c>
      <c r="F41" t="inlineStr"/>
      <c r="G41" t="inlineStr"/>
      <c r="H41" t="inlineStr"/>
      <c r="I41" t="inlineStr">
        <is>
          <t>**Data Engineer** 
**Location:** 
 Multiple Locations Across the United States (Hybrid Schedule)
**Employment Type:** 
 W2 / Full\-Time or Contract (W2 Only)
**Work Authorization:** 
 Must be authorized to work in the U.S. (No sponsorship available)
**Work Model:** 
 Hybrid \&amp; Onsite
**Role Overview**
 We are seeking experienced Data Engineers to join our growing team across multiple U.S. locations. This is a hybrid role requiring periodic onsite presence. The ideal candidate will design, build, and optimize scalable data pipelines and platforms that support analytics, reporting, and business intelligence initiatives.
 You will work closely with data architects, analytics teams, and business stakeholders to deliver high\-quality, reliable, and performant data solutions.
**Key Responsibilities**
* Design, develop, and maintain scalable ETL/ELT data pipelines
* Build and optimize data models for analytics and reporting use cases
* Develop and maintain data warehouses, data lakes, and lakehouse architectures
* Implement data ingestion, transformation, and validation processes
* Ensure data quality, reliability, and performance across data platforms
* Collaborate with analytics, BI, and data science teams to enable data\-driven insights
* Monitor and troubleshoot data pipelines and resolve data\-related issues
* Implement CI/CD and automation for data workflows
* Maintain documentation and follow data engineering best practices
**Required Qualifications**
* 5\+ years of professional experience in Data Engineering or related roles
* Strong SQL skills with experience in query optimization
* Experience with Python, Scala, or Java for data engineering
* Hands\-on experience with ETL/ELT tools and orchestration (Airflow, DBT, SSIS, Informatica, Matillion, etc.)
* Experience with cloud data platforms (AWS, Azure, or GCP)
* Experience with data warehouses (Snowflake, Redshift, BigQuery, Synapse, etc.)
* Experience with relational and NoSQL databases
* Strong understanding of data modeling (dimensional, star/snowflake schemas)
* Experience with version control and CI/CD tools
**Preferred Qualifications**
* Experience with streaming technologies (Kafka, Kinesis, Pub/Sub)
* Experience with lakehouse platforms (Delta Lake, Iceberg, Hudi)
* Experience with DBT and modern analytics engineering practices
* Experience with data governance, data quality, and lineage tools
* Experience working in regulated or enterprise environments
**Work Environment**
* Hybrid schedule (onsite presence required based on location and team needs)
* Multiple locations across the United States
* Collaborative, cross\-functional team environment
**Employment \&amp; Compliance** 
* W2 employment only
* No C2C or third\-party candidates
* Must be authorized to work in the U.S. without sponsorship</t>
        </is>
      </c>
    </row>
    <row r="42">
      <c r="A42" t="inlineStr">
        <is>
          <t>li-4366098502</t>
        </is>
      </c>
      <c r="B42" t="inlineStr">
        <is>
          <t>Databricks Data Engineer</t>
        </is>
      </c>
      <c r="C42" t="inlineStr">
        <is>
          <t>Jobs via Dice</t>
        </is>
      </c>
      <c r="D42" t="inlineStr">
        <is>
          <t>linkedin</t>
        </is>
      </c>
      <c r="E42">
        <f>HYPERLINK("https://www.linkedin.com/jobs/view/4366098502", "https://www.linkedin.com/jobs/view/4366098502")</f>
        <v/>
      </c>
      <c r="F42" t="inlineStr"/>
      <c r="G42" t="inlineStr">
        <is>
          <t>McLean, VA</t>
        </is>
      </c>
      <c r="H42" t="inlineStr"/>
      <c r="I42" t="inlineStr">
        <is>
          <t>Capgemini Government Solutions is seeking an experienced Databricks Data Engineerto lead the migration of existing Pentaho (Kettle) ETL workflowsto a modern Databricks\-based ETL architecture, with downstream data loads into Salesforce. This role requires strong hands\-on engineering skills, migration experience, and the ability to translate legacy ETL logic into scalable, cloud\-native data pipelines.
 The ideal candidate is comfortable working independently, partnering with stakeholders, and delivering production\-ready pipelines in a secure and governed environment.
**Job Responsibilities:** 
* Analyze and reverse\-engineer existing Pentaho ETL jobs and transformations
* Design and implement Databricks ETL pipelinesusing:
+ Apache Spark (PySpark / Spark SQL)
+ Databricks Workflows / Jobs
+ Delta Lake
* Re\-platform ETL logic including:
+ Data extraction from relational sources (PostgreSQL, SQL Server, etc.)
+ File\-based ingestion (CSV, ZIP, SFTP workflows)
+ Transformations, validations, and enrichment
* Implement data loading strategies into Salesforce, including:
+ Salesforce APIs (Bulk API, REST API)
+ Handling large volumes, retries, and error handling
+ Incremental vs full loads
* Optimize pipelines for performance, scalability, and cost
* Implement logging, monitoring, and data quality checks
* Support testing, validation, and parallel runs during migration
* Produce technical documentation for migrated pipelines
* Collaborate with architects, platform teams, and business stakeholders
**Required Qualifications:** 
* U.S. Citizenship is required.
* Eligible to obtain and maintain Government Security Clearance.
* 5\+ years of experience in data engineering / ETL development
* Strong hands\-on experience with Databricks
* Proficiency in PySpark and Spark SQL
* Prior experience migrating from legacy ETL tools(Pentaho, Informatica, Talend, SSIS, etc.)
* Experience integrating with Salesforceas a target system
* Solid understanding of:
+ ETL/ELT design patterns
+ Data modeling and transformation logic
+ Error handling and restartability
* Experience working with relational databases
* Strong troubleshooting and problem\-solving skills
**Preferred Qualifications:** 
* Direct experience migrating Pentaho (Kettle)to Databricks
* Experience with Salesforce data models(objects, relationships, limits)
* Familiarity with:
+ CI/CD for data pipelines
+ Git\-based source control
+ Cloud platforms (AWS preferred)
* Experience in regulated or compliance\-driven environments(FedRAMP, HIPAA, etc.)
* Knowledge of data governance, lineage, and auditability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;/p\&gt;
**Disclaimer**
 All qualified applicants will be considered for employment based on their skills, and merit.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150k\-170k.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Employer/Protected Veterans/Individuals with Disabilities
 This employer is required to notify all applicants of their rights pursuant to federal employment laws. For further information, please review the notice from the Department of Labor.</t>
        </is>
      </c>
    </row>
    <row r="43">
      <c r="A43" t="inlineStr">
        <is>
          <t>li-4366099462</t>
        </is>
      </c>
      <c r="B43" t="inlineStr">
        <is>
          <t>Senior AI Data Engineer</t>
        </is>
      </c>
      <c r="C43" t="inlineStr">
        <is>
          <t>Jobs via Dice</t>
        </is>
      </c>
      <c r="D43" t="inlineStr">
        <is>
          <t>linkedin</t>
        </is>
      </c>
      <c r="E43">
        <f>HYPERLINK("https://www.linkedin.com/jobs/view/4366099462", "https://www.linkedin.com/jobs/view/4366099462")</f>
        <v/>
      </c>
      <c r="F43" t="inlineStr"/>
      <c r="G43" t="inlineStr">
        <is>
          <t>Charlotte, NC</t>
        </is>
      </c>
      <c r="H43" t="inlineStr"/>
      <c r="I43" t="inlineStr">
        <is>
          <t>RESPONSIBILITIES:
 Kforce has a client that is seeking a Senior AI Data Engineer in Charlotte, NC.
 Key Tasks:
* Design, build, and optimize scalable data pipelines using AWS Glue, Apache Kafka, AWS Lambda, and Step Functions
* Develop and maintain robust data lakes and data warehouses on Amazon S3
* Implement infrastructure as code using CloudFormation Templates (CFT)
* Collaborate with Data Scientists and ML Engineers to integrate AI/ML models into production\-grade data workflows
* Write efficient, reusable, and testable code in Python, SQL, and PySpark
* Ensure data quality, governance, and security across all data platforms
* Monitor and troubleshoot data pipeline performance and reliability
* Participate in architectural discussions and contribute to cloud strategy and best practices
 REQUIREMENTS:
* 10\+ years of experience in Data Engineering with a strong focus on AWS Cloud
* Proficiency in Python, SQL, and PySpark
* Solid understanding of AI/ML concepts and experience integrating models into data pipelines
* Experience with CI/CD tools and DevOps practices in cloud environments
* Strong problem\-solving skills and ability to work in a fast\-paced, collaborative environment
 Hands\-on experience with:
* AWS Glue
* Apache Kafka
* Amazon S3
* AWS Lambda
* AWS Step Functions
* CloudFormation Templates (CFT)
 Preferred Qualifications:
* AWS certifications (e.g., AWS Certified Data Analytics, Solutions Architect)
* Familiarity with containerization (Docker, ECS) and orchestration tools (Airflow, EMR)
* Knowledge of data governance frameworks and compliance standards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2026-02-02T01:03:55Z</dcterms:created>
  <dcterms:modified xsi:type="dcterms:W3CDTF">2026-02-02T01:03:55Z</dcterms:modified>
</cp:coreProperties>
</file>