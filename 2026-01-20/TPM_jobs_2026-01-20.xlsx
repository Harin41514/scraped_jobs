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in-444b13ec3ba15148</t>
        </is>
      </c>
      <c r="B2" t="inlineStr">
        <is>
          <t>Program Manager - APQP</t>
        </is>
      </c>
      <c r="C2" t="inlineStr">
        <is>
          <t>LOTTE Aluminium Materials USA</t>
        </is>
      </c>
      <c r="D2" t="inlineStr">
        <is>
          <t>indeed</t>
        </is>
      </c>
      <c r="E2" t="inlineStr"/>
      <c r="F2" t="inlineStr"/>
      <c r="G2" t="inlineStr">
        <is>
          <t>Elizabethtown, KY, US</t>
        </is>
      </c>
      <c r="H2" s="2" t="n">
        <v>46042</v>
      </c>
      <c r="I2" t="inlineStr">
        <is>
          <t>**Job Summary:** The Program Manager \- APQP is responsible for managing customer programs from initial inquiry through product launch, with accountability for development timelines, quality planning activities, and cross\-functional coordination. This position reports to the Quality Department Manager and leads APQP and PPAP activities, supports new business development, and serves as the primary liaison between customers and internal teams to ensure successful program execution and launch
**Job Responsibilities:** 
· Manage customer programs from initial concept through launch, ensuring achievement of all APQP milestones and customer\-specific requirements
· Develop, maintain, and communicate detailed program timelines covering development, validation, and launch readiness
· Lead and facilitate APQP activities in accordance with IATF 16949 and customer requirements, ensuring timely completion of all required deliverables
· Coordinate step\-by\-step development and product approval schedules with customers
· Manage internal and external PPAP submissions, including customer submission and final approval
· Coordinate and secure PPAP approvals for 4M changes (Man, Machine, Material, Method).
· Schedule and coordinate internal Design of Experiments (DOE), validation trials, and process studies
· Analyze test and trial data and prepare technical summaries for customer review and approval
· Work directly with customers to plan, execute, and support development trials, including on\-site visits as required
· Communicate internal development changes and customer\-driven changes across cross\-functional teams
· Coordinate cross\-functional communication and lead internal program review meetings to align timing, risks, and deliverables
· Review Cross\-Functional Team (CFT) documentation, including risk assessments and development records, by program or change
· Support audit readiness by reviewing documentation related to customer product approval and launch
· Assist with customer visits by preparing Bills of Materials (BOM) and packaging specifications for each program.
· Support the sales team by contributing to new business development activities, future business plans, and program forecasts
· Develop and manage programs that align with LAM’s long\-term strategic, operational, and customer needs
Support cross\-functional activities as required based on business priorities and workload conditions
**Required Skills and Abilities:**
· Strong program management skills, including development scheduling, milestone tracking, and suspense management
· Ability to manage multiple active programs simultaneously in a fast\-paced environment
· Strong data analysis skills, including interpretation of DOE results, validation data, and customer requirements
· Ability to plan, coordinate, and support internal and customer\-facing development trials
· Ability to communicate effectively across cross\-functional teams including Quality, Engineering, Manufacturing, and Sales
· Ability to lead meetings, drive action items, and ensure timely follow\-up
· Strong process improvement mindset with the ability to identify risks and drive corrective action
· Self\-starter capable of building and establishing program management and APQP processes in a greenfield or startup environment
· Ability to work independently as a senior individual contributor with no direct reports
· Strong written and verbal communication skills
· Korean language proficiency preferred
· Proficiency or working knowledge of SAP preferred
· Familiarity with MES and QMS systems preferred
· Ability and willingness to travel approximately 20–30%
**Education and Experience:** 
· Bachelor’s degree in Engineering, Quality, Business, or a related field preferred
· 3–5 years of experience in program management, APQP, product development, or quality engineering with a degree and relevant certification
· 5\+ years of experience without a degree considered with strong certifications and demonstrated program management experience
· Experience managing multiple programs or projects concurrently (typically 5–10 active programs)
· Experience in automotive manufacturing environments with familiarity with IATF 16949 preferred
· Experience in aluminum foil or similar manufacturing processes preferred
· Experience supporting EV\-related products, programs, or customers preferred
· PMP or equivalent project management certification preferred
· Lean Six Sigma training or certification preferred
· Customer\-facing experience serving as a primary point of contact for program coordination
· Experience supporting sales or new business development activities preferred
· Ability to provide examples or samples of prior program or development work upon request
**Physical Requirements:** 
While performing the essential duties of this job, the employee will be required to: sit at a desk for prolonged periods of time and work on a computer; regularly walk, stand, sit and communicate.
Comfortable working in an industrial manufacturing environment where each day has the potential to require different physical requirements. Must be able to communicate, sit, stand, walk and climb stairs for long periods of time and frequently throughout each day. There are times when you will need to walk throughout the manufacturing plant floor or walk between buildings, this includes but is not limited to walking outside, walking up and down stairs, walking across metal grates and potentially being in contact with slippery surfaces.
**Competitive wage and comprehensive benefits package:** Company paid Medical, Dental and Vision premiums, PTO, paid holiday time off and 401k company contribution match.
**EEOC Statement:** LOTTE Aluminium Materials USA is an Equal Opportunity Employer. We are committed to creating an inclusive workplace where all individuals feel valued and respected. We provide equal employment opportunities to all employees and applicants for employment and prohibit discrimination or harassment based on race, color, religion, sex, sexual orientation, gender identity, pregnancy, national origin, disability, veteran status, hair texture or hairstyle, if that hair texture or that hairstyle is commonly associated with a particular race or national origin, or any other protected characteristic as outlined by federal, state, or local laws.
Job Type: Full\-time
Benefits:
* 401(k)
* Dental insurance
* Health insurance
* Paid time off
* Vision insurance
Work Location: In person</t>
        </is>
      </c>
    </row>
    <row r="3">
      <c r="A3" t="inlineStr">
        <is>
          <t>in-7e9cc44af995d1e0</t>
        </is>
      </c>
      <c r="B3" t="inlineStr">
        <is>
          <t>Senior Program Manager</t>
        </is>
      </c>
      <c r="C3" t="inlineStr">
        <is>
          <t>Ohkay Owingeh Tribal Administration</t>
        </is>
      </c>
      <c r="D3" t="inlineStr">
        <is>
          <t>indeed</t>
        </is>
      </c>
      <c r="E3" t="inlineStr"/>
      <c r="F3" t="inlineStr"/>
      <c r="G3" t="inlineStr">
        <is>
          <t>Ohkay Owingeh, NM, US</t>
        </is>
      </c>
      <c r="H3" s="2" t="n">
        <v>46042</v>
      </c>
      <c r="I3" t="inlineStr">
        <is>
          <t>Under the direct supervision of the Health \&amp; Human Services Division Director, accomplishes the Senior Program strategic objectives by planning, organizing all function required to operate and maintain program activities. Supervises the daily meal preparation and scheduling of social and recreational activities. Maintains confidentiality of all privileged information.
*This list of duties and responsibilities is illustrative only of the tasks performed by this position and is not all\-inclusive.*
* Manages all contracts and grant agreements between the Pueblo and federal, state, and local agencies
* Develops a work plan for all program functions, the plan must be fluid in order to adapt quickly for unforeseen situations such as a pandemic, the plan must be altered accordingly to meet the necessities and priorities of the senior community
* Establishes, implements, and communicates goals and objectives, policies, and procedures in accordance with the work plan
* Prepares Scopes of work and budgets for all grants and tribal funded programs, this includes the preparation of salary projections and cost allocations
* Achieves financial objectives by preparing annual budgets inclusive of operational plans, goals and objectives and recommends staffing and expenditures
* Must track all expenditures to guarantee that expenses made are within the budget plan and allowable under the various grants
* Makes sure the prepared food meets all nutritional requirements as mandated by the funding agencies, such as the Catalog from the State of New Mexico Senior Nutrition Program of the State of New Mexico Aging and Long\-Term Services Department
* Ensures meal preparation staff receive pertinent training regarding meals and are certified in Food Handling, Meal Preparation, Sanitation, and Diabetic Training
* Ensure meal preparation staff receive training in health issues specific to the senior population
* Makes sure the Cook is preparing monthly menus in advance, and that the menus are published and disseminated to the senior population and staff
* Evaluates all programs to plan and implement priorities to meet the needs of the senior community
* Ensures confidential maintenance of all client files
* Establishes and maintains an effective filing and retrieval system for information relevant to the seniors
* Generates, develops, submits, and presents timely program reporting as required by funding agencies, Division Director, Finance, and Tribal Administration
* Ensures adequate and safe transportation for the elderly participants, including disabled participants, confirms safe operation and adherence to timely maintenance schedule for all program vehicles
* Assists in transporting seniors to functions, such as meetings, trainings, and planned events
* Assists in the kitchen in the absence of the kitchen staff
* Coordinates in\-service training, special classes, and workshops through local and external facilitators
* Provides information and referral services to the elderly by posting and announcing information and notices concerning and affecting the elders of the community
* Assists in coordinating the monthly activities schedule and ensures they are planned well in advance, with contact made to the specific organizations and is published and disseminated to the senior population and staff
* Plans, develops, and implements strategies for generating additional resources or funds for the program
* Prepares contracts with consultants and service providers such as Caregivers
* Provides and coordinates training for the staff in CPR, and First Aid
* Ensures staff is current on trainings, certifications, etc. as required by funding agencies
* Improves staff effectiveness by coaching, counseling, training and recommending disciplinary action for employees, and planning, delegating, monitoring, and appraising job tasks and results in a timely manner
* Hosts regular staff meetings to ensure communication among personnel regarding program\-related activities
* Coordinates the technology needs of the office, purchases hardware and software, ensures staff is fully trained on systems, policies and procedures
* Represents the programs and the Pueblo to external agencies, consultants, and other organizations and individuals, and establishes solid relationships with programs of common interests
Pay: $60,372\.58 \- $90,558\.86 per year
Benefits:
* 401(k)
* Dental insurance
* Health insurance
* Vision insurance
Work Location: In person</t>
        </is>
      </c>
    </row>
    <row r="4">
      <c r="A4" t="inlineStr">
        <is>
          <t>in-a537ad1b8111819b</t>
        </is>
      </c>
      <c r="B4" t="inlineStr">
        <is>
          <t>Fitness Center Program Manager</t>
        </is>
      </c>
      <c r="C4" t="inlineStr">
        <is>
          <t>Corporate Health Unlimited</t>
        </is>
      </c>
      <c r="D4" t="inlineStr">
        <is>
          <t>indeed</t>
        </is>
      </c>
      <c r="E4" t="inlineStr"/>
      <c r="F4" t="inlineStr"/>
      <c r="G4" t="inlineStr">
        <is>
          <t>Miami, FL, US</t>
        </is>
      </c>
      <c r="H4" s="2" t="n">
        <v>46042</v>
      </c>
      <c r="I4" t="inlineStr">
        <is>
          <t>**Benefits:**
* 401(k)
* 401(k) matching
* Bonus based on performance
* Competitive salary
* Dental insurance
* Health insurance
* Opportunity for advancement
* Paid time off
* Training \&amp; development
* Vision insurance
* Wellness resources
Here at Corporate Health Unlimited, our expert team members share a passion for health and wellness—and for making a positive difference in people’s lives. If you are dedicated, highly motivated, and passionate about improving the health and well\-being of those around you, Corporate Health Unlimited would like to work with you.  
Corporate Health Unlimited helps organizations get healthy and stay healthy. We know what it takes to create healthy environments because we've been doing it for more than 45 years. From fitness center design, consulting, and management to creating custom wellness programs, our goal is to help organizations achieve theirs, while providing first class service to members.  
**Position:** Program Manager  
**Location and Schedule:** Private corporate wellness center in Miami, FL 33126\. Facility operating hours are 6:00am\-6:00pm Monday\-Friday.
**Position Purpose**  
This role’s purpose is supervising, controlling, and directing all activity, member service, and health promotion program areas for the fitness center.  
**Typical Duties and Responsibilities:**  
* Develops, implements, and supervises in all aspects relating to wellness and health promotion activities. Monitors and evaluates work performance of personnel in this area including interns, personal trainers, group fitness instructors, etc. Creates and maintains positive work environment within the club.
* Ensures that all activities and duties are performed in accordance with CSU standards.
* Communicates with service staff and corporate management in order to ensure a quality level of service to the members.
* Performs inventory, payroll, membership processing, etc (depending on location). Prepares financial reports required by CSU.
* Supervises and assists in cleaning and maintenance of the entire facility.
* Ensures regular and adequate equipment maintenance is scheduled and performed.
* Drives the health and wellness programs for the fitness center and our client through conception, development, implementation and outcome analysis.
* In charge of keeping the fitness center on the cutting edge of the industry in regards to equipment, programs and activities through continuing education.
* Making sure that we are following ACSM and CSU protocols for all fitness testing, evaluations, consultations, equipment orientations and exercise prescriptions.
* Solicits prospective members. Provides information to prospective members regarding fitness center programs, new member orientation procedures, and general health and wellness information. Directs all sales activities as required.
* Manages the members’ orientation process, records, and exercise adherence programs (from Health History and Medical Clearances to Fitness Assessments and Exercise Prescription).
* Develops and provides beneficial health, fitness, activity, and club operational information to members through the use of emails, bulletin boards, newsletters, and fliers.
* Performs various other duties and assignments as necessary or required.
**Required Qualifications and skills**  
* Be at least 21 years of age
* BS in Exercise Science, Kinesiology, or related field
* An outgoing personality and a priority of high\-level member service
* Strong interpersonal and written communications skills.
* Basic word processing and spreadsheet skills
* A clear progression of positions with increasing responsibility
* A desire to work in a fitness center setting, along with a sincere interest in fitness and health, and a desire to maintain or improve one’s own level of fitness
**Preferred Qualifications (may be required depending on location)**  
* Previous experience in a corporate wellness setting
* CPT and/or Group Fitness certification from a CHU approved and nationally recognized program</t>
        </is>
      </c>
    </row>
    <row r="5">
      <c r="A5" t="inlineStr">
        <is>
          <t>in-19aa55ff1e79f14e</t>
        </is>
      </c>
      <c r="B5" t="inlineStr">
        <is>
          <t>Sr. Product Manager</t>
        </is>
      </c>
      <c r="C5" t="inlineStr"/>
      <c r="D5" t="inlineStr">
        <is>
          <t>indeed</t>
        </is>
      </c>
      <c r="E5" t="inlineStr"/>
      <c r="F5" t="inlineStr"/>
      <c r="G5" t="inlineStr">
        <is>
          <t>Fort Worth, TX, US</t>
        </is>
      </c>
      <c r="H5" s="2" t="n">
        <v>46042</v>
      </c>
      <c r="I5" t="inlineStr">
        <is>
          <t>**General Summary**
We are looking for an energetic self\-starter to join the Product Management team. This opportunity is for a very visible, high impact position that will have broad responsibility for a flagship lending brand within a fast\-growing company. You will be responsible for leading a cross functional team to achieve key operating metrics by developing roadmaps, identifying priority initiatives and partnering with teams across the organization to drive results. This position must develop and launch programs and features that create and maintain a competitive position in the market.
Ultimately, you are accountable for driving profitable business growth. The successful candidate will be highly analytical, detail\-oriented, and naturally curious. This individual should also be a strategic thinker with experience in strategy development and execution.
**Principal Duties and Responsibilities**
* Lead product strategy and drive the roadmap for both an installment and line of credit product
* Understand and own product performance and metrics:
	+ Financial performance and projections
	+ Marketing data and trends
	+ Risk analysis
	+ Customer support metrics
* Drive significant business and technology initiatives in a cross functional environment
	+ Coordinate with internal partners from Marketing, Legal, Risk and Technology teams
	+ Build and strengthen relationships with internal and external partners
* Identify opportunities to improve customer experience and financial success
* Manage all aspects of the product development lifecycle including research, proposals, prioritization, implementation and post launch maintenance
**Experience and Education**
* Bachelor’s degree with strong academic performance – graduate degree is a plus, but not required
* 5\+ years of product management experience \- preferably for an Internet/e\-commerce property or a financial services firm.
* Proven track record of delivering product releases on time with measurable impact to key business metrics
**Required Skills, Abilities, Soft Skill Factors**
* Communication and diplomacy skills necessary to guide, influence and convince others
* Ability to efficiently plan and manage numerous projects and tasks simultaneously
* Ability to work well under tight deadlines in fast paced, team\-oriented environment
* Exceptional ability to communicate both written and verbal to cross\-functional teams
* Ability to work independently when needed to drive projects to successful completion
* Strong attention to detail and organization
* Management experience of both internal employees and external partners a plus
**California Employee Privacy Policy \|** **Family \&amp; Medical Leave Act \|** **Employee Polygraph Protection Act** **\|E\-Verify**
**\#LI\-BJ1**</t>
        </is>
      </c>
    </row>
    <row r="6">
      <c r="A6" t="inlineStr">
        <is>
          <t>in-52ec60f466d7c5af</t>
        </is>
      </c>
      <c r="B6" t="inlineStr">
        <is>
          <t>Memory Care Program Manager</t>
        </is>
      </c>
      <c r="C6" t="inlineStr">
        <is>
          <t>Country Meadows Retirement Communities</t>
        </is>
      </c>
      <c r="D6" t="inlineStr">
        <is>
          <t>indeed</t>
        </is>
      </c>
      <c r="E6" t="inlineStr"/>
      <c r="F6" t="inlineStr"/>
      <c r="G6" t="inlineStr">
        <is>
          <t>Wyomissing, PA, US</t>
        </is>
      </c>
      <c r="H6" s="2" t="n">
        <v>46042</v>
      </c>
      <c r="I6" t="inlineStr">
        <is>
          <t>**Pay\-rate starts at $32\.00/hour, with opportunity earn more based on experience!**
Country Meadows is one of the three senior living communities in the US that is recognized by Volunteers of America for our Validation Technique and certification. As the Memory Care Program Manager for our memory support Alzheimer’s and Dementia neighborhood, you will plan, implement and oversee the memory care program in accordance with company guidelines.
**Current Opportunity**
**Full\-time 8:30am to 5:00pm (Schedule includes weekend/holiday rotation with manager on duty requirements.)**
**Our investment in you:**
* Competitive pay with the opportunity to earn more based on experience
* Length of service bonus awards
* PayActiv On\-Demand Pay – Work today, get paid tomorrow
* Comprehensive benefits including Highmark Blue Shield for medical
* Excellent vision and dental
* 401(k) retirement plan with company match
* Generous paid time off and roll over of unused time
* Paid holidays including your birthday and a Personal Day of Meaning
* Supplemental life insurance
* Company\-paid short\-term disability
* Supplemental short\- and long\-term disability plans
* Family and medical leave
* Paid bereavement and jury duty leave
* Wellness reimbursement incentives
* $2 meals on our campuses including a main dish, a side, drink and dessert
**Our support for you:**
* Family\-owned, private company based in Hershey, Pa.
* Direct access to your supervisory team
* Incentivized career paths and tuition reimbursement
* On\-the\-job training and continuing education
* Employee assistance program for you and your family
* Co\-worker Foundation (grants for in time of need)
* Helping Hand interest\-free loans
Ask your Employment Specialist during your interview for details on any of our coworker centered benefits and incentives.
**Memory Care Program Manager Responsibilities:**
* Supervises all memory care co\-workers to ensure their success in support of resident well\-being.
* Maintains staffing schedules to meet the needs of the neighborhood.
* Utilizes Validation\-based approaches to care when working with residents who exhibit challenging behaviors and models and teaches those approaches to co\-workers.
* Builds family relationships and educates and counsels family members on Alzheimer’s disease and other dementias.
* Participates in recruiting, interviewing and selecting neighborhood personnel; reacts in a timely fashion to ensure continuous full staffing.
* Addresses staff development needs by presenting and participating in education programs in healthcare programs, including initial training of new co\-workers and assistance with formal Program training plan.
**Memory Care Program Manager Requirements:**
* Prior experience in small group socialization and programming preferred.
* Prior experience in assisted living, long term care, skilled nursing facility or similar environment.
* Experience in managing staff and/or volunteers in an environment with adults.
* College degree in Recreation Therapy / Human or Social Services / Geriatrics and / or two (2\) years of equivalent work experience in field.
* Willing to complete Validation training to level of Certified Group Worker.
* Ability to complete and maintain certification in CPR.
* Ability to perform the physical tasks required in this type of role.
About Country Meadows:
We have over 2500 co\-workers who are serving our residents with meaning, thriving with purpose and leading our company with innovation! We have been serving seniors for over 30 years, and we invite you to join our vision for making lives better.
EOE</t>
        </is>
      </c>
    </row>
    <row r="7">
      <c r="A7" t="inlineStr">
        <is>
          <t>in-f736e94af3974ce6</t>
        </is>
      </c>
      <c r="B7" t="inlineStr">
        <is>
          <t>Program Manager/ Program Executive</t>
        </is>
      </c>
      <c r="C7" t="inlineStr">
        <is>
          <t>SOSi</t>
        </is>
      </c>
      <c r="D7" t="inlineStr">
        <is>
          <t>indeed</t>
        </is>
      </c>
      <c r="E7" t="inlineStr"/>
      <c r="F7" t="inlineStr"/>
      <c r="G7" t="inlineStr">
        <is>
          <t>Reston, VA, US</t>
        </is>
      </c>
      <c r="H7" s="2" t="n">
        <v>46042</v>
      </c>
      <c r="I7" t="inlineStr">
        <is>
          <t>**Company Description**  
Founded in 1989, SOSi is among the largest private, founder\-owned technology and services integrators in the defense and government services industry. We deliver tailored solutions, tested leadership, and trusted results to enable national security missions worldwide.
 **Job Description** ***\*\*This position is contingent upon contract award\*\****
SOS International LLC (SOSi) is seeking a **Program Manager** to lead SOSi’s Management Team on the Department of Justice’s Asset Forfeiture Administrative Support Services contract.
 **Position Summary**
The Program Manager (PM) will lead and manage a 1,400\-member workforce at 490 DOJ offices nationwide, ensuring that SOSi performs all contract services and meets all quality standards. The PM shall have full authority to act for SOSi in all day\-to\-day matters relating to contract performance. The PM shall be available during normal hours of operation to discuss all technical and administrative matters related to this contract. The PM shall be SOSi’s initial point of contact for the Government's Contracting Officer, Contracting Officer's Representative (COR), Assistant CORs and field Quality Assurance Evaluators (QAEs) related to technical services performed– but may delegate certain responsibilities to other members of SOSi’s Management Team. The PM ensures compliance with contractual obligations, drives continuous improvement, and fosters a culture of safety, quality, and accountability. This position is contingent on contract award.
**Essential Job Duties**
* Lead a team of managers, technical staff, and subcontractors across multiple locations nationwide.
* Responsible for strategic oversight, operational execution, and client engagement of the program.
* Responsible for cost, schedule, and technical performance on the contract.
* Develop and implement strategic plans to meet contract objectives and performance metrics.
* Serve as the primary point of contact for the client, ensuring alignment with mission requirements and expectations.
* Ensure operational efficiency, reliability, and responsiveness across all service areas and locations.
* Implement and monitor KPIs to ensure service excellence.
* Manage the program’s $100M\+ annual budget, ensuring cost control, forecasting accuracy, and profitability.
* Review and approve financial reports, invoices, and procurement activities.
* Identify opportunities for cost savings and operational efficiencies.
* Recruit, train, and retain high\-performing personnel.
* Promote a culture of safety, compliance, and professional development.
* Ensure compliance with all contractual, legal, and regulatory requirements.
* Develop and implement risk mitigation strategies.
* Approve hiring of all supervisory level Contractor employees.
* Maintain readiness for audits, inspections, and client reviews.
* Build and maintain strong relationships with government and commercial clients.
* Provide regular program updates, performance reports, and strategic recommendations.
* Address client concerns promptly and effectively.
**Qualifications** **Minimum Requirements**
* Bachelor’s Degree plus twelve years’ experience as a PM with emphasis on oversight of multiple projects that emphasize analytical processes and legal assistance, training, and recruitment.
* Master’s Degree and ten years’ experience as a PM, with emphasis on oversight of multiple projects that emphasize analytical processes and legal assistance, training, and recruitment is preferred.
* PMP or equivalent certification.
* Management of similar projects under Federal Government sponsorship is preferred.
* Ability to Supervise Regional Directors, Agency Managers, and Project Directors.
* Strong financial acumen and experience managing annual budgets of $50M\+.
* Excellent communication, negotiation, and stakeholder management skills.
* Familiarity with US Government contracting (e.g., DOJ, DoD, DoS) is highly desirable.
* In\-scope DoD Secret Clearance is required.
**Additional Information** **Work Environment**
* Work is on\-site at one of multiple SOSi locations
* Requires periods of non\-traditional hours including consecutive nights or weekends when necessary
* Frequent travel between program operating locations
* Ability to work efficiently under deadlines and pressure
* Ability to keep up in a fast\-paced environment
**Working at SOSi**
All interested individuals will receive consideration and will not be discriminated against for any reason.</t>
        </is>
      </c>
    </row>
    <row r="8">
      <c r="A8" t="inlineStr">
        <is>
          <t>in-39fbaa712752aad4</t>
        </is>
      </c>
      <c r="B8" t="inlineStr">
        <is>
          <t>Senior IT Program Manager</t>
        </is>
      </c>
      <c r="C8" t="inlineStr">
        <is>
          <t>Amentum</t>
        </is>
      </c>
      <c r="D8" t="inlineStr">
        <is>
          <t>indeed</t>
        </is>
      </c>
      <c r="E8" t="inlineStr"/>
      <c r="F8" t="inlineStr"/>
      <c r="G8" t="inlineStr">
        <is>
          <t>Washington, DC, US</t>
        </is>
      </c>
      <c r="H8" s="2" t="n">
        <v>46041</v>
      </c>
      <c r="I8" t="inlineStr">
        <is>
          <t>Amentum is seeking a **Senior IT Program Manager** for a contract located in **Washington, DC**. You will provide management, direction, administration, quality assurance, and leadership of the execution of this contract. Your ability to adapt to a diverse workforce audience when preparing and conducting briefings will be vital within this work. One of your strong points is your eagerness to put the customer’s needs at the forefront of your problem solving, including being proactive in asking questions when you need more information. Your strong leadership skills combined with your extensive experience managing large scale Enterprise IT Service Delivery and Management Programs will make you an ideal candidate for this role.
***We are pipelining candidates for a future contract award.***
Amentum is a leading provider of enduring support for the essential missions of the U.S. government, its allied partners and international organizations. With over 60 years of experience, Amentum supports the execution of complex and critical missions by providing global logistics and stability operations, technical services and national security solutions to customers around the world. Amentum has a workforce of approximately 50,000 people in over 80 countries on all seven continents and is headquartered in Chantily, VA
**Responsibilities:**
* Provides day\-to\-day leadership of technical operations, including all aspects of systems integration, engineering design, material procurement, fabrication, systems assembly and installation, environmental testing, logistics, fielding, and follow\-on support.
* Organize, direct, and coordinate planning and implementation of all contract support activities. Interface with government personnel.
* Formulate and review project feasibility studies, determine costs, ensure conformance to work standards.
* Interpret policies, purposes, and goals of the organizations for subordinates.
* Identify, acquire and utilize company resources to achieve project technical objectives.
* Responsible for planning, coordinating, and directing the activities of administrative, program, and technical personnel.
* Responsible for managing and controlling schedules and cost to provide on time, within budget, performance of all aspects of the contractual effort.
* Provides direction for operations and ensuring compliance with all management policies, plans, and procedures.
**Minimum Requirements:**
* Bachelor’s degree and at least 10 years of experience leading/managing large\-scale IT programs, including service delivery contract, mission critical programs, IT Infrastructure systems and solution development
	+ In lieu of a degree, at least 16 years of experience leading/managing large\-scale IT programs, including service delivery contract, mission critical programs, IT Infrastructure systems and solution development
* At least 8 years of proven experience managing a program with at least 200 personnel delivering Infrastructure and Operations Support Services to at least 6,000 end users across multiple locations
* At least 5 years of experience interfacing and presenting to C\-level executives
* Must be able to obtain and maintain facility credentials/authorization. Note: US Citizenship is required for facility credentials/authorization at this work location.
**Preferred Qualifications:**
* Current Program Management Institute (PMI) certification (i.e Project Management Professional (PMP) or Program Management Professional (PgMP) certification)
**Compensation Details:**
$180,000 \- $220,000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01/20/2026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9">
      <c r="A9" t="inlineStr">
        <is>
          <t>in-dd559f6b54eebe78</t>
        </is>
      </c>
      <c r="B9" t="inlineStr">
        <is>
          <t>Principal Technology Program Manager</t>
        </is>
      </c>
      <c r="C9" t="inlineStr">
        <is>
          <t>Equinix</t>
        </is>
      </c>
      <c r="D9" t="inlineStr">
        <is>
          <t>indeed</t>
        </is>
      </c>
      <c r="E9" t="inlineStr"/>
      <c r="F9" t="inlineStr"/>
      <c r="G9" t="inlineStr">
        <is>
          <t>Dallas, TX, US</t>
        </is>
      </c>
      <c r="H9" s="2" t="n">
        <v>46041</v>
      </c>
      <c r="I9" t="inlineStr">
        <is>
          <t>**Who are we?**
Equinix is the world’s digital infrastructure company®, shortening the path to connectivity to enable the innovations that enrich our work, life and planet.
A place where bold ideas are welcomed, human connection is valued, and everyone has the opportunity to shape their future.
A career at Equinix means being at the center of shaping what comes next and amplifying customer value through innovation and impact. You’ll work across teams, influence key decisions, and help shape the path forward. You’ll find belonging, purpose, and a team that welcomes you—because when you feel valued, you’re empowered to do your best work.
As the Principal Program Manager for Next\-Gen Network Modernization Migration, you will be the primary architect and executor of the customer journey as we transition thousands of customer ports and virtual circuits from legacy hardware to our next\-generation networking platform. This is a high\-visibility role requiring a unique blend of deep networking knowledge, large\-scale cloud migration experience, and the ability to lead by influence across a global, matrixed organization.
You will define the "gold standard" for how our customers experience infrastructure evolution—minimizing friction, ensuring technical parity, and maintaining trust.
**Key Responsibilities:**
**1\. Migration Strategy \&amp; CX Design**
* **Define the Journey:** Design the end\-to\-end customer migration lifecycle, from initial notification and technical validation to cutover and post\-migration support.
* **Customer Advocacy:** Act as the "Voice of the Customer" within the engineering and networking organizations to ensure technical decisions prioritize service continuity and ease of transition.
* **Risk Orchestration:** Identify potential "high\-touch" customers and complex topologies, developing bespoke migration paths to prevent churn.
**2\. Cross\-Functional Leadership \&amp; Influence**
* **Drive via Influence:** Lead a cross\-functional squad including Network Engineering, Product Management, Customer Engineering, Sales, and Operations without direct reporting lines.
* **Stakeholder Alignment:** Communicate complex technical roadmaps and migration risks to executive leadership, ensuring alignment on resource allocation and "stop\-ship" criteria.
**3\. Operational Excellence \&amp; Execution**
* **Scale Management:** Develop automated or repeatable frameworks to handle the migration of thousands of virtual circuits and ports across global metros.
* **RCA \&amp; Continuous Improvement:** Lead "War Room" sessions for migration anomalies and drive Root Cause Analysis (RCA) to refine the process for subsequent waves.
**Qualifications:**
**Technical Depth**
* **Networking Expertise:** Deep understanding of Layer 2 and Layer 3 networking, including BGP, VLANs, VXLAN, MPLS, and Virtual Circuits.
* **Platform Familiarity:** Experience with SDN (Software Defined Networking) and the transition from hardware\-centric to API\-driven networking architectures.
**Experience**
* **Cloud\-Scale Background:** 10\+ years of Program Management experience, with a proven track record of leading large\-scale customer migrations at a major Cloud Service Provider (CSP), Hyper\-scaler, or Tier\-1 Telco.
* **Principal Level Leadership:** Experience managing "unplanned" or high\-impact technical debt initiatives that require significant roadmap negotiation.
**Core Competencies**
* **Matrix Leadership:** Exceptional ability to drive consensus among engineering teams with competing priorities.
* **Strategic Communication:** Ability to translate deep technical infrastructure changes into clear, value\-based communications for non\-technical customer stakeholders.
* **Data\-Driven Decision Making:** Proficiency in using telemetry and data visualization to track migration progress and identify bottlenecks in real\-time.
**Preferred Qualifications**
* Experience with **Equinix Fabric** or similar interconnection platforms.
* Prior experience in a Customer Engineering or Solutions Architecture role.
* Background in managing "Novation" or "Org Merge" complexities during infrastructure transitions.
The targeted pay range for this position in the following location is / locations are:
United States \- Dallas Infomart Office DAI : 136,000 \- 204,000 USD / Annual
United States \- CA Non\-Bay Area, AK, CT, DC, IL, MD, MA, NJ, NY, VA, WA : 150,000 \- 224,000 USD / Annual
Our pay ranges reflect the minimum and maximum target for new hire pay for the full\-time position determined by role, level, and location.**The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Equinix is committed to ensuring that our employment process is open to all individuals, including those with a disability. If you are a qualified candidate and need assistance or an accommodation, please let us know by completing this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t>
        </is>
      </c>
    </row>
    <row r="10">
      <c r="A10" t="inlineStr">
        <is>
          <t>in-d0e7a873962059ed</t>
        </is>
      </c>
      <c r="B10" t="inlineStr">
        <is>
          <t>Principal Technology Program Manager</t>
        </is>
      </c>
      <c r="C10" t="inlineStr">
        <is>
          <t>Equinix</t>
        </is>
      </c>
      <c r="D10" t="inlineStr">
        <is>
          <t>indeed</t>
        </is>
      </c>
      <c r="E10" t="inlineStr"/>
      <c r="F10" t="inlineStr"/>
      <c r="G10" t="inlineStr">
        <is>
          <t>Washington, DC, US</t>
        </is>
      </c>
      <c r="H10" s="2" t="n">
        <v>46041</v>
      </c>
      <c r="I10" t="inlineStr">
        <is>
          <t>**Who are we?**
Equinix is the world’s digital infrastructure company®, shortening the path to connectivity to enable the innovations that enrich our work, life and planet.
A place where bold ideas are welcomed, human connection is valued, and everyone has the opportunity to shape their future.
A career at Equinix means being at the center of shaping what comes next and amplifying customer value through innovation and impact. You’ll work across teams, influence key decisions, and help shape the path forward. You’ll find belonging, purpose, and a team that welcomes you—because when you feel valued, you’re empowered to do your best work.
As the Principal Program Manager for Next\-Gen Network Modernization Migration, you will be the primary architect and executor of the customer journey as we transition thousands of customer ports and virtual circuits from legacy hardware to our next\-generation networking platform. This is a high\-visibility role requiring a unique blend of deep networking knowledge, large\-scale cloud migration experience, and the ability to lead by influence across a global, matrixed organization.
You will define the "gold standard" for how our customers experience infrastructure evolution—minimizing friction, ensuring technical parity, and maintaining trust.
**Key Responsibilities:**
**1\. Migration Strategy \&amp; CX Design**
* **Define the Journey:** Design the end\-to\-end customer migration lifecycle, from initial notification and technical validation to cutover and post\-migration support.
* **Customer Advocacy:** Act as the "Voice of the Customer" within the engineering and networking organizations to ensure technical decisions prioritize service continuity and ease of transition.
* **Risk Orchestration:** Identify potential "high\-touch" customers and complex topologies, developing bespoke migration paths to prevent churn.
**2\. Cross\-Functional Leadership \&amp; Influence**
* **Drive via Influence:** Lead a cross\-functional squad including Network Engineering, Product Management, Customer Engineering, Sales, and Operations without direct reporting lines.
* **Stakeholder Alignment:** Communicate complex technical roadmaps and migration risks to executive leadership, ensuring alignment on resource allocation and "stop\-ship" criteria.
**3\. Operational Excellence \&amp; Execution**
* **Scale Management:** Develop automated or repeatable frameworks to handle the migration of thousands of virtual circuits and ports across global metros.
* **RCA \&amp; Continuous Improvement:** Lead "War Room" sessions for migration anomalies and drive Root Cause Analysis (RCA) to refine the process for subsequent waves.
**Qualifications:**
**Technical Depth**
* **Networking Expertise:** Deep understanding of Layer 2 and Layer 3 networking, including BGP, VLANs, VXLAN, MPLS, and Virtual Circuits.
* **Platform Familiarity:** Experience with SDN (Software Defined Networking) and the transition from hardware\-centric to API\-driven networking architectures.
**Experience**
* **Cloud\-Scale Background:** 10\+ years of Program Management experience, with a proven track record of leading large\-scale customer migrations at a major Cloud Service Provider (CSP), Hyper\-scaler, or Tier\-1 Telco.
* **Principal Level Leadership:** Experience managing "unplanned" or high\-impact technical debt initiatives that require significant roadmap negotiation.
**Core Competencies**
* **Matrix Leadership:** Exceptional ability to drive consensus among engineering teams with competing priorities.
* **Strategic Communication:** Ability to translate deep technical infrastructure changes into clear, value\-based communications for non\-technical customer stakeholders.
* **Data\-Driven Decision Making:** Proficiency in using telemetry and data visualization to track migration progress and identify bottlenecks in real\-time.
**Preferred Qualifications**
* Experience with **Equinix Fabric** or similar interconnection platforms.
* Prior experience in a Customer Engineering or Solutions Architecture role.
* Background in managing "Novation" or "Org Merge" complexities during infrastructure transitions.
The targeted pay range for this position in the following location is / locations are:
United States \- Dallas Infomart Office DAI : 136,000 \- 204,000 USD / Annual
United States \- CA Non\-Bay Area, AK, CT, DC, IL, MD, MA, NJ, NY, VA, WA : 150,000 \- 224,000 USD / Annual
Our pay ranges reflect the minimum and maximum target for new hire pay for the full\-time position determined by role, level, and location.**The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Equinix is committed to ensuring that our employment process is open to all individuals, including those with a disability. If you are a qualified candidate and need assistance or an accommodation, please let us know by completing this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t>
        </is>
      </c>
    </row>
    <row r="11">
      <c r="A11" t="inlineStr">
        <is>
          <t>in-4ad491ac0620f6bf</t>
        </is>
      </c>
      <c r="B11" t="inlineStr">
        <is>
          <t>Deputy Task Order Program Manager</t>
        </is>
      </c>
      <c r="C11" t="inlineStr">
        <is>
          <t>SMX</t>
        </is>
      </c>
      <c r="D11" t="inlineStr">
        <is>
          <t>indeed</t>
        </is>
      </c>
      <c r="E11" t="inlineStr"/>
      <c r="F11" t="inlineStr"/>
      <c r="G11" t="inlineStr">
        <is>
          <t>Doral, FL, US</t>
        </is>
      </c>
      <c r="H11" s="2" t="n">
        <v>46041</v>
      </c>
      <c r="I11" t="inlineStr">
        <is>
          <t>SMX is seeking a Deputy Task Order Program Manager (DTOPM) to work as part of an integrated Program Management Office (PMO) on the Monitoring, Analysis, Reconnaissance, Logistics, Intelligence, and Network Services (MARLINS) contract within the Global Defense business unit of SMX. The DTOPM serves as the primary advisor to the MARLINS TOPM, is the \#2 leadership position on MARLINS, and acts on the TOPM's behalf when not available. The DTOPM supports day\-to\-day operations of MARLINS projects and provides supervision and oversight to assigned Lead Program Managers and other MARLINS members. The DTOPM contributes to MARLINS PMO level tasks to include deliverables, process improvement, and issue resolution. The DTOPM will also provide subject matter expertise for USSOUTHCOM mission operations and ensure mission objectives are met from an operational perspective. In addition, the DTOPM will contribute to SMX business development and proposal development as required.
This position is located **onsite at USSOUTHCOM in Doral, FL** with travel to CONUS and OCONUS locations. DoD TS/SCI clearance is required.
**Application Deadline: January 19, 2026**
**Essential Duties \&amp; Responsibilities**
* Provide leadership and program management for the Task Order portfolio and provide oversight/supervision to assigned Lead Program Managers
* Serve as a key interface to Task Order stakeholders including government and industry members and act on the TOPM's behalf when the TOPM is not available
* Contribute to MARLINS PMO functions to include process improvements, award fee inputs, program documentation, deliverables execution, and address Task Order wide issues
* Conducts operational planning, execution and evaluation of multi\-faceted program that requires collaboration with customers to identify new project opportunities
* Establishes and maintains effective working relationships with the Government program managers
* Identify new business opportunities and contribute to SMX proposal efforts
* Perform hiring activity to include requirements definition, interviews, and on\-boarding actions
* Executes and monitors Task Order activities to ensure compliance with Government deliverables
* Executes Task Order risk management process
* Coordinates cross\-functional meetings of personnel related to the Task Order
* Establishes communications with SOUTHCOM and other COCOM customers
* Leads project performance review meetings and discussions
* Provides support to the Contract Manager for operational direction and oversight
* Ensures that contract service, quality, and performance requirements are met and compliance with standard operating procedures (SOP) is maintained
* Advises the Contract Manager of any contractual issues that may result in Contracting Office action and of any anticipated or proposed adverse personnel actions
* Works cooperatively with the Contract Manager in developing short\- and long\-range goals, objectives, policies and operating procedures in accordance with contract parameters
* Works with team to problem\-solve and facilitates issue resolution
**Required Skills \&amp; Experience**
* Security Clearance: Top Secret with SCI eligibility
* Bachelor's degree in technical or business related discipline
* 10\+ years of project management experience
* Program Management Institute (PMI) Project Management Professional (PMP) (preferred) or Defense Acquisition Workforce Improvement Act (DAWIA) Level II Program Management Certification
* Experience with US Combatant Commands
* A minimum of 5 years' experience with operations management within major commands and/or the military intelligence community
* A minimum of 5 years of experience managing operations and direction personnel under a contract that is similar in scope and complexity to the USSOUTHCOM MARLINS TO
* Experience and knowledge of government funding types, funding execution, government budget process, and MIPRs
* Experience working in Central and South America
* Significant experience in developing requirements, evaluating proposals, and overseeing subcontractor performance and compliance
* Experience managing multiple projects, prioritizing tasks, and providing oversight to other Project Managers
* Deep understanding of project management principles to effectively manage cost, schedule, and scope
* Be able to handle shifting priorities and possess excellent time management skills to complete tasks within required timeframes with no supervision
* Excellent supervisory skills to motivate and delegate to junior and peer personnel as required
* Strong communication skills to interact with stakeholders
* Ability to manage project budgets, identify financial issues, and develop Rough Order of Magnitudes (ROMs)
* Knowledge of process improvement techniques and ability to direct improvement initiatives
**Desired Skills \&amp; Experience**
* Master's degree in technical or business\-related discipline
* HQ USSOUTHCOM experience
* GSA Assisted Acquisition Services (AAS) Task Order project management experience
* Supervisory experience
\#LI\-ONSITE \#LI\-DD1 \#CJPOST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row>
    <row r="12">
      <c r="A12" t="inlineStr">
        <is>
          <t>in-88d8f7cae884d5ee</t>
        </is>
      </c>
      <c r="B12" t="inlineStr">
        <is>
          <t>Program Manager | Remote, USA</t>
        </is>
      </c>
      <c r="C12" t="inlineStr">
        <is>
          <t>Optiv</t>
        </is>
      </c>
      <c r="D12" t="inlineStr">
        <is>
          <t>indeed</t>
        </is>
      </c>
      <c r="E12" t="inlineStr"/>
      <c r="F12" t="inlineStr"/>
      <c r="G12" t="inlineStr">
        <is>
          <t>Leawood, KS, US</t>
        </is>
      </c>
      <c r="H12" s="2" t="n">
        <v>46041</v>
      </c>
      <c r="I12" t="inlineStr">
        <is>
          <t>The Program Manager is a customer\-oriented role which leads and directs cross\-capability engagements under limited supervision. The Program Manager acts as the primary leader overseeing the entire engagement in concert with Executive Service Directors, Sr. Managers, and Capability VPs. The Program Manager is accountable to manage all delivery risk within the engagement and is responsible for ensuring the engagement, and all projects as part of the programmatic approach, are delivered as planned without delays or interruptions. Program Managers are expected to primarily operate at the project level and manage all risks to the engagement from an operational perspective, business perspective, and customer expectation perspective.
The Program Manager manages engagements from inception to completion, identifying and documenting requirements, supporting clients on various information security initiatives, keeping all stakeholders apprised of project and budget status, and managing issues to resolution. Program Managers are responsible for the project over the entire project life\-cycle (initiation, planning, execution, control, project closeout). They are also responsible for assembling the project team, assigning individual responsibilities, identifying appropriate resources needed, and developing the schedule to ensure timely completion of project. Program Managers are expected to build trust and relationships with customers through the delivery of successful outcomes in alignment with Optiv’s commercial commitments.
The Program Manager is considered a proven authority in the Optiv Project Management Office (PMO). They are responsible for mentoring, training, and may have a team assigned to them that they must lead and develop. The Program Manager must have a broad and deep knowledge of the various Optiv practices, and possess expert\-level knowledge of PMO processes and systems. They must have the ability to effectively lead difficult projects that span multiple practices and geographic areas. The Program Manager must also be an expert in providing consistent project status to the PMO and Practice leadership across the multiple projects.
The Program Manager oversees all project activity with key clients across Optiv practices and lines of business. The Program Manger often leads project managers in cross\-practice and complex engagements and are integral in building relationships with their client counterparts or key points of contact. They also contribute to business development by identifying new opportunities and sharing this information with account leadership.
How you'll make an impact:* Strong, project team and customer\-focused project leadership capabilities.
* Demonstrate expert\-level of knowledge of Project Management best practices, process and supporting systems to drive the progress of a project.
* The Program Manager shall have the skills necessary to drive program and engagement progress across multiple capabilities, practices, communities, and stakeholders and levels of oversight with assurance on maintaining progress, timeliness, and effective resource utilization ensuring a minimum of 40hrs billed per week be each delivery resource.
* The Program Manager shall have the ability to develop strategic project delivery plans, detailed schedules, compensating project controls, cost forecasting, risk management, issues forecast and resolution planning, resource burn\-rate analysis, forecasting, and reporting, and daily task management.
* The Program Manager is accountable for the progress of the overall engagement and all related projects that may comprise the program or solutions
* The Program Manager is accountable and responsible in driving timelines by creating and maintaining schedules (including key deliverables, milestones, and dependencies), understanding the deliverables and the progress toward each milestone, identifying and managing issues, risks, and other potential delays ahead of time, and identifying and driving resolution of all engagement related risks and issues.
* The Program Manager is accountable and overall responsibility for the execution and delivery of customer\-focused engagements ensuring uninterrupted progress or delays.
* Strong Communication skills across multiple internal and external project team members.
* Ability to identify, forecast, manage, compensate, control and communicate risk management plans, issues and impacts across multiple levels of leadership and across diverse delivery communities and organizations.
* Develop and lead service delivery strategies across multiple internal practices and departments.
* Develop and manage customer\-focused quality metrics and forecasting strategies.
* Evaluate and track the project/program budget and perform cost/UoM forecasting as pertinent to the established tracking metrics.
* Ensure a common understanding by setting expectations in accordance with the Project Delivery Plan, in order to align the project stakeholders and ensure the customers goals and expectations are achieved.
* Assist in the development of Program Management business delivery strategies, program health analysis \&amp; internal reporting.
* Manage customer relationships and assist in leading the customer to reach their overall business goals.
* Provide and lead customer\-focused strategic planning and collaboration meetings.
* Lead the composition of project delivery schedules, resource models and project plans and present to the customer.
* Facilitate mutual understanding meetings between the project delivery team and customer stakeholders to define the project delivery strategy, quality metrics, risk management plan and communication plan.
* Take proactive steps to protect Optiv’s best interests while simultaneously balancing the Customer expectations and project scope of work.
* Requires strong written and verbal communication skills.
* Independently manage project delivery strategies from initial planning through project closure.
* Provides a single point of contact for our customers throughout the project lifecycle.
* Conduct and coordinate internal and external project meetings and provide project status reports to project stakeholders.
* Communicate client concerns, questions and conflicts to internal stakeholders and take the necessary actions to resolve and/or troubleshoot challenges in a strategic manner.
* Facilitate internal project planning and status meetings. Assign tasks to project team members and ensure timely completion.
* Responsible for coordination and collaboration of project events, meetings, and technical resources.
* Generate and distribute project reports and lead project meetings to disseminate the appropriate information to the project team and project stakeholders.
* Proactively monitor and report on project budget, timelines and service deliverables.
* Review and lead clarification (as required) of project scope, captured in the services statement of work and working closely with the customer and internal scoping teams during initial project solution architecture.
* Analyze, report and disseminate project status reports to the PMO and Practice Leadership.
* Provide support across the PMO project portfolio to address at risk projects and escalations where necessary.
* Understand and be able to speak to Optiv’s portfolio and offerings in alignment with customer goals and objectives
* Maintain awareness of emerging technologies and project management techniques.
* Perform other duties, as required.
* Up to 25% travel on\-site with clients
* Supervise personnel within the PMO, and others as assigned.
What we're looking for:* BA or BS in Computer Science, Management Information Systems, or related field. Advanced degree or advanced project management experience required.
* 10\+ years of experience in a customer facing project/program delivery leadership role within a professional services organization, with emphasis on information security projects and programs across multiple domains.
* Project Management Professional (PMP) certification highly preferred.
* Program Management expertise, specifically demonstrated success managing multiple clients and disparate initiatives on a long term\-basis.
* Management of information security projects across multiple domains required
* Significant experience as a Consultant providing security expertise to clients preferred.
* Expert level experience with Project Management methodologies, best practices, and toolsets required.
* Experience interfacing with both clients and partners required.
* Excellent written and verbal communication skills required.
* Outstanding time management and organizational skills required.
* Ability to work independently with limited supervision required.
* Current knowledge of security threats, solutions, security tools and network technologies strongly desired.
* Superior risk management and problem\-solving skills required.
* CISM or CISSP certification preferred.
* Strong analytical and problem solving skills
* Excellent communication (oral, written, presentation), interpersonal and consultative skills
* Results oriented, high energy, self\-motivated
* Strong security services program management skills
What you can expect from Optiv* A company committed to championing Diversity, Equality, and Inclusion through our Employee Resource Groups.
* Work/life balance
* Professional training resources
* Creative problem\-solving and the ability to tackle unique, complex projects
* Volunteer Opportunities. “Optiv Chips In” encourages employees to volunteer and engage with their teams and communities.
* The ability and technology necessary to productively work remotely/from home (where applicable)
EEO Statement
Optiv is an equal opportunity employer. All qualified applicants for employment will be considered without regard to race, color, religion, sex, gender identity or expression, sexual orientation, pregnancy, age 40 and over, marital status, genetic information, national origin, status as an individual with a disability, military or veteran status, or any other basis protected by federal, state, or local law.
Optiv respects your privacy. By providing your information through this page or applying for a job at Optiv, you acknowledge that Optiv will collect, use, and process your information, which may include personal information and sensitive personal information, in connection with Optiv’s selection and recruitment activities. For additional details on how Optiv uses and protects your personal information in the application process, click here to view our Applicant Privacy Notice. If you sign up to receive notifications of job postings, you may unsubscribe at any time.</t>
        </is>
      </c>
    </row>
    <row r="13">
      <c r="A13" t="inlineStr">
        <is>
          <t>in-9ef06707768501e0</t>
        </is>
      </c>
      <c r="B13" t="inlineStr">
        <is>
          <t>Senior Technical Program Manager</t>
        </is>
      </c>
      <c r="C13" t="inlineStr">
        <is>
          <t>EarnIn</t>
        </is>
      </c>
      <c r="D13" t="inlineStr">
        <is>
          <t>indeed</t>
        </is>
      </c>
      <c r="E13" t="inlineStr"/>
      <c r="F13" t="inlineStr"/>
      <c r="G13" t="inlineStr">
        <is>
          <t>Mountain View, CA, US</t>
        </is>
      </c>
      <c r="H13" s="2" t="n">
        <v>46041</v>
      </c>
      <c r="I13" t="inlineStr">
        <is>
          <t>### **About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As a Senior Technical Program Manager, you will play a pivotal role in shaping the future of our technical initiatives within the Security, Technology Enablement \&amp; Platform Services (STEPS) organization at EarnIn. Reporting directly to the CISO, you will lead cross\-functional teams, drive innovation, and ensure the successful delivery of complex projects that impact our cybersecurity, technology infrastructure, and business technologies. This position offers a unique opportunity to make a significant impact and contribute to the growth and success of our organization.
This position is hybrid\-remote based in Mountain View. The US base salary range for this full\-time position is $202,140\-$247,060, plus equity and benefits. Our salary ranges are determined by role, level, and location.
**WHAT YOU'LL DO**
* Lead the strategic planning and execution of key technical and operational initiatives within the STEPS organization, ensuring alignment with company goals and objectives.
* Drive end\-to\-end project delivery from ideation to implementation, managing resources, timelines, and budgets effectively.
* Own STEPS portfolio management \&amp; operating rhythms, such as executive briefings, business reportings, quarterly planning \&amp; execution, operational risk reporting, etc.
* Collaborate with stakeholders across the organization to define project scope, requirements, and success criteria.
* Establish and maintain strong relationships with internal and external partners, fostering a culture of collaboration and accountability.
* Ensure execution excellence, champion operational best practices, and continuous improvement in our program management \&amp; related processes.
* Drive operational excellence across cross\-functional teams within and partners to STEPS; analyze data, metrics, and KPIs to identify trends, opportunities, and areas for improvement in organization, technical \&amp; financial operations, and service delivery related to STEPS.
**WHAT WE'RE LOOKING FOR**
* Bachelor's degree in Computer Science, Engineering, or related field/experience; advanced degree preferred.
* 4\+ years of experience in technical program management, with a proven track record of leading complex and cross\-functional projects.
* Extensive knowledge of Agile methodologies, Scrum, Kanban, and other project management frameworks.
* Experience collaborating and enabling geographically dispersed teams while translating complex requirements into technical roadmaps
* Demonstrated ability to define and track program metrics (such as OKRs and KPIs) and use data to drive accountability and decisions
* Strong leadership skills with the ability to motivate and influence teams to achieve excellence.
* Exceptional communication and interpersonal skills, with the ability to effectively communicate complex technical concepts to diverse audiences.
* Proven ability to thrive in a fast\-paced, dynamic environment and drive results in a rapidly evolving market.
* Familiarity with security concepts like vulnerability management and technology like AWS platform, Kubernetes, and Argo CD is a plu,s as is a background in Security, Site Reliability, or Developer/Platform Engineering
\#LI\-Hybrid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row>
    <row r="14">
      <c r="A14" t="inlineStr">
        <is>
          <t>in-6a7df28b97f821eb</t>
        </is>
      </c>
      <c r="B14" t="inlineStr">
        <is>
          <t>Program Manager Aquatics: Lowe's YMCA</t>
        </is>
      </c>
      <c r="C14" t="inlineStr">
        <is>
          <t>YMCA</t>
        </is>
      </c>
      <c r="D14" t="inlineStr">
        <is>
          <t>indeed</t>
        </is>
      </c>
      <c r="E14" t="inlineStr"/>
      <c r="F14" t="inlineStr"/>
      <c r="G14" t="inlineStr">
        <is>
          <t>Mooresville, NC, US</t>
        </is>
      </c>
      <c r="H14" s="2" t="n">
        <v>46041</v>
      </c>
      <c r="I14" t="inlineStr">
        <is>
          <t>The Program Manager provides leadership and oversight for assigned YMCA program areas, ensuring alignment with the YMCA’s mission, standards, and strategic vision. This role is responsible for program development, budget management, staff leadership, and continuous improvement to drive program quality, participant satisfaction, and community impact. The Program Manager works collaboratively with branch and association leadership to achieve operational and financial goals while fostering a culture of excellence and inclusion.
**Culture Statement**
The culture of the Y is rooted in our Christian mission and core principles. We strive every day to collectively embody our purpose to love, serve and transform lives. Every day we show up to Lead with Love and Serve with Purpose.
We **Love** unconditionally – showing genuine care and concern for everyone, making each interaction meaningful and personal and ensuring every person feels valued, seen and welcomed. We elevate **Hope** – promoting optimism by offering encouragement and practical solutions to challenges. We act with **Care \&amp; Compassion** – listening attentively without judgment, responding with empathy, and creating a sense of belonging by uplifting and supporting those around us. We demonstrate **Generosity** – sharing our time, skills, and resources freely and with joy.
We walk in **Grace** – showing patience and kindness, even in difficult moments. We ignite **Faith** – staying grounded in our mission, principles and purpose, inspiring others to trust in what is possible. Demonstrating consistency in our actions, helping others see how their efforts align with a greater purpose. We treasure **Honesty** – communicating openly and truthfully, admitting mistakes when they occur, and honoring commitments. We honor **Humility** – leading with a servant's heart by prioritizing the needs of others above our own.
We live with **Joy** – celebrating small and big wins alike, inspiring connection and shared joy. We offer **Respect** – addressing everyone by name and honoring diverse perspectives and backgrounds. We value **Responsibility** – performing every task timely with diligence and excellence and holding ourselves accountable by openly evaluating our performance. We engage in **Service** – going above and beyond in serving others by anticipating needs and delivering exceptional experiences.
**Essential Functions**
* Lead planning, execution, and evaluation of assigned program areas to ensure quality, innovation, and alignment with YMCA goals.
* Manage program budgets up to $1M, ensuring fiscal accountability and achievement of revenue and expense targets.
* Hire, train, supervise, and evaluate front\-line supervisors and staff to deliver high\-quality member and participant experiences.
* Monitor program performance metrics (e.g., participation, revenue, retention) and adjust strategies as needed.
* Develop and implement program enhancements based on participant needs, feedback, and industry best practices.
* Foster strong relationships with members, participants, families, and community partners to support engagement and growth.
* Ensure consistent application of YMCA policies, procedures, and safety standards across assigned programs.
* Collaborate with cross\-functional teams to support branch and association\-wide initiatives.
* Resolve escalated participant or parent issues with professionalism and service recovery strategies.
**Qualifications**
**Required Qualifications**
* Minimum 3 years of program management or supervisory experience in a related field.
* Demonstrated success in budget management and fiscal accountability.
* Experience hiring, supervising, and developing staff teams.
* Strong skills in program development, innovation, and evaluation.
* Ability to analyze data and apply insights to improve performance.
* Strong interpersonal, communication, and conflict\-resolution skills.
* Demonstrated ability to build and maintain community and member relationships.
* Experience working in a fast\-paced, multi\-program environment.
* Commitment to the mission, values, and standards of the YMCA.
All YMCA team members are expected to maintain a current and active status for all safety, risk, and programming certifications defined by the YMCA of Greater Charlotte.
**Preferred Qualifications**
* Bachelor’s degree in recreation, education, business, or related field preferred.
**Working Conditions**
* Work performed in offices, program spaces, and community environments.
* Frequent standing, walking, and interaction with members and participants.
* Regular use of computer systems, scheduling software, and reporting tools.
* May require lifting and moving program supplies or equipment up to 40 lbs.
* Flexible schedule required, including evenings, weekends, and holidays as needed.
* Fast\-paced environment with competing priorities and supervisory responsibilities.
**Competencies**
* DEVELOPING SELF \&amp; OTHERS: Develops self and supports others (e.g., staff, volunteers, members, program participants), both formally and informally, to achieve their highest potential
* PROGRAM/PROJECT MANAGEMENT: Ensures program or project goals are met and intended impact occurs
* FISCAL MANAGEMENT: Manages the Y’s resources responsibly and sustains the Y’s nonprofit business model
* COLLABORATION: Creates sustainable relationships within the Y and with other organizations in service to the community
To learn more about our Y\-USA Leadership Competencies, please click here:</t>
        </is>
      </c>
    </row>
    <row r="15">
      <c r="A15" t="inlineStr">
        <is>
          <t>in-0c17d73c3f113cf9</t>
        </is>
      </c>
      <c r="B15" t="inlineStr">
        <is>
          <t>Program Manager - Building Wellness</t>
        </is>
      </c>
      <c r="C15" t="inlineStr">
        <is>
          <t>HelloFresh</t>
        </is>
      </c>
      <c r="D15" t="inlineStr">
        <is>
          <t>indeed</t>
        </is>
      </c>
      <c r="E15" t="inlineStr"/>
      <c r="F15" t="inlineStr"/>
      <c r="G15" t="inlineStr">
        <is>
          <t>Aurora, IL, US</t>
        </is>
      </c>
      <c r="H15" s="2" t="n">
        <v>46041</v>
      </c>
      <c r="I15" t="inlineStr">
        <is>
          <t>***Come see what's cookin' at HelloFresh!***
At HelloFresh, we aim to revolutionize the way we eat by making it more convenient and exciting to cook meals from scratch. We have offices all around the world and deliver delicious meals to millions of people.
We are the industry leader in meal\-kit subscription services and we're growing all the time. We have distinct meal\-kit services that cater to everyone with the most menu variety in the market, which allows us to reach an incredibly wide population of people.
Our team is diverse, high\-performing, and international, and our work environment is an inspiring space where you can thrive as a result.
**Job Snapshot**
As the Building Wellness Manager, you will create and maintain the routine and emergency maintenance of fixed facility assets. Perform semi\-skilled and skilled technical, repair, preventative and predictive maintenance work to include, but not limited to: electrical, plumbing, Refrigeration, HVAC, carpentry, landscaping and other building maintenance and equipment repair work. Perform inspections, diagnose problems, and make appropriate repairs and/or coordinate repairs with outside contractors. Takes an active role in improving overall organizational performance, especially as related to addressing opportunities for improvement in the areas of facility maintenance, facility fixed equipment and facility grounds maintenance. You will take a hands\-on approach to leadership, effectively engaging, motivating, and coaching team members. Partnering with the MRE senior leadership team, you will define, develop and deliver the facilities maintenance roadmap and set the standard for operational efficiency for your fulfillment center.
***You will...***
* Oversee MRE\-related processes including monitoring and maintenance of equipment, electrical, refrigeration, PIT equipment (forklifts), building, grounds, and overall upkeep of buildings
* Motivate, engage, coach, and inspire a team of technicians and associate managers, creating a positive team dynamic that encourages all employees to provide feedback and drive change from within
* Provide project management support as assigned
* Manage outside vendors and facilitate planned and unplanned repairs
* Ensure that maintenance, safety, and environmental regulations are followed
* Maintain a current list of contractors to ensure that all emergency repairs are handled in a timely manner
* Identify problems and brainstorm improvement ideas for the fulfillment center
***You are…***
* Customer Centric: You are passionate about delivering on commitments to your customers
* Bold: you have passion and grit; you're not afraid to give feedback to your team and your manager
* Agile: you roll with the punches and don't get overwhelmed easily, you adapt quickly to change and know how to deliver results in a fast\-paced, autonomous environment
* Decisive: You realize when making a decision is as important as the time it takes to make that decision
* Problem\-solver: you understand there is not a one\-size\-fits\-all approach when problem\-solving; you think outside the box and enjoy deep diving issues to find a solution
***You have…***
* 5\+ years' experience managing facilities maintenance/operations and reliability within the Food/Beverage/Perishables/Distribution industry
* Bachelor's Degree preferred; high school diploma or GED required
* Interest in spending most of your time on the shop floor and working directly with all levels of staff
* High level of integrity and ethics with excellent follow\-through
* Excitement for working in a start\-up environment with a high level of ambiguity and change
* Effective communicator for employees, direct reports, cross\-functional teams, and senior leadership
* Well versed in OSHA/ NFPA regulations and compliance; OSHA certified a plus
* Knowledgeable in mechanical, electrical, automation and refrigeration systems
* Able to read and interpret blueprints, manuals, and schematics
* Comfortable working in cold environments with some areas of facility at 40F
* Flexibility to work weekends, holidays and/or nights
**You'll get…**
* Competitive hourly rate, 401K company match that vests immediately upon participation, \&amp; team bonus opportunities
* Generous PTO and flexible attendance policy
* Comprehensive health and wellness benefits with options at $0 monthly, effective first day of employment
* Up to 85% discount on subscriptions to HelloFresh meal plans (HelloFresh, Green Chef, Everyplate, and Factor\_)
* Access to Employee Resource Groups that are open to all employees, including those pertaining to BIPOC, women, veterans, parents, and LGBTQ\+
* Inclusive, collaborative, and dynamic work environment within a fast\-paced, mission\-driven company that is disrupting the traditional food supply chain
This job description is intended to provide a general overview of the responsibilities. However, the Company reserves the right to adjust, modify, or reassign work tasks and responsibilities as needed to meet changing business needs, operational requirements, or other factors.</t>
        </is>
      </c>
    </row>
    <row r="16">
      <c r="A16" t="inlineStr">
        <is>
          <t>in-6e26dcd5bc7d0be3</t>
        </is>
      </c>
      <c r="B16" t="inlineStr">
        <is>
          <t>Sales Configurator Product Owner (Teradyne, North Reading, MA)</t>
        </is>
      </c>
      <c r="C16" t="inlineStr">
        <is>
          <t>Teradyne</t>
        </is>
      </c>
      <c r="D16" t="inlineStr">
        <is>
          <t>indeed</t>
        </is>
      </c>
      <c r="E16" t="inlineStr"/>
      <c r="F16" t="inlineStr"/>
      <c r="G16" t="inlineStr">
        <is>
          <t>North Reading, MA, US</t>
        </is>
      </c>
      <c r="H16" s="2" t="n">
        <v>46041</v>
      </c>
      <c r="I16"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drives excellence in every connection. We are fueled by creativity and diversity of thought in our workforce. Our employees are supported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**Opportunity Overview**
 **Sales Configurator Product Owner**
In this role you will be responsible for the successful roll\-out and overall user experience for Semitest product configurator as part of the Salesforce CPQ (i.e., KPIs related to config request to availability). Collaborate with product managers, Eng, BPE/IT and NPI to obtain requirements for new products. Achieving critical release of new products in the configurator, and Product Price list update process \&amp; tools. You will manage the execution of forecast updates to support Semitest business processes with NPI, Ops, and SBM.
We are looking for a dynamic and strategic **Product Manager** to lead the development and optimization of our **product configurator experience**, leveraging platforms such as **Logik.io** and **Salesforce CPQ**. This role is pivotal in enabling scalable, accurate, and intuitive configuration workflows for complex product offerings across our sales and operations ecosystem.
You will work cross\-functionally with engineering, sales, operations, and IT to define and deliver a best\-in\-class configuration experience that supports quoting, pricing, and ordering processes while driving efficiency and customer satisfaction.
* **Own the product strategy and roadmap** for the configurator platform, aligning with business goals and user needs.
* **Define configuration logic, rules, and UI/UX requirements** in collaboration with technical teams and business stakeholders.
* **Lead platform integrations** between Logik.ai, Salesforce CPQ, ServiceNow CPQ and other enterprise systems (e.g., ERP, PLM).
* **Partner with sales and operations teams** to ensure configurator supports real\-world quoting and ordering workflows.
* **Drive platform adoption and enablement**, including training, documentation, and stakeholder engagement.
* **Monitor performance and usage metrics**, identifying opportunities for optimization and automation.
* **Ensure data accuracy and rule integrity**, especially for complex product combinations and pricing structures.
* **Stay current on platform capabilities**, best practices, and roadmap updates from Logik.io and Salesforce.
 **All About You**  
We seek individuals who share our passion and determination. Our commitment to customer success drives us to go the extra mile. If you’re ready to join us in this mission, take a closer look at the minimum criteria for the position.
* Bachelor’s degree or equivalent experience in Operations Management, Marketing Analytics, or Industrial Engineering
* 5\+ years in product management (B2B SaaS, manufacturing, or configurable products)
* Hands\-on experience with Salesforce CPQ and/or Logik.io
* Strong understanding of rule\-based configuration and CPQ workflows
* Excellent communication, stakeholder management, and analytical skills
* Experience with PLM, ERP, or other enterprise systems (preferred)
* Background in industrial, semiconductor, or high\-tech domains (preferred)
* Ability to mentor and guide cross\-functional teams
* Preference for candidates with experience translating complex product structures into intuitive configuration experiences
* Preference for candidates familiar with product lifecycle management and BOM structures
 *This position is not eligible for sponsorship.*
*This position is not eligible for international relocation.*
 **Compensation:**  
The base salary range for this role is $103,500\-165,700\. This range is a good faith estimate, and the amount of base salary will correspond with experience and skill set. This range can also fluctuate depending on demand and location.
**Incentive Plan:**  
This job is eligible for discretionary bonus(es) based on financial performance.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
\#LI\-JL2</t>
        </is>
      </c>
    </row>
    <row r="17">
      <c r="A17" t="inlineStr">
        <is>
          <t>in-7f04b89a274bf7f3</t>
        </is>
      </c>
      <c r="B17" t="inlineStr">
        <is>
          <t>AI Regulatory Program Manager</t>
        </is>
      </c>
      <c r="C17" t="inlineStr">
        <is>
          <t>GE HealthCare</t>
        </is>
      </c>
      <c r="D17" t="inlineStr">
        <is>
          <t>indeed</t>
        </is>
      </c>
      <c r="E17" t="inlineStr"/>
      <c r="F17" t="inlineStr"/>
      <c r="G17" t="inlineStr">
        <is>
          <t>Waukesha, WI, US</t>
        </is>
      </c>
      <c r="H17" s="2" t="n">
        <v>46041</v>
      </c>
      <c r="I17" t="inlineStr">
        <is>
          <t>**Job Description Summary**
===========================
The AI Regulatory Program Manager is responsible in supporting regulatory submissions for AI\-driven medical software and devices within the General Imaging and Primary Care Business. This position bridges engineering, regulatory affairs, and biostatistics, ensuring that validation studies, data analysis, and regulatory documentation meet the highest standards required by global agencies (FDA, NMPA, etc.). The ideal candidate will leverage their expertise and collaborate with GEHC regulatory affairs and Biostatisticians to design, analyze, and justify validation datasets and metrics, while streamlining regulatory processes for the product engineering team**Job Description**
===================
**Roles and Responsibilities**
------------------------------
### **Project Management \&amp; Cross\-functional Collaboration**
* Coordinate with clinical experts, data annotators, and arbitrators to ensure validation studies meet regulatory standards.
* Track regulatory landscape changes and update processes accordingly.
* Support the creation and standardization of regulatory processes and documentation for future teams.
### **Regulatory Study Design \&amp; Data Management**
* Define validation dataset requirements (size, demographics, sites) in compliance with regulatory guidance.
* Acquire, clean, and document datasets for regulatory validation, ensuring data integrity and traceability.
* Design and oversee regulatory test plans and procedures, including dry runs and iterative improvements.
* Design and develop reader study experiments in collaboration with GEHC regulatory and research teams
* Organize and index validation data and metadata for efficient analysis and reporting.
### **Statistical Analysis**
* Perform advanced statistical analyses (e.g., power calculations, Wilcoxon Ranked Sign Test, Bland\-Altman etc.) to justify dataset size and model performance.
* ### **Generate and interpret statistics from reader studies and other validation experiments.**
* Prepare statistical arguments and documentation for regulatory submissions, addressing agency feedback and deficiency letters.
**Regulatory Documentation \&amp; Submission**
* Write and review regulatory reports (e.g., FDA 510k, NMPA) with a focus on statistical rigor and clarity.
* Collaborate with engineering and regulatory affairs to ensure alignment with the latest regulatory requirements and best practices.
* Respond to regulatory agency feedback, providing statistical and technical justifications as needed.
**Required Qualifications**
* Advanced degree (MS/PhD) in Statistics, Biomedical Engineering, or related field.
* Experience in regulatory submissions for medical devices or software (FDA, NMPA, or similar).
* Strong proficiency in statistical analysis, experimental design, and data management.
* Familiarity with AI/ML model validation and performance metrics.
* Excellent written and verbal communication skills, especially in technical and regulatory documentation.
* Ability to manage multiple projects and context\-switch efficiently in a fast\-paced environment.
* Experience working with cross\-functional teams (engineering, clinical, regulatory).
**Desired Characteristics**
* Experience with regulatory test planning and reader studies.
* Knowledge of medical imaging data formats and annotation tools (e.g., V7\).
* Project management experience in a regulated environment.
* Familiarity with regulatory feedback cycles and deficiency response processes.
**Why Join Us?**
* Be at the forefront of AI\-driven healthcare innovation.
* Collaborate with a multidisciplinary team passionate about improving patient outcomes.
* Shape the future of regulatory processes for cutting\-edge medical technologies.
* Note:
 **To comply with US immigration and other legal requirements, it is necessary to specify the minimum number of years' experience required for any role based within the USA.** **For roles outside of the USA, to ensure compliance with applicable legislation, the JDs should focus on the substantive level of experience required for the role and a minimum number of years should NOT be used.**
We will not sponsor individuals for employment visas, now or in the future, for this job opening.
**Additional Information**
==========================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18">
      <c r="A18" t="inlineStr">
        <is>
          <t>in-7ab1fc6d3a346c34</t>
        </is>
      </c>
      <c r="B18" t="inlineStr">
        <is>
          <t>Sr. Product Manager (HW/AI)</t>
        </is>
      </c>
      <c r="C18" t="inlineStr">
        <is>
          <t>BusPatrol</t>
        </is>
      </c>
      <c r="D18" t="inlineStr">
        <is>
          <t>indeed</t>
        </is>
      </c>
      <c r="E18" t="inlineStr"/>
      <c r="F18" t="inlineStr"/>
      <c r="G18" t="inlineStr">
        <is>
          <t>Austin, TX, US</t>
        </is>
      </c>
      <c r="H18" s="2" t="n">
        <v>46041</v>
      </c>
      <c r="I18" t="inlineStr">
        <is>
          <t>At BusPatrol, we’re on a mission to make school transportation safer for children and communities. As a leader in AI\-powered safety solutions, we bring cutting\-edge technology—AI, machine learning, and IoT—to school buses across North America. We’re the most trusted stop\-arm safety program globally, delivering transparency and safety at scale. In short, this is purpose driven work that measurably changes behavior in the communities we serve.
 **The Opportunity:**  
If you’re a product leader who thrives at the intersection of AI, edge computing, and mobile connectivity, this is your opportunity to shape the future of automated safety technology.
We are seeking an experienced Senior Product Manager to lead our AI and Hardware Product Teams, a new strategic role unifying AI model development and hardware enablement into a single value engine.
Reporting to the VP of Product and Strategy, you’ll define the roadmap for BusPatrol’s next\-generation AI\-at\-the\-edge platform where hardware, AI, and automation work seamlessly to deliver measurable business outcomes.
* Align AI and Hardware roadmaps under a single strategic vision.
* Focus on the optimal AI opportunities and priorities and when not to use AI.
* Continuously improve models to deliver faster, more efficient, and more cost\-effective safety outcomes.
* Lead the industry with an AI\-at\-the\-edge platform where hardware, AI, and automation work seamlessly
* Drive speed to market
 **Key Outcomes:**
This role is critical to transforming the AI in\-the\-cloud product by extending to our AI at\-the\-edge for our internal and external stakeholders (target users). High\-level goals for this new capability include:
* Deliver a unified AI \+ Hardware roadmap (in Jira) tied to business value and performance KPIs.
* Launch BusPatrol’s new AI Edge model and hardware pilot in April 2026\.
* Partner with the teams to optimize AVA at the edge to reduce our data transmission costs and latency.
* Improve model performance through rapid training, iteration, feedback loops, and data lifecycle excellence.
* Build alignment between Edge HW, Firmware, AI, and Cloud teams to accelerate time\-to\-market.
* Prepare us to be ready for new use cases and verticals.
 **Own the AI and Hardware Domain Space**
* Own the vision, strategy, and roadmap that unites AI and hardware innovation
* Partner to define measurable success criteria for AI models and edge deployment performance
* Prioritize AI investments and model improvement cycles tied to business outcomes
* Collaborate with firmware, IoT, and platform engineering teams to optimize model performance at the edge
* Align OTA update cycles, connectivity decisions, and manufacturing timelines with the AI roadmap
* Balance cost, compute, and performance tradeoffs for on\-device inference
 **Foster Cross\-Functional Collaboration**
* Act as the connective tissue between AI SMEs, firmware engineers, data teams, and business stakeholders
* Partner closely with Product, Research, Engineering, Legal, and Operations to drive alignment, foster shared understanding, and ensure the delivery of high\-quality, timely outcomes
* Translate complex AI concepts into clear, business\-aligned narratives for executives
 **Drive AI Product Excellence**
* Build and operationalize an AI product framework that links model metrics (precision, recall, latency) to user and business impact
* Establish repeatable processes for AI lifecycle management, data quality, retraining, and edge deployment
* Foster experimentation with rigor—combining speed, governance, and validation
 **Champion Governance and Safety**
* Ensure AI models meet privacy, auditability, and regulatory standards (e.g., COPPA, GDPR, evidentiary integrity)
* Partner with legal and compliance teams to embed AI governance into the product lifecycle
* Drive transparency and explainability in AI systems
* Maximize model training while also adhering to increasing data privacy and retention requirements
**What You Bring:**
* 7\+ years of experience in product management, with expertise in software, AI, and hardware domains.
* Experience in automated traffic enforcement, AI, cameras, and fleet safety technology.
* A bias for action, the experience to lead from the front, and the wisdom to empower others while leading from the back.
* Proven ability to lead cross\-functional strategic initiatives with senior executives.
* Proven success leading AI/ML\-enabled products, from ideation through deployment
* Working fluency in model development concepts (training, validation, metrics, drift management)
* Understanding of edge computing, firmware dependencies, and OTA update cycles
* Ability to communicate complex AI tradeoffs clearly to executives and engineers alike
* A track record of building new capabilities, teams, or frameworks from the ground up.
* Strong data science and analytical skills with experience in sizing, Fermi style estimation, impact analysis, metrics, experiments, and measurement.
* Comfortable with ambiguity, developing clear and concise priorities and roadmaps.
Compensation Range: $175K \- $200K</t>
        </is>
      </c>
    </row>
    <row r="19">
      <c r="A19" t="inlineStr">
        <is>
          <t>in-63b9654125f8351a</t>
        </is>
      </c>
      <c r="B19" t="inlineStr">
        <is>
          <t>Associate Program Manager</t>
        </is>
      </c>
      <c r="C19" t="inlineStr">
        <is>
          <t>Dhara Consulting Group</t>
        </is>
      </c>
      <c r="D19" t="inlineStr">
        <is>
          <t>indeed</t>
        </is>
      </c>
      <c r="E19" t="inlineStr"/>
      <c r="F19" t="inlineStr"/>
      <c r="G19" t="inlineStr">
        <is>
          <t>Cambridge, MA, US</t>
        </is>
      </c>
      <c r="H19" s="2" t="n">
        <v>46041</v>
      </c>
      <c r="I19" t="inlineStr">
        <is>
          <t>Posted today
Public Trust
$82,300 \- $220,000
Unspecified
Management
Cambridge, MA (On\-Site/Office)**Overview:**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
**Job Description Summary:**  
Supports Program Manager(s) and/or Director(s) in the completion of administrative and managerial assignments contributing to the execution of projects/programs of various size and complexity. This individual will administer and care for high dollar Firm Fixed/Cost Type subcontracts/purchase order with multiple vendors, develop tactical and strategic aspects of supplier relationships, and monitor and drive execution across the supply base which will include leading and engaging cross functional engineering teams for issue resolution, quality improvements and production efficiency gains in support of U.S. Government subcontracts.  
**Job Description:**  
**Duties and Responsibilities:**  
* Assists in the development and maintenance of project/program documentation to include project/program plans, Integrated Master Schedule, opportunity/risk/issue tracking, purchase requisitions, action item tracking, lessons learned, etc. Monitors project/program budget.
* Works under the supervision of the Product Line Director or Program Director or assigned Program Manager.
* Serves as alternate customer contact for program information.
* Supports Program Manager(s) and/or Director(s) in business development within current customer base and/or for new customers.
* Facilitate program reporting using prescribed business tools.
* Regularly interacts with project/program team members.
* Effectively conveys work results to the project/program team and supervisors in oral and written form; clearly communicates with management and peers on routine matters.
* Initiates Lifecycle Management (LCM) planning for project/program.
**Skills and Abilities:**  
* Awareness of basic project/program management tools, processes and techniques to assist with project/program activities to meet the successful execution of assigned project/program.
* Ability to organize programmatic information for effective planning, execution, project/program monitoring and control, and decision\-making.
* Experience with integrating team member inputs into reports and presentations for, and as directed, by the program manager.
* Strong written and oral communication skills.
* Proficient with MS office applications
**Education:**  
* Bachelor's degree (major in engineering, computer science, business, or related technical field preferred)
**Experience:**  
* 2 years' professional experience in project/program management in commercial or defense industry required
**Additional Job Description:**  
Applicants selected for this position will be required to obtain and maintain a government security clearance. Secret Clearance is required.  
Connect With Draper for Future Opportunities! If you don't find the right posting in our Career Opportunities, you may submit your resume for future consideration.  
**Job Location \- City:**  
Cambridge  
**Job Location \- State:**  
Massachusetts  
**Job Location \- Postal Code:**  
02139\-3563  
The US base salary range for this full\-time position is
$82,300\.00 \- $220,000\.00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 Your recruiter can share more about the specific salary range for your preferred location during the hiring process. 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 .**GROUP ID:** RTX17014b**R****Recruiter**
**APPLY NOW**</t>
        </is>
      </c>
    </row>
    <row r="20">
      <c r="A20" t="inlineStr">
        <is>
          <t>in-47497df01d682408</t>
        </is>
      </c>
      <c r="B20" t="inlineStr">
        <is>
          <t>Program Manager</t>
        </is>
      </c>
      <c r="C20" t="inlineStr">
        <is>
          <t>Integral Care</t>
        </is>
      </c>
      <c r="D20" t="inlineStr">
        <is>
          <t>indeed</t>
        </is>
      </c>
      <c r="E20" t="inlineStr"/>
      <c r="F20" t="inlineStr"/>
      <c r="G20" t="inlineStr">
        <is>
          <t>Austin, TX, US</t>
        </is>
      </c>
      <c r="H20" s="2" t="n">
        <v>46041</v>
      </c>
      <c r="I20" t="inlineStr">
        <is>
          <t>**Job Number:** 26\-12615
**Job Summary:**
This position is located within Housing and Homeless Services at the Permanent Supported Housing single\-site facility, Seabrook Square. This program works to fill service gaps for adult residents with existing chronic homelessness with disabling condition(s). Individuals served present with high vulnerability and complex needs. Preferred for this position will be a clinical license, experience in Supported Housing, and a working knowledge of best practices, including Housing First and Harm Reduction.
Regular, predictable attendance is considered to be an essential requirement for this position. Other duties may be assigned. May require a flexible work schedule.  
Integral Care employees are to strive to maintain a trauma sensitive workplace, to embrace trauma sensitive and informed practices, and to foster a supportive and welcoming environment of care.
**Education:**
Required:
* Graduated from an accredited college or university with a Bachelor's degree with a major specialization in Human/Behavioral/Social Services or related field. Master's degree preferred.
**License:**
* Current and valid driver's license and a clean driving record.
* LPC, LCSW, or LMFT preferred.
**Hours:** Full\-Time.
**Workdays:** Monday \- Friday.
**Workhours:** 8:00 AM \- 5:00 PM, on call rotation
**Salary*****:*** $82,700\.80 \- $105,435\.20 annually.
**Why join us:** Integral Care has proudly served Travis County residents for the past 50 years. As the largest provider of behavioral health services in Travis County, we are dedicated to improving the lives of adults and children living with mental illness, substance use disorder and intellectual and developmental disabilities.
By joining our team, you will find rewarding work every day alongside people who have as much compassion as you. Join us, and together we can help improve the quality of life for the people we serve. Imagine your career at Integral Care!
**Employee Benefits:**
* Medical, Dental, and Vision insurance
* Generous vacation/holiday/sick leave
* Life and Short\-term/Long\-term Disability Insurance
* Employee Assistance Program (EAP)
* 403(b) retirement account
* Gold's Gym membership discount
* Mileage reimbursement
All qualified applicants will receive consideration for employment without regard to race, creed, color, religion, national origin, sexual orientation, gender identity, disability, veteran status, sex or age.
For specific positions, additional compensation may be offered to candidates who are bilingual in English and another language deemed necessary for the role.</t>
        </is>
      </c>
    </row>
    <row r="21">
      <c r="A21" t="inlineStr">
        <is>
          <t>in-7d5be6d2d13ecb3c</t>
        </is>
      </c>
      <c r="B21" t="inlineStr">
        <is>
          <t>Program Manager</t>
        </is>
      </c>
      <c r="C21" t="inlineStr">
        <is>
          <t>Core4ce.com</t>
        </is>
      </c>
      <c r="D21" t="inlineStr">
        <is>
          <t>indeed</t>
        </is>
      </c>
      <c r="E21" t="inlineStr"/>
      <c r="F21" t="inlineStr"/>
      <c r="G21" t="inlineStr">
        <is>
          <t>Washington, DC, US</t>
        </is>
      </c>
      <c r="H21" s="2" t="n">
        <v>46041</v>
      </c>
      <c r="I21" t="inlineStr">
        <is>
          <t>Program Management
Washington
 •
ID: 1098\-383
 •
Full\-Time/Regular  
Core4ce is adding a Program Manager to the team.
**Responsibilites:**
* Manage and maintain existing and new courses.
* Manage all logistics of course in person and Virtual.
* Create and Maintain databases for tracking attendees, post course evaluations and provides statistical data to Training Manager.
* Provide support to course instructors throughout the course training process.
* Collaborate with Instructional Designers, IT Specialist and Training Facilitator to ensure tasks are on track and completed.
* Provide logistical support all other training needs to include but not limited to Security Cooperation Workforce Development Program updating and reporting metrics.
* Assist SYSCOM Security Cooperation Office Training Manager with ad\-hoc tasks related to training.
* This position is designed to be flexible, with responsibilities evolving to meet business needs and enable individual growth.
**Required Experience:**
* Bachelor’s Degree in Education.
* Shall have a minimum of 12 years of specialized experience in curriculum design, however, bachelor’s degree from an accredited university will be considered equivalent to four (4\) years of specialized experience.
* NAVSEA Security Cooperation and FMS experience is desired.
**Why Work for Us?**
Core4ce is a team of innovators, self\-starters, and critical thinkers—driven by a shared mission to strengthen national security and advance warfighting outcomes.
We offer:
* 401(k) with 100% company match on the first 6% deferred, with immediate vesting
* Comprehensive medical, dental, and vision coverage—employee portion paid 100% by Core4ce
* Unlimited access to training and certifications, with no pre\-set cap on eligible professional development
* Tuition assistance for job\-related degrees and courses
* Paid parental leave, PTO that grows with tenure, and generous holiday schedules
* Got a big idea? At Core4ce, *The Forge* gives every employee the chance to propose bold innovations and help bring them to life with internal backing.
Join us to build a career that matters—supported by a company that invests in you.
*All qualified applicants will receive consideration for employment without regard to race, color, religion, sex (including pregnancy), national origin, disability, veteran status, age, genetic information, or other legally protected status.*</t>
        </is>
      </c>
    </row>
    <row r="22">
      <c r="A22" t="inlineStr">
        <is>
          <t>in-1df0013cf600be7d</t>
        </is>
      </c>
      <c r="B22" t="inlineStr">
        <is>
          <t>Stroke Program Manager</t>
        </is>
      </c>
      <c r="C22" t="inlineStr">
        <is>
          <t>HCA Healthcare</t>
        </is>
      </c>
      <c r="D22" t="inlineStr">
        <is>
          <t>indeed</t>
        </is>
      </c>
      <c r="E22" t="inlineStr"/>
      <c r="F22" t="inlineStr"/>
      <c r="G22" t="inlineStr">
        <is>
          <t>Nashville, TN, US</t>
        </is>
      </c>
      <c r="H22" s="2" t="n">
        <v>46041</v>
      </c>
      <c r="I22" t="inlineStr">
        <is>
          <t>##### **Introduction**
Do you want to join an organization that invests in you as an Neuroscience Manager? At HCA Healthcare, you come first. HCA Healthcare has committed up to $300 million in programs to support our incredible team members over the course of three years.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Neuroscience Manager like you to be a part of our team.
##### **Job Summary and Qualifications**
The Manager, Neuroscience Services, provides support and leadership in establishing clinical goals and priorities, management of enterprise\-wide neuroscience clinical improvement initiatives, and deployment of services and technologies to enhance clinical operations. Assists in the development of strategies, implementation of tactics and creation of tools to advance the neuroscience clinical agenda. Assures alignment of evidence based clinical improvement, compliance, and growth strategies.
Will be considered the subject matter expert for stroke clinical workflow, national registries (e.g. AHA Get\-with\-the\-Guidelines), and certification/accreditation.
**Major Responsibilities:**
* Provides support to the neuroscience service line by developing clinical improvement tactics that align and support growth initiatives.
* Identify, investigate, evaluate and become proficient in new neuroscience technologies and technical disciplines that are of significance to HCA Healthcare and will support the mission and vision.
* Proactively identifies evidence\-based practices and processes for stoke care by leveraging best available evidence and research to define standards of care.
* Monitors stroke clinical performance with the ability to compare and analyze against national benchmarks.
* Coordinates virtual and onsite clinical improvement engagements.
* Creates tools and resources for facility and division leadership to further support safe and effective care delivery.
* Evaluates new neuroscience programs and level of care changes for assessment of readiness gaps and serves as a consultant for action planning (e.g. advancement to comprehensive stroke center)
* Supports strategic goals, establishes work priorities, and reports milestones to CSG leadership.
* Provides project planning, coordination assistance, and performs other duties as assigned.
* Provides project planning, coordination assistance, and performs other duties as assigned.
**Education \&amp; Experience:**
* Bachelor’s degree required
* 3\+ years in clinical neuroscience care including clinical application knowledge and implementation experience and experience leading multidisciplinary quality improvement teams. Experience in a comprehensive stroke center highly preferred.
* 5\+ years in clinical neuroscience/stroke care including: 2\+ years management and leadership experience, critical care or emergency department experience preferred, experience leading multidisciplinary quality improvement teams, strong communication and presentation skills, ability to work independently.
* Previous experience with stroke clinical performance improvement and change management processes. Understanding of facility\-based stroke manager/coordinator role and responsibilities.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"Good people beget good people."\- Dr. Thomas Frist, Sr.  
HCA Healthcare Co\-Founder
We are a family 270,000 dedicated professionals! Our Talent Acquisition team is reviewing applications for our Neuroscience Manager opening. Qualified candidates will be contacted for interviews. **Submit your resume today to join our community of caring!**
*We are an equal opportunity employer. We do not discriminate on the basis of race, religion, color, national origin, gender, sexual orientation, age, marital status, veteran status, or disability status.*</t>
        </is>
      </c>
    </row>
    <row r="23">
      <c r="A23" t="inlineStr">
        <is>
          <t>in-7a09c5401731dd03</t>
        </is>
      </c>
      <c r="B23" t="inlineStr">
        <is>
          <t>Wound Program Manager</t>
        </is>
      </c>
      <c r="C23" t="inlineStr">
        <is>
          <t>HCA HealthONE Mountain Ridge</t>
        </is>
      </c>
      <c r="D23" t="inlineStr">
        <is>
          <t>indeed</t>
        </is>
      </c>
      <c r="E23" t="inlineStr"/>
      <c r="F23" t="inlineStr"/>
      <c r="G23" t="inlineStr">
        <is>
          <t>Thornton, CO, US</t>
        </is>
      </c>
      <c r="H23" s="2" t="n">
        <v>46041</v>
      </c>
      <c r="I23" t="inlineStr">
        <is>
          <t>Salary Estimate: $87027\.20 \- $130499\.20 / year  
Learn more about the benefits offered for this job.  
The estimate displayed represents the typical salary range of candidates hired. Factors that may be used to determine your actual salary may include your specific skills, how many years of experience you have and comparison to other employees already in this role. The typical candidate is hired below midpoint of the range.
##### **Introduction**
Managers thrive with us! HCA Healthcare is one of the nation’s leading providers of healthcare services, comprising of over 180 hospitals and about 2,000 sites of care in 21 states and the United Kingdom. We are looking for a(an) Wound Program Manager for our HCA HealthONE Mountain Ridge team where excellence creates excellence.
##### **Benefits**
HCA HealthONE Mountain Ridge,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HCA Healthcare has expanded our influence across the healthcare industry by investing $3\.5 billion in capital improvements in recent years. Do you want to be an influencer in healthcare? **Apply for our Wound Program Manager role today!**
##### **Job Summary and Qualifications**
* Position Summary: This position supports the mission of North Suburban Medical Center. The Wound Care and Hyperbaric Program Manager is responsible for the day to day operations of inpatient and outpatient wound care/HBO as assigned by the Department Director. The program manager is involved in regulatory oversight of documentation, coding and billing, quality control and improvement, safety program oversight, and staff competency and training. It is the responsibility of the program manager to help promote good staff working relationships with physicians and to promote a positive clinic environment by being available to staff and customers. The program manager demonstrates an understanding of the budget process and staffing plan, implementing cost\-effective strategies in staffing and supply management. This role additionally supports direct patient care when necessary, including registration, patient throughput, and hyperbaric supervision.
* Position Requirements:
* Licensure/Certification/Registration: Current licensure in the State of Colorado as a Registered Nurse (or current active multistate Registered Nurse license), or current active Physical Therapist license, or licensure/certification in Hyperbaric Medical Technology. AHA or ARC BLS certification.
* Education: Degree in nursing or medical technology (HBO). Master’s in Public Health or related field preferred.
* Experience: Three years of experience in wound care or HBO, and a minimum of one year previous supervisory experience preferred.
* Knowledge/Skills/Abilities: Provide courteous, positive and professional image. Demonstrates superior interpersonal skills. Ability to work with staff in wound care and with other departments, ability to problem solve and handle multiple priorities. Knowledge of general clinical theory and practice including, but not limited to, asepsis and sterile technique, principles of body mechanics, and medication administration. Knowledge of learning principles for all ages and the ability to teach and develop an effective patient education program. Completes position responsibilities by following established guidelines and protocols with the appropriate time frames. Demonstrates good skills in all forms of communication. Works well with others in a spirit of cooperation. Maintains education and development appropriate for the position. Adheres to established hospital and departmental guidelines and protocols. Supports hospital mission, vision and values. Performs position\-specific job functions at an acceptable level.
HCA HealthONE, one of the largest and most comprehensive healthcare systems in the Rocky Mountain region, offers more than 170 care sites in the Denver\-metro area. Offering services across the continuum of care to meet patients’ total healthcare needs, HCA HealthONE includes seven acute care hospitals, a dedicated flagship pediatric hospital, a rehabilitation hospital, CareNow® urgent care clinics, mental health campuses, imaging and surgery centers, physician practices, home and hospice care, and AirLife Denver, which provides regional critical care air and ground transportation. Among HCA HealthONE’s acute care hospitals is Mountain Ridge (formerly North Suburban Medical Center), a 157\-bed, Level II state\-designated trauma facility. Mountain Ridge strives to meet and exceed the needs of the north metro Denver communities by also providing two freestanding, full\-service emergency rooms and an outpatient surgery center. Consistently among the Denver Business Journals’ list of top corporate philanthropists in the Denver\-metro area, HCA HealthONE was named as one of the most community\-minded organizations by The Civic 50 and contributed more than $1 million through cash and in\-kind donations last year alone, along with more than $400M in federal, state and local taxes.
HCA Healthcare has been recognized as one of the World’s Most Ethical Companies® by the Ethisphere Institute more than ten times. In recent years, HCA Healthcare spent an estimated $3\.7 billion in costs for the delivery of charitable care, uninsured discounts, and other uncompensated expenses.  
"Bricks and mortar do not make a hospital. People do."\- Dr. Thomas Frist, Sr.  
HCA Healthcare Co\-Founder
If you're looking for a leadership opportunity that provides both personal satisfaction and professional growth, apply to join HCA Healthcare as a(an) Wound Program Manager.**Unlock your leadership potential with HCA Healthcare.**
*We are an equal opportunity employer. We do not discriminate on the basis of race, religion, color, national origin, gender, sexual orientation, age, marital status, veteran status, or disability status.*</t>
        </is>
      </c>
    </row>
    <row r="24">
      <c r="A24" t="inlineStr">
        <is>
          <t>in-ac3a1b16d268b7ee</t>
        </is>
      </c>
      <c r="B24" t="inlineStr">
        <is>
          <t>Neonatal Program Manager NICU</t>
        </is>
      </c>
      <c r="C24" t="inlineStr">
        <is>
          <t>Las Palmas Del Sol Healthcare</t>
        </is>
      </c>
      <c r="D24" t="inlineStr">
        <is>
          <t>indeed</t>
        </is>
      </c>
      <c r="E24" t="inlineStr"/>
      <c r="F24" t="inlineStr"/>
      <c r="G24" t="inlineStr">
        <is>
          <t>El Paso, TX, US</t>
        </is>
      </c>
      <c r="H24" s="2" t="n">
        <v>46041</v>
      </c>
      <c r="I24" t="inlineStr">
        <is>
          <t>##### **Introduction**
Managers thrive with us! HCA Healthcare is one of the nation’s leading providers of healthcare services, comprising of over 180 hospitals and about 2,000 sites of care in 21 states and the United Kingdom. We are looking for a(an) Neonatal Program Manager RN for our Las Palmas Medical Center team where excellence creates excellence.
##### **Benefits**
Las Palmas Medical Center,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HCA Healthcare has expanded our influence across the healthcare industry by investing $3\.5 billion in capital improvements in recent years. Do you want to be an influencer in healthcare? **Apply for our Neonatal Program Manager RN role today!**
##### **Job Summary and Qualifications**
Neonatal Program Manager’s responsibilities include Performance Improvement activities, chart review, gap identification, change implementation, daily patient rounds, policy and protocol review, and nursing education. In addition, ability to abstract information from identified high risk patient medical records as needed. This position is responsible for maintaining the integrity and confidentiality of the registry, verification and updating of information compiled and preparing reports as requested. In addition, the program manager will serve as the primary key contact for the facilities Neonatal Level III program. The roles and responsibilities will be primarily in a managerial, administrative role with clinical responsibilities based on the needs of the unit and may be adjusted from time to time to accommodate the changing needs of the unit
* You will demonstrate understanding of national patient safety initiatives by strict compliance to all safety protocols and procedures as required by both HCA and Las Palmas Medical Center.
* You will develop and oversee the curriculum for critical care training for Neonatal nurses including initial entrance into the program as well as maintenance of skills.
* You will provide classes/skills labs to NICU nurses regarding physiology of high\-risk and VLBW newborns and management of certain conditions that require high level of care.
* You will collaborate with Maternal Program Manager(MPM) in preparing and conducting annual team\-based simulation and/or learning scenarios for all physicians and nurses, including disaster preparation and evacuation drill.
* You will collaborate with MPM/Perinatal Quality Coordinator in regards to NICU patients with very high\-risk conditions requiring multidisciplinary care at time of delivery and during NICU stay. This includes but is not limited to selecting nurses for care of these patients and assessing any knowledge or preparatory needs, coordinating pre and post huddles, coordinating debriefing if indicated, and follow\-up education regarding any critical care occurrences.
* You will provide quarterly assessment of designation requirements assuring that we continue to meet the standards necessary for Level III. This includes but is not limited to nursing education, staffing assessments (both nursing and ancillary staff), appropriate use of policies and protocols and related documentation.
* You will co\-lead QAPI for our NICU program as well as providing education and support of same for outlying facilities as required by neonatal designation. This includes but is not limited to meetings and/or assessments of quality metrics, identification of systems and/or educational gaps, participation in SEA discussions, review of transports and processes, web based and on\-site sessions with outlying facilities.
* You will maintain Neonatal Designation Level III following Texas Department of Health (TDH) code for compliance, as well as documentation of all designation requirements and prepare all documentation necessary for any interim assessments or re\-certifications as required by the State of Texas.
* You will attend Pediatric Section and OB Section meetings along with the Neonatal Medical Director.
**What qualifications you will need:**
* Basic Cardiac Life Support must be obtained within 30 days of employment start date
* Neonate Resuscitate must be obtained within 30 days of employment start date
* (RN) Registered Nurse
* Currently licensed as a registered professional nurse in the state(s) of practice and/or has an active compact license, in accordance with law and regulation. FT/PT/PRN colleagues with a compact license from a state other than Texas must: apply for Texas RN license within 60 days from hire / obtain current TX RN license within 6 months of application for TX RN license
* BSN preferred
* 3\+ years of NICU experience
**Las Palmas Medical Center** is a **300\+ bed** full\-service hospital in El Paso. It is home to **the region’s only** **kidney transplant center**. The facility offers a range of services including emergency care with a **Level III trauma center**, cardiac care, women’s services, pediatric care and NICU, cancer care, and more. Las Palmas Medical Center is part of Las Palmas Del Sol Healthcare. We are a leading healthcare provider for El Paso and the surrounding region that is part of HCA Healthcare.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you're looking for a leadership opportunity that provides both personal satisfaction and professional growth, apply to join HCA Healthcare as a(an) Neonatal Program Manager RN. **Unlock your leadership potential with HCA Healthcare.**
*We are an equal opportunity employer. We do not discriminate on the basis of race, religion, color, national origin, gender, sexual orientation, age, marital status, veteran status, or disability status.*</t>
        </is>
      </c>
    </row>
    <row r="25">
      <c r="A25" t="inlineStr">
        <is>
          <t>in-5fbe3458988a83fe</t>
        </is>
      </c>
      <c r="B25" t="inlineStr">
        <is>
          <t>Senior Program Manager – ERP</t>
        </is>
      </c>
      <c r="C25" t="inlineStr">
        <is>
          <t>Transmedics</t>
        </is>
      </c>
      <c r="D25" t="inlineStr">
        <is>
          <t>indeed</t>
        </is>
      </c>
      <c r="E25" t="inlineStr"/>
      <c r="F25" t="inlineStr"/>
      <c r="G25" t="inlineStr">
        <is>
          <t>Andover, MA, US</t>
        </is>
      </c>
      <c r="H25" s="2" t="n">
        <v>46041</v>
      </c>
      <c r="I25" t="inlineStr">
        <is>
          <t>**Job Description:**
**POSITION SUMMARY**
TransMedics is embarking on a transformative ERP journey to replace its legacy QAD system with a modern, scalable solution. We are seeking a seasoned ERP Senior Program Manager with a strong finance and supply chain background and deep experience in medical device and regulatory environments to lead this multi\-year, multi\-million\-dollar initiative. This role will serve as the lead for the ERP program (Oracle Fusion preferred, SAP acceptable) and will also take on responsibilities across portfolio management, program execution, and change leadership. The ideal candidate will be able to operate across strategic and tactical levels, driving alignment, execution, and adoption across the organization.
**RESPONSIBILITIES**
This position is responsible for, but not limited to, the following:
* Lead the ERP transformation program, ensuring alignment with business goals and timelines.
* Manage multiple concurrent projects, including inflight initiatives and future\-state program tracks, tracking cross\-dependencies and resource overlap.
* Oversee vendor and contract management, ensuring deliverables are met and budgets maintained.
* Maintain continuity of operations (“keep the lights on”) while driving transformation.
* Provide hands\-on program management including planning, risk mitigation, and stakeholder communication.
* Hold System Integrator and other vendors accountable for delivery, quality, and scope.
* Build and maintain dashboards and governance frameworks using SharePoint and Smartsheet.
* Establish foundational processes for portfolio tracking and executive visibility. Tie delivery of program to realized value leveraging relevant metrics and KPIs.
* Align cross\-functional teams across IT, manufacturing, and business units.
* Drive change leadership and communication across BUs to support digital transformation.
* Assist adoption across business units transitioning from paper\-based to digital workflows.
* Facilitate communication, training, and workshops to enable day\-to\-day operations.
* Build executive awareness and foster cross\-functional alignment.
* Lead and inspire a cross\-functional System Integration resources. promoting a culture of accountability, innovation, and excellence.
* Foster strong collaboration across IT, finance, operations, and digital functions.
* Model TransMedics’ core values: integrity, discipline, transparency, and teamwork.
* Perform other TransMedics tasks and duties as assigned/required.
**MANAGEMENT RESPONSIBILITIES:**
* This position will not have management responsibilities.
**PHYSICAL ATTRIBUTES**
* Standard office environment
**MINIMUM QUALIFICATIONS**
* Bachelor’s degree in information systems, Business, or related field
* 10–15\+ years of experience in program/project management, with a focus on Finance, Supply Chain, and ERP implementations.
* Proven track record managing large\-scale ERP programs (Oracle Fusion preferred, SAP acceptable).
* Experience managing multi\-year, multi\-million\-dollar programs.
* Demonstrated ability to lead cross\-functional teams and manage external vendors/consultants.
* Excellent communication and stakeholder management skills.
* Ability to translate technical concepts into business language.
* Understanding of change management principles and ability to drive adoption.
* Must have experience in medical device and regulated environments.
**PREFERRED QUALIFICATIONS**
* PMP or Agile certification
* Familiarity with compliance and audit requirements in regulated environments
* Experience with constant adoption of new business processes and technology to support business scale, change, and growth
***Every Organ Wasted is a Life Not Saved.***
TransMedics, Inc. is a commercial\-stage medical technology company transforming organ transplant therapy for patients worldwide. Our mission is to help save more patients’ lives by increasing access to viable donor organs for those who are awaiting an organ transplant. To accomplish this mission, we partner closely with transplant stakeholders worldwide and help expand their access to healthy donor organs, while delivering the highest quality technology, service, clinical care and outcomes.
Driven by a passion for improving patient care, we make the impossible possible and keep our employees at the center of everything we do. Together, we strive to enhance the quality of life for transplant recipients and their families, fostering hope and healing in the journey toward better health.
**Maximize your potential at TransMedics, Inc.**
www.TransMedics.com
TransMedics is committed to equitable and transparent compensation. The expected base salary range for this role is $155,300\.00*\-*$193,700\.00, which represents the company’s current good\-faith estimate of compensation for this position. Actual salary will depend on factors such as, but not limited to, candidate experience, qualifications, skills, and the specific work location. This role may also be eligible for bonuses, equity, and a comprehensive benefits package (medical, dental, vision, retirement savings, paid time off, and wellness resources). We comply with all U.S. pay transparency laws and do not request or consider salary history.
**Employee Benefit:**
Medical with Health Reimbursement Account through Blue Cross/Blue Shield of MA
Dental
Vision
Healthcare Flexible Spending Account
Dependent Care Flexible Spending Account
Short Term Disability
Long Term Disability
401K Plan
Pet insurance
Employee Stock Purchase Plan
TransMedics is an equal opportunity employer and does not discriminate on the basis of race, color, religion, sex, national origin, marital status, age, disability or protected veteran status, or any other characteristic protected by law. We are committed to creating an inclusive environment for all employees.</t>
        </is>
      </c>
    </row>
    <row r="26">
      <c r="A26" t="inlineStr">
        <is>
          <t>in-bb9168497709a84f</t>
        </is>
      </c>
      <c r="B26" t="inlineStr">
        <is>
          <t>Neonatal Designation Program Manager RN</t>
        </is>
      </c>
      <c r="C26" t="inlineStr">
        <is>
          <t>St. David's HealthCare</t>
        </is>
      </c>
      <c r="D26" t="inlineStr">
        <is>
          <t>indeed</t>
        </is>
      </c>
      <c r="E26" t="inlineStr"/>
      <c r="F26" t="inlineStr"/>
      <c r="G26" t="inlineStr">
        <is>
          <t>Austin, TX, US</t>
        </is>
      </c>
      <c r="H26" s="2" t="n">
        <v>46041</v>
      </c>
      <c r="I26" t="inlineStr">
        <is>
          <t>##### **Introduction**
Managers thrive with us! HCA Healthcare is one of the nation’s leading providers of healthcare services, comprising of over 180 hospitals and about 2,000 sites of care in 21 states and the United Kingdom. We are looking for a(an) Neonatal Designation Manager for our St. David's North Austin Medical Center team where excellence creates excellence.
##### **Benefits**
St. David's North Austin Medical Center,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HCA Healthcare has expanded our influence across the healthcare industry by investing $3\.5 billion in capital improvements in recent years. Do you want to be an influencer in healthcare? **Apply for our Neonatal Designation Manager role today!**
##### **Job Summary and Qualifications**
Neonatal Program Manager’s responsibilities include Performance Improvement activities, chart review, gap identification, change implementation, daily patient rounds, policy and protocol review, and nursing education. In addition, ability to abstract information from identified high risk patient medical records as needed. This position is responsible for maintaining the integrity and confidentiality of the registry, verification and updating of information compiled and preparing reports as requested. In addition, the program manager will serve as the primary key contact for the facilities Neonatal Level III program. The roles and responsibilities will be primarily in a managerial, administrative role with clinical responsibilities based on the needs of the unit and may be adjusted from time to time to accommodate the changing needs of the unit
* You must be able to demonstrate understanding of national patient safety initiatives by strict compliance to all safety protocols and procedures as required by both HCA and St. David's North Austin Medical Center.
* You will develop and oversee the curriculum for critical care training for Neonatal nurses including initial entrance into the program as well as maintenance of skills.
* You will provide classes/skills labs to NICU nurses regarding physiology of high\-risk and VLBW newborns and management of certain conditions that require high level of care.
* You will collaborate with Perinatal Quality Manager in preparing and conducting annual team\-based simulation and/or learning scenarios for all physicians and nurses, including disaster preparation and evacuation drill.
* You will collaborate with neonatal navigator in regards to NICU patients with very high\-risk conditions requiring multidisciplinary care at time of delivery and during NICU stay. This includes but is not limited to selecting nurses for care of these patients and assessing any knowledge or preparatory needs, coordinating pre and post huddles, coordinating debriefing if indicated, and follow\-up education regarding any critical care occurrences.
* You will complete quarterly assessment of designation requirements assuring that we continue to meet the standards necessary for Level III. This includes but is not limited to nursing education, staffing assessments (both nursing and ancillary staff), appropriate use of policies and protocols and related documentation.
* You will co\-lead QAPI for our NICU program as well as providing education and support of same for outlying facilities as required by neonatal designation. This includes but is not limited to meetings and/or assessments of quality metrics, identification of systems and/or educational gaps, participation in SEA discussions, review of transports and processes, web based and onsite sessions with outlying facilities.
* You will maintain Neonatal Designation Level III following Texas Department of Health (TDH) code for compliance, as well as documentation of all designation requirements and prepare all documentation necessary for any interim assessments or re\-certifications as required by the State of Texas.
* You will attend Perinatal Care Region (PCR) meetings, and share information with the relevant stakeholders. Participate in local and state committees related to perinatal services and neonatal quality outcomes as a representative of WCOT. Attend quarterly CATRAC meetings that must be 100% per TDH.
* You will attend Pediatric Section and OB Section meetings along with the Neonatal Medical Director.
**What qualifications you will need:**
* Bachelor of Science in Nursing \&amp; a minimum of three years of experience in NICU nurse.
* Required: Currently licensed as a registered professional nurse in the state(s) of practice and/or has an active compact license, in accordance with law and regulation. FT/PT/PRN colleagues with a compact license from a state other than Texas must: apply for Texas RN license within 60 days from hire / obtain current TX RN license within 6 months of application for TX RN license
* BLS certification as per SDH policy; NRP certification as per SDH policy.
St. David’s North Austin Medical Center, part of St. David’s HealthCare, is a full\-service medical center providing comprehensive medical care at two locations – St. David’s North Austin Medical Center and St. David’s Surgical Hospital.  
St. David’s North Austin Medical Center is a 460\+ bed, multi\-specialty, acute care hospital. It provides advanced women’s health services, including maternity and newborn care with Level I, II, and III neonatal intensive care units (NICUs) at the nearby St. David’s Women’s Center of Texas. The hospital also offers minimally invasive gynecological surgery and comprehensive breast imaging through Solis Mammography, which is located on\-site. Other services include a 24\-hour emergency department, pediatric emergency care, and intensive care at St. David’s Children’s Hospital. The hospital also features the Texas Institute for Robotic Surgery, bariatric (weight loss) surgery, a Heart and Vascular Center, neurology and neurosurgery, a kidney transplant program, a Level IV Epilepsy Center, as well as inpatient and outpatient surgery and acute rehabilitation services for both inpatients and outpatients.
St. David’s Women’s Center of Texas, located at St. David's North Austin Medical Center, is recognized by the State of Texas as a Level IV Maternal Facility. This means it provides the highest level of care for pregnant and postpartum patients, especially those with serious or complex medical, surgical, or pregnancy\-related conditions, including those at high risk for maternal morbidity or mortality. The center includes a 95\+ bed Level III Neonatal Intensive Care Unit (NICU) with 30\+ private rooms, 10\+ rooms for very small babies, and 10\+ beds for babies needing neurological care. It also has 35\+ labor, delivery, and recovery rooms, including Central Texas’ first low\-intervention birthing suites with tubs. There are 95\+ postpartum beds, 20\+ antepartum beds, and Cesarean section surgical suites. The facility offers 24/7 neonatology coverage, OB/GYN hospitalists, maternal\-fetal medicine specialists, lactation consultants, and a midwifery program. It is part of the National Institute of Child Health and Human Development Maternal\-Fetal Medicine Units Network and TexasAIM, and it also provides a high\-risk pregnancy navigation and support program.
St. David's Surgical Hospital is part of St. David’s North Austin Medical Center and is the first Level 4 Epilepsy Center in Central Texas for both adults and children. It has its own 24\-hour emergency department, a medical\-surgical inpatient unit, and a pediatric intensive care unit (PICU) for patients ages 17 and under. The hospital is staffed with pediatric emergency physicians, pediatric hospitalists, intensivists, and other specialists who are specially trained to care for children. It also includes certified child\-life specialists who help kids feel more comfortable during their hospital stay. St. David’s Children’s Hospital offers many pediatric services, such as pediatric surgery, pediatric radiology (including imaging and interventional procedures), and pediatric anesthesia for surgical support. It also has a wide range of pediatric specialists available for consultation and treatment, including general surgery, ENT (ear, nose, and throat), craniofacial and plastic surgery, neurology, neurosurgery, urology, and cardiology, among others.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you're looking for a leadership opportunity that provides both personal satisfaction and professional growth, apply to join HCA Healthcare as a(an) Neonatal Designation Manager.**Unlock your leadership potential with HCA Healthcare.**
*We are an equal opportunity employer. We do not discriminate on the basis of race, religion, color, national origin, gender, sexual orientation, age, marital status, veteran status, or disability status.*</t>
        </is>
      </c>
    </row>
    <row r="27">
      <c r="A27" t="inlineStr">
        <is>
          <t>in-4d187d96a8cf21bd</t>
        </is>
      </c>
      <c r="B27" t="inlineStr">
        <is>
          <t>Associate Program Manager</t>
        </is>
      </c>
      <c r="C27" t="inlineStr">
        <is>
          <t>Draper</t>
        </is>
      </c>
      <c r="D27" t="inlineStr">
        <is>
          <t>indeed</t>
        </is>
      </c>
      <c r="E27" t="inlineStr"/>
      <c r="F27" t="inlineStr"/>
      <c r="G27" t="inlineStr">
        <is>
          <t>Pittsfield, MA, US</t>
        </is>
      </c>
      <c r="H27" s="2" t="n">
        <v>46041</v>
      </c>
      <c r="I27"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Supports Program Manager(s) and/or Director(s) in the completion of administrative and managerial assignments contributing to the execution of projects/programs of various size and complexity. This individual will administer and care for high dollar Firm Fixed/Cost Type subcontracts/purchase order with multiple vendors, develop tactical and strategic aspects of supplier relationships, and monitor and drive execution across the supply base which will include leading and engaging cross functional engineering teams for issue resolution, quality improvements and production efficiency gains in support of U.S. Government subcontracts.**Job Description:**
**Duties and Responsibilities:**
* Assists in the development and maintenance of project/program documentation to include project/program plans, Integrated Master Schedule, opportunity/risk/issue tracking, purchase requisitions, action item tracking, lessons learned, etc. Monitors project/program budget.
* Works under the supervision of the Product Line Director or Program Director or assigned Program Manager.
* Serves as alternate customer contact for program information.
* Supports Program Manager(s) and/or Director(s) in business development within current customer base and/or for new customers.
* Facilitate program reporting using prescribed business tools.
* Regularly interacts with project/program team members.
* Effectively conveys work results to the project/program team and supervisors in oral and written form; clearly communicates with management and peers on routine matters.
* Initiates Lifecycle Management (LCM) planning for project/program.
**Skills and Abilities:**
* Awareness of basic project/program management tools, processes and techniques to assist with project/program activities to meet the successful execution of assigned project/program.
* Ability to organize programmatic information for effective planning, execution, project/program monitoring and control, and decision\-making.
* Experience with integrating team member inputs into reports and presentations for, and as directed, by the program manager.
* Strong written and oral communication skills.
* Proficient with MS office applications
**Education:**
* Bachelor’s degree (major in engineering, computer science, business, or related technical field preferred)
**Experience:**
* 2 years’ professional experience in project/program management in commercial or defense industry required
**Additional Job Description:**
Applicants selected for this position will be required to obtain and maintain a government security clearance. Secret Clearance is required.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$82,300\.00 \- $220,000\.00*Our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28">
      <c r="A28" t="inlineStr">
        <is>
          <t>in-80ae60a34d59bc0c</t>
        </is>
      </c>
      <c r="B28" t="inlineStr">
        <is>
          <t>Associate Program Manager</t>
        </is>
      </c>
      <c r="C28" t="inlineStr">
        <is>
          <t>Draper</t>
        </is>
      </c>
      <c r="D28" t="inlineStr">
        <is>
          <t>indeed</t>
        </is>
      </c>
      <c r="E28" t="inlineStr"/>
      <c r="F28" t="inlineStr"/>
      <c r="G28" t="inlineStr">
        <is>
          <t>Cambridge, MA, US</t>
        </is>
      </c>
      <c r="H28" s="2" t="n">
        <v>46041</v>
      </c>
      <c r="I28"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Supports Program Manager(s) and/or Director(s) in the completion of administrative and managerial assignments contributing to the execution of projects/programs of various size and complexity. This individual will administer and care for high dollar Firm Fixed/Cost Type subcontracts/purchase order with multiple vendors, develop tactical and strategic aspects of supplier relationships, and monitor and drive execution across the supply base which will include leading and engaging cross functional engineering teams for issue resolution, quality improvements and production efficiency gains in support of U.S. Government subcontracts.**Job Description:**
**Duties and Responsibilities:**
* Assists in the development and maintenance of project/program documentation to include project/program plans, Integrated Master Schedule, opportunity/risk/issue tracking, purchase requisitions, action item tracking, lessons learned, etc. Monitors project/program budget.
* Works under the supervision of the Product Line Director or Program Director or assigned Program Manager.
* Serves as alternate customer contact for program information.
* Supports Program Manager(s) and/or Director(s) in business development within current customer base and/or for new customers.
* Facilitate program reporting using prescribed business tools.
* Regularly interacts with project/program team members.
* Effectively conveys work results to the project/program team and supervisors in oral and written form; clearly communicates with management and peers on routine matters.
* Initiates Lifecycle Management (LCM) planning for project/program.
**Skills and Abilities:**
* Awareness of basic project/program management tools, processes and techniques to assist with project/program activities to meet the successful execution of assigned project/program.
* Ability to organize programmatic information for effective planning, execution, project/program monitoring and control, and decision\-making.
* Experience with integrating team member inputs into reports and presentations for, and as directed, by the program manager.
* Strong written and oral communication skills.
* Proficient with MS office applications
**Education:**
* Bachelor’s degree (major in engineering, computer science, business, or related technical field preferred)
**Experience:**
* 2 years’ professional experience in project/program management in commercial or defense industry required
**Additional Job Description:**
Applicants selected for this position will be required to obtain and maintain a government security clearance. Secret Clearance is required.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$82,300\.00 \- $220,000\.00*Our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29">
      <c r="A29" t="inlineStr">
        <is>
          <t>in-4936182558dafd41</t>
        </is>
      </c>
      <c r="B29" t="inlineStr">
        <is>
          <t>Associate Program Manager</t>
        </is>
      </c>
      <c r="C29" t="inlineStr">
        <is>
          <t>Draper</t>
        </is>
      </c>
      <c r="D29" t="inlineStr">
        <is>
          <t>indeed</t>
        </is>
      </c>
      <c r="E29" t="inlineStr"/>
      <c r="F29" t="inlineStr"/>
      <c r="G29" t="inlineStr">
        <is>
          <t>Saint Petersburg, FL, US</t>
        </is>
      </c>
      <c r="H29" s="2" t="n">
        <v>46041</v>
      </c>
      <c r="I29"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Supports Program Manager(s) and/or Director(s) in the completion of administrative and managerial assignments contributing to the execution of projects/programs of various size and complexity. This individual will administer and care for high dollar Firm Fixed/Cost Type subcontracts/purchase order with multiple vendors, develop tactical and strategic aspects of supplier relationships, and monitor and drive execution across the supply base which will include leading and engaging cross functional engineering teams for issue resolution, quality improvements and production efficiency gains in support of U.S. Government subcontracts.**Job Description:**
**Duties and Responsibilities:**
* Assists in the development and maintenance of project/program documentation to include project/program plans, Integrated Master Schedule, opportunity/risk/issue tracking, purchase requisitions, action item tracking, lessons learned, etc. Monitors project/program budget.
* Works under the supervision of the Product Line Director or Program Director or assigned Program Manager.
* Serves as alternate customer contact for program information.
* Supports Program Manager(s) and/or Director(s) in business development within current customer base and/or for new customers.
* Facilitate program reporting using prescribed business tools.
* Regularly interacts with project/program team members.
* Effectively conveys work results to the project/program team and supervisors in oral and written form; clearly communicates with management and peers on routine matters.
* Initiates Lifecycle Management (LCM) planning for project/program.
**Skills and Abilities:**
* Awareness of basic project/program management tools, processes and techniques to assist with project/program activities to meet the successful execution of assigned project/program.
* Ability to organize programmatic information for effective planning, execution, project/program monitoring and control, and decision\-making.
* Experience with integrating team member inputs into reports and presentations for, and as directed, by the program manager.
* Strong written and oral communication skills.
* Proficient with MS office applications
**Education:**
* Bachelor’s degree (major in engineering, computer science, business, or related technical field preferred)
**Experience:**
* 2 years’ professional experience in project/program management in commercial or defense industry required
**Additional Job Description:**
Applicants selected for this position will be required to obtain and maintain a government security clearance. Secret Clearance is required.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$82,300\.00 \- $220,000\.00*Our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30">
      <c r="A30" t="inlineStr">
        <is>
          <t>in-da91e9de8d4d1392</t>
        </is>
      </c>
      <c r="B30" t="inlineStr">
        <is>
          <t>Enterprise Data Platform Product Owner</t>
        </is>
      </c>
      <c r="C30" t="inlineStr">
        <is>
          <t>Andersen Corporation</t>
        </is>
      </c>
      <c r="D30" t="inlineStr">
        <is>
          <t>indeed</t>
        </is>
      </c>
      <c r="E30" t="inlineStr"/>
      <c r="F30" t="inlineStr"/>
      <c r="G30" t="inlineStr">
        <is>
          <t>Phoenix, AZ, US</t>
        </is>
      </c>
      <c r="H30" s="2" t="n">
        <v>46041</v>
      </c>
      <c r="I30" t="inlineStr">
        <is>
          <t>**ANDERSEN CORPORATION SUMMARY:**
At Andersen, we see possibility everywhere, every day and in everything we do. The possibility for our employees to achieve their full potential, for our communities to be stronger and for everyone to have a healthier, happier place to live.
Our portfolio of brands — Andersen Windows \&amp; Doors, Renewal by Andersen and Fenetres MQ — is crafted to serve customers across the new residential, home improvement and light commercial building sector.
Join our more than 13,000 employees who are inspired every day to deliver exceptional experiences that turn possibility into reality.
**Job Description:**
SUMMARY  
The Product Owner for Enterprise Data Platform and Support plays a pivotal role in shaping and delivering data capabilities that empower Data Product Delivery Teams across the organization. This role bridges strategic vision and technical execution, ensuring that data platform solutions are scalable, secure, and aligned with enterprise priorities. The Product Owner leads backlog refinement, prioritization, and delivery coordination across data engineering, architecture, and support teams.  
This position requires an understanding of modern cloud data stacks, DevSecOps practices, and legacy platform solutions. The Product Owner collaborates with cross\-functional stakeholders, including Data Product Delivery Teams, Integration teams, and Enterprise \&amp; Solution Architects \- to drive continuous improvement and deliver trusted, high\-performing solutions for our data product delivery teams. This role will work in tandem with a Data Product Governance leadership group across multiple delivery teams.  
PRIMARY RESPONSIBILITIES  
* Strategic Vision \&amp; Roadmap
* Collaboratively develop and communicate the vision for the data platform and support services.
* Build and maintain a product roadmap aligned with business goals and data strategy.
* Prioritize features and enhancements based on business value and stakeholder input.
* Stakeholder Collaboration
* Act as the liaison between Data platform, data engineers, analysts, architects and IT support teams.
* Gather and translate business requirements into technical specifications.
* Facilitate cross\-functional collaboration to ensure alignment and adoption.
* Product Development Oversight
* Manage the lifecycle of platform solutions \&amp; capabilities¿from ideation to decommission.
* Ensure timely delivery of features and updates through agile methodologies.
* Oversee backlog grooming, sprint planning, and release management.
* Drives perpetual support of tools/capabilities that the Platform team is required to maintain
* Data Governance \&amp; Quality
* Ensure data integrity, security, and compliance with governance policies.
* Advocate for clean, well\-documented, and accessible data across the organization.
* Support initiatives for metadata management, lineage tracking, and data cataloging.
* Support \&amp; Enablement
* Oversee support processes for data platform users, including issue resolution and user training.
* Monitor platform performance and user satisfaction.
* Drive continuous improvement in support workflows and user experience.
* Metrics \&amp; Success Criteria
* Define KPIs to measure the success and impact of data platform initiatives.
* Report on usage, adoption, and business outcomes enabled by the platform.
* Use feedback and analytics to guide future enhancements.
QUALIFICATIONS AND SKILLS  
* Bachelor¿s degree in computer science, Information Systems, Engineering, Mathematics, or a related field.
* 5\+ years of experience in product management in data platforms or data analytics domains.
* Familiarity with data platforms, data governance, and analytics tools
* Understanding of cloud technologies (e.g., AWS, Azure, GCP) and data architecture concepts.
* Experience with Agile/Scrum methodologies and tools like Jira or Azure DevOps.
* Ability to define and manage product roadmaps, backlogs, and feature prioritization.
* Experience in requirements gathering, user story creation, and value proposition development.
* Strong understanding of data strategy, including compliance, security, and scalability.
* Proven ability to work with cross\-functional teams, including engineering, analytics, and business units.
* Strong communication and presentation skills to articulate technical concepts to non\-technical stakeholders.
* Experience managing stakeholder relationships and driving consensus.
Preferred Qualifications  
* Exposure to data governance frameworks and metadata management.
* Formal training or certification in Product Ownership (e.g., CSPO, SAFe PO/PM)
**Pay Range:**
$99,216\.00 \- $153,784\.00
**CULTURE AND BENEFITS:**
At Andersen, we believe our people are at the heart of everything we do. Every day, their talent, dedication and passion enables us to be the most trusted window \&amp; door company. To support our employees, we provide a comprehensive Total Rewards Package – a thoughtful combination of pay and benefits that reflects our commitment to investing in each team member’s wellbeing and success. Availability of benefits may differ by site or position.
* 401 (k) Plan, Employer Fixed Contributions \&amp; Company Matching
* Profit Sharing
* Medical, Dental and Vision Coverage
* Flexible Spending Accounts (FSAs), Health Savings Account (HSA) and Health Reimbursement Account (HRA)
* Life Insurance
* Paid Time Off \&amp; Paid Holidays
* Paid Maternity Leave \&amp; Paid Parental Leave
* Career Growth Planning \&amp; Nationwide Career Opportunities
\*\*PROFIT SHARING: In 2025 Andersen has set a profit\-sharing target of $3,500 per eligible employee, prorated as appropriate Profit Sharing will be paid out in quarterly installments to provide eligible employees with payments throughout the year, with payment amounts tied to quarterly operating profit performance.
EEOC EMPLOYER: Andersen is an equal opportunity employer and all qualified applicants will receive consideration for employment without regard to race, color, religion, sex, sexual orientation, gender identity or expression, pregnancy, age, disability, marital status, national origin, citizenship, genetic information, protected veteran status, or any other characteristic protected by law. Andersen Corporation will consider for employment qualified applicants with criminal histories in a manner consistent with the requirements of all applicable federal, state and local laws.
We look forward to seeing how your unique skills, background and experiences will inspire our team and help us continue to be the leader we are today.</t>
        </is>
      </c>
    </row>
    <row r="31">
      <c r="A31" t="inlineStr">
        <is>
          <t>in-1e3c8e965f146cdb</t>
        </is>
      </c>
      <c r="B31" t="inlineStr">
        <is>
          <t>Program Manager</t>
        </is>
      </c>
      <c r="C31" t="inlineStr">
        <is>
          <t>Ascension</t>
        </is>
      </c>
      <c r="D31" t="inlineStr">
        <is>
          <t>indeed</t>
        </is>
      </c>
      <c r="E31" t="inlineStr"/>
      <c r="F31" t="inlineStr"/>
      <c r="G31" t="inlineStr">
        <is>
          <t>Remote, US</t>
        </is>
      </c>
      <c r="H31" s="2" t="n">
        <v>46041</v>
      </c>
      <c r="I31" t="inlineStr">
        <is>
          <t>We Are Hiring:
* **Department:** Nurse Practices
* **Schedule:** Full time, days
* **Location:**Remote with travel on average of 35% dependent on the project work you do and organizational needs you serve
* **Salary:** $82,825\.00\-$115,453\.00 per year
What You Will Do:
As a Program Manager, you will play a key role in supporting the Nursing by leading the development and execution of programs that advance the Nursing objectives. Your work includes collaborating with executive stakeholders across all Nursing including Nursing Practice, Quality, Education, Research.  
Development, Implementation and Measurement* Design and manage comprehensive program plans, including timelines, milestones, and deliverables (e.g., fiscal year initiative planning).
* Define program objectives, scope, and timelines in collaboration with senior stakeholders.
* Support the project management needs of Nursing to drive successful execution of objectives.
* Measuring and managing outcomes to assess ROI.
Strategic Alignment* Partner with executives to prioritize and execute high\-impact programs.
* Serve as the primary liaison for program\-related communication across teams and departments.
* Translate strategic initiatives into actionable plans with clearly defined outcomes.
* Responsible for driving the planning, execution, and evaluation of cross\-functional programs that align with Nursing strategic objectives.
Cross Functional Coordination* Coordinate and align the work of project teams across departments, ensuring all activities contribute to Nursing goals.
* Serve as a bridge between project managers, leadership, and key stakeholders.
Progress Tracking and Reporting* Monitoring and overseeing projects to ensure goals and timelines are met, ensuring risks are identified and addressed
* Creates and presents regular updates on performance, challenges, and opportunities
Relationship Building* Build strong relationships with senior leaders and stakeholders by demonstrating executive presence, exceptional customer service, and proactive support.
* Foster a culture of collaboration and trust across all levels of engagement, including internal teams, end\-users, and external partners.
* Mentor, professionally develop, and coach team members.
Deliverable Creation* Create, review, and present executive\-level deliverables.
* Research and develop new and creative solutions to continually improve processes and effectiveness across current and future initiatives.
\#LI\-Remote
What You Will Need:
Education:* High School diploma equivalency with 3 years of cumulative experience OR Associate's degree/Bachelor's degree with 2 years of cumulative experience OR 7 years of applicable cumulative job specific experience required.
* 3 years of leadership or management experience preferred.
Additional Preferences:
No additional preferences.
Why Join Our Team:
Ascension associates are key to our commitment of transforming healthcare and providing care to all, especially those most in need. Join us and help us drive impact through reimagining how we can deliver a people\-centered healthcare experience and creating the solutions to do it. Explore career opportunities across our ministry locations and within our corporate headquarters.  
Ascension is a leading non\-profit, faith\-based national health system made up of over 134,000 associates and 2,600 sites of care, including more than 140 hospitals and 40 senior living communities in 19 states.  
Our Mission, Vision and Values encompass everything we do at Ascension. Every associate is empowered to give back, volunteer and make a positive impact in their community. Ascension careers are more than jobs; they are opportunities to enhance your life and the lives of the people around you.
Equal Employment Opportunity Employer:
Ascension provides Equal Employment Opportunities (EEO) to all associates and applicants for employment without regard to race, color, religion, sex/gender, sexual orientation, gender identity or expression, pregnancy, childbirth, and related medical conditions, lactation, breastfeeding, national origin, citizenship, age, disability, genetic information, veteran status, marital status, all as defined by applicable law, and any other legally protected status or characteristic in accordance with applicable federal, state and local laws.  
For further information, view the EEO Know Your Rights (English) poster or EEO Know Your Rights (Spanish) poster.  
As a military friendly organization, Ascension promotes career flexibility and offers many benefits to help support the well\-being of our military families, spouses, veterans and reservists. Our associates are empowered to apply their military experience and unique perspective to their civilian career with Ascension.  
Please note that Ascension will make an offer of employment only to individuals who have applied for a position using our official application. Be on alert for possible fraudulent offers of employment. Ascension will not solicit money or banking information from applicants.
E\-Verify Statement:
This employer participates in the Electronic Employment Verification Program. Please click the E\-Verify link below for more information.  
E\-Verify
Benefits:
Paid time off (PTO)  
Various health insurance options \&amp; wellness plans  
Retirement benefits including employer match plans  
Long\-term \&amp; short\-term disability  
Employee assistance programs (EAP)  
Parental leave \&amp; adoption assistance  
Tuition reimbursement  
Ways to give back to your community *Benefit options and eligibility vary by position. Compensation varies based on factors including, but not limited to, experience, skills, education, performance, location and salary range at the time of the offer.*</t>
        </is>
      </c>
    </row>
    <row r="32">
      <c r="A32" t="inlineStr">
        <is>
          <t>in-e99feebdcb9499c2</t>
        </is>
      </c>
      <c r="B32" t="inlineStr">
        <is>
          <t>Contracts Program Manager</t>
        </is>
      </c>
      <c r="C32" t="inlineStr">
        <is>
          <t>Chenega Corporation</t>
        </is>
      </c>
      <c r="D32" t="inlineStr">
        <is>
          <t>indeed</t>
        </is>
      </c>
      <c r="E32" t="inlineStr"/>
      <c r="F32" t="inlineStr"/>
      <c r="G32" t="inlineStr">
        <is>
          <t>Albuquerque, NM, US</t>
        </is>
      </c>
      <c r="H32" s="2" t="n">
        <v>46041</v>
      </c>
      <c r="I32" t="inlineStr">
        <is>
          <t>Overview:
Come join a company that strives for *Extraordinary People and Exceptional Performance*! **Chenega Professional Technical Services, LLC** a **Chenega Professional Services**’ company, is looking for a **Contracts Program Manager.** The Contracts Program Manager leads a team of contracting and administrative professionals providing support to DOE NNSA Office of Acquisition Management (OAM).  
Our company offers employees the opportunity to join a team where there is a robust employee benefits program, management engagement, quality leadership, an atmosphere of teamwork, recognition for performance, and promotion opportunities. We actively strive to channel our highly engaged employees’ knowledge, critical thinking, and innovative solutions for our clients.
Responsibilities:
* Provide program management and oversight of all activities performed by contractor personnel, including subcontractors, to satisfy the requirements of the contract
* Monitor productivity and quality of work of contractor personnel.
* Keep the Government Contracting Officer’s Representative (COR) informed of the contractor’s performance within the terms of the Task Order.
* Develop and provide a Monthly Status Report via email to the COR. The report shall include the following: 1\) Status/Progress on all activities to include a brief description of the activity 2\) Identification of problems/issues/concerns, corrective actions taken (or proposed resolutions) to address them, and any Government action required as a result and 3\) When addressing issues or concerns that have not taken corrective action, the Program Manager shall propose resolutions.
* Other duties as assigned
Qualifications:
* Bachelor’s degree in business administration, Finance or another relevant discipline. Advanced degree preferred.
* Shall have experience performing all Contract Specialist (Level III) functions identified in the statement of work.
* Minimum of 7 years of contracting experience specializing in general contract closeout procedures, cost\-type contract closeout procedures, and performing all acquisition support functions (cradle to grave). Additionally, minimum of one year Program Management experience on contract requirements of similar scope and size.
*Knowledge, Skills and Abilities:*
* Ability to communicate effectively orally and in writing
* Demonstrated experience in maintaining good rapport and discretion in communicating with customers, stakeholders and employees
* Strong organizational skills
* Experience creating, managing and tracking key project management deliverables.
* Strong knowledge of contracts and acquisitions to include: general contract closeout procedures, cost\-type contract closeout procedures, and performing all acquisition support functions (cradle to grave).
Teleworking Permitted?: false</t>
        </is>
      </c>
    </row>
    <row r="33">
      <c r="A33" t="inlineStr">
        <is>
          <t>in-e0d44ffd9a5d9d2c</t>
        </is>
      </c>
      <c r="B33" t="inlineStr">
        <is>
          <t>AI Digital Product Manager- MSI</t>
        </is>
      </c>
      <c r="C33" t="inlineStr">
        <is>
          <t>The Baldwin Group</t>
        </is>
      </c>
      <c r="D33" t="inlineStr">
        <is>
          <t>indeed</t>
        </is>
      </c>
      <c r="E33" t="inlineStr"/>
      <c r="F33" t="inlineStr"/>
      <c r="G33" t="inlineStr">
        <is>
          <t>Remote, US</t>
        </is>
      </c>
      <c r="H33" s="2" t="n">
        <v>46041</v>
      </c>
      <c r="I33" t="inlineStr">
        <is>
          <t>**Why MSI? We thrive on solving challenges.**
**As a leading MGA, MSI combines deep underwriting expertise with insurer and reinsurer risk capacity to create specialized insurance solutions that empower distribution partners to meet customers’ unique needs.**
**We have a passion for crafting solutions for the important risks facing individuals and businesses. We offer an expanding suite of products – from fully\-digital embedded renters coverage to high\-value homeowners insurance to sophisticated commercial coverages, such as cyber liability and habitational property – delivered through agents, brokers, wholesalers and other brand partners.**
**Our partners and customers count on us to deliver exceptional service through a dedicated team that makes rapid resolutions a priority. We simplify the insurance experience through our advanced technology platform that supports every phase of the policy lifecycle.**
**Bring on your challenges and let us show you how we build insurance better.**
MSI is seeking an experienced AI/ML Product Manager to define, deliver and optimize digital solutions through AI\-powered products. This role serves as the critical link between business objectives and technology execution, ensuring that configurable products are intuitive, scalable, and aligned with organizational goals. The right candidate will lead the strategy, development, and execution of priority initiatives, working closely with cross\-functional teams, ensuring capabilities deliver tangible value.
**Key Responsibilities**
* **Product Strategy \&amp; Leadership**
	+ Conduct in\-depth analysis of customer business drivers, key use cases, and objectives to develop tailored solutions.
	+ Develop and maintain a clear AI/ML products roadmap aligned with business goals and KPIs for adoption, outcomes, and financial impact t o ensure resources are invested where they matter most.
	+ Lead and mentor Digital Product Managers to deliver enterprise\-wide AI solutions that drive innovation and competitive advantage.
* **Portfolio \&amp; Operations Design**
	+ Design and maintain workflows aligned with strategic objectives.
	+ Accelerate delivery by using AI to build AI – adopting AI\-powered processes to drive efficiency and speed.
	+ Lead the design and delivery of AI\-enhanced features, such as:
* Smart UI components
* Predictive analytics
* Natural language interfaces
* Automated compliance checks
* Intelligent reporting and modeling tools
	+ Champion AI tools to accelerate development \- even for non\-AI features.
* **Governance \&amp; Best Practices**
	+ Establish organizational best practices for AI usage, including prompt engineering, model selection, and ethical guidelines.
	+ Contribute to policies for responsible AI development, deployment, and monitoring in compliance with regulatory standards.
	+ Scale enterprise\-wide AI initiatives, promoting reusability of AI capabilities to accelerate time\-to\-value and reduce duplication.
**What You Will Bring:**
* Strong understanding of AI/ML concepts: NLP, predictive modeling, recommendation systems, model evaluation, and MLOps fundamentals.
* Hands\-on experience with AI platforms and tools (e.g., Microsoft Copilot, OpenAI, MLflow).
* Collaborative approach working with teams on GenAI, AI/ML, and data products.
* Familiarity with insurance lifecycle management and processes.
* Proficiency in Agile methodologies and ability to write clear business and technical specifications (feature designs, user stories, acceptance criteria).
* Knowledge of data governance, model validation, and compliance frameworks (privacy, auditability, explainability).
**Qualifications**
* **Education:** Bachelor’s degree in Computer Science, Engineering, Information Technology, Business, or related field.
* **Experience:**
	+ Minimum 5\+ years in product management with 2\+ years focused on Ai or data\-driven products in a start\-up or high\-growth environment
	+ Strong understanding of AI/ML concepts: NLP, predictive modeling, recommendation systems, model evaluation, and MLOps fundamentals.
	+ Experience with AI platforms and tools (Microsoft Copilot, Open AI, MLflow, etc.)
	+ Proven ability to prioritize based on ROI, including building business cases and evaluating trade‑offs.
	+ Experience with Agile methodologies and ability to write clear business and technical specifications (Feature designs, User Stories, Acceptance Criteria).
	+ Knowledge of data governance, model validation, and compliance frameworks (privacy, auditability, explainability).
* **Skills:**
	+ Excellent communication and leadership skills; ability to influence cross\-functional teams and senior stakeholders.
	+ Ability to clearly communicate complex system concepts clearly to technical and non\-technical audiences.
	+ Advanced analytical and problem\-solving skills with the ability to independently troubleshoot issues.
	+ Proven ability to manage competing priorities in a fast\-paced environment.
	+ Comfortability navigating ambiguity and influencing without direct authority.
	+ Collaborative team player, committed to fostering innovation.
**Why Join Us?**
* Be part of an agile, innovative team driving meaningful change
* Work on cutting\-edge AI products with significant impact
* Thrive in a collaborative culture that emphasizes growth, inclusion and continuous learning
\#LI\-JW2
\#LI\-REMOTE
The Baldwin Group will not accept unsolicited resumes from any source other than directly from a candidate who applies on our career site. Any unsolicited resumes sent to The Baldwin Group, including unsolicited resumes sent via any source from an Agency, will not be considered and are not subject to any fees for any placement resulting from the receipt of an unsolicited resume.</t>
        </is>
      </c>
    </row>
    <row r="34">
      <c r="A34" t="inlineStr">
        <is>
          <t>in-d8adc22dc7941205</t>
        </is>
      </c>
      <c r="B34" t="inlineStr">
        <is>
          <t>Sr. Program Manager Engineering</t>
        </is>
      </c>
      <c r="C34" t="inlineStr">
        <is>
          <t>Katalyst Healthcares &amp; Life Sciences</t>
        </is>
      </c>
      <c r="D34" t="inlineStr">
        <is>
          <t>indeed</t>
        </is>
      </c>
      <c r="E34" t="inlineStr"/>
      <c r="F34" t="inlineStr"/>
      <c r="G34" t="inlineStr">
        <is>
          <t>Milwaukee, WI, US</t>
        </is>
      </c>
      <c r="H34" s="2" t="n">
        <v>46041</v>
      </c>
      <c r="I34" t="inlineStr">
        <is>
          <t>**Responsibilities:**  
" Projects managed will be small to medium and have impact to the business plan.
" Establish and lead a multidisciplinary team, potentially in globally distributed locations, in the sustainment of the client's Front Line Care products to State of the Art Standards
" Collaborate with functional leads, other project managers, internal customers, and other stakeholders to develop and execute robust plans for project deliverables in accordance with established polices and processes.
" Develop detailed project plans and manage all implementation processes including resource allocation, progress tracking, monitoring change control process, testing, documentation, training, and on\-time delivery within budget
" Assign tasks, responsibilities, and accountability to team members to achieve Project and Product goals.
" Responsible for achieving product quality goals, time\-to\-market objectives, and meeting product and project cost targets.
" Manage labor, expense, and capital expenditures to support project budgets
" Monitor Project and Product status and commitments and ensure appropriate Change Management techniques are utilized to assess and address identified variances.
" Develop and maintain RACI Charts, team metrics, and status.
" Manages vendor partners, provides guidance to project team, provides senior leadership with status updates.
**Requirements:**  
" Demonstrated Project Management skills including project scheduling, resource allocation and management, risk management, project finances, and partner / contract management.
" Proven ability to lead, influence, and motivate teams to achieve challenging goals.
" Strong interpersonal skills with ability to promote team interaction and execution
" Strong business acumen
" Strong written and oral communication skills.
" Effective computer skills (Microsoft Project, Word, Excel, PowerPoint)
" 5\-7 years of experience; preferred experience as a new product development project manager leading multidisciplinary teams.
" Bachelor's degree in a technical discipline required.
" Applied knowledge of EU MDR and other international medical device regulations.
" Project Management certification (PMP) preferred</t>
        </is>
      </c>
    </row>
    <row r="35">
      <c r="A35" t="inlineStr">
        <is>
          <t>in-a34c9a08d5837bc7</t>
        </is>
      </c>
      <c r="B35" t="inlineStr">
        <is>
          <t>Program Manager</t>
        </is>
      </c>
      <c r="C35" t="inlineStr">
        <is>
          <t>United States Department Of Defense</t>
        </is>
      </c>
      <c r="D35" t="inlineStr">
        <is>
          <t>indeed</t>
        </is>
      </c>
      <c r="E35" t="inlineStr"/>
      <c r="F35" t="inlineStr"/>
      <c r="G35" t="inlineStr">
        <is>
          <t>Redstone Arsenal, AL, US</t>
        </is>
      </c>
      <c r="H35" s="2" t="n">
        <v>46041</v>
      </c>
      <c r="I35" t="inlineStr">
        <is>
          <t>**Summary**
-----------
The position(s) covered by this vacancy announcement is in the Department of Defense (DoD) Acquisition Workforce Personnel Demonstration Project (AcqDemo). For more information see: AcqDemo  
This position is part of the MDA, Director for Acquisition and Sustainment. The incumbent will be responsible for overall program management, direction/control of the acquisition, development, integration, testing, production, fielding, and life cycle support of assigned Missile Defense System programs.
**This job is open to**
-----------------------
### **The public**
U.S. Citizens, Nationals or those who owe allegiance to the U.S.
### **Military spouses**
Military spouses of active duty service members or whose spouse is 100 percent disabled or died on active duty.
### **Clarification from the agency**
All U.S. Citizens
**Duties**
----------
This is a Direct Hire Authority (DHA) solicitation utilizing the DHA for Acq Demo Business and Technical Management to recruit and appoint qualified candidates to positions in the competitive service.  
As a Program Manager at the NH\-0340\-4 some of your typical work assignments may include:
* You will be responsible for overall program management, direction and control of the acquisition, development, integration, testing, production, fielding, and life cycle support of assigned Missile Defense System (MDS) programs.
* You will develop, plan, analyze, and execute projects across the full system life cycle.
* You will plan and manage cost, schedule, and performance requirements for acquisition of end\-items.
* You will manage development of new or improved system capabilities.
* You will exercise discretion and judgment in determining whether to broaden or narrow the scope of system projects/programs to deliver on schedule and within cost objectives at reasonable risk.
* You will maintain professional relationships with all stakeholders to support the success of the system acquisition program.
* You will accomplish other duties as assigned.
**Requirements**
----------------
### **Conditions of employment**
* Must be a U.S. Citizen
* Occasional Travel
* Work Schedule: Full\-time
* Males born after 12\-31\-59 must be registered for Selective Service
* Suitable for Federal employment, determined by a background investigation
* May be required to successfully complete a probationary period
* Overtime: Occasionally
* Tour of Duty: Maxi Flex
* Recruitment Incentives: Certain incentives (such as Recruitment, Relocation or Student Loan Repayment) may be authorized to eligible selectees based on agency policy and availability.
* Fair Labor Standards Act (FLSA): Exempt
* Financial Disclosure: Required
* Telework Eligibility: This position may be eligible for part time, substantial or ad\-hoc telework at the discretion of management.
* Employee must obtain/maintain Non\-critical Sensitive/Secret security clearance.
* This is an acquisition position coded Advanced in Program Management. Incumbent must obtain mandatory Back\-to\-Basics (BtB) certification within 48 months of entry into position. Incumbent must acquire 80 Continuous Learning Points every 24 months.
* Pre\-employment urinalysis testing and random testing required.
### **Qualifications**
You may qualify at the NH\-04, broadband level, if you fulfill the following qualifications:  
A. One year of specialized experience equivalent to the NH\-03/GS\-13 grade level in the Federal service as listed below (Applicants are required to meet 3 of 5 statements in order to be qualified):  
* Experience applying a wide range of technical and business systems, processes, and practices used to manage weapon systems acquisition.
* Experience reviewing, analyzing, and implementing higher level procurement policies.
* Experience managing project/program requirements, objectives and metrics, and resolving conflicts among schedules, funding, and resources for assigned program.
* Experience executing contract management, acquisition management, and financial management to support assigned weapons system program needs.
* Experience advising management and colleagues on difficult problems by proposing options and alternatives.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 **Education**
Substitution of education may not be used in lieu of specialized experience for this grade level.  
### **Additional information**
**Other Notes:**  
**ACQUISITION POSITION:** This position requires Acquisition Workforce Level Advanced in Program Manager Certification prior to hiring is not essential but must be accomplished within 48 months after entry into this position.
* **ACQUISITION POSITION:** This position requires a Defense Acquisition Workforce Improvement Act (DAWIA) Program Management, Advanced level. Certification prior to hiring is not essential but must be accomplished within 48 months after entry into this position. For information regarding the DAWIA Back to Basics please visit: Home (dau.edu) or Back to Basics \- Helpful Resources (dau.edu)
* **DAWIA (Back to Basics) Certification: NON\-CAP:** Position requires DoD Acquisition Program Management, Advanced certification within required timeframes. Selectee must also achieve 80 hours of Continuous Learning Points (CLPs) every 2\-years. Click here for more details and Resources.
**RE\-EMPLOYED ANNUITANT:** This position DOES NOT meet criteria for re\-employed annuitant. The DoD criteria for hiring Re\-employed Annuitants can be found at: https://www.esd.whs.mil/Portals/54/Documents/DD/issuances/140025/1400\.25\-V300\.pdf  
All applicants must meet qualifications and eligibility criteria by the closing date of the announcement.  
**Males born after 12\-31\-59 must be registered or exempt from Selective Service** (see Who Needs to Register \| Selective Service System : Selective Service System (sss.gov))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We will review your resume and supporting documents, to ensure you meet the basic qualification requirements. We will evaluate each applicant who meets the basic qualifications on the information provided and evaluate your relevant work experiences as it relates to fundamental competencies, identified below, required for this position.  
Traditional rating and ranking of applications does not apply to this vacancy. Your application (resume and supporting documentation) will be evaluated to determine if you meet the minimum qualifications required as listed on the announcement under qualification requirements.  
**Appointment of Military Spouses (5 CFR 315\.612\) (NonComp Mil Sp):** To receive this preference, you must choose to apply using the " Appointment of Military Spouses (5 CFR 315\.612\) (NonComp Mil Sp)" eligibility. If you are claiming Military Spouse eligibility and are determined to be Well Qualified (score of 85 or above) for the position, you will be referred to the hiring manager. Information and required documentation for claiming Military Spouse eligibility may be found at the General Applicant Information and Definitions link below.  
**Veterans Preference**: If you are entitled to veterans preference, you should indicate the type of veterans' preference you are claiming on your resume. Your veterans' preference entitlement will be verified by the employing agency.  
For information on entitlement see http://www.fedshirevets.gov/job/vetpref/index.aspx
**Required Documents**
----------------------
The documents you are required to submit vary based on the authority you are using to apply (i.e., applying as a veteran, applying as a current permanent Federal employee, applying as a reinstatement, etc.). Your complete application includes your COMPLETE resume, your responses to the online questionnaire, and documents which prove your eligibility to apply. **If you fail to provide these documents, you will be marked as having an incomplete application package and you will not be considered any further.**  
**The following documents are REQUIRED**  
**1\. Your resume:**
* **IMPORTANT UPDATE: Your resume must not exceed two (2\) pages. If your resume exceeds the two\-page limit, you will be removed from consideration for this announcement.** The resume and required supporting documentation should provide the minimum qualifications and relevant experience for the announced position. Must include the work schedule, hours worked per week, dates of employment, and duties performed. If multiple resumes are submitted by an applicant, only the last resume submitted will be reviewed for qualifications and referred for selection consideration, if eligible. The resume must not be more than 5MB and should be saved and uploaded as a PDF to maintain formatting and number of pages. We also accept GIF, JPG, JPEG, PNG, RTF, TXT, PDF, ODT or Word (DOC or DOCX). We do not accept PDF portfolio files. Page margins should be 0\.5 inches, and font styles must be legible. Consider using 14\-point size font for titles and 10\-point for the main text. We recommend using a font like Lato, if available. Other widely available options are Calibri, Helvetica, Arial, Verdana, Open San Source Sans Pro, Roboto or Noro Sans.
* Additional guidance on writing a federal resume can be found at: USAJOBS Help Center \- How do I write a resume for a federal job? The resume builder can help you create a resume using these recommendations and uses the information in your USAJOBS profile to help you get started.
**2\.** **SF50**
* It is recommended that all current and former civilian Federal employees submit a copy of your **MOST RECENT SF50** (Notification of Personnel Action) showing your tenure, grade and step, salary, and type of position occupied (i.e., Excepted or Competitive); or similar Notification of Personnel Action documentation, i.e., Transcript of Service, Form 1150, etc.
**PLEASE REVIEW THE BELOW LINK FOR OTHER SUPPORTING DOCUMENTS needed for proof of eligibility:**  
https://www.dla.mil/Portals/104/Documents/Careers/downloads/DODCustomersRequiredSupportingDocumentation.pdf?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To apply for this position, you must complete the online application and submit the documentation specified in the Required Documents section below.  
The complete application package must be submitted by 11:59 PM (EST) on the closing date to receive consideration.
* To begin, click Apply Online to access an online application. Follow the prompts to select your USAJOBS resume and/or other supporting documents. You will need to be logged into your USAJOBS account or you may need to create a new account.
* You will be taken to an online application. Complete the online application, verify the required documentation, and submit the application. NOTE: Resumes up to a total of two pages will be accepted. **Resumes exceeding two pages will be removed from consideration.**
* You will receive an email notification when your application has been received for the announcement.
* To verify the status of your application, log into your USAJOBS account, *https://www.usajobs.gov*, select the Application Status link and then select the More Information link for this position. The Application Status page will display the status of your application, the documentation received and processed, and your responses submitted to the online application. Your uploaded documents may take several hours to clear the virus scan process.
To preview the questionnaire, please go to https://apply.usastaffing.gov/ViewQuestionnaire/12862498  
Please review the General Application Information and Definitions at:  
https://www.dla.mil/Portals/104/Documents/Careers/downloads/DoDGenAppInfo%2012\-1\-2020\.pdf?ver\=ECNbdsHtGilTd3OENN4A0Q%3d%3d  
### **Agency contact information**
MDA Servicing Team
Phone
6146920299
Fax
6146931696
Email
DHRC\-DMDAHR@DLA.MIL
Address
*Missile Defense Agency*  
*Bldg 5222 Martin Rd*  
*Redstone Arsenal, AL 35898*  
*US*### **Next steps**
A list of qualified applicants will be created and sent to the selecting official. All applicants reviewed and/or referred will receive a notification letter.  
The selecting official may choose to conduct interviews, and once the selection is made, you will receive a notification of the decision.  
REGARDING INTERVIEWS: Interviews may be required for this position. Accommodations may be made to conduct telephonic interviews to preclude travel hardships for applicants.  
NOTE: Declining to be interviewed or failure to report for a scheduled interview will be considered as a declination for further consideration for employment against this vacancy.  
This announcement may be used to fill additional vacancies.
**Overview**
------------
Accepting applications
Open \&amp; closing dates
01/20/2026 to 01/26/2026
Salary
$130,987 to \- $197,200 per year
(includes 21\.91% locality), unless statutory/regulatory rates prevail
Pay scale \&amp; grade
NH 4
Location
1 vacancy in the following location:
Redstone Arsenal, AL
1 vacancy
Remote job
No
Telework eligible
Yes—This position may be eligible for part time, substantial or ad\-hoc telework at the discretion of management.
Travel Required
Occasional travel \- You may be expected to travel for this position.
Relocation expenses reimbursed
No
Appointment type
Permanent
Work schedule
Full\-time
Service
Competitive
Promotion potential
None
Job family (Series)
* 0340 Program Management
Supervisory status
No
Security clearance
Secret
Drug test
Yes
Position sensitivity and risk
Noncritical\-Sensitive (NCS)/Moderate Risk
Trust determination process
* National security
Financial disclosure
Yes
Bargaining unit status
No
Announcement number
MDA\-26\-12862498\-DH
Control number
854780100</t>
        </is>
      </c>
    </row>
    <row r="36">
      <c r="A36" t="inlineStr">
        <is>
          <t>in-9af72e108a52eadc</t>
        </is>
      </c>
      <c r="B36" t="inlineStr">
        <is>
          <t>SAP Program Manager</t>
        </is>
      </c>
      <c r="C36" t="inlineStr">
        <is>
          <t>Atlas Systems</t>
        </is>
      </c>
      <c r="D36" t="inlineStr">
        <is>
          <t>indeed</t>
        </is>
      </c>
      <c r="E36" t="inlineStr"/>
      <c r="F36" t="inlineStr"/>
      <c r="G36" t="inlineStr">
        <is>
          <t>East Brunswick, NJ, US</t>
        </is>
      </c>
      <c r="H36" s="2" t="n">
        <v>46041</v>
      </c>
      <c r="I36" t="inlineStr">
        <is>
          <t>**About Us:**
Atlas Systems Inc. is a Software Solutions company headquartered in East Brunswick, NJ. Incorporated in 2003, Atlas provides comprehensive range of solutions in the area of GRC, Technology, Procurement, Healthcare Provider and Oracle to customers across the globe. Combining our unparalleled experience of over a decade in the software industry and global reach, we have grown with extensive capabilities across industry verticals.
For more information, please visit our website https://www.atlassystems.com/
 **Please click on the link below to apply for this position**
 **https://atlas.bamboohr.com/careers/507**
 **JD: SAP Program Manager**
We are seeking an experienced SAP Program Manager to lead the end\-to\-end implementation and management of SAP S/4HANA on RISE. The ideal candidate will have a strong background in SAP program delivery, large\-scale transformation initiatives, and executive\-level stakeholder engagement. This role requires expertise in program governance, risk management, and driving value realization through SAP RISE deployments.
**Responsibilities**
* Lead end\-to\-end delivery of SAP S/4HANA on RISE transformation program
* Define program objectives, success metrics, timelines, and budgets
* Oversee functional, technical, integration, and data migration workstreams
* Ensure adherence to SAP Activate methodology and RISE best practices
* Manage program governance, risks, issues, and dependencies
* Drive business process transformation leveraging S/4HANA capabilities
* Act as primary point of contact for executive sponsors and stakeholders
* Facilitate communication across business, IT, and vendor partners
* Provide regular updates to steering committees and executive leadership
* Ensure effective change management, training, and user adoption strategies
**Experience \&amp; Qualifications**
* 10\+ years of SAP program/project management experience
* 5\+ years leading large\-scale SAP S/4HANA programs (RISE experience required)
* Experience in Manufacturing or Apparel industries a plus
* Proven track record in delivering SAP cloud transformations and migrations
* Strong knowledge of SAP Activate and large\-scale ERP implementation methodologies
* Experience managing governance, risk, and compliance in global environments
* Strong leadership, stakeholder management, and executive communication skills
* Bachelor’s degree required; Master’s degree a plus</t>
        </is>
      </c>
    </row>
    <row r="37">
      <c r="A37" t="inlineStr">
        <is>
          <t>in-9659c11379417474</t>
        </is>
      </c>
      <c r="B37" t="inlineStr">
        <is>
          <t>GME Program Manager</t>
        </is>
      </c>
      <c r="C37" t="inlineStr"/>
      <c r="D37" t="inlineStr">
        <is>
          <t>indeed</t>
        </is>
      </c>
      <c r="E37" t="inlineStr"/>
      <c r="F37" t="inlineStr"/>
      <c r="G37" t="inlineStr">
        <is>
          <t>Hartsville, SC, US</t>
        </is>
      </c>
      <c r="H37" s="2" t="n">
        <v>46041</v>
      </c>
      <c r="I37" t="inlineStr">
        <is>
          <t>**Description**  
At **ScionHealth**, we empower our caregivers to do what they do best. We value every voice by caring deeply for every patient and each other. We show courage by running toward the challenge and we lean into new ideas by embracing curiosity and question asking. Together, we create our culture by living our values in our day\-to\-day interactions with our patients and teammates.
**Job Summary**
The Manager – Graduate Medical Education (GME) Program is responsible for the overall coordination, implementation, and continuous improvement of the hospital’s residency or fellowship training program(s) in accordance with Accreditation Council for Graduate Medical Education (ACGME) institutional and program requirements. This position manages daily program operations, accreditation compliance, resident recruitment and onboarding, and administrative and financial activities. The Manager serves as the primary liaison between the Program Director, residents/fellows, faculty, hospital administration, and the sponsoring institution’s GME Office.
**Essential Functions**
**Program Operations and Accreditation Compliance (50%)**
* Ensure continuous compliance with ACGME institutional, common, and specialty\-specific program requirements.
* Maintain accurate documentation in the ACGME Accreditation Data System (ADS), including program information, faculty rosters, scholarly activity, and resident/fellow records.
* Coordinate ACGME site visits, internal reviews, and required annual program evaluations.
* Administer the program’s management system (e.g., MedHub), including duty hour monitoring, evaluations, rotations, and resident data.
* Maintain resident/fellow files, licensure, certifications, and credentialing requirements.
* Support the Clinical Competency Committee (CCC) and Program Evaluation Committee (PEC) processes and ensure timely completion of milestone assessments and reports.
* Develop, maintain, and update program manuals, policies, and procedures.
**Resident Recruitment, Onboarding, and Development (30%)**
* Manage all aspects of recruitment through the Electronic Residency Application Service (ERAS), Thalamus, and the National Resident Matching Program (NRMP).
* Coordinate interviews, applicant communications, ranking meetings, and Match Day activities.
* Plan and execute resident/fellow orientation, onboarding, and transition activities in collaboration with Human Resources and GME leadership.
* Support resident/fellow well\-being and professional development initiatives.
* Serve as a key point of contact for residents/fellows, faculty, and institutional stakeholders.
**Administrative and Financial Management (20%)**
* Develop and manage program budgets, purchasing, and reimbursement processes.
* Coordinate scheduling and logistics for program meetings, educational sessions, and conferences.
* Maintain accurate records for payroll, stipends, and benefits in collaboration with Human Resources and Finance.
* Support reporting requirements to institutional, state, and accrediting agencies.
**Knowledge/Skills/Abilities/Expectations**
* Advanced knowledge of ACGME, NRMP, ERAS, and related regulatory requirements.
* Proficiency with residency management systems (e.g., MedHub, New Innovations, Thalamus).
* Strong organizational, analytical, and problem\-solving skills.
* Excellent interpersonal and communication skills, with ability to interact effectively with physicians, residents, and administrative staff.
* Ability to manage multiple priorities, meet deadlines, and maintain confidentiality.
* Demonstrated proficiency in Microsoft Office Suite (Word, Excel, Outlook, PowerPoint).
* Work is primarily sedentary, requiring frequent use of computers and telephones.
* Occasional lifting of materials up to 20 pounds may be required.
* Standard office environment within a hospital or academic setting.
* Occasional evening or weekend work may be required to support program activities.
**Qualifications** **Education**
* Bachelor’s degree in healthcare administration, business administration, education, or a related field required.
* Master’s degree preferred.
**Licenses/Certifications**
* None required.
* Certification as a Training Administrators of Graduate Medical Education (TAGME) (preferred)
**Experience**
* Minimum of three (3\) years of experience in graduate medical education program administration or academic healthcare setting required.
* Prior experience with ACGME\-accredited programs preferred.</t>
        </is>
      </c>
    </row>
    <row r="38">
      <c r="A38" t="inlineStr">
        <is>
          <t>in-3762e4d07eeb1a9e</t>
        </is>
      </c>
      <c r="B38" t="inlineStr">
        <is>
          <t>Program Manager-West Health Accelerator</t>
        </is>
      </c>
      <c r="C38" t="inlineStr">
        <is>
          <t>Northwestern Medicine</t>
        </is>
      </c>
      <c r="D38" t="inlineStr">
        <is>
          <t>indeed</t>
        </is>
      </c>
      <c r="E38" t="inlineStr"/>
      <c r="F38" t="inlineStr"/>
      <c r="G38" t="inlineStr">
        <is>
          <t>Chicago, IL, US</t>
        </is>
      </c>
      <c r="H38" s="2" t="n">
        <v>46040</v>
      </c>
      <c r="I38" t="inlineStr">
        <is>
          <t>The salary range for this position is $42\.76 \- $59\.86 (Hourly Rate)  
Placement within the salary range is dependent on several factors such as relevant work experience and internal equity. For positions represented by a labor union, placement within the salary range is guided by the rules outlined in the collective bargaining agreement.  
We offer a wide range of benefits that provide employees with tools and resources to improve their physical, emotional, and financial well\-being while providing protection for unexpected life events. Please visit our Benefits section located at jobs.nm.org/benefits to learn more.  
Northwestern Medicine is powered by a community of colleagues who are purpose\-driven and committed to our mission to deliver world\-class care. Here, you'll work alongside some of the best clinical talent in the nation leading the way in medical innovation and breakthrough research with Northwestern University Feinberg School of Medicine.  
We recognize where you've been, and we support where you're headed. We celebrate diverse perspectives and experiences, which fuel our commitment to equity and culture of service.  
Grow your career with comprehensive training and development opportunities, mentorship programs, educational support and student loan repayment.  
Create the life you envision for yourself with flexible work options, a Reimbursable Well\-Being Fund and a Total Rewards package that support your physical, mental, emotional, and financial well\-being.  
Make a difference through volunteer opportunities we offer in local communities and drive inclusive change through our workforce\-led resource groups.  
From discovery to delivery, come help us shape the future of medicine.  
**Benefits:**
* $10,000 Tuition Reimbursement per year ($5,700 part\-time)
* $10,000 Student Loan Repayment ($5,000 part\-time)
* $1,000 Professional Development per year ($500 part\-time)
* $250 Wellbeing Fund per year ($125 for part\-time)
* Matching 401(k)
* Excellent medical, dental and vision coverage
* Life insurance
* Annual Employee Salary Increase and Incentive Bonus
* Paid time off and Holiday pay
**Description**
The **Program Manager**reflects the mission, vision, and values of NM, adheres to the organization’s Code of Ethics and Corporate Compliance Program, and complies with all relevant policies, procedures, guidelines and all other regulatory and accreditation standards.
The Program Manager will lead planning and implementation activities for Northwestern Memorial HealthCare. This will include developing work plans and metrics, the monitoring of work plans and metrics to assure activities are on\-time and on\-budget, coordinating the internal and external resources to execute activities, and completing activities as assigned. The Program Manager will work closely with managers, directors and clinicians to develop work plans, metrics and resources to achieve the department’s strategic goals and objectives.
**Responsibilities:**
* Responsible for developing and managing the following for assigned projects: budgets, resource allocation, information distribution, meeting facilitation and overall performance reporting.
* Apply standard project management methodologies throughout the project lifecycle including analysis, design, implementation, verification as well as value measurement definition.
* Utilize project management tools to ensure accuracy for planning, procurement and budgeting.
* Participate in analyst activities such as requirements analysis, resource identification, solution definition, white paper development, implementation/work plan development, design, system testing, training plans and rollout strategies.
* Manage day to day operational aspects of a project and scope and effectively minimizes exposure and risk.
* Prepare and reviews deliverables for leadership approval. Ensure project documents are complete, current, and stored appropriately.
* Establish and execute effective and efficient communication mechanisms which enable continuous exchange of project status, ideas and information, project developments among team members, NM Executives (project sponsors) and vendor partners.
* Establish and maintain effective communications regarding project status.
* Work within project budget to ensure that expenditures are integrated with the NMHC Long Term Financial Plan and Annual Capital Budget.
* Provides leadership and guidance required to effectively define, plan and implement projects.
* Responsible for developing and maintaining productive and cordial relationships with clients and team members, serving as a link between multiple parties and entities. Must be able to effectively manage problems that arise within the project team or issues with clients, and recommend mitigation strategies as needed to achieve the desired results.
* Create and execute project work plans and revises as appropriate to meet changing needs and requirements.
* Other duties as assigned.
**Qualifications**
**Required****:**
* Bachelor Degree in Business Administration, Healthcare Management, Communications or related field.
* Five (5\) to eight (8\) years’ experience in a relevant role.
* Strong Knowledge of Microsoft: Word, Excel, Power Point, Project.
* Demonstrated project management and organizational skills, demonstrated analysis and problem solving skills, excellent oral and communication skills, demonstrated ability to effectively establish and maintain working relationships with peers and constituents at all levels of the organization.
 **Preferred****:**
* Master’s degree in MBA or MHA preferred; required in place of work experience.
**Equal Opportunity**
Northwestern Medicine is an equal opportunity employer (disability, VETS) and does not discriminate in hiring or employment on the basis of age, sex, race, color, religion, national origin, gender identity, veteran status, disability, sexual orientation or any other protected status.
**Background Check**
Northwestern Medicine conducts a background check that includes criminal history on newly hired team members and, at times, internal transfers. If you are offered a position with us, you will be required to complete an authorization and disclosure form that gives Northwestern Medicine permission to run the background check. Results are evaluated on a case\-by\-case basis, and we follow all local, state, and federal laws, including the Illinois Health Care Worker Background Check Act.
**Artificial Intelligence Disclosure**
Artificial Intelligence (AI) tools may be used in some portions of the candidate review process for this position, however, all employment decisions will be made by a person.
**Benefits**
We offer a wide range of benefits that provide employees with tools and resources to improve their physical, emotional, and financial well\-being while providing protection for unexpected life events. Please visit our Benefits section to learn more.
**Sign\-on Bonus Eligibility:** Internal employees and rehires who left Northwestern Medicine within 1 year are not eligible for the sign on bonus. Exception: New graduate internal employees seeking their first licensed clinical position at NM may be eligible depending upon the job family.</t>
        </is>
      </c>
    </row>
    <row r="39">
      <c r="A39" t="inlineStr">
        <is>
          <t>in-2b676e27b5718161</t>
        </is>
      </c>
      <c r="B39" t="inlineStr">
        <is>
          <t>Program Manager-Urology</t>
        </is>
      </c>
      <c r="C39" t="inlineStr">
        <is>
          <t>Northwestern Medicine</t>
        </is>
      </c>
      <c r="D39" t="inlineStr">
        <is>
          <t>indeed</t>
        </is>
      </c>
      <c r="E39" t="inlineStr"/>
      <c r="F39" t="inlineStr"/>
      <c r="G39" t="inlineStr">
        <is>
          <t>Chicago, IL, US</t>
        </is>
      </c>
      <c r="H39" s="2" t="n">
        <v>46040</v>
      </c>
      <c r="I39" t="inlineStr">
        <is>
          <t>The salary range for this position is $42\.76 \- $59\.86 (Hourly Rate)  
Placement within the salary range is dependent on several factors such as relevant work experience and internal equity. For positions represented by a labor union, placement within the salary range is guided by the rules outlined in the collective bargaining agreement.  
We offer a wide range of benefits that provide employees with tools and resources to improve their physical, emotional, and financial well\-being while providing protection for unexpected life events. Please visit our Benefits section located at jobs.nm.org/benefits to learn more.  
Northwestern Medicine is powered by a community of colleagues who are purpose\-driven and committed to our mission to deliver world\-class care. Here, you'll work alongside some of the best clinical talent in the nation leading the way in medical innovation and breakthrough research with Northwestern University Feinberg School of Medicine.  
We recognize where you've been, and we support where you're headed. We celebrate diverse perspectives and experiences, which fuel our commitment to equity and culture of service.  
Grow your career with comprehensive training and development opportunities, mentorship programs, educational support and student loan repayment.  
Create the life you envision for yourself with flexible work options, a Reimbursable Well\-Being Fund and a Total Rewards package that support your physical, mental, emotional, and financial well\-being.  
Make a difference through volunteer opportunities we offer in local communities and drive inclusive change through our workforce\-led resource groups.  
From discovery to delivery, come help us shape the future of medicine.  
**Benefits:**
* $10,000 Tuition Reimbursement per year ($5,700 part\-time)
* $10,000 Student Loan Repayment ($5,000 part\-time)
* $1,000 Professional Development per year ($500 part\-time)
* $250 Wellbeing Fund per year ($125 for part\-time)
* Matching 401(k)
* Excellent medical, dental and vision coverage
* Life insurance
* Annual Employee Salary Increase and Incentive Bonus
* Paid time off and Holiday pay
**Description**
The **Program Manager**reflects the mission, vision, and values of NM, adheres to the organization’s Code of Ethics and Corporate Compliance Program, and complies with all relevant policies, procedures, guidelines and all other regulatory and accreditation standards.
The Program Manager will lead planning and implementation activities for Northwestern Memorial HealthCare. This will include developing work plans and metrics, the monitoring of work plans and metrics to assure activities are on\-time and on\-budget, coordinating the internal and external resources to execute activities, and completing activities as assigned. The Program Manager will work closely with managers, directors and clinicians to develop work plans, metrics and resources to achieve the department’s strategic goals and objectives.
**Responsibilities:**
* Responsible for developing and managing the following for assigned projects: budgets, resource allocation, information distribution, meeting facilitation and overall performance reporting.
* Apply standard project management methodologies throughout the project lifecycle including analysis, design, implementation, verification as well as value measurement definition.
* Utilize project management tools to ensure accuracy for planning, procurement and budgeting.
* Participate in analyst activities such as requirements analysis, resource identification, solution definition, white paper development, implementation/work plan development, design, system testing, training plans and rollout strategies.
* Manage day to day operational aspects of a project and scope and effectively minimizes exposure and risk.
* Prepare and reviews deliverables for leadership approval. Ensure project documents are complete, current, and stored appropriately.
* Establish and execute effective and efficient communication mechanisms which enable continuous exchange of project status, ideas and information, project developments among team members, NM Executives (project sponsors) and vendor partners.
* Establish and maintain effective communications regarding project status.
* Work within project budget to ensure that expenditures are integrated with the NMHC Long Term Financial Plan and Annual Capital Budget.
* Provides leadership and guidance required to effectively define, plan and implement projects.
* Responsible for developing and maintaining productive and cordial relationships with clients and team members, serving as a link between multiple parties and entities. Must be able to effectively manage problems that arise within the project team or issues with clients, and recommend mitigation strategies as needed to achieve the desired results.
* Create and execute project work plans and revises as appropriate to meet changing needs and requirements.
* Other duties as assigned.
**Qualifications**
**Required****:**
* Bachelor Degree in Business Administration, Healthcare Management, Communications or related field.
* Five (5\) to eight (8\) years’ experience in a relevant role.
* Strong Knowledge of Microsoft: Word, Excel, Power Point, Project.
* Demonstrated project management and organizational skills, demonstrated analysis and problem solving skills, excellent oral and communication skills, demonstrated ability to effectively establish and maintain working relationships with peers and constituents at all levels of the organization.
 **Preferred****:**
* Master’s degree in MBA or MHA preferred; required in place of work experience.
**Equal Opportunity**
Northwestern Medicine is an equal opportunity employer (disability, VETS) and does not discriminate in hiring or employment on the basis of age, sex, race, color, religion, national origin, gender identity, veteran status, disability, sexual orientation or any other protected status.
**Background Check**
Northwestern Medicine conducts a background check that includes criminal history on newly hired team members and, at times, internal transfers. If you are offered a position with us, you will be required to complete an authorization and disclosure form that gives Northwestern Medicine permission to run the background check. Results are evaluated on a case\-by\-case basis, and we follow all local, state, and federal laws, including the Illinois Health Care Worker Background Check Act.
**Artificial Intelligence Disclosure**
Artificial Intelligence (AI) tools may be used in some portions of the candidate review process for this position, however, all employment decisions will be made by a person.
**Benefits**
We offer a wide range of benefits that provide employees with tools and resources to improve their physical, emotional, and financial well\-being while providing protection for unexpected life events. Please visit our Benefits section to learn more.
**Sign\-on Bonus Eligibility:** Internal employees and rehires who left Northwestern Medicine within 1 year are not eligible for the sign on bonus. Exception: New graduate internal employees seeking their first licensed clinical position at NM may be eligible depending upon the job family.</t>
        </is>
      </c>
    </row>
    <row r="40">
      <c r="A40" t="inlineStr">
        <is>
          <t>in-e60741d2877d5857</t>
        </is>
      </c>
      <c r="B40" t="inlineStr">
        <is>
          <t>Client Program Manager - PTAN</t>
        </is>
      </c>
      <c r="C40" t="inlineStr">
        <is>
          <t>Arcadis</t>
        </is>
      </c>
      <c r="D40" t="inlineStr">
        <is>
          <t>indeed</t>
        </is>
      </c>
      <c r="E40" t="inlineStr"/>
      <c r="F40" t="inlineStr"/>
      <c r="G40" t="inlineStr">
        <is>
          <t>Boston, MA, US</t>
        </is>
      </c>
      <c r="H40" s="2" t="n">
        <v>46036</v>
      </c>
      <c r="I40" t="inlineStr">
        <is>
          <t>Arcadis is the world's leading company delivering sustainable design, engineering, and consultancy solutions for natural and built assets.
We are more than 36,000 people, in over 70 countries, dedicated to improving quality of life. Everyone has an important role to play. With the power of many curious minds, together we can solve the world’s most complex challenges and deliver more impact together.
**Role description:**
Arcadis is seeking a **Client Program Manager** **– PTAN** for our team in Boston. Successful candidates will have spent at least 20 years in progressively responsible positions in project management which includes transit infrastructure projects. Ideal candidates will have worked directly for a large metropolitan public transit agency as an employee or direct consultant and will have operational knowledge of alternative project delivery methods and all phases of $1B\+ capital project execution.
**Role accountabilities:**
* Provide strategic advisory support across client accounts, including pursuit and bid strategies, proposal reviews, and recommendations on key personnel to strengthen win strategies and project delivery outcomes.
* Develop and tailor technical approaches and client\-focused solutions, advising on teaming strategies and consultant selection to best support project objectives, risks, and value drivers.
* Provide project delivery oversight and technical advisory services, including support for project set\-up planning and remote oversight to ensure alignment with scope, schedule, quality, and client expectations.
* Support client meetings, account planning, and pursuit strategy development for regional clients, with virtual collaboration across other regions as needed.
* Communicate effectively with internal and external stakeholders through clear written and verbal communication, including preparation and delivery of presentations to clients and public audiences.
**Qualifications \&amp; Experience:**
* Bachelor’s Degree in Engineering, Architecture, or Construction Management or related field.
* Professional licensure as a P.E., AIA, or CCM.
* Minimum fifteen (20\) years in a lead role for Project and/or Construction Management experience required to include rail/transit construction
Why Arcadis?
We can only achieve our goals when everyone is empowered to be their best. We believe everyone's contribution matters. It’s why we are pioneering a skills\-based approach, where you can harness your unique experience and expertise to carve your career path and maximize the impact we can make together.
You’ll do meaningful work, and no matter what role, you’ll be helping to deliver sustainable solutions for a more prosperous planet. Make your mark, on your career, your colleagues, your clients, your life and the world around you.
Together, we can create a lasting legacy.
Our Commitment to Equality, Diversity, Inclusion \&amp; Belonging
We want you to be able to bring your best self to work every day which is why we take equality and inclusion seriously and hold ourselves to account for our actions. Our ambition is to be an employer of choice and provide a great place to work for all our people. We are an equal opportunity and affirmative action employer. Women, minorities, people with disabilities and veterans are strongly encouraged to apply. We are dedicated to a policy of non\-discrimination in employment on any basis including race, creed, color, religion, national origin, sex, age, disability, marital status, sexual orientation, gender identity, citizenship status, disability, veteran status, or any other basis prohibited by law.
Join Arcadis. Create a Legacy.
\#LI\-BB1</t>
        </is>
      </c>
    </row>
    <row r="41">
      <c r="A41" t="inlineStr">
        <is>
          <t>in-2402205dbe1ab582</t>
        </is>
      </c>
      <c r="B41" t="inlineStr">
        <is>
          <t>Program Manager (Event Planner)</t>
        </is>
      </c>
      <c r="C41" t="inlineStr">
        <is>
          <t>BCD</t>
        </is>
      </c>
      <c r="D41" t="inlineStr">
        <is>
          <t>indeed</t>
        </is>
      </c>
      <c r="E41" t="inlineStr"/>
      <c r="F41" t="inlineStr"/>
      <c r="G41" t="inlineStr">
        <is>
          <t>New York, NY, US</t>
        </is>
      </c>
      <c r="H41" s="2" t="n">
        <v>46035</v>
      </c>
      <c r="I41" t="inlineStr">
        <is>
          <t>**About Us:**
At BCD Meetings \&amp; Events (BCD M\&amp;E), we provide more than meeting and event planning services: we create connections that inspire, motivate and change behavior for our customers. As the world’s most trusted and innovative meetings and events agency, BCD M\&amp;E cultivates a culture of people, passion and purpose to drive business forward.
Headquartered in Chicago, with locations in 50\+ countries across the world, BCD M\&amp;E’s team of 1,800\+ people are committed to sustainability and driving success for our customers, our business and ourselves. Our values are at the heart of everything we do, and we look for people that want to be a part of something special, can rise to our standards and love to bring their unique perspective to the table.
While we can’t guarantee every day will be the best (who can?), we can promise a community of people who genuinely care and lead with empathy, a flexible workplace with awesome perks and challenging work that means something.
See what life is about at BCD M\&amp;E at bcdme.com/careers
 **About the Role**  
Ready to take center stage in the world of meetings and events? As our Event Planner, you'll be the mastermind behind some of the most exciting events, all while being the key advisor for operational and financial strategies. With your expert touch, you'll ensure every meeting runs like a well\-oiled machine, all from our client's vibrant New York office. Join us in creating memorable experiences that leave a lasting impact!
 **You're Good At:**
* Managing multiple meetings and events with precision and flair.
* Building and maintaining positive relationships with clients and suppliers.
* Overseeing budgets and ensuring all financial aspects are on point.
* Coaching and guiding team members to deliver top\-notch client satisfaction.
* Proactively identifying process improvements for maximum efficiency.
 **You Might Also Have:**
* A college degree (bonus points if you have a Bachelor's).
* At least three (3\) years of experience in a lead meeting/event planner role, particularly in the financial services industry.
* Strong experience in vendor management, sourcing, and contract negotiation.
* Proficiency in tools like Cvent and video conferencing platforms (Teams, Zoom, Webex).
* A positive, collaborative attitude with exceptional communication skills.
 **You Should Know**
* This is an office based (5 days) role in New York, New York. Candidates must be located in commuting distance to midtown Manhattan.
* 30% Travel may be required for this role.
 **Excited to bring your expertise to life? We can’t wait to see your application and have you join our dynamic team!**
 **THE PERKS**
 **Flexible Working**  
We believe that a flexible working environment is key to getting the best out of our teams. We will support you to work where you need to and when you need to, depending on how you work best.
 **Room to Grow**  
Our line of work and business structure challenge our people in a way that inspires growth, with learning and development built into every role. We give individuals ownership over the direction and speed in which they grow.
 **Everyone has a voice**  
We thrive on conversations that spark curiosity and empathy. No matter how big or how small, every voice is heard, considered and respected.
 **Make your move**  
The diversity of roles across BCD M\&amp;E’s global locations means that our people often find new adventures during their time with us. Join us as a meeting planner role in the UK, stay for a global marketing career — there’s always room to move.
 **We’ve got you covered**  
Our extensive benefits include comprehensive healthcare, retirement plans, continued education support, diverse work locations, travel and hotel discounts, volunteer and sustainability opportunities and a successful employee recognition program.
 **We’re positive. You’ll love it.**  
It starts from the top. Our leaders lead with positivity, believe in our people and trust us to do the right thing. There will always be support along your journey, in little and big ways.
 *We carefully consider a wide range of compensation factors, including your professional background and experience. The salary range for candidates in applicable jurisdictions in the US for the position of Program Manager (Event Planner)* *is between $75,000 \- $100,000\. The actual pay depends on your skills, qualifications, experience, geographical location, and project budget.*
\#LI\-LZ1  
\#LI\-KW1
\#LI\-Hybrid
\#LI\-Onsite</t>
        </is>
      </c>
    </row>
    <row r="42">
      <c r="A42" t="inlineStr">
        <is>
          <t>in-1f275ec8f349fa99</t>
        </is>
      </c>
      <c r="B42" t="inlineStr">
        <is>
          <t>Agile Sr. Program Manager</t>
        </is>
      </c>
      <c r="C42" t="inlineStr">
        <is>
          <t>Liberty Mutual Insurance</t>
        </is>
      </c>
      <c r="D42" t="inlineStr">
        <is>
          <t>indeed</t>
        </is>
      </c>
      <c r="E42" t="inlineStr"/>
      <c r="F42" t="inlineStr"/>
      <c r="G42" t="inlineStr">
        <is>
          <t>Indianapolis, IN, US</t>
        </is>
      </c>
      <c r="H42" s="2" t="n">
        <v>46027</v>
      </c>
      <c r="I42" t="inlineStr">
        <is>
          <t>**Description**Do you thrive on tackling challenging, cross\-team projects and driving tangible outcomes in fast\-paced environments?
We’re looking for a dynamic Sr Agile Program Manager to lead transformative initiatives within our **US Retail Markets (USRM) Finance organization**, focusing on the **Billing, Payments, and Fraud portfolios.**
In this high\-impact role, you’ll drive major modernization projects and spearhead the rollout of cutting\-edge functionality, including AI\-powered solutions that set us apart in the market. You’ll orchestrate delivery across multiple products and cross\-functional teams, partnering closely with Engineering Managers, Solution Architects, Product Owners, and external vendors.
If you’re passionate about leading complex, multi\-team programs and thrive in a fast\-paced, collaborative environment, we want you on our team! A strong foundation in Agile/Scrum is essential, as well as a commitment to hands\-on delivery and continuous learning.
Join us and help shape the future of finance technology—where your leadership will make a real difference.
**Responsibilities:**
**Delivery Leadership \&amp; Execution**
* Champion the end\-to\-end delivery lifecycle: drive predictable, high\-quality increments that meet scope, business, and regulatory standards.
* Lead daily execution and sprint planning, ensuring cross\-functional teams consistently deliver impactful outcomes on schedule.
* Plan and facilitate all key cadence\-based Agile ceremonies (refinement, planning, reviews, retrospectives) with a strong focus on value delivery, outcome orientation, and time\-box discipline.
* Partner closely with Product Owners to shape a prioritized, customer\-focused backlog and define release scope; ensure work is sliced for optimal flow and maximum business value.
* Oversee and coordinate release planning, production readiness, and change management across multiple teams, vendor platforms, and integration partners.
* Drive the adoption of advanced capabilities, including AI and machine learning, in support of business goals across billing, payments, and fraud portfolios.
**Cross\-Team Orchestration \&amp; Dependency Management**
* Orchestrate delivery and manage dependencies across the Finance technology portfolio, maintaining transparency through robust dependency boards and integrated roadmaps.
* Facilitate cross\-team synchronization, joint planning sessions, and collaborative forums with adjacent teams and stakeholders.
* Proactively identify, escalate, and resolve impediments, risks, and conflicts to maintain program momentum and ensure delivery focus.
**Agile Practice Excellence \&amp; Organizational Agility**
* Apply pragmatic Lean\-Agile methods (Scrum, Kanban, XP, etc.) tailored to team and initiative context, driving measurable improvements in flow, collaboration, and quality.
* Champion best\-in\-class engineering quality practices (CI/CD, test automation, code reviews, pairing) in partnership with engineering leads and solution architects.
* Leverage key flow and quality metrics (throughput, cycle/lead time, WIP, flow efficiency, release predictability, defect rates) to inform data\-driven decision making and drive continuous improvement.
* Contribute to the Agile Community of Practice, sharing innovative approaches, effective delivery patterns, and lessons learned to elevate organization\-wide agility and foster a culture of continuous learning.
**Stakeholder Communication \&amp; Transparency**
* Deliver clear, concise, and timely updates on delivery status, risks, mitigation strategies, and key decisions to senior stakeholders across Finance and USRM integration partners.
* Proactively facilitate strategic decision\-making by ensuring the right information reaches the right stakeholders at the right time and context.
* Foster strong relationships with business and technology leaders, acting as a trusted advisor and advocate for Agile delivery excellence.
**Qualifications*** Proven expertise in **delivery execution and program planning**, with a demonstrated ability to lead day\-to\-day operations for large\-scale initiatives, ensuring consistent delivery of high\-quality, compliant solutions within defined scope.
* Bachelor’s degree in a relevant discipline (e.g., Business, Computer Science, Humanities) and a minimum of 6 years of related professional experience.
* Advanced Scrum certification (CSM, CSP, PSM II/III, or equivalent) highly desirable.
* Hands\-on experience with Scaled Agile Framework (SAFe) is preferred.
* Knowledge or training equivalent to advanced (second\-level or higher) Lean\-Agile certifications from recognized organizations is a plus, though not required.
* Experience contributing to multiple Agile teams across diverse environments and contexts.
* Deep understanding of business processes, operational strategies, and organizational objectives, with the ability to connect technology solutions to business value.
* Strong commitment to continuous learning in Lean\-Agile practices—evidenced by ongoing education such as training, conferences, participation in user groups, cohorts, or self\-study.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43">
      <c r="A43" t="inlineStr">
        <is>
          <t>in-ecb28c97eb945527</t>
        </is>
      </c>
      <c r="B43" t="inlineStr">
        <is>
          <t>Agile Sr. Program Manager</t>
        </is>
      </c>
      <c r="C43" t="inlineStr">
        <is>
          <t>Liberty Mutual Insurance</t>
        </is>
      </c>
      <c r="D43" t="inlineStr">
        <is>
          <t>indeed</t>
        </is>
      </c>
      <c r="E43" t="inlineStr"/>
      <c r="F43" t="inlineStr"/>
      <c r="G43" t="inlineStr">
        <is>
          <t>Boston, MA, US</t>
        </is>
      </c>
      <c r="H43" s="2" t="n">
        <v>46027</v>
      </c>
      <c r="I43" t="inlineStr">
        <is>
          <t>**Description**Do you thrive on tackling challenging, cross\-team projects and driving tangible outcomes in fast\-paced environments?
We’re looking for a dynamic Sr Agile Program Manager to lead transformative initiatives within our **US Retail Markets (USRM) Finance organization**, focusing on the **Billing, Payments, and Fraud portfolios.**
In this high\-impact role, you’ll drive major modernization projects and spearhead the rollout of cutting\-edge functionality, including AI\-powered solutions that set us apart in the market. You’ll orchestrate delivery across multiple products and cross\-functional teams, partnering closely with Engineering Managers, Solution Architects, Product Owners, and external vendors.
If you’re passionate about leading complex, multi\-team programs and thrive in a fast\-paced, collaborative environment, we want you on our team! A strong foundation in Agile/Scrum is essential, as well as a commitment to hands\-on delivery and continuous learning.
Join us and help shape the future of finance technology—where your leadership will make a real difference.
**Responsibilities:**
**Delivery Leadership \&amp; Execution**
* Champion the end\-to\-end delivery lifecycle: drive predictable, high\-quality increments that meet scope, business, and regulatory standards.
* Lead daily execution and sprint planning, ensuring cross\-functional teams consistently deliver impactful outcomes on schedule.
* Plan and facilitate all key cadence\-based Agile ceremonies (refinement, planning, reviews, retrospectives) with a strong focus on value delivery, outcome orientation, and time\-box discipline.
* Partner closely with Product Owners to shape a prioritized, customer\-focused backlog and define release scope; ensure work is sliced for optimal flow and maximum business value.
* Oversee and coordinate release planning, production readiness, and change management across multiple teams, vendor platforms, and integration partners.
* Drive the adoption of advanced capabilities, including AI and machine learning, in support of business goals across billing, payments, and fraud portfolios.
**Cross\-Team Orchestration \&amp; Dependency Management**
* Orchestrate delivery and manage dependencies across the Finance technology portfolio, maintaining transparency through robust dependency boards and integrated roadmaps.
* Facilitate cross\-team synchronization, joint planning sessions, and collaborative forums with adjacent teams and stakeholders.
* Proactively identify, escalate, and resolve impediments, risks, and conflicts to maintain program momentum and ensure delivery focus.
**Agile Practice Excellence \&amp; Organizational Agility**
* Apply pragmatic Lean\-Agile methods (Scrum, Kanban, XP, etc.) tailored to team and initiative context, driving measurable improvements in flow, collaboration, and quality.
* Champion best\-in\-class engineering quality practices (CI/CD, test automation, code reviews, pairing) in partnership with engineering leads and solution architects.
* Leverage key flow and quality metrics (throughput, cycle/lead time, WIP, flow efficiency, release predictability, defect rates) to inform data\-driven decision making and drive continuous improvement.
* Contribute to the Agile Community of Practice, sharing innovative approaches, effective delivery patterns, and lessons learned to elevate organization\-wide agility and foster a culture of continuous learning.
**Stakeholder Communication \&amp; Transparency**
* Deliver clear, concise, and timely updates on delivery status, risks, mitigation strategies, and key decisions to senior stakeholders across Finance and USRM integration partners.
* Proactively facilitate strategic decision\-making by ensuring the right information reaches the right stakeholders at the right time and context.
* Foster strong relationships with business and technology leaders, acting as a trusted advisor and advocate for Agile delivery excellence.
**Qualifications*** Proven expertise in **delivery execution and program planning**, with a demonstrated ability to lead day\-to\-day operations for large\-scale initiatives, ensuring consistent delivery of high\-quality, compliant solutions within defined scope.
* Bachelor’s degree in a relevant discipline (e.g., Business, Computer Science, Humanities) and a minimum of 6 years of related professional experience.
* Advanced Scrum certification (CSM, CSP, PSM II/III, or equivalent) highly desirable.
* Hands\-on experience with Scaled Agile Framework (SAFe) is preferred.
* Knowledge or training equivalent to advanced (second\-level or higher) Lean\-Agile certifications from recognized organizations is a plus, though not required.
* Experience contributing to multiple Agile teams across diverse environments and contexts.
* Deep understanding of business processes, operational strategies, and organizational objectives, with the ability to connect technology solutions to business value.
* Strong commitment to continuous learning in Lean\-Agile practices—evidenced by ongoing education such as training, conferences, participation in user groups, cohorts, or self\-study.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44">
      <c r="A44" t="inlineStr">
        <is>
          <t>in-b69a8b72110cbded</t>
        </is>
      </c>
      <c r="B44" t="inlineStr">
        <is>
          <t>Agile Sr. Program Manager</t>
        </is>
      </c>
      <c r="C44" t="inlineStr">
        <is>
          <t>Liberty Mutual Insurance</t>
        </is>
      </c>
      <c r="D44" t="inlineStr">
        <is>
          <t>indeed</t>
        </is>
      </c>
      <c r="E44" t="inlineStr"/>
      <c r="F44" t="inlineStr"/>
      <c r="G44" t="inlineStr">
        <is>
          <t>Portsmouth, NH, US</t>
        </is>
      </c>
      <c r="H44" s="2" t="n">
        <v>46027</v>
      </c>
      <c r="I44" t="inlineStr">
        <is>
          <t>**Description**Do you thrive on tackling challenging, cross\-team projects and driving tangible outcomes in fast\-paced environments?
We’re looking for a dynamic Sr Agile Program Manager to lead transformative initiatives within our **US Retail Markets (USRM) Finance organization**, focusing on the **Billing, Payments, and Fraud portfolios.**
In this high\-impact role, you’ll drive major modernization projects and spearhead the rollout of cutting\-edge functionality, including AI\-powered solutions that set us apart in the market. You’ll orchestrate delivery across multiple products and cross\-functional teams, partnering closely with Engineering Managers, Solution Architects, Product Owners, and external vendors.
If you’re passionate about leading complex, multi\-team programs and thrive in a fast\-paced, collaborative environment, we want you on our team! A strong foundation in Agile/Scrum is essential, as well as a commitment to hands\-on delivery and continuous learning.
Join us and help shape the future of finance technology—where your leadership will make a real difference.
**Responsibilities:**
**Delivery Leadership \&amp; Execution**
* Champion the end\-to\-end delivery lifecycle: drive predictable, high\-quality increments that meet scope, business, and regulatory standards.
* Lead daily execution and sprint planning, ensuring cross\-functional teams consistently deliver impactful outcomes on schedule.
* Plan and facilitate all key cadence\-based Agile ceremonies (refinement, planning, reviews, retrospectives) with a strong focus on value delivery, outcome orientation, and time\-box discipline.
* Partner closely with Product Owners to shape a prioritized, customer\-focused backlog and define release scope; ensure work is sliced for optimal flow and maximum business value.
* Oversee and coordinate release planning, production readiness, and change management across multiple teams, vendor platforms, and integration partners.
* Drive the adoption of advanced capabilities, including AI and machine learning, in support of business goals across billing, payments, and fraud portfolios.
**Cross\-Team Orchestration \&amp; Dependency Management**
* Orchestrate delivery and manage dependencies across the Finance technology portfolio, maintaining transparency through robust dependency boards and integrated roadmaps.
* Facilitate cross\-team synchronization, joint planning sessions, and collaborative forums with adjacent teams and stakeholders.
* Proactively identify, escalate, and resolve impediments, risks, and conflicts to maintain program momentum and ensure delivery focus.
**Agile Practice Excellence \&amp; Organizational Agility**
* Apply pragmatic Lean\-Agile methods (Scrum, Kanban, XP, etc.) tailored to team and initiative context, driving measurable improvements in flow, collaboration, and quality.
* Champion best\-in\-class engineering quality practices (CI/CD, test automation, code reviews, pairing) in partnership with engineering leads and solution architects.
* Leverage key flow and quality metrics (throughput, cycle/lead time, WIP, flow efficiency, release predictability, defect rates) to inform data\-driven decision making and drive continuous improvement.
* Contribute to the Agile Community of Practice, sharing innovative approaches, effective delivery patterns, and lessons learned to elevate organization\-wide agility and foster a culture of continuous learning.
**Stakeholder Communication \&amp; Transparency**
* Deliver clear, concise, and timely updates on delivery status, risks, mitigation strategies, and key decisions to senior stakeholders across Finance and USRM integration partners.
* Proactively facilitate strategic decision\-making by ensuring the right information reaches the right stakeholders at the right time and context.
* Foster strong relationships with business and technology leaders, acting as a trusted advisor and advocate for Agile delivery excellence.
**Qualifications*** Proven expertise in **delivery execution and program planning**, with a demonstrated ability to lead day\-to\-day operations for large\-scale initiatives, ensuring consistent delivery of high\-quality, compliant solutions within defined scope.
* Bachelor’s degree in a relevant discipline (e.g., Business, Computer Science, Humanities) and a minimum of 6 years of related professional experience.
* Advanced Scrum certification (CSM, CSP, PSM II/III, or equivalent) highly desirable.
* Hands\-on experience with Scaled Agile Framework (SAFe) is preferred.
* Knowledge or training equivalent to advanced (second\-level or higher) Lean\-Agile certifications from recognized organizations is a plus, though not required.
* Experience contributing to multiple Agile teams across diverse environments and contexts.
* Deep understanding of business processes, operational strategies, and organizational objectives, with the ability to connect technology solutions to business value.
* Strong commitment to continuous learning in Lean\-Agile practices—evidenced by ongoing education such as training, conferences, participation in user groups, cohorts, or self\-study.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45">
      <c r="A45" t="inlineStr">
        <is>
          <t>in-3795cbe68b3178f1</t>
        </is>
      </c>
      <c r="B45" t="inlineStr">
        <is>
          <t>Sr. Product Manager, AWS Server Supply Chain</t>
        </is>
      </c>
      <c r="C45" t="inlineStr">
        <is>
          <t>Amazon.com</t>
        </is>
      </c>
      <c r="D45" t="inlineStr">
        <is>
          <t>indeed</t>
        </is>
      </c>
      <c r="E45" t="inlineStr"/>
      <c r="F45" t="inlineStr"/>
      <c r="G45" t="inlineStr">
        <is>
          <t>Cupertino, CA, US</t>
        </is>
      </c>
      <c r="H45" s="2" t="n">
        <v>45956</v>
      </c>
      <c r="I4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in-84da8e345768b747</t>
        </is>
      </c>
      <c r="B46" t="inlineStr">
        <is>
          <t>Sr. Product Manager, AWS Server Supply Chain</t>
        </is>
      </c>
      <c r="C46" t="inlineStr">
        <is>
          <t>Amazon.com</t>
        </is>
      </c>
      <c r="D46" t="inlineStr">
        <is>
          <t>indeed</t>
        </is>
      </c>
      <c r="E46" t="inlineStr"/>
      <c r="F46" t="inlineStr"/>
      <c r="G46" t="inlineStr">
        <is>
          <t>Seattle, WA, US</t>
        </is>
      </c>
      <c r="H46" s="2" t="n">
        <v>45956</v>
      </c>
      <c r="I4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in-b9ab140c63afbe6d</t>
        </is>
      </c>
      <c r="B47" t="inlineStr">
        <is>
          <t>Sr. Product Manager, AWS Server Supply Chain</t>
        </is>
      </c>
      <c r="C47" t="inlineStr">
        <is>
          <t>Amazon.com</t>
        </is>
      </c>
      <c r="D47" t="inlineStr">
        <is>
          <t>indeed</t>
        </is>
      </c>
      <c r="E47" t="inlineStr"/>
      <c r="F47" t="inlineStr"/>
      <c r="G47" t="inlineStr">
        <is>
          <t>Austin, TX, US</t>
        </is>
      </c>
      <c r="H47" s="2" t="n">
        <v>45956</v>
      </c>
      <c r="I4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in-cf06ad4efea4f100</t>
        </is>
      </c>
      <c r="B48" t="inlineStr">
        <is>
          <t>Sr. Supply Chain Product Manager, Amazon Custom Modules</t>
        </is>
      </c>
      <c r="C48" t="inlineStr">
        <is>
          <t>Amazon.com</t>
        </is>
      </c>
      <c r="D48" t="inlineStr">
        <is>
          <t>indeed</t>
        </is>
      </c>
      <c r="E48" t="inlineStr"/>
      <c r="F48" t="inlineStr"/>
      <c r="G48" t="inlineStr">
        <is>
          <t>Seattle, WA, US</t>
        </is>
      </c>
      <c r="H48" s="2" t="n">
        <v>45935</v>
      </c>
      <c r="I4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in-2f34e6d9b9f58137</t>
        </is>
      </c>
      <c r="B49" t="inlineStr">
        <is>
          <t>Sr. Supply Chain Product Manager, Amazon Custom Modules</t>
        </is>
      </c>
      <c r="C49" t="inlineStr">
        <is>
          <t>Amazon.com</t>
        </is>
      </c>
      <c r="D49" t="inlineStr">
        <is>
          <t>indeed</t>
        </is>
      </c>
      <c r="E49" t="inlineStr"/>
      <c r="F49" t="inlineStr"/>
      <c r="G49" t="inlineStr">
        <is>
          <t>Cupertino, CA, US</t>
        </is>
      </c>
      <c r="H49" s="2" t="n">
        <v>45935</v>
      </c>
      <c r="I4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in-75398b1658cdc2d6</t>
        </is>
      </c>
      <c r="B50" t="inlineStr">
        <is>
          <t>Sr. Supply Chain Product Manager, Amazon Custom Modules</t>
        </is>
      </c>
      <c r="C50" t="inlineStr">
        <is>
          <t>Amazon.com</t>
        </is>
      </c>
      <c r="D50" t="inlineStr">
        <is>
          <t>indeed</t>
        </is>
      </c>
      <c r="E50" t="inlineStr"/>
      <c r="F50" t="inlineStr"/>
      <c r="G50" t="inlineStr">
        <is>
          <t>Austin, TX, US</t>
        </is>
      </c>
      <c r="H50" s="2" t="n">
        <v>45935</v>
      </c>
      <c r="I5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in-290d61d038c56d7e</t>
        </is>
      </c>
      <c r="B51" t="inlineStr">
        <is>
          <t>Amazon Last Mile Fleet Program Manager, In Life Services-Recalls, Retrofits, and Tires</t>
        </is>
      </c>
      <c r="C51" t="inlineStr">
        <is>
          <t>Amazon.com</t>
        </is>
      </c>
      <c r="D51" t="inlineStr">
        <is>
          <t>indeed</t>
        </is>
      </c>
      <c r="E51" t="inlineStr"/>
      <c r="F51" t="inlineStr"/>
      <c r="G51" t="inlineStr">
        <is>
          <t>Bellevue, WA, US</t>
        </is>
      </c>
      <c r="H51" s="2" t="n">
        <v>45911</v>
      </c>
      <c r="I5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in-aedad73c7b5cea56</t>
        </is>
      </c>
      <c r="B52" t="inlineStr">
        <is>
          <t>Amazon Last Mile Fleet Program Manager, In Life Services-Recalls, Retrofits, and Tires</t>
        </is>
      </c>
      <c r="C52" t="inlineStr">
        <is>
          <t>Amazon.com</t>
        </is>
      </c>
      <c r="D52" t="inlineStr">
        <is>
          <t>indeed</t>
        </is>
      </c>
      <c r="E52" t="inlineStr"/>
      <c r="F52" t="inlineStr"/>
      <c r="G52" t="inlineStr">
        <is>
          <t>Arlington, VA, US</t>
        </is>
      </c>
      <c r="H52" s="2" t="n">
        <v>45911</v>
      </c>
      <c r="I5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in-554f0e0206b73ab9</t>
        </is>
      </c>
      <c r="B53" t="inlineStr">
        <is>
          <t>Amazon Last Mile Fleet Program Manager, In Life Services-Recalls, Retrofits, and Tires</t>
        </is>
      </c>
      <c r="C53" t="inlineStr">
        <is>
          <t>Amazon.com</t>
        </is>
      </c>
      <c r="D53" t="inlineStr">
        <is>
          <t>indeed</t>
        </is>
      </c>
      <c r="E53" t="inlineStr"/>
      <c r="F53" t="inlineStr"/>
      <c r="G53" t="inlineStr">
        <is>
          <t>Nashville, TN, US</t>
        </is>
      </c>
      <c r="H53" s="2" t="n">
        <v>45911</v>
      </c>
      <c r="I5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in-e19165bb45e6aaa0</t>
        </is>
      </c>
      <c r="B54" t="inlineStr">
        <is>
          <t>Sr Materials Program Manager, Ring Supply Chain and Operations</t>
        </is>
      </c>
      <c r="C54" t="inlineStr">
        <is>
          <t>Amazon.com</t>
        </is>
      </c>
      <c r="D54" t="inlineStr">
        <is>
          <t>indeed</t>
        </is>
      </c>
      <c r="E54" t="inlineStr"/>
      <c r="F54" t="inlineStr"/>
      <c r="G54" t="inlineStr">
        <is>
          <t>Hawthorne, CA, US</t>
        </is>
      </c>
      <c r="H54" s="2" t="n">
        <v>45898</v>
      </c>
      <c r="I54"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in-3e8432061abbe193</t>
        </is>
      </c>
      <c r="B55" t="inlineStr">
        <is>
          <t>Sr Materials Program Manager, Ring Supply Chain and Operations</t>
        </is>
      </c>
      <c r="C55" t="inlineStr">
        <is>
          <t>Amazon.com</t>
        </is>
      </c>
      <c r="D55" t="inlineStr">
        <is>
          <t>indeed</t>
        </is>
      </c>
      <c r="E55" t="inlineStr"/>
      <c r="F55" t="inlineStr"/>
      <c r="G55" t="inlineStr">
        <is>
          <t>Sunnyvale, CA, US</t>
        </is>
      </c>
      <c r="H55" s="2" t="n">
        <v>45898</v>
      </c>
      <c r="I55"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in-457a0418a64261af</t>
        </is>
      </c>
      <c r="B56" t="inlineStr">
        <is>
          <t>Senior Product Manager - Tech, Fire TV</t>
        </is>
      </c>
      <c r="C56" t="inlineStr">
        <is>
          <t>Amazon.com</t>
        </is>
      </c>
      <c r="D56" t="inlineStr">
        <is>
          <t>indeed</t>
        </is>
      </c>
      <c r="E56" t="inlineStr"/>
      <c r="F56" t="inlineStr"/>
      <c r="G56" t="inlineStr">
        <is>
          <t>Sunnyvale, CA, US</t>
        </is>
      </c>
      <c r="H56" s="2" t="n">
        <v>45855</v>
      </c>
      <c r="I56"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in-f31d25ea22b6c10a</t>
        </is>
      </c>
      <c r="B57" t="inlineStr">
        <is>
          <t>Senior Product Manager - Tech, Fire TV</t>
        </is>
      </c>
      <c r="C57" t="inlineStr">
        <is>
          <t>Amazon.com</t>
        </is>
      </c>
      <c r="D57" t="inlineStr">
        <is>
          <t>indeed</t>
        </is>
      </c>
      <c r="E57" t="inlineStr"/>
      <c r="F57" t="inlineStr"/>
      <c r="G57" t="inlineStr">
        <is>
          <t>Seattle, WA, US</t>
        </is>
      </c>
      <c r="H57" s="2" t="n">
        <v>45855</v>
      </c>
      <c r="I57"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in-1e3a5b264889053a</t>
        </is>
      </c>
      <c r="B58" t="inlineStr">
        <is>
          <t>Principal Product Manager Tech - Devices, Fire TV Devices</t>
        </is>
      </c>
      <c r="C58" t="inlineStr">
        <is>
          <t>Amazon.com</t>
        </is>
      </c>
      <c r="D58" t="inlineStr">
        <is>
          <t>indeed</t>
        </is>
      </c>
      <c r="E58" t="inlineStr"/>
      <c r="F58" t="inlineStr"/>
      <c r="G58" t="inlineStr">
        <is>
          <t>Sunnyvale, CA, US</t>
        </is>
      </c>
      <c r="H58" s="2" t="n">
        <v>45844</v>
      </c>
      <c r="I58"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in-947512310c4dfbb2</t>
        </is>
      </c>
      <c r="B59" t="inlineStr">
        <is>
          <t>Principal Product Manager Tech - Devices, Fire TV Devices</t>
        </is>
      </c>
      <c r="C59" t="inlineStr">
        <is>
          <t>Amazon.com</t>
        </is>
      </c>
      <c r="D59" t="inlineStr">
        <is>
          <t>indeed</t>
        </is>
      </c>
      <c r="E59" t="inlineStr"/>
      <c r="F59" t="inlineStr"/>
      <c r="G59" t="inlineStr">
        <is>
          <t>Seattle, WA, US</t>
        </is>
      </c>
      <c r="H59" s="2" t="n">
        <v>45844</v>
      </c>
      <c r="I59"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in-8815b6dab7585605</t>
        </is>
      </c>
      <c r="B60" t="inlineStr">
        <is>
          <t>Principal Product Manager-Technical, AGI, Artificial General Intellgence</t>
        </is>
      </c>
      <c r="C60" t="inlineStr">
        <is>
          <t>Amazon.com</t>
        </is>
      </c>
      <c r="D60" t="inlineStr">
        <is>
          <t>indeed</t>
        </is>
      </c>
      <c r="E60" t="inlineStr"/>
      <c r="F60" t="inlineStr"/>
      <c r="G60" t="inlineStr">
        <is>
          <t>Bellevue, WA, US</t>
        </is>
      </c>
      <c r="H60" s="2" t="n">
        <v>45824</v>
      </c>
      <c r="I60"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in-829341b492d7fff5</t>
        </is>
      </c>
      <c r="B61" t="inlineStr">
        <is>
          <t>Sr. Product Manager Technical, Deal Tooling &amp; Insights, Strategic Customer Engagements</t>
        </is>
      </c>
      <c r="C61" t="inlineStr">
        <is>
          <t>Amazon Web Services</t>
        </is>
      </c>
      <c r="D61" t="inlineStr">
        <is>
          <t>indeed</t>
        </is>
      </c>
      <c r="E61" t="inlineStr"/>
      <c r="F61" t="inlineStr"/>
      <c r="G61" t="inlineStr">
        <is>
          <t>New York, NY, US</t>
        </is>
      </c>
      <c r="H61" s="2" t="n">
        <v>45994</v>
      </c>
      <c r="I6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2">
      <c r="A62" t="inlineStr">
        <is>
          <t>in-41359b5a110904cc</t>
        </is>
      </c>
      <c r="B62" t="inlineStr">
        <is>
          <t>Sr. Product Manager Technical, Deal Tooling &amp; Insights, Strategic Customer Engagements</t>
        </is>
      </c>
      <c r="C62" t="inlineStr">
        <is>
          <t>Amazon Web Services</t>
        </is>
      </c>
      <c r="D62" t="inlineStr">
        <is>
          <t>indeed</t>
        </is>
      </c>
      <c r="E62" t="inlineStr"/>
      <c r="F62" t="inlineStr"/>
      <c r="G62" t="inlineStr">
        <is>
          <t>Austin, TX, US</t>
        </is>
      </c>
      <c r="H62" s="2" t="n">
        <v>45994</v>
      </c>
      <c r="I6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3">
      <c r="A63" t="inlineStr">
        <is>
          <t>in-9666bf438eb04ccc</t>
        </is>
      </c>
      <c r="B63" t="inlineStr">
        <is>
          <t>Sr. Product Manager Technical, Deal Tooling &amp; Insights, Strategic Customer Engagements</t>
        </is>
      </c>
      <c r="C63" t="inlineStr">
        <is>
          <t>Amazon Web Services</t>
        </is>
      </c>
      <c r="D63" t="inlineStr">
        <is>
          <t>indeed</t>
        </is>
      </c>
      <c r="E63" t="inlineStr"/>
      <c r="F63" t="inlineStr"/>
      <c r="G63" t="inlineStr">
        <is>
          <t>Arlington, VA, US</t>
        </is>
      </c>
      <c r="H63" s="2" t="n">
        <v>45994</v>
      </c>
      <c r="I6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4">
      <c r="A64" t="inlineStr">
        <is>
          <t>in-f12ccd91350c5208</t>
        </is>
      </c>
      <c r="B64" t="inlineStr">
        <is>
          <t>Sr. Product Manager Technical, Deal Tooling &amp; Insights, Strategic Customer Engagements</t>
        </is>
      </c>
      <c r="C64" t="inlineStr">
        <is>
          <t>Amazon Web Services</t>
        </is>
      </c>
      <c r="D64" t="inlineStr">
        <is>
          <t>indeed</t>
        </is>
      </c>
      <c r="E64" t="inlineStr"/>
      <c r="F64" t="inlineStr"/>
      <c r="G64" t="inlineStr">
        <is>
          <t>Dallas, TX, US</t>
        </is>
      </c>
      <c r="H64" s="2" t="n">
        <v>45994</v>
      </c>
      <c r="I6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5">
      <c r="A65" t="inlineStr">
        <is>
          <t>in-ec2fe2697da879c6</t>
        </is>
      </c>
      <c r="B65" t="inlineStr">
        <is>
          <t>Sr. Product Manager Technical, Deal Tooling &amp; Insights, Strategic Customer Engagements</t>
        </is>
      </c>
      <c r="C65" t="inlineStr">
        <is>
          <t>Amazon Web Services</t>
        </is>
      </c>
      <c r="D65" t="inlineStr">
        <is>
          <t>indeed</t>
        </is>
      </c>
      <c r="E65" t="inlineStr"/>
      <c r="F65" t="inlineStr"/>
      <c r="G65" t="inlineStr">
        <is>
          <t>Seattle, WA, US</t>
        </is>
      </c>
      <c r="H65" s="2" t="n">
        <v>45994</v>
      </c>
      <c r="I6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6">
      <c r="A66" t="inlineStr">
        <is>
          <t>in-ded752ff5481df77</t>
        </is>
      </c>
      <c r="B66" t="inlineStr">
        <is>
          <t>Sr. Product Manager Technical, Deal Tooling &amp; Insights, Strategic Customer Engagements</t>
        </is>
      </c>
      <c r="C66" t="inlineStr">
        <is>
          <t>Amazon Web Services</t>
        </is>
      </c>
      <c r="D66" t="inlineStr">
        <is>
          <t>indeed</t>
        </is>
      </c>
      <c r="E66" t="inlineStr"/>
      <c r="F66" t="inlineStr"/>
      <c r="G66" t="inlineStr">
        <is>
          <t>Herndon, VA, US</t>
        </is>
      </c>
      <c r="H66" s="2" t="n">
        <v>45994</v>
      </c>
      <c r="I6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7">
      <c r="A67" t="inlineStr">
        <is>
          <t>in-32db642c3008ee90</t>
        </is>
      </c>
      <c r="B67" t="inlineStr">
        <is>
          <t>Principal Product Manager - Technical, Alexa Communications</t>
        </is>
      </c>
      <c r="C67" t="inlineStr">
        <is>
          <t>Amazon.com</t>
        </is>
      </c>
      <c r="D67" t="inlineStr">
        <is>
          <t>indeed</t>
        </is>
      </c>
      <c r="E67" t="inlineStr"/>
      <c r="F67" t="inlineStr"/>
      <c r="G67" t="inlineStr">
        <is>
          <t>Irvine, CA, US</t>
        </is>
      </c>
      <c r="H67" s="2" t="n">
        <v>45993</v>
      </c>
      <c r="I6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in-d5f0d158dfe4225c</t>
        </is>
      </c>
      <c r="B68" t="inlineStr">
        <is>
          <t>Principal Product Manager - Technical, Alexa Communications</t>
        </is>
      </c>
      <c r="C68" t="inlineStr">
        <is>
          <t>Amazon.com</t>
        </is>
      </c>
      <c r="D68" t="inlineStr">
        <is>
          <t>indeed</t>
        </is>
      </c>
      <c r="E68" t="inlineStr"/>
      <c r="F68" t="inlineStr"/>
      <c r="G68" t="inlineStr">
        <is>
          <t>Seattle, WA, US</t>
        </is>
      </c>
      <c r="H68" s="2" t="n">
        <v>45993</v>
      </c>
      <c r="I6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in-a8d20f344ca0acbc</t>
        </is>
      </c>
      <c r="B69" t="inlineStr">
        <is>
          <t>Principal Product Manager - Technical, Alexa Communications</t>
        </is>
      </c>
      <c r="C69" t="inlineStr">
        <is>
          <t>Amazon.com</t>
        </is>
      </c>
      <c r="D69" t="inlineStr">
        <is>
          <t>indeed</t>
        </is>
      </c>
      <c r="E69" t="inlineStr"/>
      <c r="F69" t="inlineStr"/>
      <c r="G69" t="inlineStr">
        <is>
          <t>Sunnyvale, CA, US</t>
        </is>
      </c>
      <c r="H69" s="2" t="n">
        <v>45993</v>
      </c>
      <c r="I6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in-86508d8ef478d541</t>
        </is>
      </c>
      <c r="B70" t="inlineStr">
        <is>
          <t>Senior Product Manager - Technical, Alexa Communications</t>
        </is>
      </c>
      <c r="C70" t="inlineStr">
        <is>
          <t>Amazon.com</t>
        </is>
      </c>
      <c r="D70" t="inlineStr">
        <is>
          <t>indeed</t>
        </is>
      </c>
      <c r="E70" t="inlineStr"/>
      <c r="F70" t="inlineStr"/>
      <c r="G70" t="inlineStr">
        <is>
          <t>Sunnyvale, CA, US</t>
        </is>
      </c>
      <c r="H70" s="2" t="n">
        <v>45851</v>
      </c>
      <c r="I7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in-8a68cfd6e7c9e4e5</t>
        </is>
      </c>
      <c r="B71" t="inlineStr">
        <is>
          <t>Senior Product Manager - Technical, Alexa Communications</t>
        </is>
      </c>
      <c r="C71" t="inlineStr">
        <is>
          <t>Amazon.com</t>
        </is>
      </c>
      <c r="D71" t="inlineStr">
        <is>
          <t>indeed</t>
        </is>
      </c>
      <c r="E71" t="inlineStr"/>
      <c r="F71" t="inlineStr"/>
      <c r="G71" t="inlineStr">
        <is>
          <t>Seattle, WA, US</t>
        </is>
      </c>
      <c r="H71" s="2" t="n">
        <v>45851</v>
      </c>
      <c r="I71"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in-9a0a200e50c56344</t>
        </is>
      </c>
      <c r="B72" t="inlineStr">
        <is>
          <t>Technical Program Manager III, Developer AI Enablement, Core</t>
        </is>
      </c>
      <c r="C72" t="inlineStr">
        <is>
          <t>Google</t>
        </is>
      </c>
      <c r="D72" t="inlineStr">
        <is>
          <t>indeed</t>
        </is>
      </c>
      <c r="E72" t="inlineStr"/>
      <c r="F72" t="inlineStr"/>
      <c r="G72" t="inlineStr">
        <is>
          <t>Sunnyvale, CA, US</t>
        </is>
      </c>
      <c r="H72" s="2" t="n">
        <v>46041</v>
      </c>
      <c r="I72" t="inlineStr">
        <is>
          <t>### **Minimum qualifications:**
* Bachelor's degree in a technical field, or equivalent practical experience.
* 5 years of experience in program management.
* Experience in a technical engineering role (e.g., software engineer, machine learning engineer, research software engineer, infrastructure engineer, etc.).
* Experience leading or contributing to generative AI programs (e.g., Large Language Models (LLMs), model serving infrastructure, or AI\-powered software features).
### **Preferred qualifications:**
* 5 years of experience managing cross\-functional or cross\-team projects.
* Experience launching consumer or enterprise\-grade artificial intelligence/maching learning products.
* Experience developing or scaling developer productivity tools to improve the software development lifecycle (SDLC).
* Experience with machine learning operations or DevOps practices, including the management of automated CI/CD pipelines.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Developer AI team in Google Core is transforming the way software development is carried out at Google. We are bringing new capabilities based on the latest AI research to Googler developers, and leading the tech industry’s evolution of how software is built. Our goal is to make it easy for all developers to improve the world by creating fast, high\-quality, and trustworthy experiences with the best technology from Google and the open source ecosystem.
In this role, you will support critical programs in the Developer AI portfolio. You will help operationalize the roadmap for AI\-powered features. You will partner closely with the TPM, Product, and Engineering to facilitate the delivery of advanced AI capabilities, ensuring execution alignment and operational efficiency across these key technical verticals.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Support the end\-to\-end delivery of initiatives within the vertical, specifically focused on models and serving infrastructure.
* Partner with cross\-functional teams to facilitate execution for key internal products, ensuring alignment with broader engineering goals.
* Drive roadmap planning and dependency management, coordinating across model development, back\-end infrastructure, and serving teams.
* Establish and maintain operational feedback loops to measure program health, iterating based on performance data for model\-serving and knowledge\-retrieval systems.
* Manage stakeholder communication and reporting for multiple verticals, ensuring clarity and alignment across the core developer organization and partner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3">
      <c r="A73" t="inlineStr">
        <is>
          <t>in-eea9ab7c5500f3d6</t>
        </is>
      </c>
      <c r="B73" t="inlineStr">
        <is>
          <t>Principal Product Manager - Tech, Recommender Systems, Prime Video Personalization &amp; Discovery</t>
        </is>
      </c>
      <c r="C73" t="inlineStr">
        <is>
          <t>Amazon.com</t>
        </is>
      </c>
      <c r="D73" t="inlineStr">
        <is>
          <t>indeed</t>
        </is>
      </c>
      <c r="E73" t="inlineStr"/>
      <c r="F73" t="inlineStr"/>
      <c r="G73" t="inlineStr">
        <is>
          <t>Washington, DC, US</t>
        </is>
      </c>
      <c r="H73" s="2" t="n">
        <v>45753</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in-bd73b0d58a5804fb</t>
        </is>
      </c>
      <c r="B74" t="inlineStr">
        <is>
          <t>Principal Product Manager - Tech, Recommender Systems, Prime Video Personalization &amp; Discovery</t>
        </is>
      </c>
      <c r="C74" t="inlineStr">
        <is>
          <t>Amazon.com</t>
        </is>
      </c>
      <c r="D74" t="inlineStr">
        <is>
          <t>indeed</t>
        </is>
      </c>
      <c r="E74" t="inlineStr"/>
      <c r="F74" t="inlineStr"/>
      <c r="G74" t="inlineStr">
        <is>
          <t>Seattle, WA, US</t>
        </is>
      </c>
      <c r="H74" s="2" t="n">
        <v>45753</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in-5372245dbafc74d4</t>
        </is>
      </c>
      <c r="B75" t="inlineStr">
        <is>
          <t>VIP Acquisition Partnerships and Program Manager</t>
        </is>
      </c>
      <c r="C75" t="inlineStr">
        <is>
          <t>DraftKings</t>
        </is>
      </c>
      <c r="D75" t="inlineStr">
        <is>
          <t>indeed</t>
        </is>
      </c>
      <c r="E75">
        <f>HYPERLINK("https://www.indeed.com/viewjob?jk=5372245dbafc74d4", "https://www.indeed.com/viewjob?jk=5372245dbafc74d4")</f>
        <v/>
      </c>
      <c r="F75">
        <f>HYPERLINK("https://click.appcast.io/t/bto8P8C2sCtdxFbpSCrzXZL5V2IYg_b9E4ag-pTxPP8=", "https://click.appcast.io/t/bto8P8C2sCtdxFbpSCrzXZL5V2IYg_b9E4ag-pTxPP8=")</f>
        <v/>
      </c>
      <c r="G75" t="inlineStr">
        <is>
          <t>Boston, MA, US</t>
        </is>
      </c>
      <c r="H75" s="3" t="n">
        <v>46042</v>
      </c>
      <c r="I75"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 **The Crown Is Yours**
As a VIP Acquisition Partnerships and Program Manager, you’ll sit at the forefront of our high\-impact strategy to grow the VIP customer base. Reporting to the Head of VIP Acquisition \&amp; Lifecycle, you’ll lead and expand a dynamic portfolio of partnerships while driving initiatives that attract and convert top\-tier customers. You’ll collaborate cross\-functionally to build standout programs, deliver memorable activations, and drive measurable results.
### **What you’ll do as a VIP Acquisition Partnerships and Program Manager**
* Lead the development, execution, and optimization of DraftKings’ VIP Acquisition partnerships portfolio.
* Partner with Business Development and Growth Marketing to identify, evaluate, and launch new VIP partnerships.
* Build and execute integrated VIP Acquisition initiatives and experiential events that align with strategic goals.
* Manage cross\-functional collaboration across Player Development, Events, Gifting, Partnerships, Content Operations, and Revenue Operations.
* Own budget oversight for all VIP Acquisition initiatives, ensuring alignment to ROI and strategic priorities.
* Serve as the primary point of contact for key partners, vendors, and stakeholders across initiatives.
* Deliver detailed performance reporting and recommendations to leadership, driving continuous improvement.
### **What you’ll bring**
* At least 6 years of experience in Partnerships, Business Development, or a related field.
* Bachelor’s Degree in Business, Marketing, or a related discipline (or equivalent experience).
* Demonstrated success leading large\-scale programs and managing multiple projects at once.
* Strong cross\-functional communication and stakeholder management skills.
* Experience presenting recommendations and performance insights to senior leadership.
* A data\-informed mindset with strong business judgment and a focus on ROI.
* Background in planning and executing events, activations, or experiential campaigns is a plus.
* Ability to obtain and maintain required State Gaming Licenses.
* Flexibility to travel and work non\-standard hours as needed.
\#LI\-KJ1
###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108,000\.00 USD \- 135,000\.00 USD, plus bonus, equity, and benefits as applicable. Our ranges are determined by role, level, and location. The compensation information displayed on each job posting reflects the range for new hire pay rates for the position across all US locations. Within the range, individual pay is determined by work location and additional factors, including job\-related skills, experience, and relevant education or training. Your recruiter can share more about the specific pay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
We know finding a new job can be intimidating. Don't let imposter syndrome stop you from applying! Even if you don't think you tick off every box in this job description, we'd still love for you to apply or join our Talent Community.
DraftKings is proud to be an equal\-opportunity employer. We do not tolerate discrimination of any kind and are committed to providing equal employment opportunities regardless of your gender identity, race, nationality, religion, sexual orientation, status as a protected veteran, or status as an individual with a disability.</t>
        </is>
      </c>
    </row>
    <row r="76">
      <c r="A76" t="inlineStr">
        <is>
          <t>in-6d082259b20c22d6</t>
        </is>
      </c>
      <c r="B76" t="inlineStr">
        <is>
          <t>Program Manager SME Level III</t>
        </is>
      </c>
      <c r="C76" t="inlineStr">
        <is>
          <t>GMRE</t>
        </is>
      </c>
      <c r="D76" t="inlineStr">
        <is>
          <t>indeed</t>
        </is>
      </c>
      <c r="E76">
        <f>HYPERLINK("https://www.indeed.com/viewjob?jk=6d082259b20c22d6", "https://www.indeed.com/viewjob?jk=6d082259b20c22d6")</f>
        <v/>
      </c>
      <c r="F76">
        <f>HYPERLINK("https://recruiting.paylocity.com/recruiting/jobs/Details/3855949/GMRE/Program-Manager-SME-Level-III?source=Indeed_Feed", "https://recruiting.paylocity.com/recruiting/jobs/Details/3855949/GMRE/Program-Manager-SME-Level-III?source=Indeed_Feed")</f>
        <v/>
      </c>
      <c r="G76" t="inlineStr">
        <is>
          <t>Warner Robins, GA, US</t>
        </is>
      </c>
      <c r="H76" s="3" t="n">
        <v>46042</v>
      </c>
      <c r="I76" t="inlineStr">
        <is>
          <t>Description:
**POSITION SUMMARY**
* Program Manager SME to support the Air Force Life Cycle Management Center (AFLCMC) M\- Code Aviation Receiver (MAR) Joint Program Office (JPO) at Warner Robins, GA. **This position is contingent upon contract award.**
* The Air Force Life Cycle Management Center (AFLCMC) M\- Code Aviation Receiver (MAR) Joint Program Office (JPO) manages systems to provide precise positioning, navigation, and timing information to a variety of Department of Defense (DoD) weapon systems.
* These systems include but are not limited to the Software Defined User Equipment (SDUE), Miniaturized Airborne GPS Receiver (MAGR) 2000, Embedded GPS/Inertial Navigation System (EGI), Defense Advanced GPS Receiver (DAGR), GPS Antenna System 1 (GAS\-1\), Advanced Digital Antenna Production System (ADAP), GPS Antennas, Antenna Electronics (AE), Resilient Embedded GPS/INS (R\-EGI), Military GPS User Equipment (MGUE); Air Force Vanguard Transition programs, and alternative navigation capabilities.
* Some systems are in initial development and many of these systems are undergoing significant modernization efforts to respond to new threats, improve supportability, improve long\-term resiliency, and adopt open architecture standards, and digital engineering best practices. Modernization efforts are underway for both the MAGR\-2K and the EGI receiver systems in support of aircraft modernization efforts. Additionally, R\-EGI and SDUE are in rapid development using innovative acquisition approaches.
**KEY RESPONSIBILITIES**
* SERVES AS THE SINGLE POINT OF CONTACT BETWEEN THE CONTRACTOR AND THE GOVERNMENT.
* PROVIDES OVERALL PROGRAM MANAGEMENT, COORDINATION WITH THE COR AND GOVERNMENT STAFF, AND ISSUE ESCALATION
* AUTHORIZED TO MANAGE CONTRACTOR AND THIRD\-PARTY ACTIVITIES TO MEET CONTRACT REQUIREMENTS
* ENSURES CONTINUITY OF PERFORMANCE AND NOTIFIES THE GOVERNMENT OF PERSONNEL REASSIGNMENTS WITHIN 2 BUSINESS DAYS
* DELIVERS REQUIRED MONTHLY STATUS REPORTS AND ANNUAL PROGRAM ACCOMPLISHMENT REPORTS; ACTS AS SITE MANAGER
* MANAGES MULTIPLE CONCURRENT PROJECTS ACROSS PRE\-AWARD, MODERNIZATION, PRODUCTION, AND SUSTAINMENT PHASES
* ALLOCATES AND MANAGES RESOURCES (PERSONNEL, COST, RISK) AND ENSURES HIGH\-QUALITY DELIVERABLES
* IDENTIFIES, MITIGATES, AND MANAGES PROGRAM AND TECHNICAL RISKS
* PROVIDES PRODUCTION AND SUSTAINMENT SUPPORT, INCLUDING LOGISTICS, ACQUISITION PLANNING, AND SUSTAINMENT ENGINEERING TO ENSURE FLEET READINESS
* SUPPORTS ACQUISITION PLANNING BY DEVELOPING MARKET RESEARCH, ESIS AND ASP STRATEGIES, COST ESTIMATES, AND INTEGRATED MASTER SCHEDULES
* DEVELOPS AND MANAGES TECHNICAL CONTRACT DOCUMENTS (PWS, CDRLS, QASP, SRD, ETC.)
* EVALUATES OEM ENGINEERING CHANGE PROPOSALS AND TECHNICAL SUBMITTALS; DOCUMENTS FINDINGS IN COMMENT RESOLUTION MATRICES
* PARTICIPATES IN OEM PROGRAM REVIEWS, TECHNICAL INTERCHANGE MEETINGS, AND REQUIREMENTS REVIEWS
* PROVIDES SUSTAINMENT ENGINEERING SUPPORT INCLUDING FAILURE ANALYSIS, DEFICIENCY REPORTING, OBSOLESCENCE MANAGEMENT, AND PRODUCT IMPROVEMENTS
* SUPPORTS SERVICE LIFE EXTENSION, TECHNOLOGY REFRESH, AND SYSTEM MODERNIZATION WHILE ENSURING OPERATIONAL SAFETY AND EFFECTIVENESS
* SUPPORTS MULTI\-GNSS USER EQUIPMENT PROGRAM EXECUTION, INCLUDING DESIGN REVIEWS, TRADE STUDIES, CONFIGURATION MANAGEMENT, AND RISK REDUCTION
* ASSISTS IN EVALUATING MODERNIZATION EFFORTS TO ENSURE NO DEGRADATION OF LEGACY CAPABILITIES
* SUPPORTS DEVELOPMENT OF FOLLOW\-ON OEM CONTRACTUAL DOCUMENTS AND TECHNICAL EVALUATION OF PROPOSALS IN RESPONSE TO RFPS
**TECHNICAL SUPPORT**
* TEST \&amp; EVALUATION
* DEVELOP, EXECUTE, AND EVALUATE TESTING FOR SYSTEM PERFORMANCE, INTEROPERABILITY, RELIABILITY, AND CYBERSECURITY
* CREATE AND REVIEW TEST PLANS, STRATEGIES, AND PROCEDURES; SUPPORT THE INTEGRATED TEST TEAM (ITT)
* APPLY A BUILDING\-BLOCK TEST APPROACH FROM SUBASSEMBLY THROUGH SYSTEM AND PLATFORM LEVELS
* SUPPORT CYBER TABLETOP ACTIVITIES AND GOVERNMENT LABORATORY CYBER TESTING
* ENSURE COMBINED DEVELOPMENTAL AND OPERATIONAL TESTING AT THE PLATFORM LEVEL
* REVIEW AND OVERSEE CONTRACTOR TEST EXECUTION; INCORPORATE NAVWAR MULTI\-GNSS LEGACY TEST LESSONS LEARNED
* PLATFORM, WEAPONS, AND MULTI\-GNSS INTEGRATION
* SUPPORT INTEGRATION OF MULTI\-GNSS AND NAVIGATION SUBSYSTEMS INTO DOD FIXED\-WING AND ROTOR AIRCRAFT
* ENSURE DESIGNS AND TECHNICAL DATA SUPPORT AIRWORTHINESS, SECURITY APPROVALS (ATO), AND MIL\-STD\-1553 MESSAGING
* REVIEW INTERFACE CONTROL DOCUMENTS (ICDS) AND SUPPORT SYSTEM INTEGRATION LAB (SIL) TESTING
* OPEN ARCHITECTURE
* RECOMMEND OPEN ARCHITECTURE FRAMEWORKS TO ACCELERATE INTEGRATION INTO DOD PLATFORMS
* IDENTIFY KEY INTERFACES, DATA FLOWS, AND ALTERNATIVE NAVIGATION CAPABILITIES
* SUPPORT HARDWARE/SOFTWARE PARTITIONING TO REDUCE RECERTIFICATION AND REGRESSION TESTING
* DEVELOP AND ADVISE ON MOSA COMPLIANCE AND OPEN STANDARDS (SOSA, FACE, OMS, VITA, ASPN)
* POSITION, NAVIGATION \&amp; TIMING (PNT)
* SUPPORT DEVELOPMENT AND TECHNICAL REVIEW OF MULTI\-GNSS AND NAVIGATION SUBSYSTEMS
* ENSURE PLATFORM PERFORMANCE IS MAINTAINED OR IMPROVED FOR PNT
* SUPPORT GPS SECURITY CERTIFICATION, NAVWAR COMPLIANCE, MSO CERTIFICATION, AIRWORTHINESS, AND NAVIGATION ASSURANCE
* SYSTEMS ENGINEERING
* TRANSLATE REQUIREMENTS INTO DESIGNS, SPECIFICATIONS, AND SYSTEM ARCHITECTURES
* MANAGE AND PRIORITIZE REQUIREMENTS; SUPPORT TRADE STUDIES AND PROGRAM EXECUTION DECISIONS
* APPLY MODEL\-BASED SYSTEMS ENGINEERING (MBSE) BEST PRACTICES AND MANAGE SYSTEM MODELS
* DEVELOP THE SYSTEMS ENGINEERING PLAN (SEP), SEMP, AND SUPPORTING DOCUMENTATION
* SUPPORT DESIGN REVIEWS, CONFIGURATION AUDITS, RISK ASSESSMENTS, AND SYSTEMS SECURITY ENGINEERING
* MANUFACTURING ENGINEERING
* EVALUATE CONTRACTOR MANUFACTURING READINESS
* PREPARE AND SUPPORT MANUFACTURING READINESS ASSESSMENTS (MRAS) FOR PRODUCTION DECISIONS
* RECEIVER AND PLATFORM INTEGRATION
* SUPPORT END\-TO\-END RECEIVER AND PLATFORM INTEGRATION WITH DOD AIRCRAFT CUSTOMERS
* TRACK AND RESOLVE TECHNICAL REQUIREMENTS AND DEPENDENCIES ACROSS PROGRAMS OF RECORD
* MANAGE MASTER SCHEDULES AND COMMUNICATE PNT CAPABILITIES AND TRADE SPACE SOLUTIONS
* INTEGRATION WORKING GROUPS
* COORDINATE AND MANAGE WORKING GROUP MEETINGS, ACTION ITEMS, AND MONTHLY STATUS REPORTING
* AIRCRAFT INTEGRATION SCHEDULING
* COORDINATE WITH DOD AIRCRAFT PLATFORMS ON TECHNICAL AND PRODUCTION REQUIREMENTS
* DEVELOP AND MAINTAIN CROSS\-PLATFORM INTEGRATION SCHEDULES AND ROADMAPS FOR RECEIVERS, ANTENNAS, AND WEAPONS
**WHY WORK FOR GMRE?**
GMRE is a small veteran owned company who cares about our employees. We offer health, dental, and vision insurance, 401(k), vacation, Paid Time Off (PTO), or Paid Sick Leave (PSL) based on state laws, paid holidays, and life insurance to all permanent full\-time employees. GMRE’s mission is to provide high quality engineering and technical services to help our customers grow and succeed.
GMRE is an equal opportunity employer. GMRE is committed to making employment decisions based on valid requirements, without regard to age 40 and over, color, disability, gender identity, genetic information, military or veteran status, national origin, race, religion, sex, sexual orientation or any other applicable status protected by state or local laws.
This job description is not designed to cover or contain a comprehensive listing of activities, duties, or responsibilities that are required of the employee. Duties, responsibilities, and activities may change, or new ones may be assigned at any time with or without notice.
Requirements:
**QUALIFICATIONS:**
**EDUCATION AND EXPERIENCE**
* Holds PMP or APDP Level 3 certification
* In\-depth knowledge of Multi\-GNSS programs and PWS tasks
* Master’s or Doctorate Degree in a related field and ten years of experience in the respective technical / professional discipline being performed, five years of which must be in DoD acquisition.
* Or bachelor’s degree in a related field and 12 years of experience in the respective technical/professional discipline being performed, five of which must be in DoD acquisition.
* OR, 15 YEARS OF DIRECTLY RELATED EXPERIENCE WITH PROPER CERTIFICATIONS AS DESCRIBED IN THE PWS LABOR CATEGORY PERFORMANCE REQUIREMENTS, EIGHT OF WHICH MUST BE IN DOD ACQUISITION.
**SKILLS AND COMPETENCIES**
* Exceptional leadership and team\-building capabilities.
* Strong strategic thinking and problem\-solving skills.
* Deep understanding of DoD contracting, compliance, and regulatory requirements.
* Excellent communication and interpersonal skills, with the ability to engage effectively at all levels of the organization.
* Financial acumen and experience with budget development and management.
**PERSONAL ATTRIBUTES**
* Results\-driven with a focus on continuous improvement and operational excellence.
* Collaborative mindset, capable of fostering alignment and teamwork across diverse functions.
* High integrity and ethical standards, with a commitment to company values and customer focus.
**SECURITY CLEARANCE AND OTHER REQUIREMENTS**
* Must have a minimum of an active U.S. TOP SECRET clearance and be subject to a government security investigation.
* Driving or renting a car for company business is expected with some frequency. For insurance purposes, a valid driver’s license is required.
**PHYSICAL REQUIREMENTS**
* Prolonged periods of sitting at a desk and working on a computer.
**TRAVEL REQUIRED**
* Position could travel up to 50% of the time out of state and overnight to fulfill contract requirements.</t>
        </is>
      </c>
    </row>
    <row r="77">
      <c r="A77" t="inlineStr">
        <is>
          <t>in-1f9409cff3f81277</t>
        </is>
      </c>
      <c r="B77" t="inlineStr">
        <is>
          <t>Program Manager SME</t>
        </is>
      </c>
      <c r="C77" t="inlineStr">
        <is>
          <t>GMRE</t>
        </is>
      </c>
      <c r="D77" t="inlineStr">
        <is>
          <t>indeed</t>
        </is>
      </c>
      <c r="E77">
        <f>HYPERLINK("https://www.indeed.com/viewjob?jk=1f9409cff3f81277", "https://www.indeed.com/viewjob?jk=1f9409cff3f81277")</f>
        <v/>
      </c>
      <c r="F77">
        <f>HYPERLINK("https://recruiting.paylocity.com/recruiting/jobs/Details/3855931/GMRE/Program-Manager-SME?source=Indeed_Feed", "https://recruiting.paylocity.com/recruiting/jobs/Details/3855931/GMRE/Program-Manager-SME?source=Indeed_Feed")</f>
        <v/>
      </c>
      <c r="G77" t="inlineStr">
        <is>
          <t>Warner Robins, GA, US</t>
        </is>
      </c>
      <c r="H77" s="3" t="n">
        <v>46042</v>
      </c>
      <c r="I77" t="inlineStr">
        <is>
          <t>Description:
**POSITION SUMMARY**
* Program Manager SME to support the Air Force Life Cycle Management Center (AFLCMC) M\- Code Aviation Receiver (MAR) Joint Program Office (JPO) at Warner Robins, GA. **This position is contingent upon contract award.**
* The Air Force Life Cycle Management Center (AFLCMC) M\- Code Aviation Receiver (MAR) Joint Program Office (JPO) manages systems to provide precise positioning, navigation, and timing information to a variety of Department of Defense (DoD) weapon systems.
* These systems include but are not limited to the Software Defined User Equipment (SDUE), Miniaturized Airborne GPS Receiver (MAGR) 2000, Embedded GPS/Inertial Navigation System (EGI), Defense Advanced GPS Receiver (DAGR), GPS Antenna System 1 (GAS\-1\), Advanced Digital Antenna Production System (ADAP), GPS Antennas, Antenna Electronics (AE), Resilient Embedded GPS/INS (R\-EGI), Military GPS User Equipment (MGUE); Air Force Vanguard Transition programs, and alternative navigation capabilities.
* Some systems are in initial development and many of these systems are undergoing significant modernization efforts to respond to new threats, improve supportability, improve long\-term resiliency, and adopt open architecture standards, and digital engineering best practices. Modernization efforts are underway for both the MAGR\-2K and the EGI receiver systems in support of aircraft modernization efforts. Additionally, R\-EGI and SDUE are in rapid development using innovative acquisition approaches.
**KEY RESPONSIBILITIES**
* SERVE AS A SENIOR ADVISOR AND SUBJECT MATTER EXPERT TO THE MAR JPO ON PROGRAM MANAGEMENT BEST PRACTICES, POLICIES, AND EXECUTION STRATEGIES
* PROVIDE EXPERT GUIDANCE ACROSS THE FULL SYSTEM LIFE CYCLE, INCLUDING REQUIREMENTS DEVELOPMENT, ACQUISITION PLANNING, DEVELOPMENT, TEST, PRODUCTION, FIELDING, AND SUSTAINMENT
* SUPPORT PROGRAM MANAGERS IN PLANNING, EXECUTING, AND CONTROLLING COST, SCHEDULE, AND PERFORMANCE FOR MAR PROGRAMS
* ADVISE ON AIR FORCE, DOD, AND AFLCMC ACQUISITION POLICIES, PROCESSES, AND MILESTONE REQUIREMENTS
* ASSIST IN DEVELOPMENT AND REVIEW OF ACQUISITION STRATEGIES, PROGRAM BASELINES, AND PROGRAM DOCUMENTATION (E.G., SEP, APB, IMS, RISK REGISTERS)
* IDENTIFY PROGRAM RISKS, ISSUES, AND OPPORTUNITIES; RECOMMEND MITIGATION STRATEGIES AND CORRECTIVE ACTIONS
* SUPPORT STAKEHOLDER COORDINATION ACROSS GOVERNMENT, JOINT PARTNERS, INDUSTRY, AND OTHER DOD ORGANIZATIONS
* PROVIDE ANALYSIS AND RECOMMENDATIONS FOR PROGRAM TRADE STUDIES AND DECISION BRIEFS
* SUPPORT EXECUTION OF THE PLANNING, PROGRAMMING, BUDGETING, AND EXECUTION (PPBE) PROCESS IN COORDINATION WITH FINANCIAL AND ACQUISITION TEAMS
* ASSIST WITH CONTRACT EXECUTION OVERSIGHT, INCLUDING PERFORMANCE MONITORING AND ISSUE RESOLUTION
* SUPPORT PREPARATION FOR PROGRAM REVIEWS, MILESTONE DECISIONS, AUDITS, AND SENIOR LEADER BRIEFINGS
* PROVIDE MENTORSHIP AND KNOWLEDGE TRANSFER TO JUNIOR PROGRAM MANAGERS AND INTEGRATED PRODUCT TEAMS (IPTS)
* ENSURE PROGRAM ACTIVITIES ALIGN WITH PNT, NAVWAR, AND M\-CODE MODERNIZATION OBJECTIVES ACROSS SUPPORTED DOD WEAPON SYSTEMS
**WHY WORK FOR GMRE?**
GMRE is a small veteran owned company who cares about our employees. We offer health, dental, and vision insurance, 401(k), vacation, Paid Time Off (PTO), or Paid Sick Leave (PSL) based on state laws, paid holidays, and life insurance to all permanent full\-time employees. GMRE’s mission is to provide high quality engineering and technical services to help our customers grow and succeed.
GMRE is an equal opportunity employer. GMRE is committed to making employment decisions based on valid requirements, without regard to age 40 and over, color, disability, gender identity, genetic information, military or veteran status, national origin, race, religion, sex, sexual orientation or any other applicable status protected by state or local laws.
This job description is not designed to cover or contain a comprehensive listing of activities, duties, or responsibilities that are required of the employee. Duties, responsibilities, and activities may change, or new ones may be assigned at any time with or without notice.
Requirements:
**QUALIFICATIONS:**
**EDUCATION AND EXPERIENCE**
* Holds PMP or APDP Level 3 certification
* In\-depth knowledge of Multi\-GNSS programs and PWS tasks
* Master’s or Doctorate Degree in a related field and ten years of experience in the respective technical / professional discipline being performed, five years of which must be in DoD acquisition.
Or bachelor’s degree in a related field and 12 years of experience in the respective technical/professional discipline being performed, five of which must be in DoD acquisition.
OR, 15 YEARS OF DIRECTLY RELATED EXPERIENCE WITH PROPER CERTIFICATIONS AS DESCRIBED IN THE PWS LABOR CATEGORY PERFORMANCE REQUIREMENTS, EIGHT OF WHICH MUST BE IN DOD ACQUISITION.
**SKILLS AND COMPETENCIES**
* Exceptional leadership and team\-building capabilities.
* Strong strategic thinking and problem\-solving skills.
* Deep understanding of DoD contracting, compliance, and regulatory requirements.
* Excellent communication and interpersonal skills, with the ability to engage effectively at all levels of the organization.
* Financial acumen and experience with budget development and management.
**PERSONAL ATTRIBUTES**
* Results\-driven with a focus on continuous improvement and operational excellence.
* Collaborative mindset, capable of fostering alignment and teamwork across diverse functions.
* High integrity and ethical standards, with a commitment to company values and customer focus.
**SECURITY CLEARANCE AND OTHER REQUIREMENTS**
* Must have a minimum of an active U.S. TOP SECRET clearance and be subject to a government security investigation.
* Driving or renting a car for company business is expected with some frequency. For insurance purposes, a valid driver’s license is required.
**PHYSICAL REQUIREMENTS**
* Prolonged periods of sitting at a desk and working on a computer.
**TRAVEL REQUIRED**
* Position could travel up to 50% of the time out of state and overnight to fulfill contract requirements.</t>
        </is>
      </c>
    </row>
    <row r="78">
      <c r="A78" t="inlineStr">
        <is>
          <t>in-bb567f68b8434c8c</t>
        </is>
      </c>
      <c r="B78" t="inlineStr">
        <is>
          <t>Product Manager, Catalog Quality</t>
        </is>
      </c>
      <c r="C78" t="inlineStr">
        <is>
          <t>Uber</t>
        </is>
      </c>
      <c r="D78" t="inlineStr">
        <is>
          <t>indeed</t>
        </is>
      </c>
      <c r="E78">
        <f>HYPERLINK("https://www.indeed.com/viewjob?jk=bb567f68b8434c8c", "https://www.indeed.com/viewjob?jk=bb567f68b8434c8c")</f>
        <v/>
      </c>
      <c r="F78">
        <f>HYPERLINK("https://tnl2.jometer.com/v2/job?jz=5wqzs80ff52d44ad35a19b262ac306285854cLUAAKAAAAABQ&amp;iis=Job%20Board%20-%20Recruitment%20Marketing&amp;iisn=Indeed%20Organic", "https://tnl2.jometer.com/v2/job?jz=5wqzs80ff52d44ad35a19b262ac306285854cLUAAKAAAAABQ&amp;iis=Job%20Board%20-%20Recruitment%20Marketing&amp;iisn=Indeed%20Organic")</f>
        <v/>
      </c>
      <c r="G78" t="inlineStr">
        <is>
          <t>New York, NY, US</t>
        </is>
      </c>
      <c r="H78" s="3" t="n">
        <v>46042</v>
      </c>
      <c r="I78" t="inlineStr">
        <is>
          <t>**About the Role**
As Uber Eats expands deeper into grocery, retail, convenience, and packaged goods, the scale and complexity of our product catalog is growing exponentially. The Catalog Quality team ensures our catalog is complete, correct, and consistent so customers can trust what they see, shoppers can reliably pick the right items in stores, and merchants and CPGs can understand and improve their performance.
As the Product Manager for Product Taxonomy \&amp; Relationships, you will own the strategy and technical foundation for how products are classified, structured, and related to one another in Uber's catalog. This includes defining category taxonomy, variant relationships, and brand hierarchies that reflect real\-world shopping behavior and scale across verticals.
**What the Candidate Will Do**  
* **Own the strategy and roadmap for core catalog foundations**, defining how products are organized, structured, and related in ways that scale across categories, markets, and verticals.
* **Establish clear principles for product structure and variation**, ensuring products are grouped and differentiated in a way that aligns with real\-world shopping behavior while remaining technically scalable.
* **Partner closely with Engineering and Data Science** to design and evolve systems that improve catalog structure, consistency, and quality at scale, leveraging automation where appropriate.
* **Use data and customer insights** to identify gaps and inconsistencies in catalog structure, prioritize investments, and measure impact on customer and business outcomes.
* **Design operational workflows** to handle ambiguous or high\-judgment cases, balancing automation with targeted human review to maintain quality without sacrificing velocity.
* **Collaborate with cross\-functional partners** to ensure catalog foundations are predictable, well\-governed, and support a broad set of downstream experiences and teams.
**Basic Qualifications**  
* 3\+ years of Product Management experience delivering technically complex platforms or data\-driven products
* Proven ability to translate ambiguous problem spaces into clear strategies and execution plans
* Strong technical intuition and the ability to ask the right questions, evaluate tradeoffs, and make solid decisions in complex, highly technical domains
* Ability to break down complex, ambiguous problem spaces into clear principles, frameworks, and actionable plans
* A rigorous, truth\-seeking mindset and the discipline to dig deep, validate assumptions, and ensure product decisions hold up across all edge cases
* Comfortable working with messy, real\-world operational data and using it to inform how we manage the catalog.
Clear, structured communicator who can break down complex topics, explain the why, and build conviction across cross\-functional partners. Skilled at storytelling, influencing without authority, and collaborating closely with teams to move complex work forward together.a  
* 
**Preferred Qualifications**  
* Strong systems thinking and technical intuition, with the ability to evaluate tradeoffs in complex data and platform domains
* Experience owning foundational platform or data model initiatives with broad downstream impact across multiple teams or products
* Background working in commerce, marketplaces, or large\-scale ecosystems, where product structure, consistency, or governance meaningfully affects user experience and business outcomes
Experience collaborating closely with Engineering and Data Science teams on systems that operate under uncertainty, evolve over time, or require balancing precision, scale, and operational cost  
*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79">
      <c r="A79" t="inlineStr">
        <is>
          <t>in-9a8c8c62f4d49d91</t>
        </is>
      </c>
      <c r="B79" t="inlineStr">
        <is>
          <t>Product Manager, Catalog Quality</t>
        </is>
      </c>
      <c r="C79" t="inlineStr">
        <is>
          <t>Uber</t>
        </is>
      </c>
      <c r="D79" t="inlineStr">
        <is>
          <t>indeed</t>
        </is>
      </c>
      <c r="E79">
        <f>HYPERLINK("https://www.indeed.com/viewjob?jk=9a8c8c62f4d49d91", "https://www.indeed.com/viewjob?jk=9a8c8c62f4d49d91")</f>
        <v/>
      </c>
      <c r="F79">
        <f>HYPERLINK("https://tnl2.jometer.com/v2/job?jz=5wqzs7ad2de1049dcb312608839911613f331LUAAKAAAAABQ&amp;iis=Job%20Board%20-%20Recruitment%20Marketing&amp;iisn=Indeed%20Organic", "https://tnl2.jometer.com/v2/job?jz=5wqzs7ad2de1049dcb312608839911613f331LUAAKAAAAABQ&amp;iis=Job%20Board%20-%20Recruitment%20Marketing&amp;iisn=Indeed%20Organic")</f>
        <v/>
      </c>
      <c r="G79" t="inlineStr">
        <is>
          <t>San Francisco, CA, US</t>
        </is>
      </c>
      <c r="H79" s="3" t="n">
        <v>46042</v>
      </c>
      <c r="I79" t="inlineStr">
        <is>
          <t>**About the Role**
As Uber Eats expands deeper into grocery, retail, convenience, and packaged goods, the scale and complexity of our product catalog is growing exponentially. The Catalog Quality team ensures our catalog is complete, correct, and consistent so customers can trust what they see, shoppers can reliably pick the right items in stores, and merchants and CPGs can understand and improve their performance.
As the Product Manager for Product Taxonomy \&amp; Relationships, you will own the strategy and technical foundation for how products are classified, structured, and related to one another in Uber's catalog. This includes defining category taxonomy, variant relationships, and brand hierarchies that reflect real\-world shopping behavior and scale across verticals.
**What the Candidate Will Do**  
* **Own the strategy and roadmap for core catalog foundations**, defining how products are organized, structured, and related in ways that scale across categories, markets, and verticals.
* **Establish clear principles for product structure and variation**, ensuring products are grouped and differentiated in a way that aligns with real\-world shopping behavior while remaining technically scalable.
* **Partner closely with Engineering and Data Science** to design and evolve systems that improve catalog structure, consistency, and quality at scale, leveraging automation where appropriate.
* **Use data and customer insights** to identify gaps and inconsistencies in catalog structure, prioritize investments, and measure impact on customer and business outcomes.
* **Design operational workflows** to handle ambiguous or high\-judgment cases, balancing automation with targeted human review to maintain quality without sacrificing velocity.
* **Collaborate with cross\-functional partners** to ensure catalog foundations are predictable, well\-governed, and support a broad set of downstream experiences and teams.
**Basic Qualifications**  
* 3\+ years of Product Management experience delivering technically complex platforms or data\-driven products
* Proven ability to translate ambiguous problem spaces into clear strategies and execution plans
* Strong technical intuition and the ability to ask the right questions, evaluate tradeoffs, and make solid decisions in complex, highly technical domains
* Ability to break down complex, ambiguous problem spaces into clear principles, frameworks, and actionable plans
* A rigorous, truth\-seeking mindset and the discipline to dig deep, validate assumptions, and ensure product decisions hold up across all edge cases
* Comfortable working with messy, real\-world operational data and using it to inform how we manage the catalog.
Clear, structured communicator who can break down complex topics, explain the why, and build conviction across cross\-functional partners. Skilled at storytelling, influencing without authority, and collaborating closely with teams to move complex work forward together.a  
* 
**Preferred Qualifications**  
* Strong systems thinking and technical intuition, with the ability to evaluate tradeoffs in complex data and platform domains
* Experience owning foundational platform or data model initiatives with broad downstream impact across multiple teams or products
* Background working in commerce, marketplaces, or large\-scale ecosystems, where product structure, consistency, or governance meaningfully affects user experience and business outcomes
Experience collaborating closely with Engineering and Data Science teams on systems that operate under uncertainty, evolve over time, or require balancing precision, scale, and operational cost  
*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80">
      <c r="A80" t="inlineStr">
        <is>
          <t>in-9cdaa7ff58a18d03</t>
        </is>
      </c>
      <c r="B80" t="inlineStr">
        <is>
          <t>Product Manager II, Uber Gifting</t>
        </is>
      </c>
      <c r="C80" t="inlineStr">
        <is>
          <t>Uber</t>
        </is>
      </c>
      <c r="D80" t="inlineStr">
        <is>
          <t>indeed</t>
        </is>
      </c>
      <c r="E80">
        <f>HYPERLINK("https://www.indeed.com/viewjob?jk=9cdaa7ff58a18d03", "https://www.indeed.com/viewjob?jk=9cdaa7ff58a18d03")</f>
        <v/>
      </c>
      <c r="F80">
        <f>HYPERLINK("https://tnl2.jometer.com/v2/job?jz=5wqzs423e1a7755690a6a10aae2e2672aa5c7LUAAKAAAAABQ&amp;iis=Job%20Board%20-%20Recruitment%20Marketing&amp;iisn=Indeed%20Organic", "https://tnl2.jometer.com/v2/job?jz=5wqzs423e1a7755690a6a10aae2e2672aa5c7LUAAKAAAAABQ&amp;iis=Job%20Board%20-%20Recruitment%20Marketing&amp;iisn=Indeed%20Organic")</f>
        <v/>
      </c>
      <c r="G80" t="inlineStr">
        <is>
          <t>San Francisco, CA, US</t>
        </is>
      </c>
      <c r="H80" s="3" t="n">
        <v>46042</v>
      </c>
      <c r="I80" t="inlineStr">
        <is>
          <t>**About the Role**
Are you passionate about building innovative social and commerce experiences that drive engagement, platform loyalty, and the joy of sharing? At Uber, we're redefining how people show appreciation and stay connected by making our global services from rides, meals, to retail; the ultimate gift.
As a **Product Manager for Uber Gifting**, you will lead the evolution of how millions of users share the magic of Uber with friends, family, and colleagues. You will play a key role in shaping and scaling a global gifting ecosystem\-encompassing physical items, subscriptions, and gift cards. By building seamless gifting products, you'll empower users to unlock Uber's platform for others, driving both new user acquisition and deep\-seated brand affinity.
**What the Candidate Will Do**
* **Drive Innovation**: Develop and execute a visionary roadmap for the financial products portfolio products, introducing groundbreaking features that delight users and drive engagement.
* **Collaborate Cross\-Functionally** : Work closely with engineering, design, marketing, and operations teams to build seamless and personalized gifting experiences across the Uber platform.
* **Understand User Needs** : Dive deep into user research and data analytics to create products that exceed expectations and foster meaningful connections.
* **Forge Strategic Partnerships** : Identify and manage relationships with external partners.
* **Drive Global Impact**: Tailor gifting solutions to resonate with diverse cultures and markets, scaling our products to reach a global audience.
* **Measure Success**: Monitor key performance metrics and feedback loops to continually enhance user satisfaction and business outcomes.
**Basic Qualifications**
* **Experience**: Minimum of 3 years as a Product Manager in a tech company with a strong focus on consumer\-facing products.
* **Education**: Bachelor's degree in Computer Science, Engineering, Business, or a related field.
* **Technical Proficiency**: Ability to collaborate effectively with engineering teams and understand technical integrations and challenges.
**Preferred Qualifications**
* **Entrepreneurial Mindset**: Experience launching products from 0 to 1 at scale, demonstrating creativity and a willingness to challenge the status quo.
* **Data\-Driven Decision Making**: Strong analytical skills with the ability to interpret complex data to inform product strategies.
* **Exceptional Communication**: Excellent interpersonal skills with the ability to inspire and lead cross\-functional teams toward a common goal.
* **Global Perspective**: Experience working on products with a global reach, adapting strategies to meet varied market needs.
* **Strategic Vision**: Ability to align product initiatives with overall company objectives, balancing immediate needs with long\-term goals.
For San Francisco, CA\-based roles: The base salary range for this role is USD$161,000 per year \- USD$179,000 per year. You will be eligible to participate in Uber's bonus program, and may be offered an equity award \&amp; other types of comp. You will also be eligible for various benefits. More details can be found at the following link https://www.uber.com/careers/benefits.</t>
        </is>
      </c>
    </row>
    <row r="81">
      <c r="A81" t="inlineStr">
        <is>
          <t>in-6da6feae2b744744</t>
        </is>
      </c>
      <c r="B81" t="inlineStr">
        <is>
          <t>Services and Software Senior Product Manager</t>
        </is>
      </c>
      <c r="C81" t="inlineStr">
        <is>
          <t>Honeywell</t>
        </is>
      </c>
      <c r="D81" t="inlineStr">
        <is>
          <t>indeed</t>
        </is>
      </c>
      <c r="E81">
        <f>HYPERLINK("https://www.indeed.com/viewjob?jk=6da6feae2b744744", "https://www.indeed.com/viewjob?jk=6da6feae2b744744")</f>
        <v/>
      </c>
      <c r="F81">
        <f>HYPERLINK("https://ibqbjb.fa.ocs.oraclecloud.com/hcmUI/CandidateExperience/en/sites/CX_1/requisitions/preview/133471", "https://ibqbjb.fa.ocs.oraclecloud.com/hcmUI/CandidateExperience/en/sites/CX_1/requisitions/preview/133471")</f>
        <v/>
      </c>
      <c r="G81" t="inlineStr">
        <is>
          <t>Atlanta, GA, US</t>
        </is>
      </c>
      <c r="H81" s="3" t="n">
        <v>46042</v>
      </c>
      <c r="I81" t="inlineStr">
        <is>
          <t>Honeywell Building Solutions (HBS) is dedicated to delivering innovative and sustainable building technology and solutions that enhance the efficiency, safety, and comfort of facilities worldwide. We provide comprehensive building management systems, advanced fire safety, security technologies, and energy\-efficient solutions that optimize the performance of commercial buildings, industrial facilities, and residential spaces.
As part of our team, you will contribute to creating safer, smarter, and more efficient environments that meet the needs of our customers. You will be part of a diverse group of professionals committed to excellence, collaboration, and continuous improvement, driving meaningful change in how buildings are managed and experienced.
We are seeking an experienced and strategic Senior Lead Offering Manager to oversee our New Product Introductions (NPI) and Services initiatives. In this role, you will be responsible for driving the successful launch of new services offerings, products and features, from concept to market delivery. The ideal candidate will have a proven track record of leading NPI programs, exceptional leadership skills, and the ability to thrive in a fast\-paced environment.
**Location:** Atlanta, GA
**Travel/Territory:** 25%
**Ideal Candidate Experience:**
* 10 years of experience in services and product management, with a focus on leading NPI initiatives.
* Strong leadership and team management skills, with the ability to inspire and motivate others to achieve results.
* Excellent strategic thinking and problem\-solving abilities, with a track record of driving innovation and growth through NPI initiatives.
* Exceptional communication and interpersonal skills, with the ability to build relationships and influence Customers and stakeholders at all levels of the organization.
* Experience working in a fast\-paced, agile environment and familiarity with agile methodologies is a plus
* **Market Analysis and Opportunity Identification** : Conduct market research and analysis to identify emerging trends, customer needs, and competitive threats. Identify new opportunities for services expansion or innovation through NPI initiatives.
* **Cross\-functional Collaboration** : Lead and collaborate with cross\-functional teams, including product management, engineering, design, marketing, and sales, to drive NPI initiatives forward. Facilitate communication and coordination between teams to ensure successful product launches and adoption.
* **Stakeholder Engagement** : Build and maintain strong relationships with key stakeholders, including executives, customers, partners, and industry influencers. Serve as the primary point of contact for NPI\-related matters and ensure stakeholders are informed and engaged.
* **Performance Monitoring and Optimization** : Monitor key performance metrics for NPI initiatives, including revenue, market share, and customer satisfaction. Analyze performance data to identify areas for improvement and drive continuous optimization.
* **NPI Strategy Development:** Develop and execute a comprehensive NPI strategy aligned with business objectives and market opportunities. Define the vision, goals, and priorities for NPI initiatives and ensure alignment with broader company strategies.
* **Services \&amp; Product Roadmap Development** : Lead the development of services \&amp; product roadmaps for NPI initiatives, outlining key milestones, features, and enhancements to be delivered over time. Prioritize initiatives based on market trends, customer needs, and business priorities.
* **Innovation and Future Planning** : Drive innovation within the NPI process by identifying new market opportunities, emerging technologies, and customer needs. Work closely with R\&amp;D and innovation teams to develop and test new product concepts.
**YOU MUST HAVE** :
* Minimum of 10 years of expertise in managing a portfolio of services offerings, products, projects, and investments.
* Proven track record in portfolio performance management and lifecycle management.
* Strong understanding of services and software solutions value selling.
**WE VALUE:**
* Bachelor's degree in Business, Engineering, or related field
* Experience in a global and matrixed organization
* Experience in market research and analysis
* Strong leadership and project management skills
* Ability to adapt to a fast\-paced and changing environment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82">
      <c r="A82" t="inlineStr">
        <is>
          <t>in-c9a9bdcddb61191d</t>
        </is>
      </c>
      <c r="B82" t="inlineStr">
        <is>
          <t>Youth Program Manager</t>
        </is>
      </c>
      <c r="C82" t="inlineStr">
        <is>
          <t>St. Francis Community Services of St. Louis</t>
        </is>
      </c>
      <c r="D82" t="inlineStr">
        <is>
          <t>indeed</t>
        </is>
      </c>
      <c r="E82">
        <f>HYPERLINK("https://www.indeed.com/viewjob?jk=c9a9bdcddb61191d", "https://www.indeed.com/viewjob?jk=c9a9bdcddb61191d")</f>
        <v/>
      </c>
      <c r="F82">
        <f>HYPERLINK("http://www.indeed.com/job/youth-program-manager-c9a9bdcddb61191d", "http://www.indeed.com/job/youth-program-manager-c9a9bdcddb61191d")</f>
        <v/>
      </c>
      <c r="G82" t="inlineStr">
        <is>
          <t>St. Louis, MO, US</t>
        </is>
      </c>
      <c r="H82" s="3" t="n">
        <v>46042</v>
      </c>
      <c r="I82" t="inlineStr">
        <is>
          <t>The Mission of Catholic Charities of St. Louis is to bring the healing, help, and hope of Jesus Christ to those in need with a compassionate, caring presence.
Youth Program Manager will lead a team that delivers quality after school, tutoring, and summer programming for immigrant children in kindergarten through 12th grade. Full time position, requiring availability on weekdays in the afternoons and evenings until 6:30 pm Monday through Friday during the St. Louis Public School year (August through May) and in the daytime during the summer (June and July). Full benefits available.
· Continuously develop and strengthen programming for youths that come from Latin families
· Supervise full\-time and part\-time staff and volunteers
· Help to implement tutoring and after\-school curriculums with appropriate groups, guided by assessments and teacher input
· Serve as liaison with parents and guardians of children in the program
· Understand and ensure that the youth program meets accreditation standards
· Ensure environment, inside and outside, is safe and healthy for participants
· Serve as liaison with schools, teachers, and social workers in developing afterschool and tutoring plans that serve the best interest of each child
· Research curriculum and best practices in youth programming.
· Plan and supervise Summer Camp, including group activities and field trips.
Bachelor’s degree in education, social work, human services, or another related field with at least two years of experience in program management and community development. Bilingual Spanish and English is helpful.
Pay: $55,000\.00 \- $60,000\.00 per year
Benefits:
* 401(k)
* 401(k) matching
* Dental insurance
* Employee assistance program
* Flexible spending account
* Health insurance
* Health savings account
* Life insurance
* Paid time off
* Parental leave
* Retirement plan
* Vision insurance
Work Location: In person</t>
        </is>
      </c>
    </row>
    <row r="83">
      <c r="A83" t="inlineStr">
        <is>
          <t>in-38c02b7ee85c0c0f</t>
        </is>
      </c>
      <c r="B83" t="inlineStr">
        <is>
          <t>Senior Product Manager</t>
        </is>
      </c>
      <c r="C83" t="inlineStr"/>
      <c r="D83" t="inlineStr">
        <is>
          <t>indeed</t>
        </is>
      </c>
      <c r="E83">
        <f>HYPERLINK("https://www.indeed.com/viewjob?jk=38c02b7ee85c0c0f", "https://www.indeed.com/viewjob?jk=38c02b7ee85c0c0f")</f>
        <v/>
      </c>
      <c r="F83">
        <f>HYPERLINK("https://grnh.se/u9ht390y7us", "https://grnh.se/u9ht390y7us")</f>
        <v/>
      </c>
      <c r="G83" t="inlineStr">
        <is>
          <t>Los Angeles, CA, US</t>
        </is>
      </c>
      <c r="H83" s="3" t="n">
        <v>46042</v>
      </c>
      <c r="I83" t="inlineStr">
        <is>
          <t>Parallel Systems is pioneering autonomous battery\-electric rail vehicles designed to transform freight transportation by shifting portions of the $900 billion U.S. trucking industry onto rail. Our innovative technology offers cleaner, safer, and more efficient logistics solutions. Join our dynamic team and help shape a smarter, greener future for global freight.
**Senior Product Manager**
Parallel Systems is looking for a Senior Product Manager to own and build the product roadmap for our enterprise SaaS platform, a rail traffic integration system that connects across critical rail industry software and enables autonomous vehicle movement at scale.
This is the first product hire for our software platform and a true 0 to 1 opportunity to define product vision, roadmap, and execution in an industry undergoing foundational transformation.
You will collaborate closely with engineering, operations, customers, and external rail partners to build an enterprise\-grade system that integrates transportation management systems, signaling, yard management, train control, and other core rail infrastructure. While this role will interact with vehicle hardware and autonomy teams at a high level, the focus is squarely on enterprise software and systems orchestration.
**Responsibilities**
* Work with leadership to define and own the end\-to\-end product roadmap for Parallel's enterprise SaaS platform
* Partner with software engineering to design and deliver a scalable rail traffic integration platform
* Lead product discovery across customers, rail partners, and internal stakeholders
* Drive integrations with legacy rail systems and modern APIs
* Collaborate cross\-functionally with autonomy and vehicle software teams at a high level
* Set and track product KPIs that reflect real\-world performance and customer value
* Ensure enterprise software integrates effectively with existing rail industry platforms
* Drive prioritization, tradeoff discussions, and product decision\-making across teams
**What Success Looks Like**
* **After 30 days:** You've built context across our software systems, taken ownership over the requirements of the core product, identified key external stakeholders, and delivered a forward\-looking project schedule.
* **After 60 days:** You've defined an initial roadmap for core product areas, captured user stories, translated customer input into clear requirements, and are driving alignment between vehicle software and enterprise teams for initial customer integration.
* **After 90 days:** You've led the planning and kickoff of cross\-functional product workstreams, developed the product roadmap, created specifications, established priorities with company leadership, set delivery expectations with stakeholders, and are seen as the go\-to owner of the product direction.
**Basic Requirements**
* 5\+ years of product management experience, with ownership of complex SaaS systems or platforms
* Experience working in a startup or fast\-paced, high\-ambiguity environment
* Demonstrated experience shipping enterprise software
* Strong technical fluency \&amp; ability to converse with engineers and synthesize technical constraints into software product tradeoffs
* Experience working with legacy enterprise platforms and modern APIs
* Proven 0 to 1 product ownership
**Preferred Requirements**
* Experience working in both software and hardware product environments
* Background and/or interest in freight, logistics, transportation, or industrial systems
* Exposure to hardware development or hardware/software integrated products
* Familiarity with embedded systems and hardware/software integration
*Parallel Systems is an equal opportunity employer committed to diversity in the workplace. All qualified applicants will receive consideration for employment without regard to any discriminatory factor protected by applicable federal, state or local laws. We work to build an inclusive environment in which all people can come to do their best work.*
*Parallel Systems is committed to the full inclusion of all qualified individuals. As part of this commitment, Parallel Systems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your recruiter.*</t>
        </is>
      </c>
    </row>
    <row r="84">
      <c r="A84" t="inlineStr">
        <is>
          <t>in-c1cc0404ccc9f54f</t>
        </is>
      </c>
      <c r="B84" t="inlineStr">
        <is>
          <t>Associate Product Manager</t>
        </is>
      </c>
      <c r="C84" t="inlineStr">
        <is>
          <t>Modern Health</t>
        </is>
      </c>
      <c r="D84" t="inlineStr">
        <is>
          <t>indeed</t>
        </is>
      </c>
      <c r="E84">
        <f>HYPERLINK("https://www.indeed.com/viewjob?jk=c1cc0404ccc9f54f", "https://www.indeed.com/viewjob?jk=c1cc0404ccc9f54f")</f>
        <v/>
      </c>
      <c r="F84">
        <f>HYPERLINK("https://grnh.se/j6zge4ho2us", "https://grnh.se/j6zge4ho2us")</f>
        <v/>
      </c>
      <c r="G84" t="inlineStr">
        <is>
          <t>San Francisco, CA, US</t>
        </is>
      </c>
      <c r="H84" s="3" t="n">
        <v>46042</v>
      </c>
      <c r="I84" t="inlineStr">
        <is>
          <t>**Modern Health**
Modern Health is a mental health benefits platform for employers. We are the first global mental health solution to offer employees access to one\-on\-one, group, and self\-serve digital resources for their emotional, professional, social, financial, and physical well\-being needs—all within a single platform. Whether someone wants to proactively manage stress or treat depression, Modern Health guides people to the right care at the right time. We empower companies to help *all* their employees be the best version of themselves, and believe in meeting people wherever they are in their mental health journey.
Modern Health is backed by investors like Kleiner Perkins, Founders Fund, John Doerr, Y Combinator, and Battery Ventures and raised more than $170 million in less than two years, making Modern Health the fastest entirely female\-founded company in the U.S. to reach Unicorn status.
More about our culture and what you can expect when you join the team:
* **"It Takes a Village" culture**. Modern Health has a unique and unabashed culture centered around high empathy and high accountability \- with a drive to win. We are energized by bringing together the best talent in the industry to achieve audacious goals focused on making mental health a strength and priority for all.
* **We have an obsession to win.** We are highly ambitious and passionate about the work that we do. We take pride in delivering excellence and our personal best and we continuously innovate to uniquely solve our customers' needs.
* **We are accountable and can rely on each other.** We are a team and hold ourselves and each other accountable. We believe in transparent communication and continuous feedback to foster a culture of trust, reliability, and growth.
* **We demonstrate empathy.** We have a supportive and diverse culture where we bolster and uplift each other as we pursue our lofty goals. We encourage selflessness and a willingness to support others, fostering a collaborative and respectful environment.
* **We exhibit a bias towards action.** This is a fast\-paced environment. We jump into problems and initiate solutions. We empower our people to make decisions and experiment, iterate, and repeat until we get it right.
Modern Health is a fully remote workforce and a hyper\-growth company that is often recognized for its excellence, winning awards such as World's Most Innovative Companies of 2023 by Fast Company, Top 25 Companies of San Francisco 2023, and 2023 Well\-Being Trailblazer Award. To protect our culture and help our team stay connected, we require overlapping hours for everyone. While many roles may function from anywhere in the world—see individual job listing for more—US based team members who live outside the Pacific time zone are expected to work at least six hours between 8 am and 5 pm Pacific time each workday.
We are looking for driven, creative, and passionate individuals to join in our mission. An inclusive and diverse culture are key components of mental well\-being in the workplace, and that starts with how we build our own team. If you're excited about a role, we'd love to hear from you!
**The Role**
------------
The Associate Product Manager will support the development and iteration of products that make high\-quality mental health care more accessible, inclusive, and effective. You will help define and ship features that serve members, clinicians, and employer customers across Modern Health's digital health platform.
In this early\-career role, you will work closely with experienced Product Managers, Design, Engineering, Data, Clinical, Operations, Customer Success, Sales, and Marketing to learn the full product lifecycle—from discovery and problem definition through launch and ongoing optimization. You'll gain broad exposure to how a health tech company builds safe, evidence\-informed, and engaging experiences at scale.
This is an excellent opportunity for someone who is passionate about mental health, curious about how technology and product thinking can improve outcomes, and eager to grow into a Product Manager role over time.
This position is not eligible to be performed in Hawaii.
**What You'll Do**
------------------
* Support the definition of product problems and opportunities by synthesizing member, clinician, and customer feedback, usage data, and market research into clear problem statements and hypotheses.
* Contribute to the creation and refinement of product requirements, user stories, and acceptance criteria, ensuring they are grounded in user needs, business goals, and clinical and regulatory considerations.
* Partner with Design and Engineering to support discovery and delivery, including participating in design reviews, grooming and planning sessions, and sprint ceremonies.
* Help maintain a prioritized backlog for your product area, making trade\-offs between impact, effort, risk, and dependencies with guidance from senior Product Managers.
* Analyze product usage data and experiment results (e.g., A/B tests, pilots) to understand behavior, track performance against success metrics, and generate insights that inform next iterations.
* Participate in user research activities (e.g., interviews, usability testing, concept tests) and help translate learnings into actionable product improvements.
* Assist with cross\-functional launch planning for new features and enhancements, working with Marketing, Customer Success, Clinical, and Operations to ensure internal readiness and clear communication.
* Create and maintain clear, concise product documentation, such as feature briefs, FAQs, internal enablement materials, and release notes.
* Help ensure that experiences are designed with accessibility, privacy, security, and clinical quality in mind, collaborating closely with clinical and compliance partners where needed.
* Champion the voice of the user—members, clinicians, and customers—within your product team, advocating for experiences that are inclusive, equitable, and trauma\-informed.
* Continuously learn about the mental health and digital health landscape, competitive products, and emerging best practices in product management and health tech.
**Who You Are**
---------------
* 1–3 years of professional experience in product, consulting, business operations, analytics, design, engineering, or a related field; internships and co\-op experience in product or tech are a plus.
* Demonstrated interest in product management and building digital experiences, ideally with exposure to B2B SaaS, B2C apps, or healthcare/health tech.
* Strong analytical skills and comfort working with data to inform decisions; experience with spreadsheets and product analytics tools is required, and familiarity with SQL or similar tools is a plus.
* Excellent written and verbal communication skills; you can distill complex ideas into simple, clear explanations tailored to different audiences.
* Empathy for people seeking mental health support and for the clinicians and organizations who serve them, with sensitivity to diverse backgrounds, cultures, and lived experiences.
* Collaborative teammate who builds strong relationships with cross\-functional partners and is comfortable giving and receiving feedback.
* Highly organized with strong attention to detail; able to manage multiple tasks, follow through on commitments, and keep projects moving forward in a fast\-paced environment.
* Comfortable with ambiguity and change; you are curious, resourceful, and motivated to learn, ask questions, and grow your product toolkit.
* Bias toward action and ownership; you proactively identify opportunities to improve the product or team processes and take initiative to help address them.
* Familiarity with agile software development practices (e.g., sprints, standups, retrospectives) and modern product development tools (e.g., Jira, Figma, product analytics platforms) is helpful but not required.
* Bachelor's degree or equivalent practical experience in a relevant field (such as business, engineering, design, psychology, public health, or another related discipline).
**Benefits**
------------
Fundamentals:
* Medical / Dental / Vision / Disability / Life Insurance
* High Deductible Health Plan with Health Savings Account (HSA) option
* Flexible Spending Account (FSA)
* Access to coaches and therapists through Modern Health's platform
* Flexible Time Off
* Company\-wide Collective Pause Days
Family Support:
* Parental Leave Policy
* Family Forming Benefit through Carrot
* Family Assistance Benefit through UrbanSitter
Professional Development:
* Professional Development Stipend
Financial Wellness:
* 401k
* Financial Planning Benefit through Origin
But wait there's more…!
* Annual Wellness Stipend to use on items that promote your overall well being
* New Hire Stipend to help cover work\-from\-home setup costs
* ModSquad Community: Virtual events like active ERGs, holiday themed activities, team\-building events and more
* Monthly Cell Phone Reimbursement
*Below, we are asking you to complete identity information for the Equal Employment Opportunity Commission (EEOC). While we are required by law to ask these questions in the format provided by the EEOC, at Modern Health we know that gender is not binary, and we recognize that these categories do not reflect our employees' full range of identities.*</t>
        </is>
      </c>
    </row>
    <row r="85">
      <c r="A85" t="inlineStr">
        <is>
          <t>in-131f15dca5db3b20</t>
        </is>
      </c>
      <c r="B85" t="inlineStr">
        <is>
          <t>Digital Core NextGen PLM Business Program Manager</t>
        </is>
      </c>
      <c r="C85" t="inlineStr">
        <is>
          <t>GE HealthCare</t>
        </is>
      </c>
      <c r="D85" t="inlineStr">
        <is>
          <t>indeed</t>
        </is>
      </c>
      <c r="E85">
        <f>HYPERLINK("https://www.indeed.com/viewjob?jk=131f15dca5db3b20", "https://www.indeed.com/viewjob?jk=131f15dca5db3b20")</f>
        <v/>
      </c>
      <c r="F85">
        <f>HYPERLINK("https://careers.gehealthcare.com/global/en/job/GEVGHLGLOBALR4034636EXTERNALENGLOBAL/Digital-Core-NextGen-PLM-Business-Program-Manager?utm_source=indeed&amp;utm_medium=phenom-feeds", "https://careers.gehealthcare.com/global/en/job/GEVGHLGLOBALR4034636EXTERNALENGLOBAL/Digital-Core-NextGen-PLM-Business-Program-Manager?utm_source=indeed&amp;utm_medium=phenom-feeds")</f>
        <v/>
      </c>
      <c r="G85" t="inlineStr">
        <is>
          <t>Waukesha, WI, US</t>
        </is>
      </c>
      <c r="H85" s="3" t="n">
        <v>46041</v>
      </c>
      <c r="I85" t="inlineStr">
        <is>
          <t>**Job Description Summary**
===========================
The Business Program Manager (BPM) for this key work system development will lead the end\-to\-end deployment of a new Product Lifecycle Management (PLM) system across all GEHC Segments. This role is responsible for aligning cross\-functional teams, operating mechanisms, managing project timelines and budgets, and ensuring the PLM system meets the strategic and operational needs of all cross functions including engineering, manufacturing, service, sourcing, and quality. The ideal candidate will have strong experience in managing complex cross functional programs related to engineering development, enterprise system implementation, and change management. The BPM will drive the PLM portion of the Digital CORE initiative to improve the effectiveness of the Engineering function and interfaces with other functions to provide effective coordination of metrics, dashboards, functional processes, and cross\-functional initiative coordination.**Job Description**
===================
**Roles and Responsibilities**
* **Program Management:**  
Lead the planning, execution, and delivery of the PLM system implementation program, ensuring alignment with business goals and engineering requirements. Manage integrated plans, schedules, risks, and status reporting with focus on functional activities. Oversee scope and resources across workstreams for timely delivery with consolidated leadership reporting. Drive functional risk mitigation focused on engagement, adoption, data quality, and process alignment.
* **Stakeholder Engagement:**  
Collaborate with engineering, IT, product management, operations, and executive leadership to define requirements, manage expectations, and drive adoption. Establish and manage frameworks to track functional activities, ensuring alignment of product segments and functions. Monitor progress against milestones and escalate risks proactively.
* **System Integration:**  
Oversee integration of the PLM system with other enterprise platforms (e.g., ERP, CAD, MES), ensuring data consistency and process alignment.
* **Process Optimization:**  
Drive standardization and optimization of product development and lifecycle processes across business units.
* **Change Management \&amp; Adoption:**  
Develop and execute change management strategies, including training, communication, and stakeholder buy\-in to ensure smooth transition and user adoption. Drive creation of role\-based training aligned with functional processes. Oversee UAT planning, execution, and validation of functional requirements, including scenarios across PLM and integrated systems.
* **Compliance \&amp; Governance:**  
Ensure the PLM system supports regulatory compliance, data governance, and intellectual property protection. Drive updates to global and site\-level work instructions to align with new PLM processes, ensuring consistency and adherence.
**Required Qualifications**
* Bachelor’s degree in Engineering, Computer Science, or related field.
* 8\+ years of experience in engineering program management.
* Proven experience in applying and migrating Product Life Cycle Management work systems (e.g., Siemens Teamcenter, PTC Windchill, Dassault ENOVIA).
* Strong understanding of product development processes, BOM management, configuration control, and change management.
* Excellent leadership, communication, and stakeholder management skills
**Desired Characteristics**
* Master’s degree in Engineering, Computer Science, or related field.
* 10\+ years of experience in complex, cross functional, engineering program management, with at least 3 years focused on enterprise system implementation.
* Proven experience in applying PTC Windchill PLM work systems.
* Strong understanding of product development processes, BOM management, configuration control, and change management.
* Excellent leadership, communication, and stakeholder management skills.
* PMP or similar project management certification preferred.
* Experience in a regulated, multi\-product, multi\-tier, global supply chain and manufacturing environment.
* Strong oral and written communication skills. Strong interpersonal and leadership skills. Demonstrated ability to analyze and resolve problems.
We will not sponsor individuals for employment visas, now or in the future, for this job opening.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Yes</t>
        </is>
      </c>
    </row>
    <row r="86">
      <c r="A86" t="inlineStr">
        <is>
          <t>in-2af857d64cb762df</t>
        </is>
      </c>
      <c r="B86" t="inlineStr">
        <is>
          <t>Clinical Program Manager- Pulmonary</t>
        </is>
      </c>
      <c r="C86" t="inlineStr">
        <is>
          <t>Mount Sinai Health System</t>
        </is>
      </c>
      <c r="D86" t="inlineStr">
        <is>
          <t>indeed</t>
        </is>
      </c>
      <c r="E86">
        <f>HYPERLINK("https://www.indeed.com/viewjob?jk=2af857d64cb762df", "https://www.indeed.com/viewjob?jk=2af857d64cb762df")</f>
        <v/>
      </c>
      <c r="F86">
        <f>HYPERLINK("https://careers.mountsinai.org/jobs/3034270?lang=en-us&amp;src=JB-10100", "https://careers.mountsinai.org/jobs/3034270?lang=en-us&amp;src=JB-10100")</f>
        <v/>
      </c>
      <c r="G86" t="inlineStr">
        <is>
          <t>New York, NY, US</t>
        </is>
      </c>
      <c r="H86" s="3" t="n">
        <v>46041</v>
      </c>
      <c r="I86" t="inlineStr">
        <is>
          <t>**Description**
The Clinical Program Manager is responsible for assuring compliance with mandated clinical orientation, competency assessment and interventions in the assigned clinical program of designated nursing staff within the Medical Center. This individual interfaces directly with MSMC Departments, Administrators, Nursing, Medical and Quality Leadership, and Clinical Staff, managing the educational and operational impact of all clinical care delivery, staff performance, and outcome measures to support clinical practice.
 **Responsibilities*** Oversees clinical operations within the program, using data and fact\-based problem solving techniques to improve processes and outcomes. Ensures that all clinical initiatives run according to institutional and departmental policies and in accordance with any government or regulatory requirements as applicable.
* Recruits, orients, trains, coaches, counsels, mentors, disciplines, and evaluates staff in accordance with all internal policies and procedures. Communicates values, strategies, and objectives of department or division on a regular basis. Assigns accountabilities, delegates tasks and responsibilities, and plans, monitors and appraises job performance.
* Develops, maintains and reconciles departmental budget with financial responsibility and oversight for department or division.
* Plans, develops, and/or maintains departmental standard operating procedures. Regularly reviews policies and procedures and makes changes, or recommends changes to superiors as necessary.
* In conjunction with Nursing, Medical and Quality Leadership, coordinates educational and performance improvement activities within a designated clinical specialty.
* Develops and designs of action plans to support clinical performance and competency and provides support and educational resources to departments and services relative to nursing care delivery within the context quality assessment and improvement processes.
* Establishes and implements short and long term goals, objectives, policies and operating procedures for high level of performance in nursing care delivery.
* Coordinates and leads in the execution of day to day educational program activities, as appropriate to program objectives and areas of clinical expertise.
* Oversees the collection, compilation, and analysis of clinical program activity data to evaluate clinical performance and competence.
* Provides technical assistance, resource services, consultation and education to clinical specialty service relative to orientation, ongoing assessment of competency and performance improvement activities.
* Serves as a clinical role model and resource to the nursing staff.
* Prepares reports and analysis associated with orientation of new hires, ongoing competency and evaluation of staff performance and identification of related outcome measures.
* Provides timely status reports of results of assignments including identification of patterns and trends that require actions.
* Collaborates with other members of the health care team in the development, implementation, and ongoing review of policies, procedures, and standards of care for designated patient populations.
* Demonstrates knowledge of hospital, departmental and care center standards, policies, procedures and guidelines as well as regulatory agency standards. Assures readiness for Joint Commission and other agency surveys and presents related programs during Joint Commission and other agency visits.
* Participates in daily activities that reflect budgetary constraints and incorporates financial principles into program development and allocation of resources.
* Maintains professional and technical knowledge by attending educational workshops; reviewing professional publications; establishing personal networks; benchmarking state\-of\-the\-art practices; participating in professional societies.
* Participates in the performance appraisal process of designated Nursing staff.
**Qualifications*** Baccalaureate Degree in Nursing is required. Masters in Nursing or health related field is preferred. Certification in specialty area preferred.
* 5 years directly related experience (some supervisory preferred)  
New York State License with current registration as a registered professional nurse. Certification in specialty area preferred.
**Employer Description****Strength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$115494 \- $192328 Annually. Actual salaries depend on a variety of factors, including experience, education, and operational need. The salary range or contractual rate listed does not include bonuses/incentive, differential pay or other forms of compensation or benefits.</t>
        </is>
      </c>
    </row>
    <row r="87">
      <c r="A87" t="inlineStr">
        <is>
          <t>in-c4200bab8af89ac6</t>
        </is>
      </c>
      <c r="B87" t="inlineStr">
        <is>
          <t>Program Manager I - Rehabilitation and Human Performance</t>
        </is>
      </c>
      <c r="C87" t="inlineStr">
        <is>
          <t>Mount Sinai Health System</t>
        </is>
      </c>
      <c r="D87" t="inlineStr">
        <is>
          <t>indeed</t>
        </is>
      </c>
      <c r="E87">
        <f>HYPERLINK("https://www.indeed.com/viewjob?jk=c4200bab8af89ac6", "https://www.indeed.com/viewjob?jk=c4200bab8af89ac6")</f>
        <v/>
      </c>
      <c r="F87">
        <f>HYPERLINK("https://careers.mountsinai.org/jobs/3034315?lang=en-us&amp;src=JB-10100", "https://careers.mountsinai.org/jobs/3034315?lang=en-us&amp;src=JB-10100")</f>
        <v/>
      </c>
      <c r="G87" t="inlineStr">
        <is>
          <t>New York, NY, US</t>
        </is>
      </c>
      <c r="H87" s="3" t="n">
        <v>46041</v>
      </c>
      <c r="I87" t="inlineStr">
        <is>
          <t>**Description**
The Program Manager I is responsible for providing administrative, operational and programmatic oversight. The Program Manager I will have a thorough knowledge of institutional and program policies and procedures and may be instrumental in developing program policies. A program is ongoing and while it may have a business cycle, will continue. The program provides a specific service or carries out specific activities as a separate entity or as a component program within a department, but is not a department itself.
 **Responsibilities*** Oversees and manages the activities of subordinates and consultants and provides leadership and direction for staff, if applicable, setting an effective agenda to ensure that performance goals are met.
* Develops and independently implements new or revised program goals, strategies and objectives to sustain and grow programs and services.
* Develops and schedules a program work plan in accordance with specifications, objectives and funding limitations; oversees daily operations and coordinates program activities through assigned staff; prioritizes and delegates work activities.
* Maintains liaison with staff in other departments to coordinate program activities and training; to accomplish program objectives; and to ensure cooperative efforts are enhanced and available resources are utilized.
* Administers program procedures and systems. Ensures information is disseminated to staff regarding program and Mount Sinai Medical Centers policies and procedures.
* Confers with and advises staff and others to provide technical advice, problem solving assistance, answers to questions and program goals and policy interpretations; refers to appropriate department or person when unable to respond.
* Takes an active role in developing the program budgets and grants. May monitor, verify and oversee the reconciliation of budget expenditures.
* Hires program staff, is responsible for performance appraisal evaluations, promotions, transfers and other personnel transactions as assigned.
* May collaborate with program leadership to prepares proposals for corporate and foundation funding and/or funding continuation from outside sponsors/donors.
* May perform needs assessment and analyzes and studies participant, member and community needs for basis of program development.
* Performs other related duties.
**Qualifications*** Bachelors degree or greater preferred, or a combination of applicable experience and education
* 3\+ years experience (5 preferred), managing and administrating program activities for assigned area
Non\-Bargaining Unit, 857 \- Rehabilitation and Human Performance \- ISM, Icahn School of Medicine
 **Employer Description****Strength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$64526\.72 \- $105000 Annually. Actual salaries depend on a variety of factors, including experience, education, and operational need. The salary range or contractual rate listed does not include bonuses/incentive, differential pay or other forms of compensation or benefits.</t>
        </is>
      </c>
    </row>
    <row r="88">
      <c r="A88" t="inlineStr">
        <is>
          <t>in-8788f6ce535f26bb</t>
        </is>
      </c>
      <c r="B88" t="inlineStr">
        <is>
          <t>Program Manager | Berkeley Heights, NJ – 5 days onsite | Contract W2</t>
        </is>
      </c>
      <c r="C88" t="inlineStr">
        <is>
          <t>Next Gen Software Solutions</t>
        </is>
      </c>
      <c r="D88" t="inlineStr">
        <is>
          <t>indeed</t>
        </is>
      </c>
      <c r="E88">
        <f>HYPERLINK("https://www.indeed.com/viewjob?jk=8788f6ce535f26bb", "https://www.indeed.com/viewjob?jk=8788f6ce535f26bb")</f>
        <v/>
      </c>
      <c r="F88">
        <f>HYPERLINK("https://candidateportalnew.ceipal.com/job-details/8MAASCMpAjM3oTSmtuu77mF5U8OKkHbrdTqG4EFlv3c#.job_boards.Indeed", "https://candidateportalnew.ceipal.com/job-details/8MAASCMpAjM3oTSmtuu77mF5U8OKkHbrdTqG4EFlv3c#.job_boards.Indeed")</f>
        <v/>
      </c>
      <c r="G88" t="inlineStr">
        <is>
          <t>Berkeley Heights, NJ, US</t>
        </is>
      </c>
      <c r="H88" s="3" t="n">
        <v>46041</v>
      </c>
      <c r="I88" t="inlineStr">
        <is>
          <t>**Role: Program Manager**
**Location: Berkeley Heights, NJ 5 days onsite**
**Duration: Long term Contract**
**Employment Type: Must work on Next Gen Software Solutions LLC's W2**
**Summary:**
Client is seeking an experienced Program Manager to oversee multiple programs and projects, ensuring strategic alignment, efficient execution, and delivery of business outcomes. The successful candidate will lead cross functional teams, drive program strategy, represent steering committee, and foster collaboration to achieve end client and organizational objectives and goals.
Candidate should be able to harvest client relationships, and span across areas like program planning, management, operations overseeing all workstreams/ diverse project teams for the overall functioning of the Program.
Overall IT experience of 10\+ years. Of which at\-least 8\+ years of experience in Banking and Financial Industry with good exposure to cards domain. Good communication English and excellent interpersonal skills to be able to manage diverse teams.
**Roles and Responsibilities**
* Will be responsible for planning, organizing and managing the diverse project teams through the Agile/ Hybrid project
* Responsible for tracking project status, progress, KPIs
* Continuous monitoring of Program Status and follow\-up with the respective leads on the status
* Coordinate across teams to develop plans, goals, procedures to ensure the processes are streamlined throughout the project lifecycle
* Create Project Charters, Project Plans
* Resource Management
* Support and Create reports for the Delivery Leads
* Analyze Risks, Issues, Actions and Dependencies; Be proficient in Risk Management
* Produce high\-quality outcomes by maintaining transparency across the project
* Understanding customer accounts and identifying untapped opportunities
* Follow\-up clients Communications, leadership meetings
* Facilitate group collaboration for alignment/ informed decision\-making
* Involved in budgeting procedures
* Develop and maintain Delivery forecast and pipeline.
* Record and track Delivery metrics, Stakeholder meeting
* Manage the Customer Expectations and be attentive to detail
* Responsible for providing ongoing project level governance throughput the project execution
* Organize and oversee statement of work, requirements, RFP responses through selection/ acquisition
* Must adhere to Mphasis/Client project management practices and governance requirements
* Ensure Delivery adherence by being transparent on communications related to meeting deadlines/ issues/ risks
* Collaborate with Clients and address significant issues by facilitating communication between the key stakeholders, teams and leadership to ensure clarity/alignment
* Oversee Change Management
* Be adaptable to switch between the roles of playing supportive, controlling and/ centralized PMO
* Work with operations (hiring, HR others ) to ensure smooth resource ramp\-up as per client needs
* Establish PMO structure to monitor and govern our deliverables for client.
* Manage/ Control the Risks; Handle Reporting/Metrics
**Minimum Requirements:**
* **10 years of overall IT experience with preference in Cards/ Financial Domain**
* Strong Leadership skills with knowledge of **project management**
* **Excellent Time Management and Financial Management**
* Exceptional interpersonal skills
* Ability to plan in a rapidly changing environment and provide guidance as required
* Strong understanding of SDLC models and good knowledge of both Waterfall and Agile Project Management Principles
* Excellent verbal and written communication skills to communicate complex issues to multiple audience
* Communicate timelines and expectations to Technical and Business Staff
* **Should be proficient in PM Tools such as Microsoft Project, Jira, Jira board, Confluence, MS Office etc**
* **Certification in program management (e.g., PMP, PgMP) preferred.**
**Principal Accountabilities**
**% Time**
**End Results**
**Major Activities**
**70**
**PM**
* Program Strategy and Planning:
	+ Develop and execute program strategies, aligning with business objectives.
	+ Conduct market analysis, competitor research, and stakeholder engagement.
2\. Team Leadership:
* Lead and manage cross\-functional teams, including program managers, project managers, and technical leads.
* Foster collaboration, provide coaching, and ensure team members' growth.
3\. Program Management:
* Oversee program lifecycle, from initiation to delivery.
* Manage program scope, schedule, budget, and quality.
4\. Stakeholder Management:
* Communicate program progress, risks, and issues to stakeholders.
* Build and maintain relationships with executives, customers, and partners.
5\. Risk Management:
* Identify, assess, and mitigate program risks.
* Develop and implement contingency plans.
6\. Process Improvement:
* Develop and implement process improvements.
* Ensure compliance with organizational policies and procedures.
**20**
**Operational**
Handle Resource Management
Ensure Hiring and Onboarding/Offboarding process is streamlined
Resolve conflicts  
**10**
**Delivery and Senior Leadership**
Be a candid representation to Delivery organization and jointly represent escalation from clients
Work in parallel with the Project Managers and ensure that the Client expectations are met
Leading Steer Co Meetings and preparing material for presentations
**About Next Gen Software Solutions LLC:**
Next Gen Software Solutions is a trusted provider of IT Staffing and consulting services dedicated to empowering businesses with cutting\-edge technology solutions and exceptional talent. We specialize in delivering tailored IT consulting services, innovative software solutions, and connecting businesses with highly skilled IT professionals. Founded and led by a dedicated U.S. Army solider, Next Gen Software Solutions is deeply rooted in the core values of integrity, discipline, commitment, and experience\-principles that guide every aspect of our operations.
**Equal Employment Opportunity Statement:**
Next Gen Software Solutions LLC is an Equal Opportunity Employer. We are committed to fostering an inclusive and diverse workplace where all employees and applicants are treated respect and dignity. We do not discriminate based on race, colour, religion, sex (including pregnancy, sexual orientation, or gender identity), national origin, age, genetic information, veteran status, or any other legally protected characteristic under applicable federal, state, or local laws.</t>
        </is>
      </c>
    </row>
    <row r="89">
      <c r="A89" t="inlineStr">
        <is>
          <t>in-96f5d2241018d9ae</t>
        </is>
      </c>
      <c r="B89" t="inlineStr">
        <is>
          <t>Technical Program Manager (TPM) | Berkeley Heights, NJ – 5 days Onsite</t>
        </is>
      </c>
      <c r="C89" t="inlineStr">
        <is>
          <t>Next Gen Software Solutions</t>
        </is>
      </c>
      <c r="D89" t="inlineStr">
        <is>
          <t>indeed</t>
        </is>
      </c>
      <c r="E89">
        <f>HYPERLINK("https://www.indeed.com/viewjob?jk=96f5d2241018d9ae", "https://www.indeed.com/viewjob?jk=96f5d2241018d9ae")</f>
        <v/>
      </c>
      <c r="F89">
        <f>HYPERLINK("https://candidateportalnew.ceipal.com/job-details/KEDxL0SY5fSrnSOcYmU6EjxLy79YW0gKyPmXxZ7gkMU#.job_boards.Indeed", "https://candidateportalnew.ceipal.com/job-details/KEDxL0SY5fSrnSOcYmU6EjxLy79YW0gKyPmXxZ7gkMU#.job_boards.Indeed")</f>
        <v/>
      </c>
      <c r="G89" t="inlineStr">
        <is>
          <t>Berkeley Heights, NJ, US</t>
        </is>
      </c>
      <c r="H89" s="3" t="n">
        <v>46041</v>
      </c>
      <c r="I89" t="inlineStr">
        <is>
          <t>**Role: Technical Program Manager (TPM)**
**Location: Berkeley Heights, NJ 5 days Onsite**
**Type: Contract W2**
**Duration: Long term**
**Experience: 13\+ Years**
**Job Description:**
**Summary of Position:**
* Client is seeking an experienced Program Manager to oversee multiple programs and projects, ensuring strategic alignment, efficient execution, and delivery of business outcomes.
* The successful candidate will lead cross functional teams, drive program strategy, represent steering committee, and foster collaboration to achieve end client and organizational objectives and goals.
* Candidate should be able to harvest client relationship, and span across areas like program planning, management, operations overseeing all workstreams/ diverse project teams for the overall functioning of the Program.
* **Overall IT experience of 10\+ years. Of which at\-least 8\+ years of experience in Banking and Financial Industry with good exposure to cards domain.**
* Good communication English and excellent interpersonal skills to be able to manage diverse teams.
**Experience with preference in Cards/ Financial Domain**
**Major Activities**
**PM (70%)**
**1\.** **Program Strategy and Planning:**
a. Develop and execute program strategies, aligning with business objectives.
b. Conduct market analysis, competitor research, and stakeholder engagement.
**2\.** **Team Leadership:**
a. Lead and manage cross\-functional teams, including program managers, project managers, and technical leads.
b. Foster collaboration, provide coaching, and ensure team members' growth.
3**. Program Management:**
a. Oversee program lifecycle, from initiation to delivery.
b. Manage program scope, schedule, budget, and quality.
**4\.** **Stakeholder Management**:
a. Communicate program progress, risks, and issues to stakeholders.
b. Build and maintain relationships with executives, customers, and partners.
5\. **Risk Management:**
a. Identify, assess, and mitigate program risks.
b. Develop and implement contingency plans.
**6\. Process Improvement:**
a. Develop and implement process improvements.
b. Ensure compliance with organizational policies and procedures.
**Operational (20%)**
* Handle Resource Management
* Ensure Hiring and Onboarding/Offboarding process is streamlined
* Resolve conflicts
**Delivery and Senior Leadership (10%)**
* Be a candid representation to Delivery organization and jointly represent escalation from clients
* Work in parallel with the Project Managers and ensure that the Client expectations are met
* Leading Steer Co Meetings and preparing material for presentations
**Minimum requirements to this position**
* **12 \- 16 years of overall IT experience with preference in Cards/ Financial Domain**
* Strong Leadership skills with knowledge of project management
* **Excellent Time Management and Financial Management**
* Exceptional interpersonal skills
* Ability to plan in a rapidly changing environment and provide guidance as required
* Strong understanding of SDLC models and good knowledge of both Waterfall and Agile Project Management Principles
* Excellent verbal and written communication skills to communicate complex issues to multiple audience
* Communicate timelines and expectations to Technical and Business Staff
* Should be proficient in **PM Tools such as Microsoft Project, Jira, Jira board, Confluence, MS Office etc**
* **Certification in program management (e.g., PMP, PgMP) preferred**.
**About Next Gen Software Solutions LLC:**
Next Gen Software Solutions is a trusted provider of IT Staffing and consulting services dedicated to empowering businesses with cutting\-edge technology solutions and exceptional talent. We specialize in delivering tailored IT consulting services, innovative software solutions, and connecting businesses with highly skilled IT professionals. Founded and led by a dedicated U.S. Army solider, Next Gen Software Solutions is deeply rooted in the core values of integrity, discipline, commitment, and experience\-principles that guide every aspect of our operations.
**Equal Employment Opportunity Statement:**
Next Gen Software Solutions LLC is an Equal Opportunity Employer. We are committed to fostering an inclusive and diverse workplace where all employees and applicants are treated respect and dignity. We do not discriminate based on race, colour, religion, sex (including pregnancy, sexual orientation, or gender identity), national origin, age, genetic information, veteran status, or any other legally protected characteristic under applicable federal, state, or local laws</t>
        </is>
      </c>
    </row>
    <row r="90">
      <c r="A90" t="inlineStr">
        <is>
          <t>in-af2f26d699267a5e</t>
        </is>
      </c>
      <c r="B90" t="inlineStr">
        <is>
          <t>Product Manager – Card-Payments</t>
        </is>
      </c>
      <c r="C90" t="inlineStr">
        <is>
          <t>Computer Services Inc.</t>
        </is>
      </c>
      <c r="D90" t="inlineStr">
        <is>
          <t>indeed</t>
        </is>
      </c>
      <c r="E90">
        <f>HYPERLINK("https://www.indeed.com/viewjob?jk=af2f26d699267a5e", "https://www.indeed.com/viewjob?jk=af2f26d699267a5e")</f>
        <v/>
      </c>
      <c r="F90">
        <f>HYPERLINK("https://csiweb.wd1.myworkdayjobs.com/en-US/CSI_Careers/job/Remote-USA/Product-Manager---Card-Payments_R-100442", "https://csiweb.wd1.myworkdayjobs.com/en-US/CSI_Careers/job/Remote-USA/Product-Manager---Card-Payments_R-100442")</f>
        <v/>
      </c>
      <c r="G90" t="inlineStr">
        <is>
          <t>Remote, US</t>
        </is>
      </c>
      <c r="H90" s="3" t="n">
        <v>46041</v>
      </c>
      <c r="I90" t="inlineStr">
        <is>
          <t>Job Description:
In this role, you have the opportunity to play a pivotal role in go\-to\-market execution of CSI’s Payment Products. Executing product strategy, understanding market challenges and innovative solutions informed by thorough research and focused on Card and/or Payment Networks.
You are responsible for: (but not limited to)* Execute the go\-to\-market strategy for our card payment strategy, ensuring alignment with company goals and customer needs.
* Oversee the end\-to\-end product lifecycle, from concept to launch, including market research, product design, and implementation.
* Analyze market trends, customer feedback, and competitive landscape to identify opportunities for product enhancements and new features.
* Develop and maintain product roadmaps, prioritizing features and initiatives based on business value and customer impact.
* Ensure compliance with regulatory requirements and industry standards for payments products.
* Manage relationships with external vendors and partners, ensuring service level agreements are met.
* Monitor product performance, using data and analytics to drive continuous improvement and optimize user experience.
* Provide training and support for internal teams, including sales and customer service, to ensure successful product adoption and customer satisfaction.
You are a part of a team of product managers focused on payments, you will also work cross functionally with Technical Product Owners and Development teams, Marketing, Sales, and Customer Support teams to drive remarkable marketplace results.
To succeed in this role, you should have the following skills and experience* Depth of experience and knowledge in the card payments industry, networks, and the competitive landscape
* 2\+ years’ relevant work experience specifically in Product Management, with recent go\-to\-market execution and/or a background in system conversions.
* Strategic Product Management Experience – Demonstrated success in defining features, collaborating closely with product owners, and executing product strategies, roadmaps, and lifecycle management.
* Strong Market Research \&amp; Analytical Skills – Proven ability to gather, analyze, and apply market intelligence to define strategy and identify customer needs.
* Cross\-Functional Collaboration – Skilled in partnering with architecture, engineering, marketing, and leadership to deliver business\-aligned product outcomes.
* Financial Acumen – Experience developing business cases, pricing models, and ROI analyses to support strategic decisions and financial targets.
* Prefer candidates with Experience with Aha! or similar tools in an agile environment.
* Community Bank experience helpful
In return, we offer you a high\-growth, high\-ownership role intentionally positioned for those seeking fast\-tracked career acceleration. Access to hands\-on mentorship from experienced Product Leaders, in a flexible remote/hybrid working environment.
Why should you join CSI?
As a forward\-thinking software provider, Computer Services, Inc. (CSI) helps community and regional financial institutions solve their customers’ needs through open and flexible technologies. In addition to its award\-winning core banking platform, these include the latest in lending, digital banking, payments, financial crime prevention and cybersecurity. Building on its 60\-year track record of personalized service, CSI is shaping the future of banking and empowering its customers to rival their competition. For more information about CSI, visit www.csiweb.com
CSI provides rewarding and challenging career opportunities for our employees. When determining your pay, we consider various factors such as your skills, qualifications, experience and location. Along with a competitive salary, this position includes eligibility for incentive awards based on both individual and business performance. We also offer a comprehensive range of benefits. To learn more about our benefits, visit: Benefits Summary
CSI is an Equal Opportunity Employer. All qualified applicants will receive consideration for employment without regard to race, color, religion, sex, pregnancy, sexual orientation, gender identity, national origin, age, physical and mental disability, marital status, veteran status, or any other characteristic protected by applicable law. If you need an accommodation during the recruitment process, please email us at recruiter@csiweb.com and we will work with you to meet your accessibility needs.
For applicants residing in California, please read Privacy Notice for California Residents \| CSI (csiweb.com)
Visa Sponsorship: We are unable to offer visa sponsorship for this position. Applicants must be authorized to work in the United States without the need for sponsorship now or in the future.</t>
        </is>
      </c>
    </row>
    <row r="91">
      <c r="A91" t="inlineStr">
        <is>
          <t>in-14d9e4d895cb7d25</t>
        </is>
      </c>
      <c r="B91" t="inlineStr">
        <is>
          <t>Senior RAI Program Manager</t>
        </is>
      </c>
      <c r="C91" t="inlineStr">
        <is>
          <t>eBay</t>
        </is>
      </c>
      <c r="D91" t="inlineStr">
        <is>
          <t>indeed</t>
        </is>
      </c>
      <c r="E91">
        <f>HYPERLINK("https://www.indeed.com/viewjob?jk=14d9e4d895cb7d25", "https://www.indeed.com/viewjob?jk=14d9e4d895cb7d25")</f>
        <v/>
      </c>
      <c r="F91">
        <f>HYPERLINK("https://click.appcast.io/t/fyeCfyyxPWorlpR3ov5Or-FNSGPwtI7KeFY3fl7fnp0=", "https://click.appcast.io/t/fyeCfyyxPWorlpR3ov5Or-FNSGPwtI7KeFY3fl7fnp0=")</f>
        <v/>
      </c>
      <c r="G91" t="inlineStr">
        <is>
          <t>Austin, TX, US</t>
        </is>
      </c>
      <c r="H91" s="3" t="n">
        <v>46041</v>
      </c>
      <c r="I91"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
We are seeking a Senior Program Manager to assist with the growth of eBay's program passionate about Responsible AI. We are looking for a candidate who will play a pivotal role in guiding our product and engineering teams to develop and deploy AI technologies that align with our Responsible AI standards and compliance requirements. This position will also influence how the program communicates with collaborators internally regarding operational and compliance metrics. Reporting to the Lead Program Manager for Responsible AI, you will take the lead on how the Responsible AI program communicates to the rest of eBay. This role requires a strategic problem solver who is proficient in the field of artificial intelligence, ethics, and risk management.
**What You Will Accomplish**
============================
* Develop a training plan, including material preparation, to educate employees on AI ethics, development, and regulations.
* Program Management, Monitoring and Reporting: Support the Responsible AI program’s internal operations and management. Track the team’s progress against our work plan. Coordinate regular updates to collaborators on operational performance and regulatory adherence indicators.
* RAI Governance Support: Support some RAI Governance activities, like managing RAI\-related agenda items for the AI Governance Council and coordinating input from multiple stakeholders, at multiple levels of seniority.
* Cross\-Functional Collaboration: Collaborate with cross\-functional teams to ensure AI systems are designed and implemented in line with eBay’s ethical standards and regulatory requirements.
**Qualifications**
==================
* Bachelor’s degree in Program Management, Computer or Data Science, Product Management, Ethics, or a related field; advanced degree preferred.
* 5\+ years of experience in AI, technology ethics, risk management, or a similar field, with a focus on program management.
* Proficient knowledge of AI technologies, ethical considerations, and regulatory environments.
* Proven track record of developing and implementing guidelines, training programs, and communication strategies.
* Excellent communication and interpersonal skills, with the ability to influence and engage partners at all levels.
* Proven experience in effectively collaborating with various groups throughout a company.
* Candidates with strong policy or compliance backgrounds combined with proven responsible AI experience are strongly encouraged to apply.
**Additional Preferred Skills**
===============================
* Exceptional stakeholder engagement skills, with experience delivering strategic programs in partnership with teams across an organization.
* Demonstrated insight and cultural awareness when navigating critical ethical considerations.
* Experience with product development processes, AI and data governance frameworks, or compliance processes.
* Familiarity with large language models or generative AI technologies.
The base pay range for this position is expected in the range below:
$111,200 \- $190,100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92">
      <c r="A92" t="inlineStr">
        <is>
          <t>in-cecaeecfa6526a19</t>
        </is>
      </c>
      <c r="B92" t="inlineStr">
        <is>
          <t>Senior Product Owner</t>
        </is>
      </c>
      <c r="C92" t="inlineStr">
        <is>
          <t>Capgemini</t>
        </is>
      </c>
      <c r="D92" t="inlineStr">
        <is>
          <t>indeed</t>
        </is>
      </c>
      <c r="E92">
        <f>HYPERLINK("https://www.indeed.com/viewjob?jk=cecaeecfa6526a19", "https://www.indeed.com/viewjob?jk=cecaeecfa6526a19")</f>
        <v/>
      </c>
      <c r="F92">
        <f>HYPERLINK("https://www.capgemini.com/jobs/393053-en_GB+sap_btp/", "https://www.capgemini.com/jobs/393053-en_GB+sap_btp/")</f>
        <v/>
      </c>
      <c r="G92" t="inlineStr">
        <is>
          <t>Atlanta, GA, US</t>
        </is>
      </c>
      <c r="H92" s="3" t="n">
        <v>46041</v>
      </c>
      <c r="I92" t="inlineStr">
        <is>
          <t>Atlanta, GA
Senior Product Owner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 Grade Specific
Responsibilities
Manage the product roadmap and backlog for all digital products
Oversee and manage lead requirements discovery, solution design, user story writing, feature development, and user acceptance testing
Partner with the executive teams to identify key capabilities needed as well as identifying potential issues
Partner with cross functional teams regularly to ensure alignment on feature development and prioritization
Manage the roadmap and backlog to ensure that IT delivers all capabilities on time and per expectation
Work with product marketing to develop positioning and messaging to ensure differentiation from competitors
Monitor and evaluate product performance to ensure constant product iteration and improvements
The base compensation range for this role in the posted location is: $83,800 \- $183,430\.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393053\-en\_GB
Posted on
20 Jan 2026
Experience level
Experienced Professionals
Contract type
Permanent
Location
Atlanta, GA
Business unit
ABL AMERICAS
Brand
Capgemini
Professional communities
Business Analysis</t>
        </is>
      </c>
    </row>
    <row r="93">
      <c r="A93" t="inlineStr">
        <is>
          <t>in-18f656867d9acc41</t>
        </is>
      </c>
      <c r="B93" t="inlineStr">
        <is>
          <t>COG Sr. Program Manager</t>
        </is>
      </c>
      <c r="C93" t="inlineStr">
        <is>
          <t>DHL</t>
        </is>
      </c>
      <c r="D93" t="inlineStr">
        <is>
          <t>indeed</t>
        </is>
      </c>
      <c r="E93">
        <f>HYPERLINK("https://www.indeed.com/viewjob?jk=18f656867d9acc41", "https://www.indeed.com/viewjob?jk=18f656867d9acc41")</f>
        <v/>
      </c>
      <c r="F93">
        <f>HYPERLINK("https://careers.dhl.com/global/en/job/DPDHGLOBALAV326538ENGLOBALEXTERNAL/COG-Sr-Program-Manager?utm_source=indeed&amp;utm_medium=phenom-feeds&amp;utm_campaign=organic_indeed", "https://careers.dhl.com/global/en/job/DPDHGLOBALAV326538ENGLOBALEXTERNAL/COG-Sr-Program-Manager?utm_source=indeed&amp;utm_medium=phenom-feeds&amp;utm_campaign=organic_indeed")</f>
        <v/>
      </c>
      <c r="G93" t="inlineStr">
        <is>
          <t>Los Angeles, CA, US</t>
        </is>
      </c>
      <c r="H93" s="3" t="n">
        <v>46041</v>
      </c>
      <c r="I93" t="inlineStr">
        <is>
          <t>**What makes DHL great?** Our People! We know each employee’s individual contributions make us the \#1 Express Delivery and Logistics Company in the world. ***Distinguished as No. 1 World’s Best Workplace™ by Great Place to Work and Fortune Magazine***  
DHL Express is committed to maintaining an environment that empowers every team member to make the greatest possible impact on our business. Our corporate culture is about personal commitment – to our business, to each other and to our global communities. DHL is dedicated to being a great place to work. In addition to competitive compensation packages, our employees enjoy a range of programs, services and benefits that bring the best to their personal lives. **Start YOUR career with DHL today…**
We have an immediate career opportunity for a qualified **Customer Operations Group Senior Manager (COG)**. The **COG Sr. Manager** will utilize Six Sigma or similar methodologies to establish customer/operational solutions. The **COG Sr. Manager** will lead multi\-functional teams to implement solution initiatives with the primary objectives of cost and efficiency. **This position can be based out of the following locations: Phoenix, Seattle, Los Angeles, San Diego, and San Francisco** **Key Responsibilities:**  
* Function as the contact point for escalated customer complaints and handle such cases effectively and professionally, exhibiting proactively and responsiveness to customer issues
* Collaborate with US and international DHL business partners to develop solutions or identify root cause to address customer needs or problems
* Communication with internal customers (e.g. Finance, Credit \&amp; Collections, ITAC, Hubs, Gateways, Service Centers and Commercial teams)
* Develops and maintains solid relationships with peers to ensure customer needs are known and addressed
* Demonstrates the ability to remain calm and professional while expressing a sense of urgency
* Coordinate appropriate actions to execute customer solutions and retention, to achieve the FOCUS goals
* Assist in the development of systematic approaches for assuring high quality services
* Makes and implements recommendations for improved productivity, efficiency, accuracy, cost savings, safety, compliance, standardization, and revenue production procedures for a specific department by researching, reviewing, analyzing, and understanding business processes and translating that into business solutions
* Attend to all Customer requirements/requests at the right time, applying the agreed processes to determine root causes and work with the Customer and DHL network to either resolve the identified issues effectively or escalate issues to the next level of responsibility for additional action
* Respond to and gain support from the Operations, Commercial and CS colleagues required to support their respective functions in customer activities (both issues and opportunities)
* Support and action requests pertaining to customer requirements and development
* Pro\-actively engage stakeholders in issues that will impact Customer service quality and follow\-up until completion
* May provide functional guidance, advice and/or training to less\-experienced business process improvement professionals
* Identify key barriers/core problems and apply problem\-solving skills in order to deal creatively with complex situations
* Troubleshoot and resolve complex problems
* Ensure all program and initiatives direction and progress is communicated to all stakeholders
* Oversee the completion of projects or assignments, including; planning, assigning, monitoring, and reviewing progress
* Identify and highlight best practice and non\-compliance fields and areas, promoting customer resolution
* Ensure reoccurring issues are raised to the right management function and level for review and analysis followed by a plan of action for resolution
**Skills \&amp; Qualifications:*** Strong knowledge of Network Operations and workings of DHL
* Highly developed analytical, problem solving and high\-level reasoning skills
* Strong influencing \&amp; communication skills
* Ability to influence and negotiate at all levels
* Customer orientated
* Achievement drive and initiative
* Excellent business / commercial acumen
* Quality orientation (accurate, timely)
* Conceptual thinking
* Presentation skills
* Effective planning, organization and decision making competencies
* Fluent in spoken and written English
* Good level of cross\-cultural competency and interpersonal understanding
* Willingness and ability to travel
* Minimum of 5 years of relevant working experience (preferably at management levels in either network operations, customer service, Commercial or general management)
* Regional or Global experience in Operations would be an advantage
* Relevant working experience (preferably at management levels) with Commercial teams and customer facing roles. University degree or equivalent industry experience
**Employee Benefits \&amp; Incentives**  
DHL Express benefits and incentive offerings are designed to reflect a substantial experience for both employees and their dependents during their career and life journey. The specifics will vary, but wherever you join and in whatever role, you'll find our benefits and rewards are among the best in the industry. They include:* Bonus/Incentive Programs
* Retirement Savings – 401K with company match
* Medical, Dental, Vision, well\-being programs
* Tuition Reimbursement
* Generous Paid Time Off – Starting at 4 Weeks (PT/FT)
* Paid Leave
* Employee Discont Program
* Employee Assistance \&amp; Work Life Program
* Outstanding training opportunities
Seattle, Washington: Salary Range $124,575 \- $166,100
Los Angeles, California: Salary Range $114,975 \- $153,300
San Diego, California: Salary Range $114,975 \- $153,300
San Francisco, California: Salary Range $124,575 \- $166,100 *DHL is an equal opportunity employer. We evaluate qualified applicants without regard to race, color, religion, sex, sexual orientation, gender identity, national origin, disability, veteran status, or any other protected characteristic.**The EEO is the Law poster is available here: https://www.eeoc.gov/employers/eeo\-law\-poster*</t>
        </is>
      </c>
    </row>
    <row r="94">
      <c r="A94" t="inlineStr">
        <is>
          <t>in-e1092f33536b2006</t>
        </is>
      </c>
      <c r="B94" t="inlineStr">
        <is>
          <t>Product Manager, Antibody Detection</t>
        </is>
      </c>
      <c r="C94" t="inlineStr">
        <is>
          <t>Thermo Fisher Scientific</t>
        </is>
      </c>
      <c r="D94" t="inlineStr">
        <is>
          <t>indeed</t>
        </is>
      </c>
      <c r="E94">
        <f>HYPERLINK("https://www.indeed.com/viewjob?jk=e1092f33536b2006", "https://www.indeed.com/viewjob?jk=e1092f33536b2006")</f>
        <v/>
      </c>
      <c r="F94">
        <f>HYPERLINK("https://jsv3.recruitics.com/redirect?rx_cid=3436&amp;rx_jobId=R-01340032_1002&amp;rx_url=https%3A%2F%2Fjobs.thermofisher.com%2Fglobal%2Fen%2Fjob%2FR-01340032%2FProduct-Manager-Antibody-Detection%3Frx_a%3D0%26rx_c%3D%26rx_ch%3Djobp4p%26rx_group%3D123525%26rx_id%3Dea50daab-f64c-11f0-85cc-9f8234f4b3ff%26rx_job%3DR-01340032_1002%26rx_medium%3Dcpc%26rx_r%3Dnone%26rx_source%3Dindeed%26rx_ts%3D20260121T040430Z%26rx_vp%3Dcpc%26utm_medium%3Dppc%26utm_source%3Drecruitics_indeedorganic", "https://jsv3.recruitics.com/redirect?rx_cid=3436&amp;rx_jobId=R-01340032_1002&amp;rx_url=https%3A%2F%2Fjobs.thermofisher.com%2Fglobal%2Fen%2Fjob%2FR-01340032%2FProduct-Manager-Antibody-Detection%3Frx_a%3D0%26rx_c%3D%26rx_ch%3Djobp4p%26rx_group%3D123525%26rx_id%3Dea50daab-f64c-11f0-85cc-9f8234f4b3ff%26rx_job%3DR-01340032_1002%26rx_medium%3Dcpc%26rx_r%3Dnone%26rx_source%3Dindeed%26rx_ts%3D20260121T040430Z%26rx_vp%3Dcpc%26utm_medium%3Dppc%26utm_source%3Drecruitics_indeedorganic")</f>
        <v/>
      </c>
      <c r="G94" t="inlineStr">
        <is>
          <t>PA, US</t>
        </is>
      </c>
      <c r="H94" s="3" t="n">
        <v>46041</v>
      </c>
      <c r="I94"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95">
      <c r="A95" t="inlineStr">
        <is>
          <t>in-51a9a0ee32737da4</t>
        </is>
      </c>
      <c r="B95" t="inlineStr">
        <is>
          <t>Product Manager, Antibody Detection</t>
        </is>
      </c>
      <c r="C95" t="inlineStr">
        <is>
          <t>Thermo Fisher Scientific</t>
        </is>
      </c>
      <c r="D95" t="inlineStr">
        <is>
          <t>indeed</t>
        </is>
      </c>
      <c r="E95">
        <f>HYPERLINK("https://www.indeed.com/viewjob?jk=51a9a0ee32737da4", "https://www.indeed.com/viewjob?jk=51a9a0ee32737da4")</f>
        <v/>
      </c>
      <c r="F95">
        <f>HYPERLINK("https://jsv3.recruitics.com/redirect?rx_cid=3436&amp;rx_jobId=R-01340032_1005&amp;rx_url=https%3A%2F%2Fjobs.thermofisher.com%2Fglobal%2Fen%2Fjob%2FR-01340032%2FProduct-Manager-Antibody-Detection%3Frx_a%3D0%26rx_c%3D%26rx_ch%3Djobp4p%26rx_group%3D123525%26rx_id%3De8dc3b91-f64c-11f0-85cc-a7a5e163d860%26rx_job%3DR-01340032_1005%26rx_medium%3Dcpc%26rx_r%3Dnone%26rx_source%3Dindeed%26rx_ts%3D20260121T040430Z%26rx_vp%3Dcpc%26utm_medium%3Dppc%26utm_source%3Drecruitics_indeedorganic", "https://jsv3.recruitics.com/redirect?rx_cid=3436&amp;rx_jobId=R-01340032_1005&amp;rx_url=https%3A%2F%2Fjobs.thermofisher.com%2Fglobal%2Fen%2Fjob%2FR-01340032%2FProduct-Manager-Antibody-Detection%3Frx_a%3D0%26rx_c%3D%26rx_ch%3Djobp4p%26rx_group%3D123525%26rx_id%3De8dc3b91-f64c-11f0-85cc-a7a5e163d860%26rx_job%3DR-01340032_1005%26rx_medium%3Dcpc%26rx_r%3Dnone%26rx_source%3Dindeed%26rx_ts%3D20260121T040430Z%26rx_vp%3Dcpc%26utm_medium%3Dppc%26utm_source%3Drecruitics_indeedorganic")</f>
        <v/>
      </c>
      <c r="G95" t="inlineStr">
        <is>
          <t>TX, US</t>
        </is>
      </c>
      <c r="H95" s="3" t="n">
        <v>46041</v>
      </c>
      <c r="I95"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96">
      <c r="A96" t="inlineStr">
        <is>
          <t>in-b16a562db0672b8a</t>
        </is>
      </c>
      <c r="B96" t="inlineStr">
        <is>
          <t>Product Manager, Antibody Detection</t>
        </is>
      </c>
      <c r="C96" t="inlineStr">
        <is>
          <t>Thermo Fisher Scientific</t>
        </is>
      </c>
      <c r="D96" t="inlineStr">
        <is>
          <t>indeed</t>
        </is>
      </c>
      <c r="E96">
        <f>HYPERLINK("https://www.indeed.com/viewjob?jk=b16a562db0672b8a", "https://www.indeed.com/viewjob?jk=b16a562db0672b8a")</f>
        <v/>
      </c>
      <c r="F96">
        <f>HYPERLINK("https://jsv3.recruitics.com/redirect?rx_cid=3436&amp;rx_jobId=R-01340032_1003&amp;rx_url=https%3A%2F%2Fjobs.thermofisher.com%2Fglobal%2Fen%2Fjob%2FR-01340032%2FProduct-Manager-Antibody-Detection%3Frx_a%3D0%26rx_c%3D%26rx_ch%3Djobp4p%26rx_group%3D123525%26rx_id%3Def0efef9-f64c-11f0-85cc-97b259a69d55%26rx_job%3DR-01340032_1003%26rx_medium%3Dcpc%26rx_r%3Dnone%26rx_source%3Dindeed%26rx_ts%3D20260121T040430Z%26rx_vp%3Dcpc%26utm_medium%3Dppc%26utm_source%3Drecruitics_indeedorganic", "https://jsv3.recruitics.com/redirect?rx_cid=3436&amp;rx_jobId=R-01340032_1003&amp;rx_url=https%3A%2F%2Fjobs.thermofisher.com%2Fglobal%2Fen%2Fjob%2FR-01340032%2FProduct-Manager-Antibody-Detection%3Frx_a%3D0%26rx_c%3D%26rx_ch%3Djobp4p%26rx_group%3D123525%26rx_id%3Def0efef9-f64c-11f0-85cc-97b259a69d55%26rx_job%3DR-01340032_1003%26rx_medium%3Dcpc%26rx_r%3Dnone%26rx_source%3Dindeed%26rx_ts%3D20260121T040430Z%26rx_vp%3Dcpc%26utm_medium%3Dppc%26utm_source%3Drecruitics_indeedorganic")</f>
        <v/>
      </c>
      <c r="G96" t="inlineStr">
        <is>
          <t>NC, US</t>
        </is>
      </c>
      <c r="H96" s="3" t="n">
        <v>46041</v>
      </c>
      <c r="I96"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97">
      <c r="A97" t="inlineStr">
        <is>
          <t>in-c59b3a44b9b37c05</t>
        </is>
      </c>
      <c r="B97" t="inlineStr">
        <is>
          <t>Product Manager, Antibody Detection</t>
        </is>
      </c>
      <c r="C97" t="inlineStr">
        <is>
          <t>Thermo Fisher Scientific</t>
        </is>
      </c>
      <c r="D97" t="inlineStr">
        <is>
          <t>indeed</t>
        </is>
      </c>
      <c r="E97">
        <f>HYPERLINK("https://www.indeed.com/viewjob?jk=c59b3a44b9b37c05", "https://www.indeed.com/viewjob?jk=c59b3a44b9b37c05")</f>
        <v/>
      </c>
      <c r="F97">
        <f>HYPERLINK("https://jsv3.recruitics.com/redirect?rx_cid=3436&amp;rx_jobId=R-01340032&amp;rx_url=https%3A%2F%2Fjobs.thermofisher.com%2Fglobal%2Fen%2Fjob%2FR-01340032%2FProduct-Manager-Antibody-Detection%3Frx_a%3D0%26rx_c%3D%26rx_ch%3Djobp4p%26rx_group%3D123525%26rx_id%3Debdd94d7-f64c-11f0-85cc-47a2cb4c009c%26rx_job%3DR-01340032%26rx_medium%3Dcpc%26rx_r%3Dnone%26rx_source%3Dindeed%26rx_ts%3D20260121T040430Z%26rx_vp%3Dcpc%26utm_medium%3Dppc%26utm_source%3Drecruitics_indeedorganic", "https://jsv3.recruitics.com/redirect?rx_cid=3436&amp;rx_jobId=R-01340032&amp;rx_url=https%3A%2F%2Fjobs.thermofisher.com%2Fglobal%2Fen%2Fjob%2FR-01340032%2FProduct-Manager-Antibody-Detection%3Frx_a%3D0%26rx_c%3D%26rx_ch%3Djobp4p%26rx_group%3D123525%26rx_id%3Debdd94d7-f64c-11f0-85cc-47a2cb4c009c%26rx_job%3DR-01340032%26rx_medium%3Dcpc%26rx_r%3Dnone%26rx_source%3Dindeed%26rx_ts%3D20260121T040430Z%26rx_vp%3Dcpc%26utm_medium%3Dppc%26utm_source%3Drecruitics_indeedorganic")</f>
        <v/>
      </c>
      <c r="G97" t="inlineStr">
        <is>
          <t>IN, US</t>
        </is>
      </c>
      <c r="H97" s="3" t="n">
        <v>46041</v>
      </c>
      <c r="I97"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98">
      <c r="A98" t="inlineStr">
        <is>
          <t>in-7468c34497023d1c</t>
        </is>
      </c>
      <c r="B98" t="inlineStr">
        <is>
          <t>Product Manager, Antibody Detection</t>
        </is>
      </c>
      <c r="C98" t="inlineStr">
        <is>
          <t>Thermo Fisher Scientific</t>
        </is>
      </c>
      <c r="D98" t="inlineStr">
        <is>
          <t>indeed</t>
        </is>
      </c>
      <c r="E98">
        <f>HYPERLINK("https://www.indeed.com/viewjob?jk=7468c34497023d1c", "https://www.indeed.com/viewjob?jk=7468c34497023d1c")</f>
        <v/>
      </c>
      <c r="F98">
        <f>HYPERLINK("https://jsv3.recruitics.com/redirect?rx_cid=3436&amp;rx_jobId=R-01340032_1001&amp;rx_url=https%3A%2F%2Fjobs.thermofisher.com%2Fglobal%2Fen%2Fjob%2FR-01340032%2FProduct-Manager-Antibody-Detection%3Frx_a%3D0%26rx_c%3D%26rx_ch%3Djobp4p%26rx_group%3D123525%26rx_id%3De7b56f1f-f64c-11f0-85cc-011900abfdde%26rx_job%3DR-01340032_1001%26rx_medium%3Dcpc%26rx_r%3Dnone%26rx_source%3Dindeed%26rx_ts%3D20260121T040430Z%26rx_vp%3Dcpc%26utm_medium%3Dppc%26utm_source%3Drecruitics_indeedorganic", "https://jsv3.recruitics.com/redirect?rx_cid=3436&amp;rx_jobId=R-01340032_1001&amp;rx_url=https%3A%2F%2Fjobs.thermofisher.com%2Fglobal%2Fen%2Fjob%2FR-01340032%2FProduct-Manager-Antibody-Detection%3Frx_a%3D0%26rx_c%3D%26rx_ch%3Djobp4p%26rx_group%3D123525%26rx_id%3De7b56f1f-f64c-11f0-85cc-011900abfdde%26rx_job%3DR-01340032_1001%26rx_medium%3Dcpc%26rx_r%3Dnone%26rx_source%3Dindeed%26rx_ts%3D20260121T040430Z%26rx_vp%3Dcpc%26utm_medium%3Dppc%26utm_source%3Drecruitics_indeedorganic")</f>
        <v/>
      </c>
      <c r="G98" t="inlineStr">
        <is>
          <t>CO, US</t>
        </is>
      </c>
      <c r="H98" s="3" t="n">
        <v>46041</v>
      </c>
      <c r="I98"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99">
      <c r="A99" t="inlineStr">
        <is>
          <t>in-2d55df257ef24e18</t>
        </is>
      </c>
      <c r="B99" t="inlineStr">
        <is>
          <t>Product Manager, Antibody Detection</t>
        </is>
      </c>
      <c r="C99" t="inlineStr">
        <is>
          <t>Thermo Fisher Scientific</t>
        </is>
      </c>
      <c r="D99" t="inlineStr">
        <is>
          <t>indeed</t>
        </is>
      </c>
      <c r="E99">
        <f>HYPERLINK("https://www.indeed.com/viewjob?jk=2d55df257ef24e18", "https://www.indeed.com/viewjob?jk=2d55df257ef24e18")</f>
        <v/>
      </c>
      <c r="F99">
        <f>HYPERLINK("https://jsv3.recruitics.com/redirect?rx_cid=3436&amp;rx_jobId=R-01340032_1007&amp;rx_url=https%3A%2F%2Fjobs.thermofisher.com%2Fglobal%2Fen%2Fjob%2FR-01340032%2FProduct-Manager-Antibody-Detection%3Frx_a%3D0%26rx_c%3D%26rx_ch%3Djobp4p%26rx_group%3D123525%26rx_id%3Dec33cbc5-f64c-11f0-85cc-89267b9f2a39%26rx_job%3DR-01340032_1007%26rx_medium%3Dcpc%26rx_r%3Dnone%26rx_source%3Dindeed%26rx_ts%3D20260121T040430Z%26rx_vp%3Dcpc%26utm_medium%3Dppc%26utm_source%3Drecruitics_indeedorganic", "https://jsv3.recruitics.com/redirect?rx_cid=3436&amp;rx_jobId=R-01340032_1007&amp;rx_url=https%3A%2F%2Fjobs.thermofisher.com%2Fglobal%2Fen%2Fjob%2FR-01340032%2FProduct-Manager-Antibody-Detection%3Frx_a%3D0%26rx_c%3D%26rx_ch%3Djobp4p%26rx_group%3D123525%26rx_id%3Dec33cbc5-f64c-11f0-85cc-89267b9f2a39%26rx_job%3DR-01340032_1007%26rx_medium%3Dcpc%26rx_r%3Dnone%26rx_source%3Dindeed%26rx_ts%3D20260121T040430Z%26rx_vp%3Dcpc%26utm_medium%3Dppc%26utm_source%3Drecruitics_indeedorganic")</f>
        <v/>
      </c>
      <c r="G99" t="inlineStr">
        <is>
          <t>OR, US</t>
        </is>
      </c>
      <c r="H99" s="3" t="n">
        <v>46041</v>
      </c>
      <c r="I99"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00">
      <c r="A100" t="inlineStr">
        <is>
          <t>in-75e3d73031c2b477</t>
        </is>
      </c>
      <c r="B100" t="inlineStr">
        <is>
          <t>Product Manager, Antibody Detection</t>
        </is>
      </c>
      <c r="C100" t="inlineStr">
        <is>
          <t>Thermo Fisher Scientific</t>
        </is>
      </c>
      <c r="D100" t="inlineStr">
        <is>
          <t>indeed</t>
        </is>
      </c>
      <c r="E100">
        <f>HYPERLINK("https://www.indeed.com/viewjob?jk=75e3d73031c2b477", "https://www.indeed.com/viewjob?jk=75e3d73031c2b477")</f>
        <v/>
      </c>
      <c r="F100">
        <f>HYPERLINK("https://jsv3.recruitics.com/redirect?rx_cid=3436&amp;rx_jobId=R-01340032_1009&amp;rx_url=https%3A%2F%2Fjobs.thermofisher.com%2Fglobal%2Fen%2Fjob%2FR-01340032%2FProduct-Manager-Antibody-Detection%3Frx_a%3D0%26rx_c%3D%26rx_ch%3Djobp4p%26rx_group%3D123525%26rx_id%3Defd44ac9-f64c-11f0-85cc-a7778a4b5a98%26rx_job%3DR-01340032_1009%26rx_medium%3Dcpc%26rx_r%3Dnone%26rx_source%3Dindeed%26rx_ts%3D20260121T040430Z%26rx_vp%3Dcpc%26utm_medium%3Dppc%26utm_source%3Drecruitics_indeedorganic", "https://jsv3.recruitics.com/redirect?rx_cid=3436&amp;rx_jobId=R-01340032_1009&amp;rx_url=https%3A%2F%2Fjobs.thermofisher.com%2Fglobal%2Fen%2Fjob%2FR-01340032%2FProduct-Manager-Antibody-Detection%3Frx_a%3D0%26rx_c%3D%26rx_ch%3Djobp4p%26rx_group%3D123525%26rx_id%3Defd44ac9-f64c-11f0-85cc-a7778a4b5a98%26rx_job%3DR-01340032_1009%26rx_medium%3Dcpc%26rx_r%3Dnone%26rx_source%3Dindeed%26rx_ts%3D20260121T040430Z%26rx_vp%3Dcpc%26utm_medium%3Dppc%26utm_source%3Drecruitics_indeedorganic")</f>
        <v/>
      </c>
      <c r="G100" t="inlineStr">
        <is>
          <t>FL, US</t>
        </is>
      </c>
      <c r="H100" s="3" t="n">
        <v>46041</v>
      </c>
      <c r="I100"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01">
      <c r="A101" t="inlineStr">
        <is>
          <t>in-3f0ba407d25f353d</t>
        </is>
      </c>
      <c r="B101" t="inlineStr">
        <is>
          <t>Product Manager, Antibody Detection</t>
        </is>
      </c>
      <c r="C101" t="inlineStr">
        <is>
          <t>Thermo Fisher Scientific</t>
        </is>
      </c>
      <c r="D101" t="inlineStr">
        <is>
          <t>indeed</t>
        </is>
      </c>
      <c r="E101">
        <f>HYPERLINK("https://www.indeed.com/viewjob?jk=3f0ba407d25f353d", "https://www.indeed.com/viewjob?jk=3f0ba407d25f353d")</f>
        <v/>
      </c>
      <c r="F101">
        <f>HYPERLINK("https://jsv3.recruitics.com/redirect?rx_cid=3436&amp;rx_jobId=R-01340032_1004&amp;rx_url=https%3A%2F%2Fjobs.thermofisher.com%2Fglobal%2Fen%2Fjob%2FR-01340032%2FProduct-Manager-Antibody-Detection%3Frx_a%3D0%26rx_c%3D%26rx_ch%3Djobp4p%26rx_group%3D123525%26rx_id%3Df150b16d-f64c-11f0-85cc-e10ece57cbec%26rx_job%3DR-01340032_1004%26rx_medium%3Dcpc%26rx_r%3Dnone%26rx_source%3Dindeed%26rx_ts%3D20260121T040430Z%26rx_vp%3Dcpc%26utm_medium%3Dppc%26utm_source%3Drecruitics_indeedorganic", "https://jsv3.recruitics.com/redirect?rx_cid=3436&amp;rx_jobId=R-01340032_1004&amp;rx_url=https%3A%2F%2Fjobs.thermofisher.com%2Fglobal%2Fen%2Fjob%2FR-01340032%2FProduct-Manager-Antibody-Detection%3Frx_a%3D0%26rx_c%3D%26rx_ch%3Djobp4p%26rx_group%3D123525%26rx_id%3Df150b16d-f64c-11f0-85cc-e10ece57cbec%26rx_job%3DR-01340032_1004%26rx_medium%3Dcpc%26rx_r%3Dnone%26rx_source%3Dindeed%26rx_ts%3D20260121T040430Z%26rx_vp%3Dcpc%26utm_medium%3Dppc%26utm_source%3Drecruitics_indeedorganic")</f>
        <v/>
      </c>
      <c r="G101" t="inlineStr">
        <is>
          <t>GA, US</t>
        </is>
      </c>
      <c r="H101" s="3" t="n">
        <v>46041</v>
      </c>
      <c r="I101"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02">
      <c r="A102" t="inlineStr">
        <is>
          <t>in-8b8289fb64e5203b</t>
        </is>
      </c>
      <c r="B102" t="inlineStr">
        <is>
          <t>Product Manager, Antibody Detection</t>
        </is>
      </c>
      <c r="C102" t="inlineStr">
        <is>
          <t>Thermo Fisher Scientific</t>
        </is>
      </c>
      <c r="D102" t="inlineStr">
        <is>
          <t>indeed</t>
        </is>
      </c>
      <c r="E102">
        <f>HYPERLINK("https://www.indeed.com/viewjob?jk=8b8289fb64e5203b", "https://www.indeed.com/viewjob?jk=8b8289fb64e5203b")</f>
        <v/>
      </c>
      <c r="F102">
        <f>HYPERLINK("https://jsv3.recruitics.com/redirect?rx_cid=3436&amp;rx_jobId=R-01340032_1008&amp;rx_url=https%3A%2F%2Fjobs.thermofisher.com%2Fglobal%2Fen%2Fjob%2FR-01340032%2FProduct-Manager-Antibody-Detection%3Frx_a%3D0%26rx_c%3D%26rx_ch%3Djobp4p%26rx_group%3D123525%26rx_id%3De7deefcd-f64c-11f0-85cc-77c84b031869%26rx_job%3DR-01340032_1008%26rx_medium%3Dcpc%26rx_r%3Dnone%26rx_source%3Dindeed%26rx_ts%3D20260121T040430Z%26rx_vp%3Dcpc%26utm_medium%3Dppc%26utm_source%3Drecruitics_indeedorganic", "https://jsv3.recruitics.com/redirect?rx_cid=3436&amp;rx_jobId=R-01340032_1008&amp;rx_url=https%3A%2F%2Fjobs.thermofisher.com%2Fglobal%2Fen%2Fjob%2FR-01340032%2FProduct-Manager-Antibody-Detection%3Frx_a%3D0%26rx_c%3D%26rx_ch%3Djobp4p%26rx_group%3D123525%26rx_id%3De7deefcd-f64c-11f0-85cc-77c84b031869%26rx_job%3DR-01340032_1008%26rx_medium%3Dcpc%26rx_r%3Dnone%26rx_source%3Dindeed%26rx_ts%3D20260121T040430Z%26rx_vp%3Dcpc%26utm_medium%3Dppc%26utm_source%3Drecruitics_indeedorganic")</f>
        <v/>
      </c>
      <c r="G102" t="inlineStr">
        <is>
          <t>OH, US</t>
        </is>
      </c>
      <c r="H102" s="3" t="n">
        <v>46041</v>
      </c>
      <c r="I102"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03">
      <c r="A103" t="inlineStr">
        <is>
          <t>in-c2e0f6c2fa757952</t>
        </is>
      </c>
      <c r="B103" t="inlineStr">
        <is>
          <t>Product Manager, Antibody Detection</t>
        </is>
      </c>
      <c r="C103" t="inlineStr">
        <is>
          <t>Thermo Fisher Scientific</t>
        </is>
      </c>
      <c r="D103" t="inlineStr">
        <is>
          <t>indeed</t>
        </is>
      </c>
      <c r="E103">
        <f>HYPERLINK("https://www.indeed.com/viewjob?jk=c2e0f6c2fa757952", "https://www.indeed.com/viewjob?jk=c2e0f6c2fa757952")</f>
        <v/>
      </c>
      <c r="F103">
        <f>HYPERLINK("https://jsv3.recruitics.com/redirect?rx_cid=3436&amp;rx_jobId=R-01340032_1006&amp;rx_url=https%3A%2F%2Fjobs.thermofisher.com%2Fglobal%2Fen%2Fjob%2FR-01340032%2FProduct-Manager-Antibody-Detection%3Frx_a%3D0%26rx_c%3D%26rx_ch%3Djobp4p%26rx_group%3D123525%26rx_id%3Deea25a67-f64c-11f0-85cc-abdb7838ad5a%26rx_job%3DR-01340032_1006%26rx_medium%3Dcpc%26rx_r%3Dnone%26rx_source%3Dindeed%26rx_ts%3D20260121T040430Z%26rx_vp%3Dcpc%26utm_medium%3Dppc%26utm_source%3Drecruitics_indeedorganic", "https://jsv3.recruitics.com/redirect?rx_cid=3436&amp;rx_jobId=R-01340032_1006&amp;rx_url=https%3A%2F%2Fjobs.thermofisher.com%2Fglobal%2Fen%2Fjob%2FR-01340032%2FProduct-Manager-Antibody-Detection%3Frx_a%3D0%26rx_c%3D%26rx_ch%3Djobp4p%26rx_group%3D123525%26rx_id%3Deea25a67-f64c-11f0-85cc-abdb7838ad5a%26rx_job%3DR-01340032_1006%26rx_medium%3Dcpc%26rx_r%3Dnone%26rx_source%3Dindeed%26rx_ts%3D20260121T040430Z%26rx_vp%3Dcpc%26utm_medium%3Dppc%26utm_source%3Drecruitics_indeedorganic")</f>
        <v/>
      </c>
      <c r="G103" t="inlineStr">
        <is>
          <t>AZ, US</t>
        </is>
      </c>
      <c r="H103" s="3" t="n">
        <v>46041</v>
      </c>
      <c r="I103"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04">
      <c r="A104" t="inlineStr">
        <is>
          <t>in-c9cdca986ec95f1c</t>
        </is>
      </c>
      <c r="B104" t="inlineStr">
        <is>
          <t>Program Manager III - Integrated Survivability Solutions (ISS)</t>
        </is>
      </c>
      <c r="C104" t="inlineStr">
        <is>
          <t>BAE Systems USA</t>
        </is>
      </c>
      <c r="D104" t="inlineStr">
        <is>
          <t>indeed</t>
        </is>
      </c>
      <c r="E104">
        <f>HYPERLINK("https://www.indeed.com/viewjob?jk=c9cdca986ec95f1c", "https://www.indeed.com/viewjob?jk=c9cdca986ec95f1c")</f>
        <v/>
      </c>
      <c r="F104">
        <f>HYPERLINK("https://jobs.baesystems.com/global/en/job/120073BR", "https://jobs.baesystems.com/global/en/job/120073BR")</f>
        <v/>
      </c>
      <c r="G104" t="inlineStr">
        <is>
          <t>Merrimack, NH, US</t>
        </is>
      </c>
      <c r="H104" s="3" t="n">
        <v>46041</v>
      </c>
      <c r="I104" t="inlineStr">
        <is>
          <t>**Job Description**  
Are you an experienced Program Manager, looking for a challenging and dynamic role? BAE Systems’ Countermeasures \&amp; Electromagnetic Attack Solutions (CEMA) Business Area has an immediate opening for a highly motivated Program Manager in the Integrated Survivability Solutions (ISS) Product Line. This role is to manage the development of a laser based pointing system over a number of contracts. This Program Manger role will be focused on both execution and capture of follow\-on efforts.  
Our employees work on the world’s most advanced electronics, you’ll be among the brightest minds, working on the aerospace and defense industry’s most difficult problems. We welcome all those who have big ideas, crave innovation, want to drive fielding velocity and have the passion to bring the warfighter home safe.  
With a 9/80 schedule, and every other Friday off, our flexible work environment provides you a chance to change the world without giving up your personal life. We put our customers first – exemplified by our mission: “We Protect Those Who Protect Us®.” This is a dynamic program manager opportunity reporting directly to the Program Area Director.  
**Required Education, Experience, \&amp; Skills**  
To be considered for this Program Manager position, candidates should possess the following qualifications:* Education: Bachelor’s Degree in a technical or business\-related discipline.
* Experience: A minimum of 12 years of experience leading technical and program teams through all phases of the lifecycle.
Key Skills and Abilities:* Program Management: Demonstrated program management skills in complex development programs, with the ability to tailor processes to accelerate delivery.
* Leadership and Team Management: Proven experience leading cross\-functional teams, with strong leadership, coaching, and mentoring skills to achieve results through others.
* Organizational Skills: Strong organizational skills to manage interdependent contracts and ensure projects stay on track and aligned with goals.
* Communication: Ability to effectively communicate and execute a strategic vision, as well as convey complex program information to both program teams and executive leadership.
* Financial Acumen: Strong financial acumen with the ability to analyze and manage budgets effectively.
* Subcontractor Management: Extensive experience in managing and overseeing subcontractor relationships.
* Risk Management: In\-depth experience in identifying and mitigating Risks and Opportunities (R\&amp;O) to drive project success.
* Strategic Planning: Ability to develop a 5\-year vision for the product and drive project success through dynamic scope management.
* Active secret clearance
**Preferred Education, Experience, \&amp; Skills**  
* Experience with laser\-based pointing systems or similar technical domains.
* Familiarity with defense or aerospace industry standards and regulations.
* Program Management Professional (PMP) Certification
* Demonstrated mastery of Program Management, Life\-Cycle Management and Risk \&amp; Opportunity Management
* Master’s degree
Ideal Candidate  
The ideal candidate will be a seasoned program manager with a proven track record of delivering complex projects on time and within budget. They will possess excellent leadership, communication, and organizational skills, with the ability to manage cross\-functional teams and drive project success through strategic planning and risk management.  
**Pay Information**  
Full\-Time Salary Range: $153377 \- $260743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05">
      <c r="A105" t="inlineStr">
        <is>
          <t>in-7bfdabae3841e88b</t>
        </is>
      </c>
      <c r="B105" t="inlineStr">
        <is>
          <t>Program Manager (Deputy Director)</t>
        </is>
      </c>
      <c r="C105" t="inlineStr">
        <is>
          <t>U.S. Small Business Administration</t>
        </is>
      </c>
      <c r="D105" t="inlineStr">
        <is>
          <t>indeed</t>
        </is>
      </c>
      <c r="E105">
        <f>HYPERLINK("https://www.indeed.com/viewjob?jk=7bfdabae3841e88b", "https://www.indeed.com/viewjob?jk=7bfdabae3841e88b")</f>
        <v/>
      </c>
      <c r="F105">
        <f>HYPERLINK("https://www.usajobs.gov:443/job/854945400", "https://www.usajobs.gov:443/job/854945400")</f>
        <v/>
      </c>
      <c r="G105" t="inlineStr">
        <is>
          <t>Citrus Heights, CA, US</t>
        </is>
      </c>
      <c r="H105" s="3" t="n">
        <v>46041</v>
      </c>
      <c r="I105" t="inlineStr">
        <is>
          <t>**Summary**
-----------
You will serve as a Deputy Director for Small Business Administration (SBA), Field Operations Center East (FOCE) in Atlanta, GA or Field Operations Center West (FOCW) in Citrus Heights, CA. This position shares responsibilities with the Director in planning, directing, managing, and evaluating the functions of the FOC, the execution phases of the disaster loan\-making program; supervise management and staff assigned to various departments either personally or through subordinates.
**This job is open to**
-----------------------
### **The public**
U.S. Citizens, Nationals or those who owe allegiance to the U.S.
### **Clarification from the agency**
This vacancy is open to the Public
**Duties**
----------
As a Program Manager (Deputy Director) at the GS\-0340\-14, some of your typical work assignments may include:
* Assists the Director in the development of operational plans, staffing strategies, procedural guidance, and resource allocations needed to support disaster loan program delivery. Participate in budget development and monitoring to ensure effective and efficient use of funds.
* Monitors Center performance goals and analyzes program delivery results within assigned operational areas. Identifies trends, issues, or performance gaps and endorses corrective actions for Director approval. Ensures compliance with national standards and supports consistent implementation of ODR\&amp;R policies and procedures.
* Represents the Center Director at meetings with SBA program offices, FEMA, state and local officials, and other external stakeholders. Participate in briefings, disaster coordination efforts, and operational planning discussions.
* Communicates operational updates, staffing/resource needs, and coordination issues to the Director and DR\&amp;R leadership. Supports communication with state emergency management organizations regarding damage assessments, program requirements, preliminary disaster information, and operational matters.
* Supervises subordinate managers responsible for field operations, public information, loan closing, administrative functions, and IT support.
**This position is also being announced under Merit Promotion Procedures, announcement \# MP\-26\-FOCE/W\-12867824, you will need to apply in order to receive consideration as a status candidate.**  
Additional selections may be made from this announcement if identical vacancies occur within 180 days from the closing date.
**Requirements**
----------------
### **Conditions of employment**
* U.S. citizenship is required
* You must be able to obtain and maintain a Government travel credit card.
* Favorable background investigation required.
* A one\-year supervisory/Managerial probationary period may be required.
* You may be required to complete a one\-year probationary period for non\-supervisors if you fail to complete the one\-year supervisory probationary period.
* This is not a bargaining unit position.
* Mandatory Overtime: In order to respond quickly and efficiently to disaster survivors, substantial compensated overtime hours may be required while on assignment (up to seven days a week and ten to fourteen hours a day).
* If required to travel to a disaster site, you may encounter hazardous working and/or living conditions, for example, no water or electricity and/or minimal lodging facilities.
### **Qualifications**
Generally, time in **Non\-Pay** status is not creditable towards the specialized experience requirement listed below.  
**Experience:** To receive credit, you must indicate the **month and year** as well as the **average hours worked per week** for each employer. **Average work hours** must be stated on resume to quantify each period of work experience or that experience will not be credited toward meeting the specialized experience requirement. You must address the **specific specialized experience** required for each grade level of this position on your resume or application or you will be rated **"Ineligible"** for that grade level.  
**GS\-14:** To qualify you must have at least 1 full year (52 weeks) of specialized experience equivalent in difficulty and complexity to the **GS\-13** level in the Federal service that has equipped you with the particular knowledge, skill, and ability to perform successfully in this position. This specialized experience must demonstrate the following:
* Developing or implementing and communicating the strategy, vision and direction of an emergency management organization or disaster organization, such as a Federal, State or local government program office, department or field office; AND
* Overseeing, managing, or advising on the day\-to\-day operations of a disaster or emergency management organization/program; AND
* Analyzing and making recommendations or decisions on workload distribution and supervising a large, diverse fluctuating workforce; AND
* Overseeing disaster preparedness and disaster recovery operations; and collaborating with elected Federal, State, and local officials, and organizations regarding resiliency.
**Do not** copy and paste the duties, specialized experience, or occupational assessment questionnaire from this announcement into your resume as that will not be considered a demonstration of your qualifications for this position.  
Additional information on the qualification requirements is outlined in the OPM Qualifications Standards Handbook of General Schedule Positions. It is available for your review on OPM's Qualifications web site: Program Management Series 0340  
Experience refers to paid and unpaid experience, including volunteer work. Volunteer work helps build critical competencies, knowledge, and skills and can provide valuable training and experience that translates directly to paid employment. You will receive credit for all qualifying experience, including volunteer experience.  
**All qualification requirements must be met by 11:59 pm (Eastern Time) on** 02/03/2026\.
### **Education**
Education may not be substituted for experience for this position.
### **Additional information**
Reasonable Accommodation Requests: If you believe you have a disability (i.e., physical or mental), covered by the Rehabilitation Act of 1973 as amended and Americans with Disabilities Act 1990 as amended, that would interfere with completing the USA Hire Competency Based Assessments, you will be granted the opportunity to request a reasonable accommodation in your online application. Requests for Reasonable Accommodations for the USA Hire Competency Based Assessments and appropriate supporting documentation for Reasonable Accommodation must be received prior to starting the USA Hire Competency Based Assessments. Decisions on requests for Reasonable Accommodations are made on a case\-by\-case basis. If you meet the minimum qualifications of the position, after notification of the adjudication of your request, you will receive an email invitation to complete the USA Hire Competency Based Assessments. You must complete all assessments within 48 hours of receiving the URL to access the USA Hire Competency Based Assessments, if you received the link after the close of the announcement. To determine if you need a Reasonable Accommodation, please review the Procedures for Requesting a Reasonable Accommodation for Online Assessments.  
**Career Transition Assistance Plan (CTAP)** is a program that helps "surplus" or "displaced" federal employees improve their chances of finding a new job in their current agency (intra\-agency, i.e. SBA employees only).  
**Interagency Career Transition Assistance Plan (ICTAP)** is a program that applies to employees who have been involuntarily separated from a Federal service position within the competitive service or Federal service employees whose positions have been deemed surplus or no longer needed. To receive selection priority for this position, you must: 1\) meet ICTAP eligibility criteria; 2\) be rated well\-qualified for the position score of 85 or better based on your responses to the competencies and associated questions listed within the assessment; 3\) the position to which you are applying MUST BE in the Local Commuting Area of the position of record from which you are being displaced; and 4\) submit the appropriate documentation to support your ICTAP eligibility. Further information can be found here.  
**You MUST submit a copy of your separation notice or other proof of eligibility.**  
**Selective Service:** If you are a male applicant born after December 31, 1959, you must certify that you have registered with the Selective Service System or are exempt from having to do so under the Selective Service Law. For additional information visit www.sss.gov.**Political Appointees (Current or Former):** The Office of Personnel Management (OPM) must authorize employment offers made to current or former political appointees. If you are currently, or have been within the last 5 years, a political Schedule A, Schedule C or Non\-Career SES employee in the Executive Branch, you must disclose this information to the HR Office. Failure to disclose this information could result in disciplinary action including removal from Federal Service.
Consistent with work requirements and current SBA Policy, and all applicable provisions of the collective bargaining agreement with AFGE, the SBA offers employees opportunities to perform work at an alternative location (e.g. home). More information may be found at http://www.telework.gov.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If selected for this position, you will be eligible for benefits. The above link is provided for your reference to explore the major benefits offered to most Federal employees.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Applicants meeting basic eligibility requirements will be further evaluated based on additional assessments.  
In order to be considered for this position, you must complete all required steps in the process. One of the required assessments for this position is an online assessment that measures critical general competencies required to perform the job.  
The assessment includes a cut score based on the minimum level of required proficiency in these critical general competencies. You must meet or exceed the cut score to be considered. You will not be considered for the position if you score below the cut score or fail to complete the assessment.  
Your application will be evaluated under the Category Rating method based on your assessments. You will receive a score based on the responses to the assessment questions. If, after reviewing your resume and or supporting documentation, a determination is made that you have inflated your qualifications and or experience your score can and will be adjusted to more accurately reflect your abilities. If you meet basic requirements for the position, your application will be evaluated and placed into one of three categories:  
1\. Best\-Qualified: highly proficient with an overall comprehensive level of knowledge, skills and abilities related to the job based on a complete review of experience, education, and training as described in an applicant's responses to the assessment questions and resume.  
2\. Well\-Qualified: competent in the position with an overall accomplished level of knowledge, skills, and abilities related to the job based on a complete review of experience, training, and education as applicable, as described in an applicant's responses to the assessment questions and resume.  
3\. Qualified: an overall basic level of knowledge, skills, and abilities related to the job based on a complete review of experience, education, and training, as described in an applicant's responses to the assessment questions and resume.  
Candidates eligible for veterans' preference will be placed ahead of other candidates in the appropriate category for which they have been rated. Additionally, preference eligibles who have a compensable service\-connected disability of at least 10 percent and who meet Minimum Qualification Requirements will automatically be placed in the Best Qualified Category.
**Required Documents**
----------------------
***Failure to submit any of the required documents by the closing date/time of the vacancy will result in your removal from consideration for this position. Please review your application prior to final submission and ensure you have submitted all appropriate documents. Uploading documents to USAJobs does NOT ensure inclusion with your application to our system. You must verify that the documents are in the system with your application prior to final submission.***  
**1\. Your Resume \- Resume length must not exceed 2 pages and must contain the following information:**
* Name, address, telephone number, email address.
* Job Title (if Federal Service, provide series and grade; if not in GS plan, provide GS equivalent grade)
* If qualifying based on related unpaid (e.g. volunteer service) experience, you must provide hours worked per week and beginning/ending dates (mm/dd/yyyy to mm/dd/yyyy)
* If other than full\-time you must provide hours worked per week.
* **PLEASE BE CLEAR AND SPECIFIC. WE WILL NOT MAKE ASSUMPTIONS REGARDING YOUR EXPERIENCE**. Your resume must contain sufficiently detailed information upon which to make a qualification determination.
* ***Should you submit multiple resumes, only the latest uploaded resume will be reviewed.***
2\. In addition to the online application (resume and responses to the occupational questionnaire), you are required to submit the following forms, **if applicable.** It is the responsibility of the applicant to ensure all documents are legible:
* If you are using education as a substitution for experience (the announcement will state whether this is allowed), or if there is an educational requirement for this position, you must submit a copy of your transcripts (unofficial or official) that clearly describes your qualifying education. **If selected, official transcripts will be required;**
* If you are claiming Veteran status, you **must** submit a copy of all required documents to support your claim (including a DD\-214 showing character of service)\-see VetGuide;
* Veterans who are still in the service may be granted tentative preference on the basis of information contained in their applications, but they must produce a DD\-214 (showing the character of service) or other proof of service to receive consideration for veterans' preference. For more information on Veterans' Preference, please visit FedsHireVets.gov.
* **CTAP/ICTAP/RPL Applicants:** Surplus or displaced employees eligible for CTAP, RPL, or ICTAP priority must provide proof of eligibility (RIF separation notice, notice of proposed removal for declining a transfer of function or directed reassignment to another commuting area, notice of disability annuity termination), SF\-50 documenting separation (if applicable), your most recent SF\-50 noting position, grade level, and duty location with your application per 5 CFR 330, and your most recent performance appraisal.
**How to Apply**
----------------
Please follow all instructions carefully. Errors or omissions will affect your rating. If, after reviewing your resume and/or supporting documentation, a determination is made that you have inflated your qualifications and/or experience your rating may be adjusted to more accurately reflect your abilities.  
**Please read the entire announcement** **and all the instructions** **before you begin an application.** To apply for this position, you must complete the initial online application, to include the initial online assessment and submission of the required documentation specified in the Required Documents section below. The complete application package must be submitted by 11:59 PM (ET) on the closing date of the announcement to receive consideration. The application process is as follows:  
1\. To begin the application process, click the Apply Online button.  
2\. Answer the questions presented in the application and attach all necessary supporting documentation.  
3\. Click the Submit Application button prior to 11:59PM (ET) on the announcement closing date.  
4\. After submitting an online application, you will be notified whether or not you are required to take additional online assessments through the USA Hire Competency Based Assessment system. This message will be delivered to you both on screen and via email notification.  
5\. If you are asked to take the USA Hire Competency Based Assessments, you will be presented with a unique URL to access the USA Hire system. Access to USA Hire is granted through your USAJOBS login credentials. Be sure to review all instructions prior to beginning your USA Hire Assessments. Click here for Computer System Requirements  
6\. Note, set aside at least 3 hours to take these assessments; however, most applicants complete the assessments in less time. If you need to stop the assessments and continue at a later time, you can re\-use the URL sent to you via email and also found on the Additional Application Information page that can be located in the application record in your USAJOBS account.  
To update your application, including supporting documentation, at any time during the announcement open period, return to your USAJOBS account. There you will find a record of your application, the application status, and an option to Update Application. This option will no longer be available once the announcement has closed.  
To verify the status of your application both during and after the announcement open period, log into your USAJOBS account at https://www.usajobs.gov/  
All of your applications will appear on the Welcome page. The application record in your USAJOBS account provides an Additional Application Information page that provides information regarding the documentation you submitted and any correspondence we have sent related to this application. The Application Status will appear along with the date your application was last updated. For information on what each Application Status means, visit: https://www.usajobs.gov/Help/how\-to/application/status/
### **Agency contact information**
Cindy Saechao
Email
cindy.saechao@sba.gov
Address
*Field Operations Center East \- FOCE*  
*101 Marietta Street NW, Suite 700*  
*Atlanta, GA 30303*  
*US*### **Next steps**
Once your online application is submitted you will receive a confirmation notification by email. After a review of your complete application is made, you will be notified of your rating and/or referral to the hiring official. If further evaluation or interviews are required you will be contacted.  
Based on your application and your responses to the application questionnaire, you may be presented with instructions on how to access the USA Hire system to complete the online assessments. The online assessments must be completed within 48 hours following the close of this announcement. You will have the opportunity to request a testing accommodation for the assessment should you have a disability covered under the Americans with Disabilities Act (ADA).  
**Your assessment results will be kept on record for one year and used toward future positions for which you might apply that require the same assessments.**  
To be considered for the position, you must meet all qualifications, including meeting or exceeding the cut score on the required assessments.  
**SUITABILITY, CLEARANCE \&amp; REQUIREMENTS:** A background investigation may be required for all new hires. Appointment will be subject to the applicant's successful completion of a background investigation and favorable adjudication. Failure to successfully meet these requirements will be grounds for termination.  
SBA uses **e\-Verify**, an Internet\-based system, to confirm the eligibility of all newly hired employees to work in the United States. Learn more about E\-Verify, including your rights and responsibilities.
**Overview**
------------
Accepting applications
Open \&amp; closing dates
01/20/2026 to 02/03/2026
Salary
$133,007 to \- $181,254 per year
Pay scale \&amp; grade
GS 14
Locations
2 vacancies in the following locations:
Citrus Heights, CA
 Atlanta, GA
Remote job
No
Telework eligible
Yes—as determined by the agency policy.
Travel Required
Occasional travel \- You may be expected to travel for this position.
Relocation expenses reimbursed
No
Appointment type
Permanent
Work schedule
Full\-time
Service
Competitive
Promotion potential
None
Job family (Series)
* 0340 Program Management
Supervisory status
Yes
Security clearance
Other
Drug test
No
Position sensitivity and risk
High Risk (HR)
Trust determination process
* Suitability/Fitness
Financial disclosure
No
Bargaining unit status
No
Announcement number
DE\-26\-FOCE/W\-12866523
Control number
854945400</t>
        </is>
      </c>
    </row>
    <row r="106">
      <c r="A106" t="inlineStr">
        <is>
          <t>in-7e478c30c80c8922</t>
        </is>
      </c>
      <c r="B106" t="inlineStr">
        <is>
          <t>Lead Technical Product Manager, Hardware</t>
        </is>
      </c>
      <c r="C106" t="inlineStr">
        <is>
          <t>SUNCO</t>
        </is>
      </c>
      <c r="D106" t="inlineStr">
        <is>
          <t>indeed</t>
        </is>
      </c>
      <c r="E106">
        <f>HYPERLINK("https://www.indeed.com/viewjob?jk=7e478c30c80c8922", "https://www.indeed.com/viewjob?jk=7e478c30c80c8922")</f>
        <v/>
      </c>
      <c r="F106">
        <f>HYPERLINK("https://ats.rippling.com/sunco-lighting/jobs/0444c111-510c-4e0d-8056-41adf4372e69", "https://ats.rippling.com/sunco-lighting/jobs/0444c111-510c-4e0d-8056-41adf4372e69")</f>
        <v/>
      </c>
      <c r="G106" t="inlineStr">
        <is>
          <t>Los Angeles, CA, US</t>
        </is>
      </c>
      <c r="H106" s="3" t="n">
        <v>46041</v>
      </c>
      <c r="I106" t="inlineStr">
        <is>
          <t>**Note to applicants:** This is a full\-time, onsite position working out of our HQ in Valencia, CA.
 **Who** **We Are:**
Sunco is a leading American lighting and electrical eCommerce retailer proudly serving electrical contractors, builders, and property owners. Based in sunny Valencia, CA, we’re guided by values of customer\-centricity, expertise, grit, and agility. Our vision is to simplify the purchase\-to\-install journey through a seamless, one\-stop experience built on selection, service, speed, and savings. When our customers win, we win. By joining Sunco, you’re joining a company committed to continuous progress and improving efficiency across every project we support.
**Who You Are:**
* Smart – strong reasoning and critical thinking
* Passionate – your work is your sport of choice
* Optimistic – self\-explanatory
* Tenacious – extraordinary impact requires extraordinary grit and work ethic
* Adaptable – the world evolves at breakneck speed. You evolve faster.
* Kind – but that doesn't mean you’re a pushover. Kindness lets you make hard decisions.
 **About the Role:**
We’re hiring a senior technical product leader to own Sunco’s lighting and electrical supply portfolio end\-to\-end. This role will manage and scale a team of Product Managers and Project/Program Managers. This role is accountable for both what we build (product strategy, requirements, customer value) and how we build it (NPI execution, manufacturing alignment, supplier partnerships, iteration systems).
You’ll lead lighting products from concept through launch and into high\-velocity iteration. You’ll drive gains in reliability, thermal performance, manufacturability, cost\-downs, and customer outcomes. You’ll operate as a cross\-team leader, because you understand that a single team can go fast, but a team of teams can go far.  
You'll partner closely with data, software engineering, hardware engineering, quality, manufacturing, supply chain, sales/marketing, CS and more. You're already actively exploring how AI \+ data is reshaping manufacturing and hardware product development. .
 **What** **You’ll** **Do:**
* **Own lighting products end\-to\-end:** Lead NPI from requirements prototypes validation/compliance pilot ramp launch post\-launch iteration.
* **Lead and develop the PM/Program team:** Manage Product Managers and Project/Program Managers; set operating cadence, priorities, and execution standards; coach decision\-making and communication quality.
* **Manage full product lifecycle:** Drive roadmap planning from concept to end\-of\-life; continuously assess market conditions and customer needs; lead feature additions, refreshes, and portfolio decisions.
* **Drive iteration at scale:** Improve reliability, thermal performance, manufacturability, packaging, margin, returns/defects, yield, lead time, and supplier/CM changes.
* **Serve as primary operations point of contact:** Understand factory operations and manufacturing constraints to prevent misalignment, reduce waste, and protect Sunco’s time and resources.
* **Lead supplier and vendor relationships:** Ensure factories and partners prioritize Sunco—supporting faster development, smoother production, better terms, and improved pricing.
* **Run cross\-functional decision systems:** Facilitate phase gates, executive updates, and high\-quality decisions across product, engineering, manufacturing, supply chain, sales/marketing, and analytics.
* **Operate with a data\-driven mindset:** Gather and synthesize quantitative \+ qualitative inputs; build decision narratives that align stakeholders and enable fast, confident bets.
* **Apply AI to accelerate work:** Identify and implement practical AI\-enabled improvements in requirements, documentation, issue triage, test planning, and manufacturing/quality insights.
**What We Are Looking For:**
* **Lighting industry background: Strong understanding of lighting customers, trends, channels, and technology progression.**
* **Technical hardware depth:** High\-level understanding of lighting technology and innovation, with hands\-on experience in electrical, mechanical, and/or electromechanical systems.
* **Engineering training strongly preferred:** EE degree/training or equivalent technical hardware product leadership background.
* 7\+ years shipping hardware products from concept to scale (lighting/electrical preferred) with meaningful hands\-on engineering involvement.
* 3\+ years in technical hardware product management and/or hardware engineering leadership, including leading teams and driving cross\-functional outcomes.
* **Technical fluency in lighting hardware:** LED systems, drivers/power, chips, dimming behavior, thermal/reliability, manufacturability, and core EE principles.
* **Manufacturing \+ supplier/ODM/CM experience:** RFQ, sampling, pilots, production support, and navigating factory operations effectively.
* **Market Analysis:** Exceptional understanding of demographics and customer needs. Has the ability to root cause customer pain points and translate that into product features and offerings.
* **Communication and influence:** Exceptional written and verbal communication; ability to align and drive outcomes across teams (including senior stakeholders) without direct authority.
* **Data\-first decision making:** Comfortable using quantitative and qualitative inputs to make and defend product decisions at speed.
 **Benefits \&amp; Perks**
At Sunco, we pride ourselves on offering a comprehensive benefits package designed to support the well\-being and professional growth of our team members, our offering include:
* Comprehensive Health and Wellness Coverage**:** Enjoy peace of mind with our extensive health insurance plans, which include medical, dental, and vision coverage.
* 401(k) with Company Match: Secure your financial future with our 401(k) plan, featuring a competitive company match to help you save for retirement.
* Flexible Spending Accounts (FSAs): Take advantage of FSAs to manage out\-of\-pocket healthcare and dependent care expenses efficiently.
* Time Off Policy: We believe in the importance of work\-life balance and provide a generous time off policy, including paid vacation, holidays, and sick leave.
* Employee Assistance Program (EAP): Access confidential counseling and support services for personal and professional challenges.
* Team Building Activities: Engage in weekly challenges, regular team\-building activities, and quarterly company outings to foster a strong sense of community.
 **Job Type:** Full\-time , Exempt
**Compensation:** $145,000 \- $160,000 per year
 **DISCLAIMER:** This is not necessarily an exhaustive list of all responsibilities, duties, skills, efforts, requirements, or working conditions associated with the job. While this is intended to accurately reflect the current job, management reserves the right to revise the job or to require that other or different tasks be performed as assigned.
Sunco Lighting Inc. provides equal employment opportunities to all employees and applicants for employment and complies with Ban the Box laws, which prohibit us from inquiring about an applicant's criminal history until after a conditional job offer has been made. We also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Sunco values privacy as a top priority. To understand more about the data we collect and process as part of our application, please view our Sunco Privacy Notice
The pay range for this role is:
145,000 \- 160,000 USD per year (Valencia, CA Office)</t>
        </is>
      </c>
    </row>
    <row r="107">
      <c r="A107" t="inlineStr">
        <is>
          <t>in-cb01fb28a0f13a1f</t>
        </is>
      </c>
      <c r="B107" t="inlineStr">
        <is>
          <t>Lead Technical Product Manager, Hardware</t>
        </is>
      </c>
      <c r="C107" t="inlineStr">
        <is>
          <t>SUNCO</t>
        </is>
      </c>
      <c r="D107" t="inlineStr">
        <is>
          <t>indeed</t>
        </is>
      </c>
      <c r="E107">
        <f>HYPERLINK("https://www.indeed.com/viewjob?jk=cb01fb28a0f13a1f", "https://www.indeed.com/viewjob?jk=cb01fb28a0f13a1f")</f>
        <v/>
      </c>
      <c r="F107">
        <f>HYPERLINK("https://ats.rippling.com/sunco-lighting/jobs/0444c111-510c-4e0d-8056-41adf4372e69", "https://ats.rippling.com/sunco-lighting/jobs/0444c111-510c-4e0d-8056-41adf4372e69")</f>
        <v/>
      </c>
      <c r="G107" t="inlineStr">
        <is>
          <t>Valencia, CA, US</t>
        </is>
      </c>
      <c r="H107" s="3" t="n">
        <v>46041</v>
      </c>
      <c r="I107" t="inlineStr">
        <is>
          <t>**Note to applicants:** This is a full\-time, onsite position working out of our HQ in Valencia, CA.
 **Who** **We Are:**
Sunco is a leading American lighting and electrical eCommerce retailer proudly serving electrical contractors, builders, and property owners. Based in sunny Valencia, CA, we’re guided by values of customer\-centricity, expertise, grit, and agility. Our vision is to simplify the purchase\-to\-install journey through a seamless, one\-stop experience built on selection, service, speed, and savings. When our customers win, we win. By joining Sunco, you’re joining a company committed to continuous progress and improving efficiency across every project we support.
**Who You Are:**
* Smart – strong reasoning and critical thinking
* Passionate – your work is your sport of choice
* Optimistic – self\-explanatory
* Tenacious – extraordinary impact requires extraordinary grit and work ethic
* Adaptable – the world evolves at breakneck speed. You evolve faster.
* Kind – but that doesn't mean you’re a pushover. Kindness lets you make hard decisions.
 **About the Role:**
We’re hiring a senior technical product leader to own Sunco’s lighting and electrical supply portfolio end\-to\-end. This role will manage and scale a team of Product Managers and Project/Program Managers. This role is accountable for both what we build (product strategy, requirements, customer value) and how we build it (NPI execution, manufacturing alignment, supplier partnerships, iteration systems).
You’ll lead lighting products from concept through launch and into high\-velocity iteration. You’ll drive gains in reliability, thermal performance, manufacturability, cost\-downs, and customer outcomes. You’ll operate as a cross\-team leader, because you understand that a single team can go fast, but a team of teams can go far.  
You'll partner closely with data, software engineering, hardware engineering, quality, manufacturing, supply chain, sales/marketing, CS and more. You're already actively exploring how AI \+ data is reshaping manufacturing and hardware product development. .
 **What** **You’ll** **Do:**
* **Own lighting products end\-to\-end:** Lead NPI from requirements prototypes validation/compliance pilot ramp launch post\-launch iteration.
* **Lead and develop the PM/Program team:** Manage Product Managers and Project/Program Managers; set operating cadence, priorities, and execution standards; coach decision\-making and communication quality.
* **Manage full product lifecycle:** Drive roadmap planning from concept to end\-of\-life; continuously assess market conditions and customer needs; lead feature additions, refreshes, and portfolio decisions.
* **Drive iteration at scale:** Improve reliability, thermal performance, manufacturability, packaging, margin, returns/defects, yield, lead time, and supplier/CM changes.
* **Serve as primary operations point of contact:** Understand factory operations and manufacturing constraints to prevent misalignment, reduce waste, and protect Sunco’s time and resources.
* **Lead supplier and vendor relationships:** Ensure factories and partners prioritize Sunco—supporting faster development, smoother production, better terms, and improved pricing.
* **Run cross\-functional decision systems:** Facilitate phase gates, executive updates, and high\-quality decisions across product, engineering, manufacturing, supply chain, sales/marketing, and analytics.
* **Operate with a data\-driven mindset:** Gather and synthesize quantitative \+ qualitative inputs; build decision narratives that align stakeholders and enable fast, confident bets.
* **Apply AI to accelerate work:** Identify and implement practical AI\-enabled improvements in requirements, documentation, issue triage, test planning, and manufacturing/quality insights.
**What We Are Looking For:**
* **Lighting industry background: Strong understanding of lighting customers, trends, channels, and technology progression.**
* **Technical hardware depth:** High\-level understanding of lighting technology and innovation, with hands\-on experience in electrical, mechanical, and/or electromechanical systems.
* **Engineering training strongly preferred:** EE degree/training or equivalent technical hardware product leadership background.
* 7\+ years shipping hardware products from concept to scale (lighting/electrical preferred) with meaningful hands\-on engineering involvement.
* 3\+ years in technical hardware product management and/or hardware engineering leadership, including leading teams and driving cross\-functional outcomes.
* **Technical fluency in lighting hardware:** LED systems, drivers/power, chips, dimming behavior, thermal/reliability, manufacturability, and core EE principles.
* **Manufacturing \+ supplier/ODM/CM experience:** RFQ, sampling, pilots, production support, and navigating factory operations effectively.
* **Market Analysis:** Exceptional understanding of demographics and customer needs. Has the ability to root cause customer pain points and translate that into product features and offerings.
* **Communication and influence:** Exceptional written and verbal communication; ability to align and drive outcomes across teams (including senior stakeholders) without direct authority.
* **Data\-first decision making:** Comfortable using quantitative and qualitative inputs to make and defend product decisions at speed.
 **Benefits \&amp; Perks**
At Sunco, we pride ourselves on offering a comprehensive benefits package designed to support the well\-being and professional growth of our team members, our offering include:
* Comprehensive Health and Wellness Coverage**:** Enjoy peace of mind with our extensive health insurance plans, which include medical, dental, and vision coverage.
* 401(k) with Company Match: Secure your financial future with our 401(k) plan, featuring a competitive company match to help you save for retirement.
* Flexible Spending Accounts (FSAs): Take advantage of FSAs to manage out\-of\-pocket healthcare and dependent care expenses efficiently.
* Time Off Policy: We believe in the importance of work\-life balance and provide a generous time off policy, including paid vacation, holidays, and sick leave.
* Employee Assistance Program (EAP): Access confidential counseling and support services for personal and professional challenges.
* Team Building Activities: Engage in weekly challenges, regular team\-building activities, and quarterly company outings to foster a strong sense of community.
 **Job Type:** Full\-time , Exempt
**Compensation:** $145,000 \- $160,000 per year
 **DISCLAIMER:** This is not necessarily an exhaustive list of all responsibilities, duties, skills, efforts, requirements, or working conditions associated with the job. While this is intended to accurately reflect the current job, management reserves the right to revise the job or to require that other or different tasks be performed as assigned.
Sunco Lighting Inc. provides equal employment opportunities to all employees and applicants for employment and complies with Ban the Box laws, which prohibit us from inquiring about an applicant's criminal history until after a conditional job offer has been made. We also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Sunco values privacy as a top priority. To understand more about the data we collect and process as part of our application, please view our Sunco Privacy Notice
The pay range for this role is:
145,000 \- 160,000 USD per year (Valencia, CA Office)</t>
        </is>
      </c>
    </row>
    <row r="108">
      <c r="A108" t="inlineStr">
        <is>
          <t>in-de06ed4a2fd1a201</t>
        </is>
      </c>
      <c r="B108" t="inlineStr">
        <is>
          <t>Senior Ecosystem Product Manager- AI and Incubation Team</t>
        </is>
      </c>
      <c r="C108" t="inlineStr">
        <is>
          <t>Aptiv</t>
        </is>
      </c>
      <c r="D108" t="inlineStr">
        <is>
          <t>indeed</t>
        </is>
      </c>
      <c r="E108">
        <f>HYPERLINK("https://www.indeed.com/viewjob?jk=de06ed4a2fd1a201", "https://www.indeed.com/viewjob?jk=de06ed4a2fd1a201")</f>
        <v/>
      </c>
      <c r="F108">
        <f>HYPERLINK("https://www.aptiv.com/en/jobs/search/open-positions/J000692520", "https://www.aptiv.com/en/jobs/search/open-positions/J000692520")</f>
        <v/>
      </c>
      <c r="G108" t="inlineStr">
        <is>
          <t>Walnut Creek, CA, US</t>
        </is>
      </c>
      <c r="H108" s="3" t="n">
        <v>46041</v>
      </c>
      <c r="I108" t="inlineStr">
        <is>
          <t>- **Senior Ecosystem Solutions Architect \- AI and Incubation Team**
**ABOUT WIND RIVER**
Wind River is a global leader in delivering software for mission\-critical intelligent systems. For more than four decades, the company has been an innovator and pioneer, powering billions of systems that require the highest levels of security, safety, and reliability. The company has received industry recognition for its technology innovation and leadership, and for its workplace culture, including global Great Place to Work certification and being named a “Top Workplace” for ten consecutive years.
Wind River helps customers across automotive, aerospace, defense, industrial, medical, and telecommunications industries solve complex technology challenges on their journey toward the new intelligent machine economy. The company’s software powers generation after generation of the safest, most secure systems in the world. Examples include playing a key role in NASA space missions such as Artemis I, the James Webb Space Telescope, and multiple Mars rovers. We’ve achieved recent 5G milestones including the world’s first successful 5G data session with Verizon and building one of the largest Open RAN networks in the world with Vodafone.
Wind River is looking for top talent to discover, create vision and build our next generation of products within its **AI and Incubation team** . We have a strong foundation of products within the embedded and cloud software space to build on and take to the next level of technology with AI at the EDGE. This is your chance to get in on the ground floor of that journey and to build a business within Wind River and Aptiv (our parent company). If you want to be part of a unique culture where the lived experience is based on our cultural attributes of growth mindset, customer\-focus, and respect for individuals, come join us and help advance the future software defined world.  
**YOUR ROLE**
Wind River seeks an outstanding **Senior Ecosystem Solution Architect** to join our new elite AI and Incubation team. This pivotal role demands a rare blend of deep technical knowledge, strategic/business insight, and exceptional communication skills. The ideal candidate will drive the definition and creation of a joint solution between Wind River and our partners in the EDGE AI domain. You will report directly to the Vice President of AI and Incubation and work closely with the rest of the Product Management team in building our AI and forward looking business. Travel will be required.
This role is mainly about managing our partnerships both from a technical and business perspective. You will be the key Wind River contact and at the center of the partner engagement for our EDGE AI product portfolio. It is multi\-dimensional in the following key areas; partner product solutioning in both the ideation/definition/creation of a joint go\-to\-market product, technical requirement definition/management, demo/POC definition/execution, targeting customer and joint customer opportunities that bring value to Wind River, defining and negotiating partner agreements, and general partner management. In addition, to EDGE AI products, you will position and provide support for Wind River’s portfolio from Wind River Edge products to Wind River cloud products as required within the AI and Incubation team. Your efforts will enable our partner to better sell solutions that include Wind River products and vice versa.
You must have experience in software engineering with a strong focus in embedded systems and/or EDGE AI technology. You must be capable of understanding the partners’ and end customers’ problems and whiteboarding solutions using our product offerings and services. You should also know and have lived through commercial software project development cycles and have a good understanding of project management. Some amount of travel will be required.
In your daily job you will:
	* Overall: Manage the partner relationship in all aspects including both technical and business requirements.
	* Technical Leadership: Act as the primary technical expert and become the partner’s trusted advisor and the Wind River solutions expert.
	* Solution Architecture: Design and architect sophisticated, scalable solutions to solve critical business challenges and drive value for our clients and Wind River. Understand clearly the use cases that are applicable to each target customer.
	* Listen and be sensitive to our partner’s needs in terms of the joint solution. At the same time, balance their needs vs the value it’s bringing to the joint solution to our customer and Wind River.
	* Exhibit leadership skills during customer requirements analysis and creating technical solutions as well as identifying potential business opportunities.
	* Define, negotiate and execute partner agreements such as NDA’s, Contracts, Pricing, Customer agreements, etc.
	* Provide consistent market feedback to Wind River.
	* Remove technical barriers for Wind River solutions.**HOW YOU WILL CONTRIBUTE**
Key skills and competencies for succeeding in this role are:
	* Experience: The ideal candidate should have 10\-12\+ years of software development or solutions architecting experience in embedded software and cloud technologies at the edge demonstrating both technical and business acumen.
	* Technical Expertise: Strong background in operating systems preferred (enterprise Linux, embedded Linux, RTOS, mixed\-criticality) including boot, kernel, drivers, and performance tuning. Knowledge of middleware and runtimes supporting Edge AI (e.g., container runtimes Docker, containerd, Kubernetes / K3s / MicroK8s at the edge, AI runtimes and accelerators (TensorRT, OpenVINO, ONNX Runtime, vendor SDKs)
	* Business Acumen: Ability to translate complex technical solutions into clear business value and ROI for executives.
	* Ability to design end\-to\-end Edge AI solutions spanning data ingestion, model lifecycle, deployment, runtime, and operations.
	* Hands\-on understanding of AI frameworks and model formats (e.g., PyTorch, TensorFlow, ONNX)
	* Proven ability to lead customer\-facing technical engagements, including discovery workshops, executive briefings, and architecture reviews.
	* Skilled at eliciting business objectives, operational constraints, and success criteria, then translating them into viable Edge AI architectures.
	* Comfortable running meetings end\-to\-end with stakeholders ranging from developers to C\-suite executives.
	* Trusted technical advisor capable of aligning AI initiatives with business value, ROI, and long\-term platform strategy.
	* Ability to differentiate solutions competitively through architecture, performance, security, and lifecycle value
	* Experience creating and delivering technical presentations, demonstrations, proofs of concept (POC), reference architectures, whitepapers, blogs, and conference talks
	* Able to work independently in partner and end customer locations/labs.
	* US CitizenIt is unlawful in Massachusetts to require or administer a lie detector test as a condition of employment or continued employment. An employer who violates this law shall be subject to criminal penalties and civil liability.
**Salary Range:** $160k \- Open
*As a candidate for this position, your salary and will be contingent upon your work experience, education, skills and any other factors Aptiv considers relevant to the hiring decision.*
\#LI\-PG
Privacy Notice \- Active Candidates: https://www.aptiv.com/privacy\-notice\-active\-candidates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t>
        </is>
      </c>
    </row>
    <row r="109">
      <c r="A109" t="inlineStr">
        <is>
          <t>in-fd8e5faba89dbd03</t>
        </is>
      </c>
      <c r="B109" t="inlineStr">
        <is>
          <t>Program Manager</t>
        </is>
      </c>
      <c r="C109" t="inlineStr">
        <is>
          <t>Flex</t>
        </is>
      </c>
      <c r="D109" t="inlineStr">
        <is>
          <t>indeed</t>
        </is>
      </c>
      <c r="E109">
        <f>HYPERLINK("https://www.indeed.com/viewjob?jk=fd8e5faba89dbd03", "https://www.indeed.com/viewjob?jk=fd8e5faba89dbd03")</f>
        <v/>
      </c>
      <c r="F109">
        <f>HYPERLINK("https://flextronics.wd1.myworkdayjobs.com/en-US/Careers/job/USA-TX-Austin/Program-Manager_WD213951", "https://flextronics.wd1.myworkdayjobs.com/en-US/Careers/job/USA-TX-Austin/Program-Manager_WD213951")</f>
        <v/>
      </c>
      <c r="G109" t="inlineStr">
        <is>
          <t>Austin, TX, US</t>
        </is>
      </c>
      <c r="H109" s="3" t="n">
        <v>46041</v>
      </c>
      <c r="I109" t="inlineStr">
        <is>
          <t>Job Posting Start Date 01\-20\-2026 Job Posting End Date 03\-20\-2026
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To support our extraordinary teams who build great products and contribute to our growth, we’re looking to add a/an Program Manager located in Austin, TX.
Reporting to the Director, Program Management the Program Manager. In this role you will be responsible for leading a of cross\-functional experts in the delivery of customer\-focused products and services and will support the development and implementation of the project, pricing and program strategies in order to continue to deliver value to the business and its customers.
What a typical day looks like:* Organize, plan and direct program schedules and budgets.
* In charge of tracking relevant metrics and drive action items based on results.
* Provide help, knowledge and expertise with contract negotiations as required.
* Oversee all interdepartmental activities ensuring completion of all adherences made relative a to product development timelines, delivery, quality and the required business metrics.
* Reviews program proposal or plan to resolve time frame, funding requirements, procedures for accomplishing program, staffing requirements and allotment of available resources to various phases of program.
* Establishes work plan and staffing for each phase of program and arranges for recruitment or assignment of personnel.
* Manage the coordination of product life cycle activities with P\&amp;L and customer satisfaction also has control for different accounts of various complexities.
* Be the key channel of communication for customers and act as escalation in the event of customer issues.
* In charge of customer´s satisfaction reviews and corrective actions.
* Maintain current and develop additional business with customers.
* Monitor and track that project and program deliverables are met.
* Be accountable for maintaining excellent customer relations with both new and existing customers.
* Holds up production sites for projects, costs and other customer related matters through business and expertise.
The experience we’re looking to add to our team,* Bachelor’s degree in engineering or related field (Highly preferred)
* Requires a minimum of 5 years of experience in materials, sales, marketing, engineering, manufacturing and/or program administration or related experience
* Experience managing projects of medium complexity in order to meet the performance indicators (cost, delivery, quality, etc.) of a specific organization
* Must have experience in PCBA and Final Assembly manufacturing
* P\&amp;L
* Strong verbal and written communication skills
* Advanced Excel skill level
Here are a few of our preferred experiences:* Project Management software
PF38
\#LI\-PF1
What you'll receive for the great work you provide:* Full range of medical, dental, and vision plans
* Life Insurance
* Short\-term and Long\-term Disability
* Matching 401(k) Contributions
* Vacation and Paid Sick Time
* Tuition Reimbursement
Job Category
Operations
Is Sponsorship Available?
No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is>
      </c>
    </row>
    <row r="110">
      <c r="A110" t="inlineStr">
        <is>
          <t>in-eb6eb40c1b9d728d</t>
        </is>
      </c>
      <c r="B110" t="inlineStr">
        <is>
          <t>Supportive Housing Program Manager</t>
        </is>
      </c>
      <c r="C110" t="inlineStr">
        <is>
          <t>Charles Lea Center</t>
        </is>
      </c>
      <c r="D110" t="inlineStr">
        <is>
          <t>indeed</t>
        </is>
      </c>
      <c r="E110">
        <f>HYPERLINK("https://www.indeed.com/viewjob?jk=eb6eb40c1b9d728d", "https://www.indeed.com/viewjob?jk=eb6eb40c1b9d728d")</f>
        <v/>
      </c>
      <c r="F110">
        <f>HYPERLINK("https://charleslea.bamboohr.com/careers/189?source=indeed&amp;src=indeed&amp;postedDate=2026-01-20", "https://charleslea.bamboohr.com/careers/189?source=indeed&amp;src=indeed&amp;postedDate=2026-01-20")</f>
        <v/>
      </c>
      <c r="G110" t="inlineStr">
        <is>
          <t>Spartanburg, SC, US</t>
        </is>
      </c>
      <c r="H110" s="3" t="n">
        <v>46041</v>
      </c>
      <c r="I110" t="inlineStr">
        <is>
          <t>***Make a Difference Every Day – Join the Charles Lea Center as a Supportive Housing Program Manager***
 ***Do you have a heart for helping others and a passion for making a meaningful impact? At the Charles Lea Center in Spartanburg, SC, we’re looking for compassionate, energetic individuals to join our team as a Program Manager—where every day is an opportunity to support people with disabilities in living full, independent lives.***
 ***What We Offer:***
* ***Competitive Pay:***
* ***Salary ($41,200 \- $49,440\)***
* ***Flexible Scheduling: Full\-time (Flexible as needed)***
* ***Paid Training: We’ll equip you with everything you need to succeed***
* ***Outstanding Benefits:***
	+ ***Medical, dental, vision, and life insurance***
	+ ***401(k) retirement plan***
	+ ***Paid time off (PTO)***
	+ ***Tuition reimbursement***
	+ ***Free onsite wellness clinic***
	+ ***Flexible work schedules***
***About the Role:***
***As a Supportive Housing Program Manager, you’ll work in a residential setting supporting individuals with disabilities in their daily lives. Your responsibilities may include:***
* ***Implement, manage, supervise, monitor, and evaluate of the program to ensure compliance in accordance with established standards***
* ***Oversee day to day operations in a supportive living setting, Under the supervision of the Director, has a responsibility to ensure operations of the homes are in best conditions***
* ***Provide direct guidance, support, and supervision to Lead DSP (Direct Support Professionals) and DSPs (Direct Support Professionals)***
* ***Collaborate with Assistant Director and HR in the recruiting, selecting, training, motivating, coaching, mentoring, and evaluating of employee occur as CLC experts***
* ***Promoting independence and dignity in every interaction***
***This is more than a job, it’s a chance to build relationships, empower others, and be part of a team that truly cares.***
 ***Why Charles Lea Center?***
***For over 50 years, the Charles Lea Center has been a leader in person\-centered care. Our mission is to help individuals Live, Work, \&amp; Play in their communities. We believe in supporting both the people we serve and the incredible staff who make it all possible.***
 ***What You’ll Need:***
* ***Minimum age: 18***
* ***Bachelor's degree with a minimum of 3 years’ experience in Human Services or, AA with a minimum of 4\-5 years’ experience in Human Services, or High School Diploma with a minimum of 5 – 7 years’ experience in Human Services***
* ***Minimum of 2 years supervisory experience***
* ***Valid driver’s license and Social Security number***
* ***Ability to type 70\+ WPM and navigate basic computer systems***
* ***Must pass background checks, DMV screening, Medicaid exclusion, fingerprinting (if SC resident \&lt;1 year), and provide 3 professional references***
***Physical Requirements:***
***This role involves regular standing, walking, lifting (up to 25 lbs), and hands\-on support. Reasonable accommodations are available.***
 ***Ready to Apply?***
***If you're ready to make a difference and grow in a meaningful career, we’d love to meet you! Fill out our quick, mobile\-friendly application today and take the first step toward joining a team that’s changing lives.***</t>
        </is>
      </c>
    </row>
    <row r="111">
      <c r="A111" t="inlineStr">
        <is>
          <t>in-3614be4d557d99b6</t>
        </is>
      </c>
      <c r="B111" t="inlineStr">
        <is>
          <t>Program Manager</t>
        </is>
      </c>
      <c r="C111" t="inlineStr">
        <is>
          <t>OMG Technology</t>
        </is>
      </c>
      <c r="D111" t="inlineStr">
        <is>
          <t>indeed</t>
        </is>
      </c>
      <c r="E111">
        <f>HYPERLINK("https://www.indeed.com/viewjob?jk=3614be4d557d99b6", "https://www.indeed.com/viewjob?jk=3614be4d557d99b6")</f>
        <v/>
      </c>
      <c r="F111">
        <f>HYPERLINK("https://omgtech.bamboohr.com/careers/266?source=indeed&amp;src=indeed&amp;postedDate=2026-01-20", "https://omgtech.bamboohr.com/careers/266?source=indeed&amp;src=indeed&amp;postedDate=2026-01-20")</f>
        <v/>
      </c>
      <c r="G111" t="inlineStr">
        <is>
          <t>Raleigh, NC, US</t>
        </is>
      </c>
      <c r="H111" s="3" t="n">
        <v>46041</v>
      </c>
      <c r="I111" t="inlineStr">
        <is>
          <t>Hello,
Looking for experienced Program Manager with 12\-18 years experience based out of Raleigh,NC.If you are local to NC or willing to relocate , you may apply.
We can work on corp to corp. Please share me your resume to srikala@omgtechnologies.com.
I would need these basic details from you,
Your work authorization status (Visa Type)
Current Location / Zip Code
Thanks,
Srikala</t>
        </is>
      </c>
    </row>
    <row r="112">
      <c r="A112" t="inlineStr">
        <is>
          <t>in-5da5f01cac36915f</t>
        </is>
      </c>
      <c r="B112" t="inlineStr">
        <is>
          <t>Program Manager</t>
        </is>
      </c>
      <c r="C112" t="inlineStr">
        <is>
          <t>Hatalom</t>
        </is>
      </c>
      <c r="D112" t="inlineStr">
        <is>
          <t>indeed</t>
        </is>
      </c>
      <c r="E112">
        <f>HYPERLINK("https://www.indeed.com/viewjob?jk=5da5f01cac36915f", "https://www.indeed.com/viewjob?jk=5da5f01cac36915f")</f>
        <v/>
      </c>
      <c r="F112">
        <f>HYPERLINK("https://hatalom.bamboohr.com/careers/275?source=indeed&amp;src=indeed&amp;postedDate=2026-01-20", "https://hatalom.bamboohr.com/careers/275?source=indeed&amp;src=indeed&amp;postedDate=2026-01-20")</f>
        <v/>
      </c>
      <c r="G112" t="inlineStr">
        <is>
          <t>Orlando, FL, US</t>
        </is>
      </c>
      <c r="H112" s="3" t="n">
        <v>46041</v>
      </c>
      <c r="I112" t="inlineStr">
        <is>
          <t>**Position:** Program Manager
**Company:** Hatalom Corporation
**Location:** On\-site / In\-office
**Job Type:** Full\-Time, Salary Exempt
**Summary:**
Hatalom Corporation is seeking a highly skilled and motivated Program Manager with experience in IT Hardware (HW) Integration programs to join our dynamic team. In this role, you will be responsible for the successful execution and oversight of programs within the Department of Defense (DoD) Acquisition Framework, with a strong emphasis on integrating, deploying, and sustaining complex IT hardware systems. You will ensure effective management of cost, schedule, and performance while coordinating across engineering, logistics, cybersecurity, and operations stakeholders.
You will develop and implement comprehensive program plans that include work breakdown structures, integrated master schedules, resource allocation, baseline budgets, and risk mitigation strategies, specifically supporting IT hardware integration, system interoperability, and lifecycle management. This position requires leadership of cross\-functional teams, strong customer engagement skills, and the ability to manage complex, multi\-disciplinary technical challenges.
As a key point of contact, you will foster strong relationships with clients, ensuring all program objectives are achieved within time and budget constraints while exceeding customer expectations. If you thrive in fast\-paced environments and are driven to deliver results in hardware\-centric IT programs, we encourage you to apply.
**Key Responsibilities**
* Lead and manage programs within the DoD Acquisition Framework, with a focus on IT hardware integration, system deployment, and sustainment efforts.
* Develop, monitor, and adjust program plans, including work breakdown structures, integrated master schedules, manpower plans, and budget forecasts supporting hardware integration and modernization initiatives.
* Coordinate IT hardware integration activities, including system installation, configuration, testing, verification, and transition to operations.
* Implement and maintain Key Performance Indicators (KPIs), including Earned Value Management (EVM) metrics, to track program health and technical performance.
* Oversee risk and opportunity management, proactively identifying integration, interoperability, supply chain, or technical risks and providing mitigation strategies.
* Coordinate and lead multi\-disciplinary teams across engineering, logistics, cybersecurity, and operations to ensure successful hardware integration outcomes.
* Maintain exceptional relationships with clients, managing expectations and resolving technical and programmatic issues promptly.
* Ensure compliance with all regulatory, cybersecurity, and contractual requirements related to IT hardware systems.
* Provide leadership and guidance to program teams, fostering a culture of collaboration, accountability, and technical excellence.
**Required Qualifications**
* Proven Experience: Demonstrated expertise managing programs within the DoD Acquisition Framework, including IT hardware integration or system deployment programs.
* IT HW Integration Familiarity: Working knowledge of IT hardware integration environments, including system interoperability, configuration management, installation, testing, and sustainment.
* Leadership Skills: Ability to lead cross\-functional and geographically dispersed teams, including technical and engineering personnel.
* Technical Proficiency: Strong working knowledge of Earned Value Management (EVM), program controls, and proficiency with Microsoft Office Suite.
* Communication: Excellent interpersonal and communication skills to engage with technical teams, senior leadership, and government customers.
* Security Clearance: Ability to obtain and maintain a security clearance in accordance with government regulations.
* Problem\-Solving: Experience addressing complex, multi\-disciplinary technical challenges and delivering practical, scalable solutions.
* Confidentiality: Ability to handle sensitive and classified information in accordance with government standards.
**Preferred Qualifications**
* Experience supporting IT hardware modernization, refresh, or integration programs within a DoD or federal environment.
* Familiarity with systems engineering processes, configuration management, and lifecycle sustainment.
* PMP certification is highly desirable.
**Education**
* Bachelor’s degree (BA/BS) in a related field is required.
**Supervisory Responsibilities**
* Direct management of program teams, providing leadership, mentorship, and oversight to ensure successful execution of IT hardware integration and acquisition programs.
*This document is not intended to cover or contain a comprehensive listing of all job\-related activities, duties or responsibilities that are required of the employee.**Due to the nature of the industry, job tasks may be changed as necessary to meet the needs of the customer.*
*Hatalom Corporation is an equal opportunity employer* *providing* *equal employment opportunities (EEO) to all applicants without regard to race, color, religion, sex, sexual orientation, gender identity, national origin, age, disability, genetic information, marital status, amnesty, or status as a covered veteran* *in accordance with* *applicable federal,* *state* *and local laws.*</t>
        </is>
      </c>
    </row>
    <row r="113">
      <c r="A113" t="inlineStr">
        <is>
          <t>in-615ca04b2b52106f</t>
        </is>
      </c>
      <c r="B113" t="inlineStr">
        <is>
          <t>Program Manager (Facilities &amp; Construction Management)</t>
        </is>
      </c>
      <c r="C113" t="inlineStr">
        <is>
          <t>ATI Inc.</t>
        </is>
      </c>
      <c r="D113" t="inlineStr">
        <is>
          <t>indeed</t>
        </is>
      </c>
      <c r="E113">
        <f>HYPERLINK("https://www.indeed.com/viewjob?jk=615ca04b2b52106f", "https://www.indeed.com/viewjob?jk=615ca04b2b52106f")</f>
        <v/>
      </c>
      <c r="F113">
        <f>HYPERLINK("https://atiinc.bamboohr.com/careers/291?source=indeed&amp;src=indeed&amp;postedDate=2026-01-20", "https://atiinc.bamboohr.com/careers/291?source=indeed&amp;src=indeed&amp;postedDate=2026-01-20")</f>
        <v/>
      </c>
      <c r="G113" t="inlineStr">
        <is>
          <t>Columbia, MD, US</t>
        </is>
      </c>
      <c r="H113" s="3" t="n">
        <v>46041</v>
      </c>
      <c r="I113" t="inlineStr">
        <is>
          <t>**Program Manager (Facilities \&amp; Construction Management)**
**ATI, Inc.** (www.atiinc.com) is a full\-service consulting firm with over 45 years of experience solving complex facility and program management, construction, and environmental challenges for government and private sector clients. Committed to industry leadership, we deliver sustainable, innovative, and cost\-effective solutions that drive results and prioritize client satisfaction. At the same time, we foster a dynamic, growth\-oriented workplace where employees thrive.
ATI has a current need for a full\-time **Facilities \&amp; Construction Management Program Manager** in Columbia, MD.  
The Program Manager will be responsible for program management for ATI’s Facilities and Construction Management department as well as business development activities, including proposal development.
**Duties and Responsibilities**
Duties may include, but not be limited to, the following:
* Overseeing project execution requirements including client liaison, safety, quality, staffing, budget/cost planning, record keeping, invoicing, reporting, and management of project staff.
* Identifying new opportunities that correspond to ATI’s facility operations and construction management qualifications;
* Positioning and assembling a team to pursue these opportunities;
* Providing technical/cost direction and input in drafting proposals; and
* Leading transition and start\-up activities on new projects.
**Required Qualifications and Experience**
* Minimum five (5\) years of experience as a Practice Leader, Director, Senior Program Manager or similar role on facility operations, construction, and/or construction management contracts in support of Government and/or commercial clients;
* Demonstrated success in identifying and leading capture of facility and/or construction management projects valued in excess of $1 Million;
* Connections throughout the facility and/or construction management community including Government and commercial clients, facility and construction management firms, and specialty subcontractors;
* Bachelor’s degree in Engineering, Business, Construction Management, or other relevant field;
* Proficiency using MS Office (including MS Word and Excel) and excellent verbal and written communication skills – a writing sample will be required;
* High level of professionalism for client interaction; and
* Certification in relevant field (i.e., PE, PMP, CFM, CCM, CxA, etc.) is a plus but not required.
**Job Type:** Full\-time
**Pay Range:** $150,000 \- $180,000/year depending on experience
**Location**: Columbia, MD; Occasional travel to client sites and conferences required.
**Working Hours:** Normal Work Hours – Monday – Friday (anticipate 40 per week).
 **Benefits:** ATI offers a generous benefits package including;
* Competitive salary;
* 11 annual paid holidays and minimum 13 days of paid leave;
* Employee and family medical, dental, vision, and prescription insurance with 75% of the premiums paid by the company;
* Employer paid short\-term and long\-term disability, and life insurance.
* 401(k) plan immediately vesting with 4% employer match
* Professional development assistance including memberships, professional licenses, and tuition reimbursements; and
* Room for additional growth and advancement into corporate leadership position.
This job description is not intended to be all\-inclusive. Selected candidate may perform other related duties as assigned to meet the ongoing needs of the organization.
 *ATI, Inc. provides equal employment opportunities to all qualified individuals, including protected groups, protected veterans and individuals with disabilities. ATI complies with applicable local, state and federal laws governing nondiscrimination in employment at each location the Company operates. This policy applies to all terms and conditions of employment, including, but not limited to hiring, placement, promotion, termination, leaves of absence, compensation, and training. ATI is an E\-Verify Employer in the United States. ATI will provide reasonable accommodations with the application process upon your request as required to comply with applicable laws. If you have a disability and require assistance in this application process, please let your recruiter know.*</t>
        </is>
      </c>
    </row>
    <row r="114">
      <c r="A114" t="inlineStr">
        <is>
          <t>in-c67b16109df6c28c</t>
        </is>
      </c>
      <c r="B114" t="inlineStr">
        <is>
          <t>Product Manager</t>
        </is>
      </c>
      <c r="C114" t="inlineStr">
        <is>
          <t>Park Industries Inc</t>
        </is>
      </c>
      <c r="D114" t="inlineStr">
        <is>
          <t>indeed</t>
        </is>
      </c>
      <c r="E114">
        <f>HYPERLINK("https://www.indeed.com/viewjob?jk=c67b16109df6c28c", "https://www.indeed.com/viewjob?jk=c67b16109df6c28c")</f>
        <v/>
      </c>
      <c r="F114">
        <f>HYPERLINK("https://recruiting.paylocity.com/recruiting/jobs/Details/3855230/PARK-INDUSTRIES-INC/Product-Manager?source=Indeed_Feed", "https://recruiting.paylocity.com/recruiting/jobs/Details/3855230/PARK-INDUSTRIES-INC/Product-Manager?source=Indeed_Feed")</f>
        <v/>
      </c>
      <c r="G114" t="inlineStr">
        <is>
          <t>Saint Cloud, MN, US</t>
        </is>
      </c>
      <c r="H114" s="3" t="n">
        <v>46041</v>
      </c>
      <c r="I114" t="inlineStr">
        <is>
          <t>Description:
Product Manager: Shaping Innovative Product Solutions for Customer Success
Are you a strategic thinker with a passion for product innovation and customer\-focused solutions? Join Park Industries as a Product Manager, where you’ll drive the future of our products by aligning customer needs with business strategy. As a key player in our team, you'll lead the development of our product roadmap, transforming insights into tangible solutions that elevate the stoneworking machinery industry.
Requirements: **Product Manager: Shaping Innovative Product Solutions for Customer Success**
Are you a strategic thinker with a passion for product innovation and customer\-focused solutions? Join Park Industries as a Product Manager, where you’ll drive the future of our products by aligning customer needs with business strategy. As a key player in our team, you'll lead the development of our product roadmap, transforming insights into tangible solutions that elevate the stoneworking machinery industry.
**Who We Are**
Founded in 1953, Park Industries is the largest North American manufacturer of stoneworking machinery, headquartered in the vibrant city of St. Cloud, Minnesota. We’re a family\-owned business with a commitment to innovation, quality, and customer satisfaction. Under the Schlough family's third\-generation ownership, Park Industries remains dedicated to pioneering state\-of\-the\-art solutions with industry\-leading service and support.
**What You’ll Do**
As a Product Manager at Park Industries, you’ll play a critical role in advancing our product development and lifecycle management. Key responsibilities include:
* **Voice of Customer:** Conduct customer visits, industry research, and competitive analysis to understand market trends, gather requirements, and develop comprehensive business requirement documents for all product releases.
* **Product Lifecycle Management:** Oversee the entire product lifecycle—from initial planning to updated releases and post\-launch support—ensuring product success at each stage.
* **Product Interaction Mapping:** Create diagrams showcasing product interdependencies, enhancing usability for customers and value for business.
* **Internal Alignment:** Develop and present product gate documents to secure internal alignment and executive buy\-in for new and updated products.
* **Market Positioning:** Recommend competitive positioning and pricing strategies. Conduct feature, function, and benefit analyses to support successful product launches.
* **Cross\-Functional Collaboration:** Partner with Sales, Engineering, and other stakeholders to drive product success, improve market share, and address emerging customer needs.
As a Product Manager at Park Industries, you'll work standard business hours from Monday to Friday, with a hybrid work arrangement that combines travel and remote work flexibility with onsite collaboration at our St. Cloud, MN office.
**Experience and Qualifications**
* Bachelor’s degree in Engineering, Marketing, or equivalent industry experience (required)
* Minimum of 5 years in product management or a combination of education and experience
* Experience within a manufacturing setting
**Why Join Us**
At Park Industries, we cultivate a culture of innovation, teamwork, and growth. As a Product Manager, you’ll be an integral part of a dynamic, forward\-thinking team dedicated to reshaping the industry with exceptional products. We offer a competitive benefits package, including health, vision, and dental insurance, a 401k plan, HSA and FSA accounts, tuition reimbursement, and more.
**Pay Transparency Statement**
In accordance with pay transparency regulations, the anticipated starting salary for this position ranges from $84,500 to $109,000 annually. Please note that the salary range provided is an estimate and not a guarantee; the final offer will be determined based on factors such as experience, education, location, and assigned shift. Full\-time employees may also be eligible for variable compensation, company\-wide incentives, and a comprehensive benefits package. Additionally, the availability of benefits and programs may vary depending on the hire date, employment type, and hours worked.
Be at the forefront of innovation in stoneworking machinery. Apply today to lead Park Industries’ product strategy and help us continue to deliver unmatched value to our customers!</t>
        </is>
      </c>
    </row>
    <row r="115">
      <c r="A115" t="inlineStr">
        <is>
          <t>in-2f4fba851e7aeab8</t>
        </is>
      </c>
      <c r="B115" t="inlineStr">
        <is>
          <t>Program Manager / Technical Lead</t>
        </is>
      </c>
      <c r="C115" t="inlineStr">
        <is>
          <t>DarkStar Intelligence</t>
        </is>
      </c>
      <c r="D115" t="inlineStr">
        <is>
          <t>indeed</t>
        </is>
      </c>
      <c r="E115">
        <f>HYPERLINK("https://www.indeed.com/viewjob?jk=2f4fba851e7aeab8", "https://www.indeed.com/viewjob?jk=2f4fba851e7aeab8")</f>
        <v/>
      </c>
      <c r="F115">
        <f>HYPERLINK("https://recruiting.paylocity.com/recruiting/jobs/Details/3836220/Darkstar-Intelligence-LLC/Program-Manager-Technical-Lead?source=Indeed_Feed", "https://recruiting.paylocity.com/recruiting/jobs/Details/3836220/Darkstar-Intelligence-LLC/Program-Manager-Technical-Lead?source=Indeed_Feed")</f>
        <v/>
      </c>
      <c r="G115" t="inlineStr">
        <is>
          <t>Washington, DC, US</t>
        </is>
      </c>
      <c r="H115" s="3" t="n">
        <v>46041</v>
      </c>
      <c r="I115" t="inlineStr">
        <is>
          <t>**PROGRAM MANAGER / TECHNICAL LEAD (SITE LEAD)**  
**Location:** Washington, D.C. **\| Type:** Full\-Time **\| Clearance:** TS/SCI (Existing DHS Suitability Preferred)  
***Note:*** *This position is part of an active proposal effort and is contingent upon contract award.*
 **Overview**  
The On\-Site Program Manager / Technical Lead (Site Lead) oversees all contractor work performed under the DHS Office of Intelligence and Analysis (I\&amp;A) Watch and Open Source Support Services contract. Serving as the single point of contact for the COR, this role ensures completion of all task order deliverables, maintains quality standards, resolves performance issues, and manages resources within prescribed timelines and funding parameters while supporting a 24/7/365 operational environment.
 **Key Responsibilities**
* Provide on\-site leadership for all contractor personnel supporting Intelligence Watch and Open Source Intelligence (OSINT) operations.
* Ensure execution of all SOW tasks and deliverables, maintaining presence during core business hours and availability to support 24/7/365 operations as required.
* Manage, train, and develop a team of skilled, tech\-savvy intelligence support personnel, including scheduling, coverage, and performance oversight.
* Establish and enforce SOPs, workflows, and deliverables for OSINT and Watch operations.
* Maintain accurate activity logs and track task status to support RFIs and leadership updates.
* Manage task prioritization, distribution, and completion in accordance with SOPs and mission priorities.
* Coordinate and communicate with I\&amp;A leadership, contract staff, and management to ensure mission alignment and responsiveness.
* Prepare and submit weekly activity reports summarizing project support, staff coverage, and performance metrics.
* Serve as the primary liaison for quality assurance, compliance, and contract performance management.
* Ensure all contractual obligations, deliverables, and reporting requirements are fulfilled on time and within scope.
**Minimum Qualifications**
* **Clearance:** Active TS/SCI; *existing DHS suitability preferred*.
* **Education/Experience:** Bachelor’s degree or higher (Project/Program Management, Intelligence, Public Administration, Public Policy, American Government/Governance, Law/Legal Studies, or Management/Leadership). Minimum of eight (8\) years supporting intelligence services contracts/task orders with contractor personnel; experience directing intelligence operations preferred.
* **Skills:** Proficiency with Microsoft Office Suite and DHS data systems.
* **Knowledge:** Understanding of DHS I\&amp;A intelligence authorities, DHS component missions, and the role of I\&amp;A within the DHS Intelligence Enterprise.
**Desired Qualifications**
* Intelligence Community (IC) experience, ideally within DHS intelligence analysis functions.
* Demonstrated success leading teams in 24/7/365 operational environments.
* Knowledge of I\&amp;A intelligence research, analysis, and production processes.
* Experience managing deliverables and compliance under OASIS\+ or similar government contract frameworks.
* Strong written and verbal communication skills with ability to brief executive\-level leadership.
**Additional Details**
* **Travel:** Minimal to none.
* **Work Environment:** On\-site at DHS I\&amp;A facilities (Washington, D.C. Metro Area).
* **Citizenship:** U.S. citizenship required; must meet DHS contractor fitness requirements.
**Security Note**  
All applicants must be U.S. citizens and maintain eligibility for a U.S. government security clearance. Existing DHS suitability is preferred.</t>
        </is>
      </c>
    </row>
    <row r="116">
      <c r="A116" t="inlineStr">
        <is>
          <t>in-4cd621356b2b5135</t>
        </is>
      </c>
      <c r="B116" t="inlineStr">
        <is>
          <t>Program Manager</t>
        </is>
      </c>
      <c r="C116" t="inlineStr">
        <is>
          <t>DarkStar Intelligence</t>
        </is>
      </c>
      <c r="D116" t="inlineStr">
        <is>
          <t>indeed</t>
        </is>
      </c>
      <c r="E116">
        <f>HYPERLINK("https://www.indeed.com/viewjob?jk=4cd621356b2b5135", "https://www.indeed.com/viewjob?jk=4cd621356b2b5135")</f>
        <v/>
      </c>
      <c r="F116">
        <f>HYPERLINK("https://recruiting.paylocity.com/recruiting/jobs/Details/3836176/Darkstar-Intelligence-LLC/Program-Manager?source=Indeed_Feed", "https://recruiting.paylocity.com/recruiting/jobs/Details/3836176/Darkstar-Intelligence-LLC/Program-Manager?source=Indeed_Feed")</f>
        <v/>
      </c>
      <c r="G116" t="inlineStr">
        <is>
          <t>Colorado Springs, CO, US</t>
        </is>
      </c>
      <c r="H116" s="3" t="n">
        <v>46041</v>
      </c>
      <c r="I116" t="inlineStr">
        <is>
          <t>**Program Manager**  
**Location:** Within 50 miles of Peterson Space Force Base **\| Type:** Full\-Time **\| Clearance:** Top Secret  
***Note:*** *This position is part of an active proposal effort and is contingent upon contract award.*
 **Overview**  
DarkStar Intelligence is seeking a Program Manager (PM) to support the National Security Space Institute (NSSI) near Peterson Space Force Base in Colorado Springs, Colorado. The PM serves as the primary interface between the Contractor and NSSI leadership, ensuring effective program execution aligned with U.S. Space Command (USSPACECOM) and U.S. Space Force (USSF) educational objectives. The PM oversees all aspects of performance—schedule adherence, quality assurance, staffing, and risk management—and ensures timely, high\-quality delivery of space\-centric training, curriculum development, and professional continuing education (PCE) in accordance with Air Education and Training Command (AETC) guidance.
 **Key Responsibilities**
* Lead day\-to\-day management of contract operations supporting NSSI’s mission to deliver premier space\-centric education and pre\-deployment training.
* Manage the timeliness, completeness, and quality of issue identification and resolution across all program activities.
* Develop and implement corrective action plans, coordinate proposal submittals, and ensure timely resolution of performance issues.
* Oversee subcontractor performance, ensuring compliance with program goals and contractual requirements.
* Serve as the primary liaison to the Government COR and stakeholders, ensuring transparent communication and customer satisfaction.
* Monitor and report on program performance, deliverables, and milestones in alignment with contract requirements.
* Ensure ethical, professional, and mission\-focused performance of all Contractor personnel.
* Oversee curriculum and lesson development to maintain alignment with AETC standards and NSSI educational objectives.
**Minimum Qualifications**
* **Clearance:** Active **Top Secret**
* **Education:** Master’s degree in Business, Technical, or Space\-related field.
* **Certification:** Project Management Professional (**PMP**) certification from the Project Management Institute (PMI).
* **Experience:**
	+ Minimum 4 years of project/program management experience within a DoD or Federal environment.
	+ Minimum 3 years of curriculum/lesson development and instruction experience.
	+ Minimum 3 years of experience with **ITAR** compliance.
	+ Minimum 3 years of experience supporting **AETC** requirements and guidance.
**Compensation \&amp; Benefits**  
Compensation will be based on qualifications and experience. For details, contact recruiting@darkstarintel.com.
 **Additional Details**
* **Travel:** May be required for course delivery or coordination.
* **Work Environment:** On\-site instructional environment near Peterson SFB.
**Security Note**  
All applicants must be U.S. citizens and maintain eligibility for a U.S. government security clearance.</t>
        </is>
      </c>
    </row>
    <row r="117">
      <c r="A117" t="inlineStr">
        <is>
          <t>in-a150a81302b1acd0</t>
        </is>
      </c>
      <c r="B117" t="inlineStr">
        <is>
          <t>Program Manager - CNO Tool Development</t>
        </is>
      </c>
      <c r="C117" t="inlineStr">
        <is>
          <t>DarkStar Intelligence</t>
        </is>
      </c>
      <c r="D117" t="inlineStr">
        <is>
          <t>indeed</t>
        </is>
      </c>
      <c r="E117">
        <f>HYPERLINK("https://www.indeed.com/viewjob?jk=a150a81302b1acd0", "https://www.indeed.com/viewjob?jk=a150a81302b1acd0")</f>
        <v/>
      </c>
      <c r="F117">
        <f>HYPERLINK("https://recruiting.paylocity.com/recruiting/jobs/Details/3836195/Darkstar-Intelligence-LLC/Program-Manager---CNO-Tool-Development?source=Indeed_Feed", "https://recruiting.paylocity.com/recruiting/jobs/Details/3836195/Darkstar-Intelligence-LLC/Program-Manager---CNO-Tool-Development?source=Indeed_Feed")</f>
        <v/>
      </c>
      <c r="G117" t="inlineStr">
        <is>
          <t>Fort Meade, MD, US</t>
        </is>
      </c>
      <c r="H117" s="3" t="n">
        <v>46041</v>
      </c>
      <c r="I117" t="inlineStr">
        <is>
          <t>**Program Manager – CNO Tool Development**  
**Location:** Fort Meade, MD **\| Type:** Full\-Time **\| Clearance:** TS/SCI CI Poly  
***Note:*** *This position is part of an active proposal effort and is contingent upon contract award.*
 **Overview**  
DarkStar Intelligence is actively seeking an experienced On\-Site Program Manager to lead a critical Cyber Network Operations (CNO) Tool Development contract. This high\-priority role demands a technically skilled leader with proven CNO expertise, stakeholder management skills, and strong DEVSECOPS experience. The successful candidate will have a commanding presence, be a CNODP graduate, and know how to effectively balance mission needs, team direction, and technical rationale in a dynamic development environment.
 **Key Responsibilities**
* Serve as the on\-site lead for CNO Tool Development, representing both mission priorities and development team concerns.
* Manage all stakeholder communications with professionalism and precision, providing technical justification when pushing back on requirements.
* Coordinate DEVSECOPS implementation across the tool development lifecycle.
* Mentor and manage junior developers and system administrators, ensuring alignment with program goals.
* Act as a technical liaison between leadership, mission users, and development staff.
* Lead efforts to scope, prioritize, and deliver cyber tool capabilities that meet security, functionality, and compliance requirements.
* Ensure effective collaboration across classified development environments and contribute to agile workflows.
**Minimum Qualifications**
* **Clearance:** TS/SCI CI Poly
* **Education/Experience:** CNODP (Computer Network Operations Development Program) graduate; extensive experience in CNO (offensive/defensive tool development).
* **Training/Certification:** Proven track record of successful DEVSECOPS integration in high\-stakes environments.
* Strong interpersonal and communication skills, with the ability to confidently close discussions and diplomatically deny requests with sound technical reasoning. Prior experience leading/managing technical teams in classified spaces.
**Desired Qualifications**
* Experience interfacing directly with government stakeholders in a program management capacity.
* Familiarity with modern cyber tool development practices and secure transfer protocols.
* Previous leadership, mentoring, or training responsibilities in technical environments.
**Compensation \&amp; Benefits**  
Salary Range: $145,000 – $175,000\. Final compensation will be based on experience, qualifications, internal equity, and market data. DarkStar provides a competitive and comprehensive benefits package designed to support the well\-being and long\-term success of our full\-time employees. Interested candidates may request salary details by contacting recruiting@darkstarintel.com.  
**Additional Details**
* **Travel:** 10% (as required for program execution)
* **Work Environment:** On\-site, Fort Meade, MD
**Security Note**  
All applicants must be U.S. citizens and maintain eligibility for a U.S. government security clearance.</t>
        </is>
      </c>
    </row>
    <row r="118">
      <c r="A118" t="inlineStr">
        <is>
          <t>in-13d96ad9349acc58</t>
        </is>
      </c>
      <c r="B118" t="inlineStr">
        <is>
          <t>IDIQ Program Manager (PM)</t>
        </is>
      </c>
      <c r="C118" t="inlineStr">
        <is>
          <t>DarkStar Intelligence</t>
        </is>
      </c>
      <c r="D118" t="inlineStr">
        <is>
          <t>indeed</t>
        </is>
      </c>
      <c r="E118">
        <f>HYPERLINK("https://www.indeed.com/viewjob?jk=13d96ad9349acc58", "https://www.indeed.com/viewjob?jk=13d96ad9349acc58")</f>
        <v/>
      </c>
      <c r="F118">
        <f>HYPERLINK("https://recruiting.paylocity.com/recruiting/jobs/Details/3835592/Darkstar-Intelligence-LLC/IDIQ-Program-Manager-PM?source=Indeed_Feed", "https://recruiting.paylocity.com/recruiting/jobs/Details/3835592/Darkstar-Intelligence-LLC/IDIQ-Program-Manager-PM?source=Indeed_Feed")</f>
        <v/>
      </c>
      <c r="G118" t="inlineStr">
        <is>
          <t>Tampa, FL, US</t>
        </is>
      </c>
      <c r="H118" s="3" t="n">
        <v>46041</v>
      </c>
      <c r="I118" t="inlineStr">
        <is>
          <t>**IDIQ PROGRAM MANAGER (PM)**  
**Location:** MacDill AFB, FL **\| Type:** Full\-Time **\| Clearance:** Top Secret  
***Note:*** *This position is contingent upon contract award*
 **Overview**  
DarkStar Intelligence is seeking an experienced IDIQ Program Manager (PM) to oversee the execution of the Special Operations Forces Global Services Delivery (SOFGSD) contract in support of USSOCOM. The PM will provide strategic leadership and ensure consistent quality, compliance, and performance across all task orders under the IDIQ. This role serves as the primary liaison between HQ USSOCOM SOF AT\&amp;L\-KH and DarkStar Intelligence, ensuring seamless integration of enterprise\-level services across the USSOCOM enterprise. This full\-time position requires U.S. citizenship and an active Top Secret clearance.
 **Key Responsibilities**
* Serve as the principal point of contact for all contractual, technical, and administrative matters related to the SOFGSD IDIQ contract.
* Oversee all task order planning, execution, staffing, and deliverable performance to ensure mission success.
* Ensure compliance with contract terms, USSOCOM directives, and applicable federal regulations.
* Provide leadership and oversight to Task Leads, subcontractors, and program staff to ensure continuity of operations and mission alignment.
* Identify and correct non\-conforming services while maintaining high standards of quality control and accountability.
* Develop management processes for cost control, schedule adherence, risk mitigation, and performance reporting.
* Coordinate with the Contracting Officer (KO), Contracting Officer’s Representative (COR), and other government stakeholders to ensure consistent communication and responsiveness.
* Participate in quarterly program management reviews and other USSOCOM\-directed oversight activities.
* Foster workforce stability, agility, and readiness in alignment with USSOCOM’s operational imperatives.
**Minimum Qualifications**
* **Clearance:** Active Top Secret.
* **Experience:** Minimum of 10 years supporting USSOCOM\-assigned organizations (military, government civilian, or contractor) and at least 5 years of Program Management experience on a DoD contract within the past 12 months.
* **Education:**
	+ Master’s degree in Program Management or Business field; *or*
	+ Graduate of a U.S. Military War College (Master’s Certificate) plus 10 years of Program Management experience; *or*
	+ Bachelor’s degree plus 15 years of experience within USSOCOM or equivalent DoD organizations.
* **Certifications:** PMP or DAWIA Level III in Program Management (*or* an additional 5 years of PM experience if certification not held).
**Compensation \&amp; Benefits**  
Compensation will be based on qualifications and experience. Contact recruiting@darkstarintel.com for details.  
**Additional Details**
* **Travel:** Minimal, as required to support MTTs.
* **Work Environment:** On\-site, daytime schedule, no remote option.
**Security Note**  
All applicants must be U.S. citizens and maintain eligibility for a U.S. government security clearance.</t>
        </is>
      </c>
    </row>
    <row r="119">
      <c r="A119" t="inlineStr">
        <is>
          <t>in-f5418c0ed4a30f1e</t>
        </is>
      </c>
      <c r="B119" t="inlineStr">
        <is>
          <t>Sr. Components Product Manager</t>
        </is>
      </c>
      <c r="C119" t="inlineStr">
        <is>
          <t>Blue Canyon Technologies</t>
        </is>
      </c>
      <c r="D119" t="inlineStr">
        <is>
          <t>indeed</t>
        </is>
      </c>
      <c r="E119">
        <f>HYPERLINK("https://www.indeed.com/viewjob?jk=f5418c0ed4a30f1e", "https://www.indeed.com/viewjob?jk=f5418c0ed4a30f1e")</f>
        <v/>
      </c>
      <c r="F119">
        <f>HYPERLINK("https://bluecanyontech.bamboohr.com/careers/954?source=indeed&amp;src=indeed&amp;postedDate=2026-01-20", "https://bluecanyontech.bamboohr.com/careers/954?source=indeed&amp;src=indeed&amp;postedDate=2026-01-20")</f>
        <v/>
      </c>
      <c r="G119" t="inlineStr">
        <is>
          <t>Boulder, CO, US</t>
        </is>
      </c>
      <c r="H119" s="3" t="n">
        <v>46041</v>
      </c>
      <c r="I119" t="inlineStr">
        <is>
          <t>**Blue Canyon Technologies, RTX's small satellite manufacturer and mission services provider, is solving some of the toughest challenges in space. Our components and bus platforms have completed missions ranging from very\-low Earth orbits to lunar and interplanetary journeys at a fraction of the cost of traditional space systems. We support premier defense, commercial and civil organizations including the U.S. Air Force Research Laboratory, NASA, MIT Lincoln Lab, the Johns Hopkins Applied Physics Laboratory, University of Colorado and more. Join our innovative and dynamic company as we build, test and operate the small spacecraft of the future.**
 **Position Purpose:** The **Sr. Components Product Manager** is responsible for the strategic, execution, and financial leadership of a defined product line. In conjunction with their respective technical lead, the role owns the lifecycle of the product portfolio, from concept and development through launch, sustainment, and retirement, ensuring alignment with market needs, customer requirements, and business objectives. This position covers the BCT power system product lines, Solar Arrays, Solar Array Drive Mechanisms (SADA), and li\-ion batteries.
This individual should have an entrepreneurial mindset that includes a sharp business mind and a proven ability to strategize and manage the implementation of product line initiatives. You will have a strong talent for project coordination and delegation. Ultimately, you are motivated by the desire to optimize productivity, meet schedule commitments, and nurture product success from contract to delivery. This role shares elements of a traditional aerospace Program Manager with elements of growing a New Space product line.
Title: **Sr. Components Product Manager**
Position Type: Full Time
Pay Range: $135,000 \- $190,000
(Salary to be determined by the education, experience, knowledge, skills, and abilities of the applicant, internal equity, and alignment with market data.)
Location: Boulder, CO
Benefits:
* Employer sponsored health, dental, and vision benefits effective the first of the month following hire date
* Life insurance
* 401k (matching 4% with a minimum 5% contribution)
* Generous PTO (3 weeks of vacation \+ 3 floating holidays, 2 weeks of sick time, 7 paid holidays throughout the year) and parental leave
Job Responsibilities:
* Maintain the product line vision and roadmap alongside the technical lead such that they align with company financial and technical objectives.
* Own the business case for new product initiatives, changes to customer value proposition, and hardware market positioning.
* Lead cross functional teams across engineering, operations, supply chain, quality, and finance to increase the robustness and on\-time delivery performance metrics.
* Support pricing strategies in collaboration with sales, finance, and leadership.
* Forecast demand and own product line budgets inclusive of any IRAD efforts.
* Serve as the “voice of the customer.”
* Monitor and implement action plans associated with product line performance KPIs such as cost per unit, on\-time delivery, first pass yield, etc.
* Manage product transitions, obsolescence, and end of life planning.
* Evaluation of existing and emerging technologies in conjunction with the product technical lead.
* Develop, review, and negotiate procurement documents (specification, SOW) and manage subcontracts.
* Work closely with customers to help refine their needs and provide innovative and competitive solutions with existing products.
* Execute flight contracts that meet technical and cost obligations.
* Ensure all business is conducted using the highest ethical standards and in compliance with all applicable laws, statutes, and regulations as well as company policies and directives.
* Other responsibilities as assigned.
Required Qualifications/Education:
* 7\+ years of relevant experience.
* BS degree in Aerospace, Engineering, Systems, Business Administration, or related discipline.
* Demonstrated Program Manager responsibility for Space hardware for Commercial, Defense, Restricted, or NASA customers.
* Experience with all phases of the product life cycle (business development, concept formulation, requirements flow\-down, manufacturing, integration and test, and post\-delivery support).
* Strong understanding of systems engineering principles and all elements of the product lifecycle.
* Demonstrated ability to lead cross\-functional teams and execute without direct authority.
* Strong PMO and financial acumen (cost structures, risk and opportunities, return on investment).
* Experience supporting customer proposals/bids.
* Demonstrated soft skills to work with large/small and domestic/international customers within a rapidly changing environment with minimal supervision.
* Must be able to work in a highly collaborative, fast\-paced environment with emphasis on rapid prototyping and fielding of capabilities.
* Demonstrated leadership, time management, facilitation, and organizational skills.
* Good documentation and communication skills, with strong attention to detail.
* Related technical experience may be considered in lieu of education.
Working Conditions:
This job operates in a professional office environment, but in a manufacturing company. This role uses standard office equipment such as computers, phones, photocopiers, scanners, filing cabinets and fax machines. BCT anticipates the application window closing approximately 40 days from the date the notice was posted. However, factors such as candidate flow and business necessity may require BCT to shorten or extend the application window.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for long periods of time. The employee is occasionally required to stand, bend, reach, and walk. The position requires some light physical effort. This would require the ability to lift or move objects up to 10 pounds and occasionally lift or move objects up to 25 pounds. Specific vision abilities are required by this job which includes close vision, distance vision, and ability to adjust focus.
 *Blue Canyon Technologies is a drug\-free workplace and an Equal Employment Opportunity (EEO)/Affirmative Action Employer. All qualified applicants will receive consideration for employment without regard to race, color, religion, sex, sexual orientation, national origin, age, disability, marital status, veteran status, or any other protected factor. Colorado Residents: In any materials you submit, you may redact or remove age\-identifying information such as age, date of birth, or dates of school attendance or graduation. You will not be penalized for redacting or removing this information. Blue Canyon Technologies is committed to providing access, equal opportunity, and reasonable accommodations for individuals with disabilities in employment, its services, programs, and activities. To request a reasonable accommodation, contact Melissa Po at*  
*HR@bluecanyontech.com**.*
We recommend applying directly via the Blue Canyon Technologies website, careers page:  
https://www.bluecanyontech.com/careers</t>
        </is>
      </c>
    </row>
    <row r="120">
      <c r="A120" t="inlineStr">
        <is>
          <t>in-24e3b89aab725672</t>
        </is>
      </c>
      <c r="B120" t="inlineStr">
        <is>
          <t>Senior IT Security Program Manager</t>
        </is>
      </c>
      <c r="C120" t="inlineStr">
        <is>
          <t>Morris Technology Solutions</t>
        </is>
      </c>
      <c r="D120" t="inlineStr">
        <is>
          <t>indeed</t>
        </is>
      </c>
      <c r="E120">
        <f>HYPERLINK("https://www.indeed.com/viewjob?jk=24e3b89aab725672", "https://www.indeed.com/viewjob?jk=24e3b89aab725672")</f>
        <v/>
      </c>
      <c r="F120">
        <f>HYPERLINK("https://morristechnology.bamboohr.com/careers/403?source=indeed&amp;src=indeed&amp;postedDate=2026-01-20", "https://morristechnology.bamboohr.com/careers/403?source=indeed&amp;src=indeed&amp;postedDate=2026-01-20")</f>
        <v/>
      </c>
      <c r="G120" t="inlineStr">
        <is>
          <t>Nutley, NJ, US</t>
        </is>
      </c>
      <c r="H120" s="3" t="n">
        <v>46041</v>
      </c>
      <c r="I120" t="inlineStr">
        <is>
          <t>**Project Overview**
Morris Technology Solutions (MTS) is seeking a **Senior IT Security Program Manager** to support a global pharmaceutical client. This role will lead delivery and governance across a portfolio of enterprise initiatives with a strong focus on information security, risk management, compliance, and enterprise architecture.
 **Why MTS?**
Founded and headquartered in San Antonio with local ownership, MTS is a fast\-growing, values\-based consultancy that has achieved over 100% growth since 2022\. We offer an in\-person, team\-driven environment where you’ll learn from industry experts, gain exposure to senior leadership within our clients, and build life\-long professional relationships. Our people\-first culture is reflected in strong reviews on Google and Glassdoor!
 **What You’ll Do**
The Senior IT Program Manager will lead project delivery and portfolio governance across enterprise architecture, cybersecurity, risk, and compliance initiatives within a complex, global environment. This role requires balancing hands\-on execution with executive\-level visibility and influence.
Key responsibilities include:
* Lead and oversee multiple, concurrent IT programs related to security, risk, compliance, and architecture
* Partner closely with Information Security, Risk, Compliance, Enterprise Architecture, and IT leadership teams
* Drive alignment between strategic business objectives and IT delivery outcomes
* Manage program roadmaps, dependencies, risks, and financials across a global portfolio
* Support change management and adoption efforts tied to enterprise and security initiatives
**Required Skills \&amp; Experience**
* 10\-15\+ years of experience in IT program or portfolio management, with senior\-level responsibility
* Strong background in information security, risk management, compliance, or enterprise architecture initiatives
* Ability to operate across strategy, governance, and execution
* Strong executive communication and stakeholder management skills
* Experience managing global or enterprise\-scale programs
**Preferred Qualifications**
* Experience working in highly regulated environments (pharmaceutical, life sciences, healthcare, or similar)
* Experience supporting cybersecurity, GRC, or enterprise architecture portfolios
* Consulting or advisory background
* Experience working with distributed or international teams
* Prior involvement in PMO transformation or portfolio optimization initiatives
* PMP Certification preferred</t>
        </is>
      </c>
    </row>
    <row r="121">
      <c r="A121" t="inlineStr">
        <is>
          <t>in-607e26fc3d973147</t>
        </is>
      </c>
      <c r="B121" t="inlineStr">
        <is>
          <t>Product Manager</t>
        </is>
      </c>
      <c r="C121" t="inlineStr">
        <is>
          <t>AxisCare</t>
        </is>
      </c>
      <c r="D121" t="inlineStr">
        <is>
          <t>indeed</t>
        </is>
      </c>
      <c r="E121">
        <f>HYPERLINK("https://www.indeed.com/viewjob?jk=607e26fc3d973147", "https://www.indeed.com/viewjob?jk=607e26fc3d973147")</f>
        <v/>
      </c>
      <c r="F121">
        <f>HYPERLINK("https://axiscare.bamboohr.com/careers/118?source=indeed&amp;src=indeed&amp;postedDate=2026-01-20", "https://axiscare.bamboohr.com/careers/118?source=indeed&amp;src=indeed&amp;postedDate=2026-01-20")</f>
        <v/>
      </c>
      <c r="G121" t="inlineStr">
        <is>
          <t>Waco, TX, US</t>
        </is>
      </c>
      <c r="H121" s="3" t="n">
        <v>46041</v>
      </c>
      <c r="I121" t="inlineStr">
        <is>
          <t>**Job Description \- Product Manager**  
**Reports To \-** VP of Product Management
**Position Summary**
As a Product Manager (PM) at AxisCare, you will join the AxisCare Product Management team focusing on our AxisCare home care solution. The ideal candidate is expected to identify product and feature demand through customer need and market demand analysis. PMs are responsible for defining product success and facilitating product vision across the organization.
**Key Responsibilities**
* Align product strategy to market demand through market, competitive, and win/loss analysis.
* Understand priority needs of existing customers first\-hand, collaborate with the Customer Success and Support teams.
* Understand prospect needs collaborating with Sales and Marketing and home care industry research.
* Understand company strategy and direction working with the AxisCare leadership team.
* Participate in client meetings, industry conferences and prospect meetings as necessary.
* Deliver products to market through efficient execution that includes accurate opportunity assessments, appetite, product roadmaps, project definition, collaborating with UX design, educating organization, tracking customer adoption along with other relevant KPIs to determine success.
* Coordinate go to market activities across product development, sales, marketing, and support.
* Partner with other product leaders to understand high\-value solutions planned for upcoming development cycles understanding appetite for amount of effort the company is willing to invest framing the projects for UX design.
* During shaping of projects for development and during the development cycle, provide answers to the development teams as needed to mitigate impediments and adjust plans as needed to accomplish the teams’ delivery goals while maximizing value to the customers.
**What We’re Looking For**
* Bachelor’s Degree in Business\-related field, or equivalent professional experience.
* Minimum 3 years of experience as a product manager.
* Experience across multiple product management knowledge domains including sales, marketing, and development.
* Ability to simultaneously manage multiple projects.
* Must be able to travel up to 20% of the time.
* Experience in or ability to leverage Product Management and Development tools such as Jira or equivalent.
* In\-depth experience with similar product management processes and principles.
* Excellent problem\-solving and analytical abilities.
* Strong communication and collaboration skills.
* Excellent organizational and time management skills.
* Attention to detail.
* Creative/Innovative.
**What We’d Be Excited to Find**
* Experience in home care or other healthcare domain.
* Experience with Shape Up methodologies, especially Shaping.
**Compensation and Equipment**
* Salary (TBD based on job experience and skill level)
* Medical insurance is covered in full for the employee (Medical, Dental and Vision)
* 401K with competitive company matching
* Competitive vacation, sick leave, and holidays
* Company will provide laptop and other needed computer equipment
**How to Apply**
Please apply via BambooHR with a brief resume and a cover letter tailored to this position.
Tell us about something you’re proud to have built and how it speaks to what we’re looking for. Tell us why this position is just the thing you’ve been hoping to find. Give us a preview of what it’ll be like working with you.
No need to write a novel, so please keep your cover letter around 600 words at the most.
This is a Remote/Telecommute position. We strongly encourage candidates from all backgrounds and every walk of life to apply. Every person on our team brings their own unique perspective, and it’s what makes our products better and our work more rewarding. We’re eager to support you so that you can ship work you’re proud of.
Candidates only. No recruiters, please.
**Why AxisCare**
According to Pew Research, roughly 10,000 baby boomers turn 65 every day, and the American Society on Aging calculated that an American has a 70% chance of needing help with activities of daily living such as dressing, bathing, hygiene, etc. This has led to an unprecedented increase in Home Care agencies in the U.S. and abroad who strive to help those who have difficulty helping themselves, specifically offering non\-medical (also referred to as non\-skilled) services to seniors in their homes.
AxisCare was started in 2011 by industry leaders to help meet the demand for a more user\-friendly and mobile\-compatible solution. Our product is a web\-based management platform that helps agencies manage CRM and marketing, Caregiver/Client scheduling, billing, payroll and much more. Headquartered in Waco, TX, AxisCare has clients in all 50 states as well as 10 other countries. We are a fast\-growing company seeking high\-performing individuals looking for a fast\-paced, autonomous working environment. AxisCare is also an equal opportunity employer.</t>
        </is>
      </c>
    </row>
    <row r="122">
      <c r="A122" t="inlineStr">
        <is>
          <t>in-fb0042c08ab66b06</t>
        </is>
      </c>
      <c r="B122" t="inlineStr">
        <is>
          <t>Program Manager - Food Bank</t>
        </is>
      </c>
      <c r="C122" t="inlineStr"/>
      <c r="D122" t="inlineStr">
        <is>
          <t>indeed</t>
        </is>
      </c>
      <c r="E122">
        <f>HYPERLINK("https://www.indeed.com/viewjob?jk=fb0042c08ab66b06", "https://www.indeed.com/viewjob?jk=fb0042c08ab66b06")</f>
        <v/>
      </c>
      <c r="F122">
        <f>HYPERLINK("https://macc.bamboohr.com/careers/109?source=indeed&amp;src=indeed&amp;postedDate=2026-01-20", "https://macc.bamboohr.com/careers/109?source=indeed&amp;src=indeed&amp;postedDate=2026-01-20")</f>
        <v/>
      </c>
      <c r="G122" t="inlineStr">
        <is>
          <t>Willows, CA, US</t>
        </is>
      </c>
      <c r="H122" s="3" t="n">
        <v>46041</v>
      </c>
      <c r="I122" t="inlineStr">
        <is>
          <t>**Job Title: Programs Manager**
**Position Summary**
The Program Manager at North Valley Community Food Bank oversees the planning, coordination, and evaluation of food bank programs while serving as the primary liaison to partner agencies. This role strengthens community partnerships, ensures program compliance, and expands the reach and effectiveness of hunger\-relief services throughout the region.
**Key Responsibilities**
**Program Management**
* Develop, implement, and oversee food bank programs (pantry distributions, mobile distributions, special initiatives)
* Ensure programs meet community needs and food bank standards
* Evaluate program effectiveness using data and partner feedback
* Coordinate program schedules, logistics, and staffing in collaboration with operations
**Collaboration \&amp; Community Engagement**
* Work closely with the Operations Manager to align inventory with program needs
* Collaborate with leadership on strategic planning and outreach
* Represent North Valley Community Food Bank at community meetings and partner events
* Gather feedback to identify service gaps and opportunities
**Reporting \&amp; Compliance**
* Track program participation and agency activity
* Prepare monthly and annual program and agency reports
* Support grant reporting and documentation related to programs and partnerships
**Agency Relations Leadership \&amp; Supervision**
* Provide direct supervision and support to the Agency Relations Coordinator
* Set priorities, goals, and performance expectations for agency relations functions
* Ensure consistent communication, documentation, and follow\-up with partner agencies
* Review and approve agency onboarding, training, compliance documentation, and ongoing support activities
* Mentor and equip the Agency Relations Coordinator to build strong, collaborative relationships with partner agencies
* Address agency concerns or escalations and ensure timely resolution
* Collaborate with Operations and Leadership to align agency needs with program capacity
**Events \&amp; Community Engagement**
* Serve as a front\-runner for key events, including community outreach events, fundraising events, and partner gatherings
* Coordinate event planning logistics in collaboration with staff, volunteers, and partners
* Represent the food bank at events, meetings, and community functions
* Support event execution, on\-site coordination, and follow\-up
**Communications \&amp; Social Media Support**
* Assist with basic social media content related to programs, agency partnerships, and events
* Provide photos, stories, and program updates to support community engagement and donor awareness
* Coordinate with leadership to ensure messaging aligns with the mission, values, and voice of the organization
**Physical and Environmental Requirements**
* Ability to remain in a stationary position and work on a computer at a desk for extended periods. Be able to use a computer, keyboard, mouse, and interact with a monitor.
* Ability to travel to events, meetings, and community functions (valid driver’s license and reliable transportation may be required).
* Ability to occasionally lift and/or move up to 20 pounds.
**Qualifications**
**Required**
* Experience in program management, nonprofit services, or community outreach
* Strong relationship\-building and communication skills
* Excellent organizational and follow\-through abilities
* Ability to manage multiple programs and partnerships
**Preferred**
* 2\-3 years prior management or supervisory experience, including direct oversight of staff and/or volunteers
* Demonstrated experience supervising, coaching, and evaluating team members, including roles related to agency or partner relations
* Ability to lead, delegate, and hold team members accountable while maintaining a collaborative, mission\-driven work environment
* Experience in food bank, hunger relief, or social services
* Experience working with partner agencies or coalitions
* Familiarity with food safety and compliance standards
* Experience with PantrySoft or similar systems</t>
        </is>
      </c>
    </row>
    <row r="123">
      <c r="A123" t="inlineStr">
        <is>
          <t>in-7d65c1a654fe0523</t>
        </is>
      </c>
      <c r="B123" t="inlineStr">
        <is>
          <t>Program Manager</t>
        </is>
      </c>
      <c r="C123" t="inlineStr">
        <is>
          <t>North Atlantic Industries</t>
        </is>
      </c>
      <c r="D123" t="inlineStr">
        <is>
          <t>indeed</t>
        </is>
      </c>
      <c r="E123">
        <f>HYPERLINK("https://www.indeed.com/viewjob?jk=7d65c1a654fe0523", "https://www.indeed.com/viewjob?jk=7d65c1a654fe0523")</f>
        <v/>
      </c>
      <c r="F123">
        <f>HYPERLINK("https://recruiting.paylocity.com/recruiting/jobs/Details/3838251/North-Atlantic-Industries-Inc/Program-Manager?source=Indeed_Feed", "https://recruiting.paylocity.com/recruiting/jobs/Details/3838251/North-Atlantic-Industries-Inc/Program-Manager?source=Indeed_Feed")</f>
        <v/>
      </c>
      <c r="G123" t="inlineStr">
        <is>
          <t>Bohemia, NY, US</t>
        </is>
      </c>
      <c r="H123" s="3" t="n">
        <v>46041</v>
      </c>
      <c r="I123" t="inlineStr">
        <is>
          <t>Description:
North Atlantic Industries is a leading provider of embedded electronic solutions, specializing in rugged embedded computing, power supplies and motion simulation and measurement technologies. Our products and services are used by the military, aerospace, and industrial markets, helping to advance technology and protect the free world.
NAI is proud to be recognized as a Top Workplace on Long Island! Our culture is very collaborative. We have team building events, company picnics, special event day and employee game room. Please visit our website at www.naii.com/careers to see more about what makes us a unique place to work.
**Summary:**
The Program Manager is responsible for launching new programs, coordinating engineering and process changes, managing existing programs and interfacing with functional departments and stakeholders to ensure success. The Program Manager will have extensive interface with customers, and be the customer’s point of contact for status and problem resolution. The Program Manager will also ensure that NAI is compliant with cost, schedule and technical requirements as defined by the Statement of Work (SOW), Product Specification and NAI Proposal/Quotation.
Requirements:
* Manages programs to ensure performance and contractual goals are met in terms of cost and schedule objectives.
* Support proposal and cost estimating activities for RFP/RFQ. This includes interpretation of program requirements and generation of content for proposal response.
* Manage CDRL/SDRL requirements to ensure that dates are met and that NAI’s response is in accordance with SOW and NAI proposal
* Chair meetings with customer for System Requirements interface meetings, design reviews, flight readiness reviews, etc.
* Ensure that internal systems and methodology are compliant with customer’s.
* Reports program status to customers and senior management.
* Develops and implements recovery plans to mitigate schedule delays and unanticipated events.
* Provides leadership and supervision to help establish goals for programs and objectives for team members.
* Monitors and participates in major contract negotiations.
* Candidates must be a U.S. citizen and must be able to provide appropriate documentation upon hire to verify this status. Please note that some positions involve sensitive customer contracts and require U.S. citizenship as a condition of employment.
**Qualifications and Education Requirements:**
* Bachelor’s degree in Engineering with 5\+ years of experience in military electronics and/or electrical component engineering design, development and manufacturing.
* Experience in managing programs for military and aerospace customers
* Effective communication and leadership skills.
* Excellent analysis and problem\-solving ability.
* Thorough understanding of program management techniques and methods.
**North Atlantic Industries offers comprehensive and competitive packages including:**
**Benefits**
* Medical, Dental, and Vision Insurance
* Company\-provided Life and AD\&amp;D Insurance
* Voluntary Supplemental Life Insurance
* Long\-term Disability Insurance
* Flexible Spending Accounts (FSA)
* Employee Assistance Program (EAP)
* 401(K) with company matching contributions
* Vacation, holidays, sick
* Employee tuition reimbursement
* Annual bonus eligibility
* Opportunities for learning and career development
**Work Schedule and Environment**
* Monday to Friday, Day Shift
* Discretionary 9/80 Schedule
* Business casual dress code
* **Hybrid Role. Must be able to work in Bohemia, NY for onsite days.**
North Atlantic Industries (NAI) is proud to be an Equal Opportunity Employer and is committed to providing equal employment opportunity for all persons in all facets of employment. All qualified applicants will receive consideration for employment without regard to any legally protected status. If you are an individual with a disability or a disabled veteran and require a reasonable accommodation in applying for any posted position, please contact Human Resources at 631\-567\-1100 or by email at hr@naii.com. As a federal government contractor, in accordance with applicable laws, regulations, and Executive Orders, North Atlantic Industries (NAI) is required to develop annual Affirmative Action Plans for Protected Veterans and Individuals with Disabilities. Any employees or applicants who wish to review the Affirmative Action Plan for Protected Veterans and Individuals with Disabilities can contact us by sending an email to hr@naii.com or by calling 631\-567\-1100\.</t>
        </is>
      </c>
    </row>
    <row r="124">
      <c r="A124" t="inlineStr">
        <is>
          <t>in-7f75e563665defc1</t>
        </is>
      </c>
      <c r="B124" t="inlineStr">
        <is>
          <t>Construction Program Manager</t>
        </is>
      </c>
      <c r="C124" t="inlineStr">
        <is>
          <t>Meadows &amp; Ohly</t>
        </is>
      </c>
      <c r="D124" t="inlineStr">
        <is>
          <t>indeed</t>
        </is>
      </c>
      <c r="E124">
        <f>HYPERLINK("https://www.indeed.com/viewjob?jk=7f75e563665defc1", "https://www.indeed.com/viewjob?jk=7f75e563665defc1")</f>
        <v/>
      </c>
      <c r="F124">
        <f>HYPERLINK("https://recruiting.paylocity.com/recruiting/jobs/Details/3855250/Meadows-Ohly-LLC/Construction-Program-Manager?source=Indeed_Feed", "https://recruiting.paylocity.com/recruiting/jobs/Details/3855250/Meadows-Ohly-LLC/Construction-Program-Manager?source=Indeed_Feed")</f>
        <v/>
      </c>
      <c r="G124" t="inlineStr">
        <is>
          <t>Asheville, NC, US</t>
        </is>
      </c>
      <c r="H124" s="3" t="n">
        <v>46041</v>
      </c>
      <c r="I124" t="inlineStr">
        <is>
          <t>Description:  
**Position Summary:**
The Program Manager is required to manage the execution of all aspects of assigned healthcare projects. This includes defining the project’s objectives and overseeing quality control throughout its life cycle. The individual must possess a strong understanding of all aspects of the development process and a strong track record as a project manager. The Program Manager will be responsible for completing projects according to schedules and within budget.
**Essential Duties and Responsibilities:**
* Assists partners, planners and associates in performing project feasibility analysis.
* Interfaces with client’s administration, property managers and vendors.
* Lead the A/E qualification, selection and contract negotiations.
* Leads the qualification, selection and contract negotiations for other team consultant members.
* Reviews, negotiates and approves A/E and consultant additional work requests
* Supervises the programming and planning efforts of the selected architect.
* Performs site analysis and investigations.
* Develops and adheres to detailed development budgets and schedules.
* Obtains required project public approvals (CON, Zoning, Annexation, Site Plan Approval, Wetlands, other Processes).
* Provides design direction and managing the overall design process.
* Reviews design development and construction documents to determine adequacy.
* Leads the GC or CM qualifications, selection and contract negotiations.
* Evaluates the adequacy of all construction allowances, contingencies and general conditions.
* Provides construction administration in adherence with the Company’s policies and procedures.
* Reviews and negotiates GC or CM change order requests.
* Monitors the GC or CM performance for areas of potential risk and provides leadership in project safety, quality, and infection prevention.
* Provides project cost control and prepares timely and accurate monthly budget reports and invoicing.
* Coordinates the selection, procurement, delivery and installation of medical and other equipment, signage and furniture.
* Prepares monthly reports to clients and accountable for developing and monitoring project performance indicators.
* Creates project overview and status report presentations to clients’ administration, board and committees.
* Collaborates with others within the Company to reach client goals and objectives as well as overall Company success.
* Uses e\-Builder software throughout the project.
* Embraces the Company’s culture and works collaboratively with others to reach business goals and objectives.
Requirements:  
**Knowledge, Skills \&amp; Abilities:**
* A minimum of 5 years of progressive healthcare development project management experience including projects in the ranging from $50\-$100 million building strong cross\-functional relationships to ensure that all client stakeholders are appropriately engaged and satisfied.
* Must be able to demonstrate a high level of professionalism and performance leading planning, design, preconstruction, contract negotiations, cost control, scheduling, and team coordination activities.
* Excellent project budgeting, contract negotiations, and scheduling skills are essential for success in this position.
* Strong written and verbal communication skills with the ability to analyze data to the client and team to achieve project goals.
* Strong interpersonal skills with an ability to interact with executive level external and internal healthcare clients.
* Strong ability to multitask, work independently and manage all aspects of a construction projects effectively and efficiently.
* Must have proficient knowledge of Microsoft Office (Word, Excel, Outlook). E\-Builder experience is preferred.
**Minimum Qualifications:**
* Bachelor’s degree in from a four\-year college or university, preferably in Architecture, Engineering, or Construction Management; and five years related construction experience and/or training; or equivalent combination of education and experience. Experience with medically\-related construction is preferred.
* Must be able to successfully pass a background, credit and drug screen.</t>
        </is>
      </c>
    </row>
    <row r="125">
      <c r="A125" t="inlineStr">
        <is>
          <t>in-217f6ca479916548</t>
        </is>
      </c>
      <c r="B125" t="inlineStr">
        <is>
          <t>Sales Program Manager</t>
        </is>
      </c>
      <c r="C125" t="inlineStr">
        <is>
          <t>HYDAC</t>
        </is>
      </c>
      <c r="D125" t="inlineStr">
        <is>
          <t>indeed</t>
        </is>
      </c>
      <c r="E125">
        <f>HYPERLINK("https://www.indeed.com/viewjob?jk=217f6ca479916548", "https://www.indeed.com/viewjob?jk=217f6ca479916548")</f>
        <v/>
      </c>
      <c r="F125">
        <f>HYPERLINK("https://recruiting.paylocity.com/recruiting/jobs/Details/3852990/HYDAC-TECHNOLOGY-CORPORATION/Sales-Program-Manager?source=Indeed_Feed", "https://recruiting.paylocity.com/recruiting/jobs/Details/3852990/HYDAC-TECHNOLOGY-CORPORATION/Sales-Program-Manager?source=Indeed_Feed")</f>
        <v/>
      </c>
      <c r="G125" t="inlineStr">
        <is>
          <t>Brookfield, WI, US</t>
        </is>
      </c>
      <c r="H125" s="3" t="n">
        <v>46041</v>
      </c>
      <c r="I125" t="inlineStr">
        <is>
          <t>Description:
HYDAC is a family\-owned and operated business with a vibrant and rewarding working environment for our employees across the country. Our goal is to provide quality products, components and services that meet our customer expectations while being committed to the protection and preservation of our environment. HYDAC’s passionate team designs and manufactures a comprehensive line of innovative and reliable solutions optimized for any demand our customers require.
The Sales Program Manager will be responsible for implementing, monitoring, and driving key growth and sales initiatives that align with HYDAC’s Strategic Plan. This position works closely with the VP of Sales and Marketing and Regional Sales Vice Presidents to ensure sales initiatives are executed effectively, completed on time, and deliver meaningful impact. The Sales Program Manager will coordinate across the sales organization, product divisions, and CRM systems to support data\-driven decision\-making, process improvements, and strategic market development.
You will make an impact in this role by:
* Implement and manage strategic sales and growth initiatives in alignment with HYDAC’s long\-term strategy plan.
* Monitor the sales funnel in CRM for key initiatives and ensure accurate, consistent updates across sales teams.
* Research new markets to support emerging strategies, identify opportunity spaces, and recommend new initiatives.
* Monitor, analyze, and document technical and commercial trends in the market.
* Collaborate closely with sales leadership and team members to drive execution of sales initiatives and track performance metrics.
* Gather, analyze, and organize internal and external data to support business cases and strategic recommendations.
* Collect and prepare internal data for Board Meeting reports and presentations.
* Work with CRM platform designers to implement updates or enhancements that improve initiative tracking and reporting.
* Partner with Product Division Leadership teams to support divisional growth initiatives, including implementation and performance monitoring.
* Utilize AI, analytics tools, and automated reporting systems to measure and communicate initiative progress and overall effectiveness.
* Document HYDAC sales processes, identify improvement opportunities, and develop training materials for sales teams.
* Assist in the development of business cases, growth analyses, and internal/external presentations.
Requirements:
To be considered for the Sales Program Manager role, you must have the following minimum qualifications:
Skills and Attributes:
* Highly motivated, self\-driven, and able to work independently.
* Strong analytical and strategic thinking capabilities.
* Ability to implement structured processes and drive cross\-functional initiatives.
* Strong interpersonal skills with the ability to collaborate effectively across sales, product, and leadership teams.
* Excellent verbal and written communication skills including business correspondence, reporting, and presentation creation.
* Demonstrated ability to interpret market information, identify trends, and apply insights to strategic recommendations.
* Strong project management skills, including planning, tracking, and reporting.
* Ability to use CRM systems (Microsoft Dynamics), business intelligence tools, AI\-assisted reporting tools, and standard office software including spreadsheets and word processing.
* Customer\-centric mindset with the ability to understand and support customer\-driven initiatives.
* Willingness to travel as required (up to 25%).
Experience and Education:
* Associate’s degree (A.A.) or equivalent with 3 years of experience, or Bachelor’s Degree.
* Minimum of 5 years of experience in sales, sales operations, program management, or business development—preferably involving engineered products or technical markets.
* Experience with CRM platforms and data\-driven sales management strongly preferred.
HYDAC offers employees a comprehensive medical/dental/vision plan, paid holidays, PTO, 401k with company matching, FSA account, short term disability and life insurance, and pet insurance.
Click the “apply” button to be considered for this opening!
HYDAC is committed to providing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\#IND123</t>
        </is>
      </c>
    </row>
    <row r="126">
      <c r="A126" t="inlineStr">
        <is>
          <t>in-3f5acfe863fa16d9</t>
        </is>
      </c>
      <c r="B126" t="inlineStr">
        <is>
          <t>Program Manager, Diabetes (Public Payment Solutions)</t>
        </is>
      </c>
      <c r="C126" t="inlineStr">
        <is>
          <t>NACDD</t>
        </is>
      </c>
      <c r="D126" t="inlineStr">
        <is>
          <t>indeed</t>
        </is>
      </c>
      <c r="E126">
        <f>HYPERLINK("https://www.indeed.com/viewjob?jk=3f5acfe863fa16d9", "https://www.indeed.com/viewjob?jk=3f5acfe863fa16d9")</f>
        <v/>
      </c>
      <c r="F126">
        <f>HYPERLINK("https://recruiting.paylocity.com/recruiting/jobs/Details/3853407/NACDD/Program-Manager-Diabetes-Public-Payment-Solutions?source=Indeed_Feed", "https://recruiting.paylocity.com/recruiting/jobs/Details/3853407/NACDD/Program-Manager-Diabetes-Public-Payment-Solutions?source=Indeed_Feed")</f>
        <v/>
      </c>
      <c r="G126" t="inlineStr">
        <is>
          <t>Atlanta, GA, US</t>
        </is>
      </c>
      <c r="H126" s="3" t="n">
        <v>46041</v>
      </c>
      <c r="I126" t="inlineStr">
        <is>
          <t>Description:
**ABOUT NACDD**
The National Association of Chronic Disease Directors (NACDD) is a member\-based Association that improves the health of the public by strengthening state\-based leadership and expertise for chronic disease prevention and management. NACDD’s core membership is composed of the 59 State and Territorial Health Department Chronic Disease Directors and their staff who protect the health of the public through primary and secondary prevention efforts and work upstream on root causes of chronic conditions. In addition, NACDD unites 7,000 chronic disease professionals across the United States working in state, tribal, and territorial health departments; nonprofits; academia; and the private industry to promote health and reduce the burden of chronic disease. As a national, nonprofit, professional Association, we advocate, educate, and provide technical assistance to inform programming and grow chronic disease prevention knowledge, leadership, and capacity.
**NACDD EMPLOYEE TOTAL REWARDS AND BENEFIT OPTIONS:**
\*Flexible work hours \*Remote working options \*Paid holidays \*Medical insurance \*Dental insurance \*Vision insurance \*Flexible spending account (FSA) \*Professional development \*Career growth opportunities \*Paid time off (PTO) \*Paid sick leave \*Paid volunteer time \*401(k) with employer match \*Employee assistance program (EAP) \*Long\-term disability \*Basic life/AD\&amp;D \*Critical illness coverage \*Accident coverage \*Short\-term disability \*Home office supply support \*Wellness activities \*Employee recognition program \*Employee engagement committees
**POSITION SUMMARY**
The National Association of Chronic Disease Directors (NACDD) is seeking a highly motivated and experienced individuals to join our organization as a Program Manager, Diabetes – Public Payment Solutions within the Center for Advancing Healthy Communities (CAHC) to manage three Centers for Disease Control and Prevention (CDC)\-funded projects. The three (3\) projects include: National Diabetes Prevention Program (National DPP) – Building Capacity for Medicare Coverage; 2\) Diabetes Self\-Management Education and Support \- Medicare and Medicaid Coverage; and 3\) National DPP – Building Capacity for Medicaid Coverage and Enrollment.
Under the direction of the Associate Director of the Diabetes Portfolio, this position will guide planning and implementation of project\-related activities, coordinate project teams, develop and sustain relationships with partners, and manage day\-to\-day operations across all projects. The Program Manager will collaborate with the project team, comprised of NACDD staff, subject matter experts, and other vendors. This position may also support future Diabetes Portfolio projects. **\*This position is grant\-funded, with funding secured through July 31, 2026\. Continuation of the position beyond this date is contingent upon the availability of continued grant funding, which the organization is committed to actively pursuing.**
**Applications without a cover letter will not be considered.**
**ESSENTIAL DUTIES AND RESPONSIBILITIES**
The essential functions include, but are not limited to the following:
* Serve as the project facilitator and project manager for the three projects;
* Lead and develop presentations and meeting collateral for the Diabetes Council, as requested;
* Manage all Diabetes Portfolio listservs, including those for the Diabetes Council, Diabetes State and National Partners, etc.
* Utilize email platforms (e.g., MailChimp) and assist with other communications activities in support of the Diabetes Council, etc.;
* In consultation with the Associate Director, manage contractual processes across assigned projects, ensuring subject matter experts and other vendors fulfill all workplan/project activities as listed in their scopes of work (SOW);
* In consultation with the Associate Director, manage budgetary processes across assigned projects, including tracking contract submissions and project\-related expenditures;
* Coordinate program planning, implementation, and evaluation/reporting across the three projects;
* Work closely with NACDD staff, subject matter experts, and other vendors, ensuring strong alignment, communication, and collaboration within and across the three projects;
* Participate in all Diabetes Portfolio\-, CAHC\-, NACDD\-, and CDC\-required meetings;
* Create timelines and ensure fulfillment of all workplan/project activities in the three projects;
* Lead all required (internal and CDC) reporting for the three current projects;
* Serve as a meeting facilitator for meetings/trainings within each project including developing agendas, leading meetings in partnership with subject matter experts, preparing/sending meeting summaries, and completing follow\-up activities;
* Develop and disseminate state\-level requests for applications (RFA) to identify project partners;
* Identify opportunities for cross\-program collaboration and synergy across CAHC and NACDD programs/projects, leverage sharing of resources, and ensure alignment with NACDD's mission/vision and Strategic Plan;
* Utilize systems to measure and communicate impact of project\-related efforts;
* Collaborate with the assigned Diabetes Portfolio Program Evaluator, specific Diabetes Portfolio project evaluator, and NACDD Evaluation Department on evaluation\-related activities;
* Collaborate with NACDD’s Communication Department on communication\-related activities;
* Collaborate with other Diabetes Portfolio, CAHC, and NACDD programs and team members;
* Perform other duties, as assigned or necessary, to achieve Diabetes Portfolio, CAHC, and NACDD’s goals and objectives.
Requirements:
**MINIMUM QUALIFICATIONS (KNOWLEDGE, SKILLS, AND ABILITIES)**
* Bachelor’s degree in Biology, Sociology, Public Health or other health\-related fields;
* Five (5\) to seven (7\) years of relevant experience in planning, implementing/leading, and convening chronic disease prevention and/or management or health promotion programs;
* Experience working with CDC or other federal agencies on programs related to state\-level chronic disease prevention and health promotion;
* Working basic knowledge of Medicare and Medicaid payment processes.
* Experience coordinating and delivering context\-specific meetings, training, and/or technical assistance;
* Experience managing work plans, particularly for grants/cooperative agreements;
* Adept at developing tools and resources; facilitating meetings, conference calls, and peer\-to\-peer learning and sharing opportunities; and giving presentations;
* Strong project management, prioritization, and planning skills, with demonstrated success producing high\-quality deliverables according to established timelines and budget:
* Excellent multitasking and problem\-solving skills with ability to analyze situations, identify existing or potential problems, and recommend solutions;
* Self\-motivated; able to work independently and to receive and incorporate feedback from others into plans;
* Strong interpersonal skills, excels in building relationships and partnerships with stakeholders, and able to work with and manage a team; ability to maintain quality customer service standards:
* Adept at facilitating meetings, conference calls, and other meetings, virtually or in\-person;
* Ability to effectively connect and communicate with other staff and consultants working on other programs/projects; ability to identify opportunities for synergy and/or collaboration;
* Ability to effectively present information to a variety of audiences and respond to questions from senior management; staff; other NACDD vendors, team members, and the Board; and internal and external partners/interest holders;
* Superior oral and written communication and organizational skills with strong attention to detail;
* Experience with grant writing and management;
* Ability to establish and maintain professional credibility and diplomacy; understands the importance of keeping current industry or subject matter expertise;
* Resilient, flexible, and innovative;
* High proficiency with Microsoft Office programs (e.g., Word, Excel, PowerPoint); ability to master other technologies and software applications;
* High proficiency in utilizing virtual meeting platforms such as Zoom or Teams, as well as project management platforms such as Smartsheet;
* Shares NACDD’s commitment to foster a respectful and supportive work environment;
* Available to travel, as needed.
**PREFERRED QUALIFICATIONS (KNOWLEDGE, SKILLS, AND ABILITIES)**
* Master’s degree in Public Health, Public Health Administration, or related field;
* Prior Association or other nonprofit experience, specifically member\-based organizations serving state public health practitioners;
* Prior work experience in a state, county, or local health department;
* Prior experience working in and/or supporting public health programs focused on diabetes prevention and/or diabetes self\-management;
* Prior work experience with Medicare and/or Medicaid coverage of health programs.
**LOCATION/REMOTE**
* Must be located in one of the following states: Arizona, California, Colorado, Florida, Georgia, Illinois, Maryland, Massachusetts, Michigan, Nebraska, North Carolina, Ohio, Oklahoma, Rhode Island, South Carolina, Texas, Virginia, or Washington;
* REMOTE \- Must be available to travel, as needed.
**TRAVEL REQUIREMENTS:**
* This position may require occasional travel; up to 10%.
**SALARY RANGE:**
* $88,000 to $95,000
**ADDITIONAL REQUIREMENT**
Applicants must submit a cover letter detailing how their previous experience aligns with the requirements of this position. Of particular interest, please highlight:
* Your experience in planning, implementing, and leading chronic disease prevention or health promotion programs.
* Your experience working on programs funded by the Centers for Disease Control and Prevention (CDC) and other federal agencies.
* Your experience managing grant work plans and reporting requirements.
* Your approach and experience in coordinating multiple projects simultaneously, including strategies you use to ensure timelines and deliverables are met.
**\*Applications without a cover letter specifically addressing these details will not be considered.\***
**PHYSICAL DEMANDS AND WORK ENVIRONMENT**
The physical demands described here are representative of those that must be met by an employee to successfully perform the essential functions of this position. Reasonable accommodations may be made to enable individuals with disabilities to perform the functions.
This position is primarily performed remotely in a home\-based office environment. The role involves frequent computer use, sitting and/or standing as preferred by the employee, virtual collaboration, and participation in video and audio conferences. The employee must be able to communicate clearly, focus for extended periods, manage competing priorities, and work independently within a remote setting. Occasional travel may be required.
*NACDD is an equal opportunity employer for protected veterans and individuals with disabilities.*</t>
        </is>
      </c>
    </row>
    <row r="127">
      <c r="A127" t="inlineStr">
        <is>
          <t>in-5183c1a29af9a766</t>
        </is>
      </c>
      <c r="B127" t="inlineStr">
        <is>
          <t>Program Manager, Diabetes (Health for All)</t>
        </is>
      </c>
      <c r="C127" t="inlineStr">
        <is>
          <t>NACDD</t>
        </is>
      </c>
      <c r="D127" t="inlineStr">
        <is>
          <t>indeed</t>
        </is>
      </c>
      <c r="E127">
        <f>HYPERLINK("https://www.indeed.com/viewjob?jk=5183c1a29af9a766", "https://www.indeed.com/viewjob?jk=5183c1a29af9a766")</f>
        <v/>
      </c>
      <c r="F127">
        <f>HYPERLINK("https://recruiting.paylocity.com/recruiting/jobs/Details/3852414/NACDD/Program-Manager-Diabetes-Health-for-All?source=Indeed_Feed", "https://recruiting.paylocity.com/recruiting/jobs/Details/3852414/NACDD/Program-Manager-Diabetes-Health-for-All?source=Indeed_Feed")</f>
        <v/>
      </c>
      <c r="G127" t="inlineStr">
        <is>
          <t>Atlanta, GA, US</t>
        </is>
      </c>
      <c r="H127" s="3" t="n">
        <v>46041</v>
      </c>
      <c r="I127" t="inlineStr">
        <is>
          <t>Description:
**ABOUT NACDD**
The National Association of Chronic Disease Directors (NACDD) is a member\-based Association that improves the health of the public by strengthening state\-based leadership and expertise for chronic disease prevention and management. NACDD’s core membership is composed of the 59 State and Territorial Health Department Chronic Disease Directors and their staff who protect the health of the public through primary and secondary prevention efforts and work upstream on root causes of chronic conditions. In addition, NACDD unites 7,000 chronic disease professionals across the United States working in state, tribal, and territorial health departments; nonprofits; academia; and the private industry to promote health and reduce the burden of chronic disease. As a national, nonprofit, professional Association, we advocate, educate, and provide technical assistance to inform programming and grow chronic disease prevention knowledge, leadership, and capacity.
**NACDD EMPLOYEE TOTAL REWARDS AND BENEFIT OPTIONS:**
\*Flexible work hours \*Remote working options \*Paid holidays \*Medical insurance \*Dental insurance \*Vision insurance \*Flexible spending account (FSA) \*Professional development \*Career growth opportunities \*Paid time off (PTO) \*Paid sick leave \*Paid volunteer time \*401(k) with employer match \*Employee assistance program (EAP) \*Long\-term disability \*Basic life/AD\&amp;D \*Critical illness coverage \*Accident coverage \*Short\-term disability \*Home office supply support \*Wellness activities \*Employee recognition program \*Employee engagement committees
**POSITION SUMMARY**
The National Association of Chronic Disease Directors (NACDD) is seeking a highly motivated and experienced individual to join our organization as a Program Manager, Diabetes – Health for All within the Center for Advancing Healthy Communities (CAHC) to manage three Centers for Disease Control and Prevention (CDC)\-funded projects. The three (3\) projects include: 1\) Prediabetes Health Marketing; 2\) Diabetes Prevention Support for Tribes; and 3\) Diabetes Technical Assistance for Good Health and Wellness in Indian Country (GHWIC) Recipients.
Under the direction of the Associate Director of the Diabetes Portfolio, this position will guide planning and implementation of project\-related activities, coordinate project teams, develop and sustain relationships with partners, and manage day\-to\-day operations across all projects. The Program Manager will collaborate with the project team, comprised of NACDD staff, subject matter experts, and other vendors. This position may also support future Diabetes Portfolio projects. **\*This position is grant\-funded, with funding secured through July 31, 2026\. Continuation of the position beyond this date is contingent upon the availability of continued grant funding, which the organization is committed to actively pursuing.**
**Applications without a cover letter will not be considered.**
**ESSENTIAL DUTIES AND RESPONSIBILITIES**
The essential functions include, but are not limited to the following:
* Serve as the project facilitator and project manager for the three projects;
* Lead and develop presentations and meeting collateral for the Diabetes Council, as requested;
* Manage all Diabetes Portfolio listservs, including those for the Diabetes Council, Diabetes State and National Partners, etc.;
* Utilize email platforms (e.g., MailChimp) and assist with other communications activities in support of the Diabetes Council, etc.;
* In consultation with the Associate Director, manage contractual processes across assigned projects, ensuring subject matter experts and other vendors fulfill all workplan/project activities as listed in their scopes of work (SOW);
* In consultation with the Associate Director, manage budgetary processes across assigned projects, including tracking contract submissions and project\-related expenditures;
* Coordinate program planning, implementation, and evaluation/reporting across the three projects;
* Work closely with NACDD staff, subject matter experts, and other vendors, ensuring strong alignment, communication, and collaboration within and across the three projects;
* Participate in all Diabetes Portfolio\-, CAHC\-, NACDD\-, and CDC\-required meetings;
* Create timelines and ensure fulfillment of all workplan/project activities in the three projects;
* Lead all required (internal and CDC) reporting for the three projects;
* Serve as a meeting facilitator for meetings/trainings within each project including developing agendas, leading meetings in partnership with subject matter experts, preparing/sending meeting summaries, and completing follow\-up activities;
* Develop and disseminate state\-level requests for applications (RFA) to identify project partners;
* Identify opportunities for cross\-program collaboration and synergy across CAHC and NACDD programs/projects, leverage sharing of resources, and ensure alignment with NACDD's mission/vision and Strategic Plan;
* Utilize systems to measure and communicate impact of project\-related efforts;
* Collaborate with the assigned Diabetes Portfolio Program Evaluator, specific Diabetes Portfolio project evaluator, and NACDD Evaluation Department on evaluation\-related activities;
* Collaborate with NACDD’s Communication Department on communication\-related activities;
* Collaborate with other Diabetes Portfolio, CAHC, and NACDD programs and team members;
* Perform other duties, as assigned or necessary, to achieve Diabetes Portfolio, CAHC, and NACDD’s goals and objectives.
Requirements:
**MINIMUM QUALIFICATIONS (KNOWLEDGE, SKILLS, AND ABILITIES)**
* Bachelor's degree in Biology, Sociology, Public Health or other health\-related fields;
* Five (5\) to seven (7\) years of relevant experience in planning, implementing/leading, and convening chronic disease prevention and/or management or health promotion programs;
* Experience working with CDC or other federal agencies on programs related to state\-level chronic disease prevention and health promotion;
* Experience coordinating and delivering context\-specific meetings, training, and/or technical assistance;
* Experience managing work plans, particularly for grants/cooperative agreements;
* Adept at developing tools and resources; facilitating meetings, conference calls, and peer\-to\-peer learning and sharing opportunities; and giving presentations;
* Strong project management, prioritization, and planning skills, with demonstrated success producing high\-quality deliverables according to established timelines and budget:
* Excellent multitasking and problem\-solving skills with ability to analyze situations, identify existing or potential problems, and recommend solutions;
* Self\-motivated; able to work independently and to receive and incorporate feedback from others into plans;
* Strong interpersonal skills, excels in building relationships and partnerships with stakeholders, and able to work with and manage a team; ability to maintain quality customer service standards:
* Adept at facilitating meetings, conference calls, and other meetings, virtually or in\-person;
* Ability to effectively connect and communicate with other staff and consultants working on other programs/projects; ability to identify opportunities for synergy and/or collaboration;
* Ability to effectively present information to a variety of audiences and respond to questions from senior management; staff; other NACDD vendors, team members, and the Board; and internal and external partners/interest holders;
* Superior oral and written communication and organizational skills with strong attention to detail;
* Experience with grant writing and management;
* Ability to establish and maintain professional credibility and diplomacy; understands the importance of keeping current industry or subject matter expertise;
* Resilient, flexible, and innovative;
* High proficiency with Microsoft Office programs (e.g., Word, Excel, PowerPoint); ability to master other technologies and software applications;
* High proficiency in utilizing virtual meeting platforms such as Zoom or Teams, as well as project management platforms such as Smartsheet;
* Shares NACDD’s commitment to foster a respectful and supportive work environment;
* Available to travel, as needed.
**PREFERRED QUALIFICATIONS (KNOWLEDGE, SKILLS, AND ABILITIES)**
* Master’s degree in Public Health, Public Health Administration, or related field;
* Prior Association or other nonprofit experience, specifically member\-based organizations serving state public health practitioners;
* Prior work experience in a state, county, or local health department;
* Prior experience working in and/or supporting public health programs focused on diabetes prevention and/or diabetes self\-management;
* Prior experience working with tribes or tribal organizations;
* Prior experience working in communications or marketing.
**LOCATION/REMOTE**
* Must be located in one of the following states: Arizona, California, Colorado, Florida, Georgia, Illinois, Maryland, Massachusetts, Michigan, Nebraska, North Carolina, Ohio, Oklahoma, Rhode Island, South Carolina, Texas, Virginia, or Washington;
* REMOTE \- Must be available to travel, as needed.
**TRAVEL REQUIREMENTS:**
* This position may require occasional travel; up to 10%.
**SALARY RANGE:**
* $88,000 to $95,000
**ADDITIONAL REQUIREMENT**
Applicants must submit a cover letter detailing how their previous experience aligns with the requirements of this position. Of particular interest, please highlight:
* Your experience in planning, implementing, and leading chronic disease prevention or health promotion programs.
* Your experience working on programs funded by the Centers for Disease Control and Prevention (CDC) and other federal agencies.
* Your experience managing grant work plans and reporting requirements.
* Your approach and experience in coordinating multiple projects simultaneously, including strategies you use to ensure timelines and deliverables are met.
**\*Applications without a cover letter specifically addressing these details will not be considered.\***
**PHYSICAL DEMANDS AND WORK ENVIRONMENT**
The physical demands described here are representative of those that must be met by an employee to successfully perform the essential functions of this position. Reasonable accommodations may be made to enable individuals with disabilities to perform the functions.
This position is primarily performed remotely in a home\-based office environment. The role involves frequent computer use, sitting and/or standing as preferred by the employee, virtual collaboration, and participation in video and audio conferences. The employee must be able to communicate clearly, focus for extended periods, manage competing priorities, and work independently within a remote setting. Occasional travel may be required.
*NACDD is an equal opportunity employer for protected veterans and individuals with disabilities.*</t>
        </is>
      </c>
    </row>
    <row r="128">
      <c r="A128" t="inlineStr">
        <is>
          <t>in-09e862436de059c7</t>
        </is>
      </c>
      <c r="B128" t="inlineStr">
        <is>
          <t>Program Manager, Diabetes (Innovating Coverage &amp; Care)</t>
        </is>
      </c>
      <c r="C128" t="inlineStr">
        <is>
          <t>NACDD</t>
        </is>
      </c>
      <c r="D128" t="inlineStr">
        <is>
          <t>indeed</t>
        </is>
      </c>
      <c r="E128">
        <f>HYPERLINK("https://www.indeed.com/viewjob?jk=09e862436de059c7", "https://www.indeed.com/viewjob?jk=09e862436de059c7")</f>
        <v/>
      </c>
      <c r="F128">
        <f>HYPERLINK("https://recruiting.paylocity.com/recruiting/jobs/Details/3843072/NACDD/Program-Manager-Diabetes-Innovating-Coverage-Care?source=Indeed_Feed", "https://recruiting.paylocity.com/recruiting/jobs/Details/3843072/NACDD/Program-Manager-Diabetes-Innovating-Coverage-Care?source=Indeed_Feed")</f>
        <v/>
      </c>
      <c r="G128" t="inlineStr">
        <is>
          <t>Atlanta, GA, US</t>
        </is>
      </c>
      <c r="H128" s="3" t="n">
        <v>46041</v>
      </c>
      <c r="I128" t="inlineStr">
        <is>
          <t>Description:
**ABOUT NACDD**
The National Association of Chronic Disease Directors (NACDD) is a member\-based Association that improves the health of the public by strengthening state\-based leadership and expertise for chronic disease prevention and management. NACDD’s core membership is composed of the 59 State and Territorial Health Department Chronic Disease Directors and their staff who protect the health of the public through primary and secondary prevention efforts and work upstream on root causes of chronic conditions. In addition, NACDD unites 7,000 chronic disease professionals across the United States working in state, tribal, and territorial health departments; nonprofits; academia; and the private industry to promote health and reduce the burden of chronic disease. As a national, nonprofit, professional Association, we advocate, educate, and provide technical assistance to inform programming and grow chronic disease prevention knowledge, leadership, and capacity.
**NACDD EMPLOYEE TOTAL REWARDS AND BENEFIT OPTIONS:**
\*Flexible work hours \*Remote working options \*Paid holidays \*Medical insurance \*Dental insurance \*Vision insurance \*Flexible spending account (FSA) \*Professional development \*Career growth opportunities \*Paid time off (PTO) \*Paid sick leave \*Paid volunteer time \*401(k) with employer match \*Employee assistance program (EAP) \*Long\-term disability \*Basic life/AD\&amp;D \*Critical illness coverage \*Accident coverage \*Short\-term disability \*Home office supply support \*Wellness activities \*Employee recognition program \*Employee engagement committees
**POSITION SUMMARY**
The National Association of Chronic Disease Directors (NACDD) is seeking a highly motivated and experienced individual to join our organization as a Program Manager, Diabetes – Innovating Coverage \&amp; Care within the Center for Advancing Healthy Communities (CAHC) to manage four (4\) Centers for Disease Control and Prevention (CDC)\-funded projects. The four (4\) projects include: 1\) National Diabetes Prevention Program (National DPP) – Building Capacity to Promote Health Equity Through Coverage; 2\) National DPP – Building Capacity for Employer Coverage; 3\) Addressing Prediabetes/Diabetes and Social Needs Through Community Care Hubs; and 4\) Expanding Access and Capabilities of National DPP Umbrella Hub Arrangements.
Under the direction of the Associate Director of the Diabetes Portfolio, this position will guide planning and implementation of project\-related activities, coordinate project teams, develop and sustain relationships with partners, and manage day\-to\-day operations across all projects. The Program Manager will collaborate with the project team, comprised of NACDD staff, subject matter experts, and other vendors. This position may also support future Diabetes Portfolio projects. **\*This position is grant\-funded, with funding secured through July 31, 2026\. Continuation of the position beyond this date is contingent upon the availability of continued grant funding, which the organization is committed to actively pursuing.**
**Applications without a cover letter will not be considered.**
**ESSENTIAL DUTIES AND RESPONSIBILITIES**
The essential functions include, but are not limited to the following:
* Serve as the project facilitator and project manager for the four projects;
* Lead and develop presentations and meeting collateral for the Diabetes Council, as requested;
* Manage all Diabetes Portfolio listservs, including those for the Diabetes Council, Diabetes State and National Partners, etc.;
* Utilize email platforms (e.g., MailChimp) and assist with other communications activities in support of the Diabetes Council, etc.;
* In consultation with the Associate Director, manage contractual processes across assigned projects, ensuring subject matter experts and other vendors fulfill all workplan/project activities as listed in their scopes of work (SOW);
* In consultation with the Associate Director, manage budgetary processes across assigned projects, including tracking contract submissions and project\-related expenditures;
* Coordinate program planning, implementation, and evaluation/reporting across the four projects;
* Work closely with NACDD staff, subject matter experts, and other vendors, ensuring strong alignment, communication, and collaboration within and across the four projects;
* Participate in all Diabetes Portfolio\-, CAHC\-, NACDD\-, and CDC\-required meetings;
* Create timelines and ensure fulfillment of all workplan/project activities in the four projects;
* Lead all required (internal and CDC) reporting for the four projects;
* Serve as a meeting facilitator for meetings/trainings within each project including developing agendas, leading meetings in partnership with subject matter experts, preparing/sending meeting summaries, and completing follow\-up activities;
* Develop and disseminate state\-level requests for applications (RFA) to identify project partners;
* Identify opportunities for cross\-program collaboration and synergy across CAHC and NACDD programs/projects, leverage sharing of resources, and ensure alignment with NACDD's mission/vision and Strategic Plan;
* Utilize systems to measure and communicate impact of project\-related efforts;
* Collaborate with the assigned Diabetes Portfolio Program Evaluator, specific Diabetes Portfolio project evaluator, and NACDD Evaluation Department on evaluation\-related activities;
* Collaborate with NACDD’s Communication Department on communication\-related activities;
* Collaborate with other Diabetes Portfolio, CAHC, and NACDD programs and team members; and
* Perform other duties, as assigned or necessary, to achieve Diabetes Portfolio, CAHC, and NACDD’s goals and objectives.
Requirements:
**MINIMUM QUALIFICATIONS (KNOWLEDGE, SKILLS, AND ABILITIES)**
* Bachelor's degree in Biology, Sociology, Public Health or other health\-related fields;
* Five (5\) to seven (7\) years of relevant experience in planning, implementing/leading, and convening chronic disease prevention and/or management or health promotion programs;
* Experience working with CDC or other federal agencies on programs related to state\-level chronic disease prevention and health promotion;
* Experience coordinating and delivering context\-specific meetings, training, and/or technical assistance;
* Experience managing work plans, particularly for grants/cooperative agreements;
* Adept at developing tools and resources; facilitating meetings, conference calls, and peer\-to\-peer learning and sharing opportunities; and giving presentations;
* Strong project management, prioritization, and planning skills, with demonstrated success producing high\-quality deliverables according to established timelines and budget:
* Excellent multitasking and problem\-solving skills with ability to analyze situations, identify existing or potential problems, and recommend solutions;
* Self\-motivated; able to work independently and to receive and incorporate feedback from others into plans;
* Strong interpersonal skills, excels in building relationships and partnerships with stakeholders, and able to work with and manage a team; ability to maintain quality customer service standards:
* Adept at facilitating meetings, conference calls, and other meetings, virtually or in\-person;
* Ability to effectively connect and communicate with other staff and consultants working on other programs/projects; ability to identify opportunities for synergy and/or collaboration;
* Ability to effectively present information to a variety of audiences and respond to questions from senior management; staff; other NACDD vendors, team members, and the Board; and internal and external partners/interest holders;
* Superior oral and written communication and organizational skills with strong attention to detail;
* Experience with grant writing and management;
* Ability to establish and maintain professional credibility and diplomacy; understands the importance of keeping current industry or subject matter expertise;
* Resilient, flexible, and innovative;
* High proficiency with Microsoft Office programs (e.g., Word, Excel, PowerPoint); ability to master other technologies and software applications;
* High proficiency in utilizing virtual meeting platforms such as Zoom or Teams, as well as project management platforms such as Smartsheet;
* Shares NACDD’s commitment to foster a respectful and supportive work environment;
* Available to travel, as needed.
**PREFERRED QUALIFICATIONS (KNOWLEDGE, SKILLS, AND ABILITIES)**
* Master’s degree in Public Health, Public Health Administration, or related field;
* Prior Association or other nonprofit experience, specifically member\-based organizations serving state public health practitioners;
* Prior work experience in a state, county, or local health department;
* Prior experience working in and/or supporting public health programs focused on diabetes prevention and/or diabetes self\-management;
* Prior experience working with employers or community\-based organizations.
* Prior experience working with public health systems and leveraging systems\-level thinking.
**LOCATION/REMOTE**
* Must be located in one of the following states: Arizona, California, Colorado, Florida, Georgia, Illinois, Maryland, Massachusetts, Michigan, Nebraska, North Carolina, Ohio, Oklahoma, Rhode Island, South Carolina, Texas, Virginia, or Washington;
* REMOTE \- Must be available to travel, as needed.
**TRAVEL REQUIREMENTS:**
* This position may require occasional travel; up to 10%.
**SALARY RANGE:**
* $88,000 to $95,000
**ADDITIONAL REQUIREMENT**
Applicants must submit a cover letter detailing how their previous experience aligns with the requirements of this position. Of particular interest, please highlight:
* Your experience in planning, implementing, and leading chronic disease prevention or health promotion programs.
* Your experience working on programs funded by the Centers for Disease Control and Prevention (CDC) and other federal agencies.
* Your experience managing grant work plans and reporting requirements.
* Your approach and experience in coordinating multiple projects simultaneously, including strategies you use to ensure timelines and deliverables are met.
**Applications without a cover letter specifically addressing these details will not be considered.**
**PHYSICAL DEMANDS AND WORK ENVIRONMENT**
The physical demands described here are representative of those that must be met by an employee to successfully perform the essential functions of this position. Reasonable accommodations may be made to enable individuals with disabilities to perform the functions.
This position is primarily performed remotely in a home\-based office environment. The role involves frequent computer use, sitting and/or standing as preferred by the employee, virtual collaboration, and participation in video and audio conferences. The employee must be able to communicate clearly, focus for extended periods, manage competing priorities, and work independently within a remote setting. Occasional travel may be required.
*NACDD is an equal opportunity employer for protected veterans and individuals with disabilities.*</t>
        </is>
      </c>
    </row>
    <row r="129">
      <c r="A129" t="inlineStr">
        <is>
          <t>in-4b3348918427b810</t>
        </is>
      </c>
      <c r="B129" t="inlineStr">
        <is>
          <t>Energy Program Manager</t>
        </is>
      </c>
      <c r="C129" t="inlineStr">
        <is>
          <t>Federal Reserve Bank of Dallas</t>
        </is>
      </c>
      <c r="D129" t="inlineStr">
        <is>
          <t>indeed</t>
        </is>
      </c>
      <c r="E129">
        <f>HYPERLINK("https://www.indeed.com/viewjob?jk=4b3348918427b810", "https://www.indeed.com/viewjob?jk=4b3348918427b810")</f>
        <v/>
      </c>
      <c r="F129">
        <f>HYPERLINK("https://rb.wd5.myworkdayjobs.com/en-US/FRS/job/Dallas-TX/Energy-Program-Manager_R-0000031136", "https://rb.wd5.myworkdayjobs.com/en-US/FRS/job/Dallas-TX/Energy-Program-Manager_R-0000031136")</f>
        <v/>
      </c>
      <c r="G129" t="inlineStr">
        <is>
          <t>Dallas, TX, US</t>
        </is>
      </c>
      <c r="H129" s="3" t="n">
        <v>46041</v>
      </c>
      <c r="I129" t="inlineStr">
        <is>
          <t>Company
Federal Reserve Bank of Dallas
We are dedicated to serving the public by promoting a strong financial system and a healthy economy for all. These efforts take a team of dedicated individuals doing many different jobs. Together we’re creating a workplace where talented people can thrive, and we welcome your unique background and perspective to help present the best possible solutions for our partners.  
The Dallas Fed is a leading source of information and analysis on energy markets and the energy industry for not only the Federal Reserve System, but policy makers and the general public. The Energy Program Manager will play a critical role in enhancing the Dallas Fed’s development of new insights at the intersection of energy and the economy.
The Energy Program Manager will support the implementation of the Dallas Fed’s Energy Initiative, a cross\-functional effort to advance stakeholder engagement and raise the profile of our thought leadership in energy. You will organize and facilitate energy\-focused events hosted by the Dallas Fed, deliver public speeches and presentations on energy topics, and develop relationships with leaders in industry, government, and nonprofit organizations to enhance our understanding and public awareness of topics in energy.
The Energy Program Manager reports to the Assistant Vice President for Energy Programs and serves as a member of the Community Engagement and Development team. The position can be based in Dallas or Houston, though you will work in collaboration with peers throughout the Dallas Fed’s four district offices.
The Federal Reserve Bank of Dallas has a 100% in\-office work policy. Travel of up to 20% is expected.
You Will:* Work closely with leadership and peers in Community Engagement and Development, Research, Banking Supervision and other departments, as well as outside partners and institutions, to organize and execute frequent seminars, conferences, roundtable and panel discussions, and other outreach activities.
* Actively seek out and build relationships with a wide range of energy stakeholders in oil and gas, power generation, financial institutions, renewable energy, policymaking, and nonprofit organizations.
* Contribute analysis on anecdotal information, engagement events, and data on the energy sector for internal and external reports and briefings.
* Deliver public speeches and presentations to a wide spectrum of audiences on the energy and economic analysis developed by Dallas Fed staff.
* Provide strategic vision and project management for outreach initiatives, programs, and priorities to enhance audience engagement, stakeholder management, and partner building.
* Provide superior communication to senior leadership on energy sector issues through briefings and presentations.
* Demonstrate community leadership, positioning the Bank as a leading citizen in the regions we serve.
You Have:* Bachelor’s degree in business, economics, public policy, public relations/public affairs, or a related discipline. Master’s degree in one of these subjects preferred.
* 7\-10 years’ professional experience with working knowledge of timely issues in energy economics, markets, and policy. Experience at an energy company, trade association, consulting firm, government agency or financial institution strongly preferred.
* Strong organizational and project management capabilities with the ability to manage concurrent projects, to plan and prioritize, and to work collaboratively with a team to meet deadlines.
* Exceptional professional network across the energy sector.
* Proven experience building partnerships and developing positive, collaborative rapport across a broad range of stakeholders and competing interests.
* The ability to effectively convene stakeholders to increase awareness of the Federal Reserve’s mission and gather information to support policymaking and strategic planning.
* Proficient knowledge of project management tracking tools and productivity suites, as well as Microsoft Excel, Word, and PowerPoint.
Our Benefits:
Our total rewards program offers benefits that are the best fit for you at every stage of your career:* Comprehensive healthcare options (Medical, Dental, and Vision)
* 401K match, and a fully funded pension plan
* Paid vacation, holidays, and volunteer hours; flexible work environment
* Generously subsidized public transportation and free parking
* Annual tuition reimbursement
* Professional development programs, training and conferences
* *And more…*
Notes:
Applicants must be eligible to work in the U.S and the role is not available for sponsorship.*The Federal Reserve Bank of Dallas is proud to be an Equal Opportunity Employer that believes in the diversity of our people, ideas and experiences, and we are committed to building an inclusive culture that represents the communities we serve.**If you need assistance or an accommodation due to a disability, please notify your Talent Acquisition Consultant.*
Full Time / Part Time
Full time
Regular / Temporary
Regular
Job Exempt (Yes / No)
Yes
Job Category
Project/Product Management Family Group
Work Shift
First (United States of America)*The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row>
    <row r="130">
      <c r="A130" t="inlineStr">
        <is>
          <t>in-f105df09fb74ae0a</t>
        </is>
      </c>
      <c r="B130" t="inlineStr">
        <is>
          <t>Capital Execution Program Manager</t>
        </is>
      </c>
      <c r="C130" t="inlineStr">
        <is>
          <t>Momentive Performance Materials</t>
        </is>
      </c>
      <c r="D130" t="inlineStr">
        <is>
          <t>indeed</t>
        </is>
      </c>
      <c r="E130">
        <f>HYPERLINK("https://www.indeed.com/viewjob?jk=f105df09fb74ae0a", "https://www.indeed.com/viewjob?jk=f105df09fb74ae0a")</f>
        <v/>
      </c>
      <c r="F130">
        <f>HYPERLINK("https://momentive.wd1.myworkdayjobs.com/en-US/MC/job/US-NY-Waterford/Capital-Execution-Program-Manager_R9052", "https://momentive.wd1.myworkdayjobs.com/en-US/MC/job/US-NY-Waterford/Capital-Execution-Program-Manager_R9052")</f>
        <v/>
      </c>
      <c r="G130" t="inlineStr">
        <is>
          <t>Waterford, NY, US</t>
        </is>
      </c>
      <c r="H130" s="3" t="n">
        <v>46041</v>
      </c>
      <c r="I130" t="inlineStr">
        <is>
          <t>Job Title:
Capital Execution Program Manager
Summary:
The Capital Execution (CapEx) Program Manager leads the Waterford Site’s capital investment portfolio, overseeing project scoping, funding, and execution to support safe, reliable operations. This role manages a team of project engineers and partners closely with Engineering, Operations, and Environmental Health and Safety (EHS) departments to deliver annual site capital investment goals. The CapEx Program Manager reports to the Senior Site Strategic Projects Manager and ensures strong communication, collaboration, and risk management across the site.  
Please note that this role requires on\-site presence five days per week, Monday through Friday  
Relocation benefits are available
Responsibilities Include:* Lead development and safe execution of Waterford Capital Investment Project Portfolio and annual budget. Specific job duties include:
	+ Support Process Engineering with project scoping and business justification.
	+ Securing Capital funding and approval of projects/appropriation requests.
	+ Development and management of the annual site capital investment budget and group resourcing/staffing needs.
	+ Oversight of Capital Investment Program project performance and execution.
	+ Monitor and report, communication, and collaboration with WTFD site for new and future projects.
* Daily direct management of the capital project group (\~5\-7 direct reports) including oversight, staffing, development, coaching, etc.
* Collaborate regularly internally at the site and global level stakeholders and with the outside contractors/vendor base to maintain and execute the Capital Investment Program.
* Drive prompt and regular communication across the Waterford site.
* Actively manages Capital Investment program risks to support stable production activities of the Waterford Site.
* Role\-models and drives a safety first and strong EHS and sustainability culture.
* Performs above mentioned responsibilities safely, ethically, and in compliance with all federal and state regulations
Qualifications:
The following are *required* for the role* Bachelor’s in Engineering, Finance/Business, Science, or related field
* At least 10 years of Technical or Operations Professional Experience
	+ Minimum of 3 years leading or driving projects forward successfully.
	+ At least 3 years of work experience within a chemical processing, manufacturing facility, or oil \&amp; gas industries.
* Motivates and drives continuous improvement.
* Exhibits strong personal EHS behaviors and leadership.
* Demonstrated performance to work in ways that overcomes obstacles and adapts approach to achieve results.
* Develops sound decisions and direction with imperfect data and is comfortable with uncertainty and ambiguity.
* Proficient written, verbal, and presentation skills.
* Be able to work on site daily.
The following are *preferred* for the role* Project Management Professional (PMP) Certification
* Motivates and sets expectations for their team or direct reports
* Experience in developing technical programs and project tools from inception, design and engineering, procurement, construction, and commissioning in an operating plant.
* Experience with project or program risk management tool and processes.
* Experience with manufacturing operational business processes/costing.
* Experience with development of project justification.
\#AW\-LI1
What We Offer:
Base Pay Range: $122,500 \- $179,300*The* *actua**l**salary* *offered* *i**s determined* *by* *factors including but not limited to education, experience, skill* *set**s, and geography.* *Local geographic pay differentials may not be reflected in the above pay range* *and will be discussed with you by a* *member of the HR team* *when* *applicable**.**If you are interested in this position,* *we’d* *ask that you apply**!* *\#BePartoftheSolution**Additionally, this role* *is* *eligible for incentive or sales variable compensation payments. The amount of these incentives is based on the terms of the Company's incentive plans, the Company's financial performance, and/or individual employee job performance.*
At Momentive, compensation is one part of your overall package. We offer a fantastic variety of total rewards and development programs to support your unique needs for overall well\-being and personal career aspirations.* Health, dental \&amp; vision insurance, including critical illness coverage and optional orthodontia coverage.
* Paid parental leave for the birth of a child; adoption and surrogacy reimbursement.
* Short term disability with 100% base salary coverage.
* Company funded counseling (EAP) and assistance finding care for children, parents, or pets.
* 25 days of Paid Time Off (PTO) plus paid holidays. Additional time off with years of service.
* 401k savings plan with 5% employer match plus additional contribution based on years of service.
* Student debt pay\-off program.
* Professional development programs and courses.
* Wellness programs and financial education.
Refer to the Hiring Process tab on our Careers page for a detailed description on the physical job requirements.
About Us:
Momentive is a premier global advanced materials company with a cutting\-edge focus on silicones and specialty products. We deliver solutions designed to help propel our customer’s products forward—products that have a profound impact on all aspects of life, around the clock and from living rooms to outer space. With every innovation, Momentive creates a more sustainable future. Our vast product portfolio is made up of advanced silicones and specialty solutions that play an essential role in driving performance across a multitude of industries, including agriculture, automotive, aerospace, electronics, energy, healthcare, personal care, consumer products, building and construction, and more.  
Momentive believes a diverse workforce empowers our people, strengthens our business, and contributes to a sustainable world. We are proud to be an equal opportunity employer. Qualified applicants will receive consideration for employment without regard to race, color, religion, sex, sexual orientation, gender identity, national origin, disability, status as a protected veteran, or any characteristic protected by law.  
To be considered for this position candidates are required to submit an application for employment and be of legal working age as defined by local law. An offer may be conditioned upon the successful completion of pre\-employment conditions, as applicable, and subject to applicable laws and regulations.  
Note to third parties: Momentive is not seeking or accepting any unsolicited assistance from search and selection firms or employment agencies at this time.</t>
        </is>
      </c>
    </row>
    <row r="131">
      <c r="A131" t="inlineStr">
        <is>
          <t>in-20ea2f33beb48b64</t>
        </is>
      </c>
      <c r="B131" t="inlineStr">
        <is>
          <t>Electrical Program Manager</t>
        </is>
      </c>
      <c r="C131" t="inlineStr">
        <is>
          <t>JLL</t>
        </is>
      </c>
      <c r="D131" t="inlineStr">
        <is>
          <t>indeed</t>
        </is>
      </c>
      <c r="E131">
        <f>HYPERLINK("https://www.indeed.com/viewjob?jk=20ea2f33beb48b64", "https://www.indeed.com/viewjob?jk=20ea2f33beb48b64")</f>
        <v/>
      </c>
      <c r="F131">
        <f>HYPERLINK("https://click.appcast.io/t/mqMJgnH5tvw2GkWYL-HeJF6t4WkBnWCU2KdVq5XL6KE=", "https://click.appcast.io/t/mqMJgnH5tvw2GkWYL-HeJF6t4WkBnWCU2KdVq5XL6KE=")</f>
        <v/>
      </c>
      <c r="G131" t="inlineStr">
        <is>
          <t>Mountain View, CA, US</t>
        </is>
      </c>
      <c r="H131" s="3" t="n">
        <v>46041</v>
      </c>
      <c r="I131" t="inlineStr">
        <is>
          <t>**JLL empowers you to shape a brighter way**.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**What this job involves:**The Electrical Program Manager is responsible for the planning, execution, and closeout of electrical projects. This includes developing project plans, managing budgets and schedules, and ensuring that projects are completed on time, within budget, and to the required quality standards. The Electrical Program Manager also works with a variety of stakeholders, including engineers, architects, contractors, and clients, to ensure that projects are completed successfully.
**What your day\-to\-day will look like:**
* Develop and manage project plans, budgets, and schedules
* Manage and direct a team of electrical engineers and technicians
* Work with a variety of stakeholders to ensure that projects are completed successfully
* Ensure that projects are completed on time, within budget, and to the required quality standards
* Conduct post\-project reviews to identify areas for improvement
* Stay up\-to\-date on the latest electrical technologies and trends
* Other duties assigned by leadership.
**Required Qualifications:**
* Bachelor's degree in electrical engineering or a related field
* 5\+ years of experience in electrical project management
* Strong leadership and interpersonal skills
* Excellent written and verbal communication skills
* Ability to work independently and as part of a team
* Ability to work under pressure and meet deadlines
* Strong problem\-solving and analytical skills
* Experience working with generator and UPS systems
* Understanding of load monitoring
This position does not provide visa sponsorship. Candidates must be authorized to work in the United States without employer sponsorship.
**Estimated compensation for this position:**
105,400\.00 – 138,560\.00 USD per year*This range is an estimate and actual compensation may differ. Final compensation packages are determined by various considerations including but not limited to candidate qualifications, location, market conditions, and internal considerations.*
**Location:**
On\-site –Mountain View, CA**Job Tags:**
Google Jobs
If this job description resonates with you, we encourage you to apply, even if you don’t meet all the requirements.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Some of these benefits may include:
* 401(k) plan with matching company contributions
* Comprehensive Medical, Dental \&amp; Vision Care
* Paid parental leave at 100% of salary
* Paid Time Off and Company Holidays
* Early access to earned wages through Daily Pay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policy 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 Contact Us page \&gt; I want to work for JLL.
Pursuant to the Arizona Civil Rights Act, criminal convictions are not an absolute bar to employment.
Pursuant to Illinois Law, applicants are not obligated to disclose sealed or expunged records of conviction or arrest.
Pursuant to Columbia, SC ordinance, this position is subject to a background check for any convictions directly related to its duties and responsibilities. Only job\-related convictions will be considered and will not automatically disqualify the candidate.
**California Residents only**
If you are a California resident as defined in the California Consumer Privacy Act (CCPA) please view our Supplemental Privacy Statement which describes your rights and disclosures about your personal information. If you are viewing this on a mobile device you may want to view the CCPA version on a larger device.
Pursuant to the Los Angeles Fair Chance Initiative for Hiring Ordinance, JLL will consider for employment all qualified Applicants, including those with Criminal Histories, in a manner consistent with the requirements of applicable state and local laws, including the City of Los Angeles’ Fair Chance Initiative for Hiring Ordinance.
Pursuant to the San Francisco Fair Chance Ordinance, we will consider for employment qualified applicants with arrest and conviction records.
Accepting applications on an ongoing basis until candidate identified.</t>
        </is>
      </c>
    </row>
    <row r="132">
      <c r="A132" t="inlineStr">
        <is>
          <t>in-c6d17b37f664acda</t>
        </is>
      </c>
      <c r="B132" t="inlineStr">
        <is>
          <t>Associate/Vice President Client Tech Platform - Program Manager/Project Manager</t>
        </is>
      </c>
      <c r="C132" t="inlineStr">
        <is>
          <t>BlackRock</t>
        </is>
      </c>
      <c r="D132" t="inlineStr">
        <is>
          <t>indeed</t>
        </is>
      </c>
      <c r="E132">
        <f>HYPERLINK("https://www.indeed.com/viewjob?jk=c6d17b37f664acda", "https://www.indeed.com/viewjob?jk=c6d17b37f664acda")</f>
        <v/>
      </c>
      <c r="F132">
        <f>HYPERLINK("https://careers.blackrock.com/job/new-york/associate-vice-president-client-tech-platform-program-manager-project-manager/45831/90800902720", "https://careers.blackrock.com/job/new-york/associate-vice-president-client-tech-platform-program-manager-project-manager/45831/90800902720")</f>
        <v/>
      </c>
      <c r="G132" t="inlineStr">
        <is>
          <t>New York, NY, US</t>
        </is>
      </c>
      <c r="H132" s="3" t="n">
        <v>46041</v>
      </c>
      <c r="I132" t="inlineStr">
        <is>
          <t>Location:
**New York, New York**
Additional Locations:
**San Francisco****CA**Team:
**Project Management**
Job Requisition \#: **R260155**
Date posted: **Jan. 20, 2026**
**Job description**
-------------------
**About this role**
### **About the Client Platform Team**
### **BlackRock manages its engagement with clients and colleagues across the firm through the Client Platform and the Client Platform engages our Global Product Solutions team to determine which products to offer at the right time and in the right market scenario.**
### **The Global Client Platform team, part of Global Product Solutions (GPS), is dedicated to enhancing client interactions, improving and accelerating sales through enhanced management processes and technology solutions that help BlackRock better anticipate and engage clients' needs. The team has been leading the effort of introducing a new firmwide CRM, Content Management platform, a Product Master, and Client Data system to streamline sales management. The team more broadly generates Management Reports and participates in the requirements and build of Artificial Intelligence (AI) tools. These reports and tools are meant to equip our client\-facing teams with data and insights and facilitate cross team collaboration so we deliver to clients as 1BLK.**
### **About this role**
### **BlackRock’s Client Businesses manage its engagement with clients and colleagues across the firm through a client platform. Given our growing business and rapidly evolving marketplace, our platform must be a step ahead. Incorporating data from multiple platforms and layering in AI will advance opportunities with current and potential clients and enable leadership to meet or exceed their targets. It will directly shape how BlackRock sells to and services our clients and ultimately drives our business forward.**
### **This role will be focused on driving engagement with the client businesses to manage the needs across multiple tools to accelerate sales for the firm. We are seeking a highly motivated and experienced Program Manager/Project Manager to join our dynamic team. The ideal candidate will be responsible for overseeing the planning, development, and implementation of projects while ensuring alignment with organizational goals and objectives. This role requires a strong understanding of technology, excellent project management skills, and the ability to lead cross\-functional teams.**
### **Key Responsibilities**
* Project Planning and Management: Develop detailed project plans, timelines, and budgets for initiatives. Monitor progress and make adjustments as necessary to ensure successful project completion. Ability to pivot quickly to matters requiring immediate attention and drive to completion. Develop project objectives with measurable goals, roadmaps, and execution plans.
* Team Leadership: Lead and motivate cross\-functional teams, including sales, other project managers, engineers, and communications teams, to achieve project goals.
* Stakeholder Communication: Serve as the primary point of contact for all project stakeholders. Communicate project status, risks, and issues effectively to senior management and other stakeholders. Communicate complex topics in simple ways including visualization.
* Broad Communication: Communicate product capabilities and enhancements to AI tooling across global sales teams and other users of the platform.
* Risk Management: Identify potential risks and develop mitigation strategies to minimize impact on project outcomes.
* Performance Monitoring: Track performance of the business after implementing AI tools and techniques. Report on progress and performance metrics.
* Continuous Improvement: Implement best practices and lessons learned from previous projects to improve future project outcomes.
**Qualifications**
==================
* Education: Bachelor's degree, Engineering experience is a value add.
* Experience: Minimum of 5 years of experience in project management.
* Project Management Skills: Proven experience in managing complex projects with multiple stakeholders. PMP or similar certification preferred.
* Leadership Skills: Excellent leadership and team management skills. Ability to inspire and motivate team members.
* Communication Skills: Strong verbal and written communication skills. Ability to communicate complex technical concepts to non\-technical stakeholders.
* Problem\-Solving Skills: Strong analytical and problem\-solving skills. Ability to think strategically and execute methodically.
* Technical Skills: Strong understanding of AI technologies.
* Adaptability: Ability to work in a fast\-paced and dynamic environment. Flexibility to adapt to changing priorities and requirements.
For San Francisco, CA and New York, NY Only the salary range for this position is USD$125,000\.00 \- USD$155,000\.00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BlackRock will consider for employment qualified applicants with arrest or conviction records in a manner consistent with the requirements of the law, including any applicable fair chance law.
**Job Requisition \#**
R260155</t>
        </is>
      </c>
    </row>
    <row r="133">
      <c r="A133" t="inlineStr">
        <is>
          <t>in-c2dbeda5bed039c5</t>
        </is>
      </c>
      <c r="B133" t="inlineStr">
        <is>
          <t>Lead Technical Program Manager</t>
        </is>
      </c>
      <c r="C133" t="inlineStr">
        <is>
          <t>Mastercard</t>
        </is>
      </c>
      <c r="D133" t="inlineStr">
        <is>
          <t>indeed</t>
        </is>
      </c>
      <c r="E133">
        <f>HYPERLINK("https://www.indeed.com/viewjob?jk=c2dbeda5bed039c5", "https://www.indeed.com/viewjob?jk=c2dbeda5bed039c5")</f>
        <v/>
      </c>
      <c r="F133">
        <f>HYPERLINK("https://click.appcast.io/t/8KDk0J7iyF00rE54T8o007SjQ2-WZJgT15AcRpwdoDQ=", "https://click.appcast.io/t/8KDk0J7iyF00rE54T8o007SjQ2-WZJgT15AcRpwdoDQ=")</f>
        <v/>
      </c>
      <c r="G133" t="inlineStr">
        <is>
          <t>O'Fallon, MO, US</t>
        </is>
      </c>
      <c r="H133" s="3" t="n">
        <v>46041</v>
      </c>
      <c r="I133"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Technical Program Manager
Overview  
The Business Operations (BizOps) team is seeking a Lead Technical Program Manager to serve as a strategic link between AI research, site reliability engineering teams, and business stakeholders. This role focuses on planning, execution, and delivery of complex AI initiatives to establish and scale an AI Community of Practice across the enterprise.  
The Process and Governance team within Payment Network BizOps is driving efforts to embed AI at scale, creating a foundational competitive advantage. This initiative will enable Mastercard’s internal processes, products, and services to continuously enhance value, improve consumer experiences, and optimize operational efficiency.  
Role  
Lead and accelerate a portfolio of related technology projects across multiple teams, aligning dependencies and removing blockers.  
Establish mechanisms for reporting and execution, ensuring predictable delivery for large or complex initiatives.  
Drive continuous improvement by streamlining processes and eliminating inefficiencies.  
Oversee outcomes from inception to delivery across full\-stack services or enterprise\-wide integrations.  
Act as the primary point of contact and source of truth for project status, providing accurate updates to the right audience at the right time.  
Understand business strategy and design approaches to represent team services credibly.  
Stay current with evolving technologies and evaluate designs for scalability, security, performance, and data integrity.  
Navigate ambiguity with limited guidance, initiating momentum and creating predictable delivery patterns.  
Communicate complex ideas clearly and confidently to senior leadership.  
Collaborate with external technology providers to accelerate implementation and optimize cost.  
Advocate for engineering and operations needs while ensuring alignment with organizational objectives.  
Regularly review metrics and introduce improved visibility mechanisms to keep programs on track.  
All About You  
Proven experience leading AI\-driven initiatives with strong knowledge of Business Operations and Service Management.  
Expertise in program and project management, driving cross\-functional teams to successful outcomes.  
Exceptional leadership, collaboration, and organizational skills; proactive and self\-motivated.  
Strong communication skills for engaging executives, SMEs, and vendors.  
Strategic thinker with attention to detail; adept at leveraging data and analytics for decision\-making.  
Experienced in Agile methodologies, including sprint planning and iterative delivery.  
Proficient in tools such as Confluence, Rally/JIRA, Microsoft Project, and Excel.  
Comfortable in a global, matrixed, fast\-paced environment managing multiple priorities.  
Familiarity with technical concepts like APIs, integrations, SSO, and software development lifecycles.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O'Fallon, Missouri: $122,000 \- $207,000 USD</t>
        </is>
      </c>
    </row>
    <row r="134">
      <c r="A134" t="inlineStr">
        <is>
          <t>in-37dde699bd8e7362</t>
        </is>
      </c>
      <c r="B134" t="inlineStr">
        <is>
          <t>Core Program Manager II (Los Banos)</t>
        </is>
      </c>
      <c r="C134" t="inlineStr">
        <is>
          <t>Aspiranet</t>
        </is>
      </c>
      <c r="D134" t="inlineStr">
        <is>
          <t>indeed</t>
        </is>
      </c>
      <c r="E134">
        <f>HYPERLINK("https://www.indeed.com/viewjob?jk=37dde699bd8e7362", "https://www.indeed.com/viewjob?jk=37dde699bd8e7362")</f>
        <v/>
      </c>
      <c r="F134">
        <f>HYPERLINK("https://aspiranet.gr8people.com/jobs/14497/core-program-manager-ii-los-banos?j_idx=0", "https://aspiranet.gr8people.com/jobs/14497/core-program-manager-ii-los-banos?j_idx=0")</f>
        <v/>
      </c>
      <c r="G134" t="inlineStr">
        <is>
          <t>Los Banos, CA, US</t>
        </is>
      </c>
      <c r="H134" s="3" t="n">
        <v>46041</v>
      </c>
      <c r="I134" t="inlineStr">
        <is>
          <t>**Core Program Manager II**
**Location:** Los Banos, California  
**Schedule:** Full\-Time \| Exempt  
**Department:** Behavioral Health  
**Pay Range:** $84,480\-$92,928
**✨** **Make a** **Meaningful Impact**
Aspiranet, one of California’s leading nonprofit organizations supporting children, youth, and families, is seeking a compassionate Core Program Manager II to work as part of Behavioral Health Division in Los Banos.
If you’re passionate about supporting the emotional well\-being of young people and thrive in a collaborative, mission\-driven environment, we invite you to join our team and make a lasting impact.
❤️ **About Aspiranet**
Founded in 1975, Aspiranet is a mission\-driven organization dedicated to helping families thrive. We provide a continuum of care across California through six service divisions: Foster and Adoption, Transitional Aged Youth, Residential, Intensive Home\-Based Services, Behavioral Health, and Family and Community. Every role at Aspiranet contributes to something greater: building a future where every child is loved, every family supported, and every individual equipped to succeed.
️ Position Summary
The Core Program Manager II (CPM II) is responsible for hiring, training, supervising and evaluating staff, inclusive of performance management. The CPM II is responsible for supervising other CPM I(s) and for the day to day oversight of a satellite office. The CPM II has oversight of the program(s) budget, strategic planning, program reports, and interfaces with funder partners. The CPM II is responsible for program(s) oversight, including quality assurance, program compliance, and documentation in adherence to required federal, state, funder, and Agency standards. CPM II is responsible for upholding and supervising to the Agency’s operational, financial, personnel and practice rules, policies and procedures.
**Key Responsibilities**
**Under The Direction Of The CPD**
* Oversees the day to day running of program, administrative and operational matters run out of the satellite office.
* Supervise other Core Program Manger(s) (CPM).
* Provide direction and support to administrative staff sited at the satellite office.
* Develop initial draft of core program budget and strategic plan.
* Manage core program to operational, contractual, and budgetary and practice standards.
* Manage Core Program to The Joint Commission and agency safety, practice and policy standards.
* Manage the implementation of the agency’s Best Practice and Quality Assurance efforts including compliance to data tracking systems and program specific outcome measurements.
* Operate program within budgetary limits by completing required financial reporting in a timely and comprehensive manner.
**Administrative**
* Prepare and submit reports to funders/partners as per program and Agency requirements.
* Be prepared for and attend regular supervision with CPD,
* Serve as liaison with clients, partners, staff, funders and communities entities (or other constituencies), for the program s/he manages.
* Under the direction of the CPD, recruit, hire, orient, supervise, and evaluate program staff.
* In programs with a volunteer focus, the CPDII will assist in the recruitment, onboarding, training, matching, supervision and administrative functions of volunteers in alignment with program and funder expectations.
* In consultation with the CPD, complete performance management actions, inclusive of termination, as necessary.
* Provide on\-going coordination and oversight of all program services, requirements, and duties, as preformed by supervisees.
* Conduct and document regular individual supervision with supervisees, as per program requirements.
* Monitor the quality and timely submission of required case/service documentation.
* Provide support and intervention to supervisees when needed.
* If required by program design, provide back\-up on\-call support to designated on\-call program staff.
* If required by program design or in the absence of assigned direct care worker, provide direct service as per program guidelines.
* Participate in and conduct program related trainings.
* Educate staff on Agency, regulatory and funder requirements and monitor compliance by staff and partners.
* Complete administrative functions (time sheet, mileage, time off requests, credit card submissions, other expense reimbursements, and weekly schedule, etc.) on time and in accordance with agency policy. Oversee the timely and accurate administrative functions for those supervising.
**Documentation \&amp; Communication**
* Accurately report incidents, grievances, complaints, issues and concerns and the related documentation to the CPD in a timely manner.
* Demonstrate sensitivity and responsiveness to cultural differences.
* Represent self and Agency in a professional manner and abide by the Agency’s Professional Code of Ethics.
* Maintain appropriate professional boundaries with staff, clients, community partner and other constituencies.
* Preform additional duties as assigned by and in support of the CPD.
* Participate in group supervision, staff meetings and special events, as required.
* Maintain client and case confidentiality per Agency, funder, state and federal requirements.
* Prepare and conduct timely, accurate evaluations of employees under his/her supervision.
✅ **Qualifications**
**Minimum Requirements:**
* Master’s degree in a related field and a minimum of one year prior management experience
* A minimum of two years experience working in a related field / setting (community based, social services, behavioral health, school based or residential setting).
* Meets all state\-required employment conditions, including:
	+ DOJ fingerprint and Child Abuse Index clearance
	+ TB/Health physical
	+ Valid CA Driver’s License, acceptable driving record, and proof of insurance
Knowledge, Skills, and Abilities
* Proficiency in English (reading, writing, speaking, and comprehension).
* Ability to work independently while seeking guidance when necessary.
* Strong writing and documentation skills.
* Proficiency with Microsoft Word and standard office software.
* Excellent time management, multitasking, and organizational abilities.
* Ability to establish and maintain professional boundaries with clients and staff.
**Work Environment \&amp; Schedule**
* In office position, based in Los Banos
* Will need to attend trainings or meetings in the Merced office, occasionally
* Schedule is Monday\-Friday Day Shift
❤️ **Why Aspiranet?**
* Competitive compensation, comprehensive benefits package, and a 403(b) retirement plan with employer matching.
* Access to the free Aspiranet Employee Perks Program. Enjoy exclusive discounts on entertainment, travel, wellness, pet care, gym memberships, theme parks, and more
* Flexible paid time off including 11 paid holidays, 10 vacation days, 10 sick leave days, two diversity days, and paid birthday time off.
* Access to our employee assistance program including 24/7 crisis line; up to 6 counseling sessions per issue.
* Training opportunities are available to support your ongoing development and career aspirations.
* Collaborate in a supportive, inclusive, and mission\-aligned culture.
* Opportunity to lead meaningful initiatives that support employee wellbeing.
️**Physical Demands**
The physical demands and work environment characteristics described here are representative of those an employee encounters while performing the essential functions of this job. In accordance with the Americans with Disabilities Act (ADA), reasonable accommodations may be made to enable qualified individuals with disabilities to perform these essential functions.
This position typically operates in a standard office environment. The noise level is generally quiet and remains within OSHA’s established safety levels at all times.
* ️ **Equal Employment Opportunity**
Aspiranet is an equal opportunity employer that recognizes the value of diversity. We believe a diverse workforce within a culture of Inclusion, Diversity, Equity, and Access (IDEA) increases creativity, innovation, problem\-solving, and teamwork for the youth and families that we serve and the organization as a whole. Aspiranet strives to provide our employees with a workplace that is welcoming, inclusive of differing world views, cultures, and lived experiences.
 **How to Apply**
Join us in building brighter futures.
Apply today through our career portal:
✨ **Click here to apply:** **www.aspiranet.org/careers**
✨ Pro Tip: Once you’re in the portal, be sure to create an account to get started on your application! It’s quick, easy, and the first step to making a difference.
Pay Rate: $85,000\.00 \- $92,000\.00 Annually</t>
        </is>
      </c>
    </row>
    <row r="135">
      <c r="A135" t="inlineStr">
        <is>
          <t>in-e2465ec88bc85a25</t>
        </is>
      </c>
      <c r="B135" t="inlineStr">
        <is>
          <t>Senior Program Manager</t>
        </is>
      </c>
      <c r="C135" t="inlineStr">
        <is>
          <t>QuidelOrtho Corporation</t>
        </is>
      </c>
      <c r="D135" t="inlineStr">
        <is>
          <t>indeed</t>
        </is>
      </c>
      <c r="E135">
        <f>HYPERLINK("https://www.indeed.com/viewjob?jk=e2465ec88bc85a25", "https://www.indeed.com/viewjob?jk=e2465ec88bc85a25")</f>
        <v/>
      </c>
      <c r="F135">
        <f>HYPERLINK("https://orthoclinical.wd1.myworkdayjobs.com/en-US/Search/job/US---NY---Rochester/Senior-Program-Manager_R0016074", "https://orthoclinical.wd1.myworkdayjobs.com/en-US/Search/job/US---NY---Rochester/Senior-Program-Manager_R0016074")</f>
        <v/>
      </c>
      <c r="G135" t="inlineStr">
        <is>
          <t>Rochester, NY, US</t>
        </is>
      </c>
      <c r="H135" s="3" t="n">
        <v>46041</v>
      </c>
      <c r="I135" t="inlineStr">
        <is>
          <t>**The Opportunity**
-------------------
QuidelOrtho unites the strengths of Quidel Corporation and Ortho Clinical Diagnostics, creating a world\-leading in vitro diagnostics company with award\-winning expertise in immunoassay and molecular testing, clinical chemistry and transfusion medicine. We are more than 6,000 strong and do business in over 130 countries, providing answers with fast, accurate and consistent testing where and when they are needed most – home to hospital, lab to clinic.
Our culture puts our team members first and prioritizes actions that support happiness, inspiration and engagement. We strive to build meaningful connections with each other as we believe that employee happiness and business success are linked. Join us in our mission to transform the power of diagnostics into a healthier future for all.
**The Role**
At QuidelOrtho, we’re advancing the power of diagnostics for a healthier future for all. Join our mission as our next Senior Program Manager. The Senior Program Manager is responsible for managing complex programs and projects that span multiple functions within the medical diagnostics portfolio. This role drives execution ensures alignment with business priorities and delivers high\-impact results in a regulated environment. The Senior Program Manager leads cross\-functional teams through influence and subject matter expertise.
This position will be located in Rochester, NY onsite.
**The Responsibilities**
* Leads the planning, execution, and delivery of medium to large\-scale, complex programs, ensuring scope, schedule, and budget adherence.
* Coordinates efforts across R\&amp;D, Regulatory, Clinical Affairs, Quality, Operations, Finance \&amp; Marketing to ensure program success.
* Develops detailed project plans, timelines, and resource allocations.
* Monitors progress and proactively address issues and risks.
* Facilitates regular communication with internal stakeholders, providing updates, resolving conflicts, and ensuring alignment.
* Ensures all program activities comply with relevant regulatory standards (e.g., FDA, ISO, etc.). Maintains accurate documentation and audit readiness.
* Translates business strategy into actionable program plans.
* Develops roadmaps, defines milestones, and manages interdependence across functions including R\&amp;D, Regulatory, Clinical Affairs, Quality, Operations, Finance, and Marketing.
* Serves as the primary liaison between executive leadership and program teams. Facilitates communication, manages expectations, and ensures transparency across all levels of the organization.
* Identifies potential risks and implements mitigation strategies. Leads change management efforts to ensure successful adoption of program outcomes.
* Establishes program governance structures. Provides regular updates to senior leadership, including dashboards, KPIs, and executive summaries.
* Champions best practices in program management. Drives process improvements and contributes to the evolution of the business portfolio.
* Perform other work\-related duties as assigned.
**The Individual**
Required:
* This position is not currently eligible for visa sponsorship.
* Bachelor’s degree in engineering, Life Sciences, Business, or related
field; advanced degree preferred.
* PMP, PgMP or similar certification required.
* 10\+ years of experience in program/project management, preferably in medical devices, diagnostics, biotech, or healthcare technology.
* Proficiency in project management tools (e.g., MS Project, Smartsheet, Jira).
* Proven track record of leading extraordinarily complex programs with cross\-functional teams in a regulated environment (e.g., FDA, ISO, etc.).
* Strong business acumen, highly analytical, and strategic thinking.
* Exceptional communication (verbal \&amp; written), negotiation, and influencing skills.
* Ability to summarize complex project and technical subject matter into concise oral and written communications to Executive
* Management and C\-Suite Leadership.
* Knowledge of timeline and budget management, manufacturing design transfer, Risk Management \&amp; Design Control.
* General knowledge of R\&amp;D, Regulatory, Clinical Affairs, Quality and
* Operations activities as they relate to the development of a medical device or product.
* Demonstrates the ability to lead the program team from inception to product launch using corporate design control processes and procedures. Is able to tailor the design control processes \&amp; procedures to fit the specific project needs and circumstances.
* Ability to work cohesively with multi\-disciplinary scientific working groups.
* Must be able to lead, manage, and communicate action items and results from and in meetings in a logical fashion.
* Excellent prioritization, organization, and the ability to multitask.
* Develop project execution strategy with the ability to independently manage ambiguity.
* Experience in QSR (Quality System Regulations) and ISO medical device standards as well as a working knowledge of current FDA, IVDD, and other regulations.
* Recognized as a subject matter expert coupled with broad and deep knowledge of program management practices.
* Works independently with minimal guidance; influences across functions and levels.
* Leads initiatives with significant business impact.
* Solves complex problems requiring innovative thinking and cross\-functional collaboration.
**The Key Working Relationships**
**Internal Partners:**
* Finance on budgeting and resource planning.
* Clinical Affairs for project deliverables.
* Quality Assurance for project activities, design transfer and risk management.
* Senior Management on project reporting and planning.
* Interacts with Marketing on project deliverables.
* Regulatory and Clinical Affairs on project deliverables and planning.
* Operations and R\&amp;D
**External Partners:**
* Third\-party vendors and suppliers
* Project\-specific development partners
**The Work Environment**
The work environment is a combination of laboratory, manufacturing, office, and remote home office. 60% of time in meetings, working with team, or talking on the phone, 40% of the time at the desk on computer, doing analytical work. Occasional domestic and international travel required. Travel includes airplane, automobile travel and overnight hotel.
**Physical Demands**
No strenuous physical activity, though occasional light lifting of files and related materials is required.
**Salary Transparency**
The salary range for this position takes into account a wide range of factors including education, experience, knowledge, skills, geography, and abilities of the candidate, in addition to internal equity and alignment with market data. At QuidelOrtho, it is not typical for an individual to be hired at or near the top range for their role and compensation decisions are dependent on the facts and circumstances of each case. The salary range for this position is $150,000 to $175,000 and is bonus eligible. QuidelOrtho offers a comprehensive benefits package including medical, dental, vision, life, and disability insurance, along with a 401(k) plan, employee assistance program, Employee Stock Purchase Plan, paid time off (including sick time), and paid Holidays. All benefits are non\-contractual, and QuidelOrtho may amend, terminate, or enhance the benefits provided, as it deems appropriate.
**Equal Opportunity**
QuidelOrtho believes in Equal Opportunity for all and is committed to ensuring all individuals, including individuals with disabilities, have an opportunity to apply for those positions that they are interested in and qualify for without regard to race, religion, color, national origin, citizenship, sex, sexual orientation, gender identity, age, veteran status, disability, genetic information, or any other protected characteristic. QuidelOrtho is also committed to providing reasonable accommodations to qualified individuals so that an individual can perform the duties. If you are interested in applying for an employment opportunity and require special assistance or an accommodation to apply due to a disability, please contact us at recruiting@quidelortho.com .</t>
        </is>
      </c>
    </row>
    <row r="136">
      <c r="A136" t="inlineStr">
        <is>
          <t>in-5881854f1bbe403a</t>
        </is>
      </c>
      <c r="B136" t="inlineStr">
        <is>
          <t>IT Product Manager - Strategy &amp; Commercial</t>
        </is>
      </c>
      <c r="C136" t="inlineStr">
        <is>
          <t>Swire Coca-Cola</t>
        </is>
      </c>
      <c r="D136" t="inlineStr">
        <is>
          <t>indeed</t>
        </is>
      </c>
      <c r="E136">
        <f>HYPERLINK("https://www.indeed.com/viewjob?jk=5881854f1bbe403a", "https://www.indeed.com/viewjob?jk=5881854f1bbe403a")</f>
        <v/>
      </c>
      <c r="F136">
        <f>HYPERLINK("https://jobs.dayforcehcm.com/en-US/swirecc/CANDIDATEPORTAL/jobs/103396", "https://jobs.dayforcehcm.com/en-US/swirecc/CANDIDATEPORTAL/jobs/103396")</f>
        <v/>
      </c>
      <c r="G136" t="inlineStr">
        <is>
          <t>Draper, UT, US</t>
        </is>
      </c>
      <c r="H136" s="3" t="n">
        <v>46041</v>
      </c>
      <c r="I136" t="inlineStr">
        <is>
          <t>Who is Swire Coca\-Cola? We are a family\-owned bottling company with a story spanning over two centuries. We are one of the largest bottlers of Coca\-Cola in North America and distribute more than 50 beverage brands and flavors creating joy for our customers every day. Our 8,000\+ driven employees work hard as part of a team that delivers refreshment to over 30 million consumers across 13 states. Begin a journey with us at Swire Coca\-Cola and belong to a community of dedicated team members who think big and believe in winning together.
**Why you’ll love working at Swire Coca\-Cola:**  
Swire Coca\-Cola is committed to providing balance to support you in all aspects of your life, both at work and beyond. We offer the benefits you need for physical, financial, and emotional well\-being.
* Health coverage (3 medical options, dental and vision). 401(k) Retirement Plan w/company match
* Health Savings Accounts w/company match
* FREE virtual primary care, acute care and physical therapy
* FREE Employee Assistance Program
* Company paid (vacation, holidays, sick time, bereavement, jury duty, maternity/parental, disability leave and volunteer time)
* Discounted \&amp; free product
* Tuition reimbursement
* Opportunities for career advancement
In addition to health benefits, Swire Coca\-Cola is proud to offer you opportunities where you help give back directly to the communities and causes you care about. Note: Enrollment in a Swire Medical Plan is required for some benefits.
**Job Details:**  
**Schedule:** This position is required to be onsite 5 days a week.
**Job Level:** 6
What does an IT Product Manager do at Swire Coca\-Cola?
As a Product Manager in our IT organization, you will act as a strategic liaison between Technology and business units, supporting the advancement of organizational goals through effective product management. You will align technology capabilities with business needs, manage the full product lifecycle, and foster collaboration across teams and stakeholders. This role is ideal for a results\-driven professional with strong leadership skills and a proven track record in technology management, ready to drive impactful product initiatives in a dynamic IT environment.
**Responsibilities:**  
* Align technology capabilities and product initiatives with business unit objectives, identifying opportunities for innovation and technical improvements that deliver value to stakeholders and users
* Build and maintain strong relationships with business unit managers and internal stakeholders, collaborating to understand needs, gather requirements, and support strategic IT planning
* Oversee the end\-to\-end lifecycle of IT products, from ideation and planning through launch, assessment, and iteration, ensuring products meet business goals and user expectations
* Lead product design and implementation, applying product management principles to coordinate cross\-functional teams and ensure timely completion of product milestones
* Implement agile methodologies, manage sprints, drive continuous improvement through iterative solutions, and facilitate agile ceremonies to enhance team performance
* Leverage emerging technology trends and conduct market analysis to propose enhancements that maximize business impact and user satisfaction
* Manage product documentation to ensure accuracy, accessibility, and support for users and enablement initiatives
* Collaborate with internal teams, vendors, and suppliers to coordinate efforts, resolve issues, and deliver high\-quality outcomes aligned with business needs
* Track and optimize key performance indicators (KPIs) such as business value delivery (e.g., revenue, customer lifetime value, churn), user adoption rates, customer satisfaction, on\-time delivery, return on investment, product strategy alignment, intake\-to\-solution time, time\-to\-market, team engagement scores, career progression tracking, documentation discoverability, and cross\-functional collaboration
**Requirements:**  
* Bachelor's Degree Engineering, Information Technology, Business Management, or a related field required
* 4\+ years in product management or technology management roles, with a demonstrated history of leading initiatives, products, or services that drive organizational technology evolution, preferably supporting business units or operations functions required
* Product lifecycle management and market analysis
* Proficiency in agile methodologies and product management
* Strong analytical skills for data\-driven decision\-making and KPI tracking
Come and join our Sparkling team!
Swire Coca\-Cola is an equal employment opportunity and affirmative action employer that participates in the E\-Verify program as required by law. All qualified applicants will receive consideration for employment without regard race, color, religion, sex, sexual orientation, gender identity, national origin, disability, Veteran status or other legally protected characteristics. Swire Coca\-Cola does not sponsor applicants for work visas.</t>
        </is>
      </c>
    </row>
    <row r="137">
      <c r="A137" t="inlineStr">
        <is>
          <t>in-31f326ffaba92c6c</t>
        </is>
      </c>
      <c r="B137" t="inlineStr">
        <is>
          <t>Career Connections, Youth Program Manager</t>
        </is>
      </c>
      <c r="C137" t="inlineStr">
        <is>
          <t>Moraine Valley Community College</t>
        </is>
      </c>
      <c r="D137" t="inlineStr">
        <is>
          <t>indeed</t>
        </is>
      </c>
      <c r="E137">
        <f>HYPERLINK("https://www.indeed.com/viewjob?jk=31f326ffaba92c6c", "https://www.indeed.com/viewjob?jk=31f326ffaba92c6c")</f>
        <v/>
      </c>
      <c r="F137">
        <f>HYPERLINK("https://jobs.morainevalley.edu/postings/7119", "https://jobs.morainevalley.edu/postings/7119")</f>
        <v/>
      </c>
      <c r="G137" t="inlineStr">
        <is>
          <t>Blue Island, IL, US</t>
        </is>
      </c>
      <c r="H137" s="3" t="n">
        <v>46040</v>
      </c>
      <c r="I137" t="inlineStr">
        <is>
          <t>Under the supervision, the Program Manager is responsible for the operations, including implementation, coordination, and evaluation of services provided for grant\-funded youth participants including job preparation, placement and academic enrichment. The Program Manager is dedicated to the learning college concepts by developing programs and facilitating activities that promote student success and lifelong learning  
ESSENTIAL DUTIES AND RESPONSIBILITIES include the following. Other duties may be assigned.
1\. Manage and coordinate the youth WIOA funded program, including supervision of staff to meet goals of the grant, planning strategies, implementing activities and measuring effectiveness to meet grant goals and objectives.
2\. Liaison relationships with Cook County workforce Partnership (CCWP), educational institutions, vocational training programs, employers, supportive service providers and all other internal and external partners.
3\. Plans and implements workshops, provides career exploration and coordinates services with other college departments for program participants. Develops employment plans and support participants seeking employment after completing high school as well as assisting participants who pursue post\-secondary education.
4\. Performs data entry and monthly tracking of grant participants on the Career Connect system. Provides case management services to grant participants, monitoring them while they are enrolled under the grant, and maintaining case notes and other programmatic documentation with timely and accurate reporting of program performance.
5\. Completes program forms, maintains client files, and works with CCWP staff to complete exits and provide follow\-up services for participants in compliance with grant requirements.
6\. Keeps supervisor up to date on program progress and outcomes.
7\. Develops and maintains relationships with various community and government agencies to offer supportive services to program participants.
8\. Participates as an active member of the division regarding initiatives and contributes to college\-wide services and activities.
9\. Prepares and administers grant budget in conjunction with CCWP and MVCC staff. Complies with all CCWP and MVCC documentation requests.
10\. Attends subdivision, department, and advisory committee meetings when relevant.
11\. Performs related duties as assigned.
**Education/Experience**
* **Bachelor’s degree required.**
* **Minimum three (3\) years of experience with federal grants.**
* **Minimum two (2\) years’ experience with** **WIOA** **grant programs** ***(******WIOA*** ***Youth grant preferred)***
* **Knowledge of grant funding operations and proven success in grant writing, grant budget development/maintenance/management, staff supervision, project management, assessment/testing, and direct student service.**
Please ensure your resume reflects the requirements/qualifications noted above.
**Qualifications**
To perform this job successfully, an individual must be able to perform each essential duty satisfactorily. In addition to the above experience and education requirements, the ideal candidate will have the following qualifications:  
* Ability to work effectively with Moraine Valley faculty, staff, and administrative personnel and external partners.
* Excellent organizational and record\-keeping skills.
* Excellent concept development.
* Exceptional writing and verbal skills.
* Excellent budget development and tracking skills.
**Position Status** Full Time
**Hours**
General Hours  
8:00 a.m. – 5:00 p.m.  
Occasional evenings and weekends as required
**Salary/Wage** $60,974\-$81,553 (plus exceptional benefits)
**Hourly/Salary** Salaried
**Benefits**
**Administrative, Confidential, Managerial \&amp; Supervisory (****ACMS****) Position**  
*Moraine Valley offers a generous benefits plan which includes paid time off, tuition discounts for eligible employees and family, medical, dental, vision, and retirement benefits in a collaborative and friendly environment. These include:* Health, Dental, Vision Life insurance, Optional life, Disability insurance, Tuition reimbursement, Tuition waiver, SURS Retirement plan, Vacation Days Holidays, Sick Leave, Personal days, Bereavement days, Tax\-sheltered annuity plans and others.  
**Visit these links to learn more about specific benefits for this position:**  
**Benefit Highlights**  
**Benefit Guide\-Details**
**Review of Applications Begins** 02/09/2026
Posting Detail Information
**Posting Number** AP00554P
**Open Date** 01/19/2026
 Yes
**Special Instructions to Applicants**
Please apply online with required materials prior to review date.</t>
        </is>
      </c>
    </row>
    <row r="138">
      <c r="A138" t="inlineStr">
        <is>
          <t>in-5bc1fb2558eb7500</t>
        </is>
      </c>
      <c r="B138" t="inlineStr">
        <is>
          <t>PROGRAM MANAGER, OIE</t>
        </is>
      </c>
      <c r="C138" t="inlineStr">
        <is>
          <t>University of Denver</t>
        </is>
      </c>
      <c r="D138" t="inlineStr">
        <is>
          <t>indeed</t>
        </is>
      </c>
      <c r="E138">
        <f>HYPERLINK("https://www.indeed.com/viewjob?jk=5bc1fb2558eb7500", "https://www.indeed.com/viewjob?jk=5bc1fb2558eb7500")</f>
        <v/>
      </c>
      <c r="F138">
        <f>HYPERLINK("https://jobs.du.edu/cw/en-us/job/498558/program-manager-oie", "https://jobs.du.edu/cw/en-us/job/498558/program-manager-oie")</f>
        <v/>
      </c>
      <c r="G138" t="inlineStr">
        <is>
          <t>Denver, CO, US</t>
        </is>
      </c>
      <c r="H138" s="3" t="n">
        <v>46036</v>
      </c>
      <c r="I138" t="inlineStr">
        <is>
          <t>**Job no:** 498558  
**Work type:** Staff Full\-Time  
**Location:** Denver, CO  
**Categories:** Student Affairs / Services, Business Operations / Services, Admin / Executive / Office Support  
**Division:** Internationalization  
The Office of International Education, which is part of DUs Internationalization unit, serves primarily undergraduate students interested in education abroad term\-length programs. The OIE manages a portfolio of over 150 programs in 52 countries and advises roughly 1000 students/year who are interested in participating on DU Partner Programs and/or unaffiliated programs.
**Position Summary**
This is a mid\-range position in the Office of International Education (OIE). The successful candidate will be independent, self\-motivated, and an exceptional multi\-tasker. They should also be familiar with all aspects of education abroad management and advising and comfortable with multi\-tasking and balancing multiple priorities and deadlines.  
The position is responsible for advising on a large portfolio of programs and offering a full range of student services during all stages of the study abroad process for prospective, outbound, and returnee students. The Program Manager also promotes and coordinates study abroad program activities for assigned study abroad programs. This includes managing student recruitment, advising, application, enrollment, and pre\-departure orientation; re\-entry engagement; and program assessment and evaluation.
The Program Manager provides management for an education, research and/or operations program/project, recommending goals, assessing feasibility and ongoing performance and providing day\-to\-day oversight of administrative and operational functions.
**Essential Functions**
* Responsible for day\-to\-day education abroad functions and serves as a primary advisor for education abroad program portfolio
* Schedules and conducts pre\-departure and returnee workshops and orientations for participants.
* Responsible for application management for education abroad participants via office software (Terra Dotta)
* Assists in advising for education abroad scholarship resources/sources.
* Promotes education abroad on\-campus through education abroad events, resource fairs, social media, and classroom presentations.
* Serves as a liaison to affiliated education abroad partners on and off campus.
* Mentors education abroad student assistants and volunteers.
* Ensures activities are in compliance with the industries concepts, practices, and procedures and keeps abreast of best practices and trends in education abroad.
* Processes transcripts for returnees.
* Other duties and projects assigned.
Other Functions:
* Occasional requirement to work evening or weekend events throughout the academic year to participate in events on campus.
* Occasional travel to off\-campus meetings, professional conferences or program partners may be required.
**Knowledge, Skills, and Abilities**
* Excellent oral and written communication skills with a broad community of other international education administrators, university staff and administrators, faculty, program managers, and host institution administrators.
* Demonstrated ability to work positively and productively with dynamic groups of faculty, staff and students.
* Experience and skills in developing, implementing and managing projects and business processes; ability in problem identification, reasoning, ability to develop original ideas to solve problems, persuade others, and lead.
* Strong interpersonal \&amp; intercultural skills.
* Computer skills and software program knowledge including Terra Dotta software and/or related and office support desktop tools
* Knowledge of higher education administrative practices and procedures, student records, and international education systems.
* The value of self\-motivation and initiative to seek out work and drive to accomplish goals.
* Familiarity with social media platforms as well as tools for scheduling posts in advance.
* Experience living, studying or working abroad.
**Required Qualifications**
* B.A. degree.
* Experience in the field of international education \&amp; advising students with education abroad opportunities.
**Preferred Qualifications**
* Masters degree.
* 4 or more years experience in international higher education
* Experience supporting exchange, faculty\-led, or customized study abroad programs.
* Demonstrated experience in evaluating academic records.
**Working Environment**
* Standard office environment.
* Unexpected interruptions occur often and stress level is moderate to high.
* Noise level is quiet to moderate.
**Physical Activities**
* Ability to work in front of a computer for extended periods of time.
* Occasionally required to move about the office/campus.
**Work Schedule**  
Monday \- Friday, 8:00 a.m. \- 4:30 p.m.
**Application Deadline**  
For consideration, please submit your application materials by **4:00 p.m. (MST) January 30, 2026\.**
**Special Instructions**  
Candidates must apply online through jobs.du.edu to be considered. Only applications submitted online will be accepted.
**Salary Grade Number:**  
The salary grade for the position is 8\.  
**Salary Range:**  
The salary rate for this position is $58,000\.
The University of Denver has provided a compensation range that represents its good faith estimate of what the University may pay for the position at the time of posting. The University may ultimately pay more or less than the posted compensation range. The salary offered to the selected candidate will be determined based on factors such as the qualifications of the selected candidate, departmental budget availability, internal salary equity considerations, and available market information, but not based on a candidate’s sex or any other protected status.
**Benefits:**  
The University of Denver offers excellent benefits, including medical, dental, retirement, paid time off, tuition benefit and ECO pass. The University of Denver is a private institution that empowers students who want to make a difference.
**Please include the following documents with your application:**  
1\. Resume  
2\. Cover Letter
The University of Denver is an equal opportunity employer. All qualified applicants will receive consideration for employment without regard to race, color, religion, sex (including sex stereotypes, sex characteristics, sexual orientation, gender identity, and gender expression), marital, family, or parental status, pregnancy or related conditions, national origin, disability, or status as a protected veteran. The University of Denver does not discriminate and prohibits discrimination on the basis of race, color, national origin, ancestry, age, religion, creed, disability, sex (including sex stereotypes, sex characteristics, sexual orientation, gender identity, and gender expression), marital family, and parental status, pregnancy, genetic information, military enlistment, or veteran status, and any other class of individuals protected from discrimination under federal, state, or local law, regulation, or ordinance in any of the University’s educational programs and activities, and in the employment (including application for employment) and admissions (including application for admission) context, as required by Title IX of the Education Amendments of 1972; the Americans with Disabilities Act; Section 504 of the Rehabilitation Act of 1973; Title VI and VII of the Civil Rights Act of 1964; the Age Discrimination Act of 1975; the Age Discrimination in Employment Act of 1967; the Equal Pay Act; the Colorado Equal Pay for Equal Work Act; the Colorado Protecting Opportunities and Worker's Rights ("POWR") Act; and any other federal, state, and local laws, regulations, or ordinances that prohibit discrimination, harassment, and/or retaliation. For more information, please see the University of Denver's Non‑Discrimination‑Statement.
**All offers of employment are contingent upon satisfactory completion of a criminal history background check.**
**Advertised:** January 15, 2026
**Applications close:** January 30, 2026</t>
        </is>
      </c>
    </row>
    <row r="139">
      <c r="A139" t="inlineStr">
        <is>
          <t>in-1bc2ae139dd6037d</t>
        </is>
      </c>
      <c r="B139" t="inlineStr">
        <is>
          <t>Program Manager - Grow Detroit's Young Talent</t>
        </is>
      </c>
      <c r="C139" t="inlineStr">
        <is>
          <t>Detroit Employment Solutions Corporation</t>
        </is>
      </c>
      <c r="D139" t="inlineStr">
        <is>
          <t>indeed</t>
        </is>
      </c>
      <c r="E139">
        <f>HYPERLINK("https://www.indeed.com/viewjob?jk=1bc2ae139dd6037d", "https://www.indeed.com/viewjob?jk=1bc2ae139dd6037d")</f>
        <v/>
      </c>
      <c r="F139">
        <f>HYPERLINK("https://recruiting.paylocity.com/recruiting/jobs/Details/3843718/Detroit-Employment-Solutions-Corporation/Program-Manager---Grow-Detroits-Young-Talent?source=Indeed_Feed", "https://recruiting.paylocity.com/recruiting/jobs/Details/3843718/Detroit-Employment-Solutions-Corporation/Program-Manager---Grow-Detroits-Young-Talent?source=Indeed_Feed")</f>
        <v/>
      </c>
      <c r="G139" t="inlineStr">
        <is>
          <t>Detroit, MI, US</t>
        </is>
      </c>
      <c r="H139" s="3" t="n">
        <v>46036</v>
      </c>
      <c r="I139" t="inlineStr">
        <is>
          <t>Description:
The Program Manager for Grow Detroit’s Young Talent (GDYT) is a senior\-level leadership role responsible for the strategic planning, operational execution, and continuous improvement of Detroit’s flagship summer youth employment initiative. This position provides comprehensive oversight of program staff, systems, vendors, and cross\-departmental partners to ensure high\-quality service delivery, regulatory compliance, fiscal integrity, and equitable outcomes for Detroit youth.
Requirements:
The Program Manager for Grow Detroit’s Young Talent (GDYT) is a senior\-level leadership role responsible for the strategic planning, operational execution, and continuous improvement of Detroit’s flagship summer youth employment initiative. This position provides comprehensive oversight of program staff, systems, vendors, and cross\-departmental partners to ensure high\-quality service delivery, regulatory compliance, fiscal integrity, and equitable outcomes for Detroit youth.
GDYT is a nationally recognized municipal youth employment program, seeking a manager who will oversee large\-scale, time\-bound operations while strengthening year\-round infrastructure, workforce readiness pathways, and employer partnerships. This role requires a seasoned professional with deep experience managing complex youth employment programs in multi\-stakeholder environments, familiarity with public funding, and contract management.
**Key Responsibilities:**
**Program Leadership \&amp; Operations**
* Lead the planning, implementation, and evaluation of the GDYT program cycle, including pre\-program preparation, active service delivery, and closeout.
* Ensure alignment with local, state, and federal workforce policies, including WIOA and State requirements.
* Maintain standardized operating procedures, timelines, and tools to support consistent program delivery across teams and partners.
* Prepare and compose correspondence and reports related to program activities, procedures, processes, and outcomes.
* Actively engage with youth participants to ensure their voices are heard and their input is valued in the development and evaluation of the program, fostering a sense of ownership and empowerment among them.
**Staff Supervision \&amp; Team Management**
* Provide direct supervision and leadership to GDYT program staff, including Project Leads, Coordinators, Worksite Monitors, and Administrative Support.
* Establish clear performance expectations and support staff professional development.
* Monitor and evaluate team effectiveness, investigate trends, and recommend modifications when necessary.
* Foster a collaborative, accountable, and solutions\-oriented culture.
**Systems, Data \&amp; Compliance**
* Oversee participant enrollment, eligibility verification, attendance tracking, payroll benchmarks, and performance reporting.
* Ensure data accuracy, timeliness, and integrity across all program systems, address findings from monitoring and audits.
* Support contractor/vendor performance and compliance monitoring.
**Fiscal Oversight \&amp; Vendor Management**
* Support budget development, expenditure tracking, and fiscal compliance in collaboration with the Fund Developer/Finance staff.
* Manage vendor relationships related to payroll, evaluation, technology, and program support services.
* Review invoices, reports, and deliverables to ensure contractual compliance.
**Cross Departmental \&amp; External Coordination**
* Act as a central point of coordination with DESC departments, including Employer Engagement, HR, IT, Finance, Communications, and Compliance.
* Collaborate with municipal partners, school districts, and community\-based organizations.
* Support presentations, briefings, and reporting for leadership boards, and public stakeholders.
* Lead community engagement initiatives to promote extensive outreach and encourage participation from a wide range of youth groups, ensuring inclusivity and representation in the program.
**Continuous Improvement \&amp; Strategy**
* Troubleshoot youth recruitment, placement, payroll, and monitoring issues in real\-time, proposing remediation when required.
* Analyze program data and participant outcomes to inform improvements and innovation.
* Contribute to long\-term planning efforts to strengthen GDYT’s sustainability and alignment with broader youth workforce strategies.
* Identify risks, gaps, and opportunities, proposing solutions when required.
* Establish and implement effective mechanisms to collect and evaluate feedback from staff, participants, and stakeholders to guide future enhancements and innovations, ensuring that the program continually meets the needs of those it serves.
**Required Qualifications**
* Bachelor’s degree in Youth Development, Social Work, Education, Workforce Development, or a related field; master’s degree preferred.
* Minimum of 7–10 years of progressive experience managing youth employment, workforce development, or large\-scale human services programs.
* Demonstrated experience supervising multi\-disciplinary teams and managing complex operations.
* Strong working knowledge of public funding streams, compliance requirements, and performance monitoring.
* Proven ability to coordinate across departments and external partners in a municipal or public\-sector environment.
**Preferred Qualifications**
* Experience managing summer youth employment programs or large, time\-bound initiatives.
* Familiarity with workforce data systems, payroll processing for stipend/wage earners, and positive youth development practices.
* Experience working within or alongside city government, workforce boards, or large nonprofit systems.
**Core Competencies**
* Strategic and operational leadership
* Healing\-centered Restorative Engagement
* Staff supervision and team development
* Systems thinking and problem\-solving
* Fiscal and contract management
* Data\-informed decision\-making
* Clear written and verbal communication
**Work Environment**
* DESC values work\-life balance and supports flexible arrangements, when possible, especially during peak program periods.
 **LICENSES:**
* Valid State of Michigan Driver's License and Insurance\- Position requires field work.
**OTHER:**
* Background check and drug screen required.</t>
        </is>
      </c>
    </row>
    <row r="140">
      <c r="A140" t="inlineStr">
        <is>
          <t>in-8ef065e0c933446c</t>
        </is>
      </c>
      <c r="B140" t="inlineStr">
        <is>
          <t>Software Product Manager</t>
        </is>
      </c>
      <c r="C140" t="inlineStr">
        <is>
          <t>Astrion</t>
        </is>
      </c>
      <c r="D140" t="inlineStr">
        <is>
          <t>indeed</t>
        </is>
      </c>
      <c r="E140">
        <f>HYPERLINK("https://www.indeed.com/viewjob?jk=8ef065e0c933446c", "https://www.indeed.com/viewjob?jk=8ef065e0c933446c")</f>
        <v/>
      </c>
      <c r="F140">
        <f>HYPERLINK("https://careers.astrion.us/jobs/22945/job?utm_source=indeed_integration&amp;iis=Job%20Board&amp;iisn=Indeed&amp;indeed-apply-token=73a2d2b2a8d6d5c0a62696875eaebd669103652d3f0c2cd5445d3e66b1592b0f", "https://careers.astrion.us/jobs/22945/job?utm_source=indeed_integration&amp;iis=Job%20Board&amp;iisn=Indeed&amp;indeed-apply-token=73a2d2b2a8d6d5c0a62696875eaebd669103652d3f0c2cd5445d3e66b1592b0f")</f>
        <v/>
      </c>
      <c r="G140" t="inlineStr">
        <is>
          <t>Hanscom AFB, MA, US</t>
        </is>
      </c>
      <c r="H140" s="3" t="n">
        <v>46041</v>
      </c>
      <c r="I140" t="inlineStr">
        <is>
          <t>Overview:
**SENIOR SOFTWARE PRODUCT MANAGER****LOCATION**: Hanscom AFB Bedford MA**Salary Range**:$150\-$160,000 Annually**JOB STATUS:** Full\-time**CLEARANCE:** Secret**CERTIFICATION:** n/a**TRAVEL:** Limited, as needed  
Astrion has an exciting opportunity for a **Senior** **Software Product** **Manager** located at **Hanscom** **AFB** in **Bedford** **Massachusetts** providing support to the Air Force Life Cycle Management Center/Electronic Systems (AFLCMC/HB). The Air Force Program Execution Office for PEO Digital (AFPEO/HB) has the collective Air Force Materiel Command (AFMC) mission responsibility to manage and execute the modernization, development, testing, production, fielding, and sustainment of the PEO Electronic Systems portfolio, which includes over 130 programs for the United States Air Force (USAF) and foreign allies. AFLCMC/PEO Electronic Systems is headquartered at Hanscom Air Force Base, MA with geographically separated operating units CONUS and OCONUS.  
This position specifically supports the Foreign Military Salses (FMS) Japan AWACs program. **REQUIRED QUALIFICATIONS / SKILLS:*** Citizenship: Must be a US citizen
* Clearance: Must have an Active Secret Clearance
* Education**:** BA/BS Degree
* Years of Experience:10 years of directly related experience with 5 years of experience in a DoD setting
* Extensive product management experience in customer facing technology
* Experience of leveraging testing and research techniques such as A/B or spli testing, usability, and/or other customer research techniques
* Experience in tactical experience with analytics and dashboarding tools such as Google Analytics, Google Optimize and Looker (or tools with similar functionality)
* Experience with agile and lean methodologies
* Experience with the full product development life cycle, with success managing medium to large size products through various phases, from vision to launch
* Ability to multi\-task and work well within a dynamic, fast\-paced tech\-savvy organization
* Deep understanding of business strategy and metrics
* Ability to think and perform both tactically and strategically
* Excellent analytical skills with demonstrated experience synthesizing data into actionable insights
* Excellent communication and stakeholder management skills to the senior leadership level
* Experience with the full product development life cycle, with success managing medium to large size products through various phases, from vision to launch
* Self\-motivated, self\-directed, and able to thrive in a fast\-paced environment
* Highly entrepreneurial mindset, with a bias for customer\-focused innovation
**RESPONSIBILITIES****:*** Assist in developing a deep understanding of internal and external customers/stakeholders and their use cases.
* Assist in the definition, monitoring, and communication of key performance indicators (KPI)’s for your product area.
* Assist in the creation of the product roadmap process, including defining the sequence of the roadmap an assuring that the initiatives within the roadmap align with the appropriate corresponding business objectives and metrics.
* Assist in defining and documenting product specifications and user stories to enable efficient implementation of new or enhanced features.
* Assist in building strong relationships with all levels throughout the organization, ensuring transparency across our roadmaps, managing trade\-offs, driving organizational alignment, and maximizing business value while minimizing risks.
* Partner closely with data analysts, data scientists, engineers, Creative/UX/UI, and product teammates to execute against our roadmap objectives.
* Use quantitative and qualitative data to continually improve our product in ways that matter most to our users and have the biggest impact on our KPIs.</t>
        </is>
      </c>
    </row>
    <row r="141">
      <c r="A141" t="inlineStr">
        <is>
          <t>in-00b6fc06fff9ca8c</t>
        </is>
      </c>
      <c r="B141" t="inlineStr">
        <is>
          <t>Sr Lead Product Manager, Venmo Commerce</t>
        </is>
      </c>
      <c r="C141" t="inlineStr">
        <is>
          <t>PayPal</t>
        </is>
      </c>
      <c r="D141" t="inlineStr">
        <is>
          <t>indeed</t>
        </is>
      </c>
      <c r="E141">
        <f>HYPERLINK("https://www.indeed.com/viewjob?jk=00b6fc06fff9ca8c", "https://www.indeed.com/viewjob?jk=00b6fc06fff9ca8c")</f>
        <v/>
      </c>
      <c r="F141">
        <f>HYPERLINK("https://paypal.eightfold.ai/careers?domain=paypal.com&amp;sort_by=relevance&amp;query=R0134033", "https://paypal.eightfold.ai/careers?domain=paypal.com&amp;sort_by=relevance&amp;query=R0134033")</f>
        <v/>
      </c>
      <c r="G141" t="inlineStr">
        <is>
          <t>San Jose, CA, US</t>
        </is>
      </c>
      <c r="H141" s="3" t="n">
        <v>46041</v>
      </c>
      <c r="I14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Venmo has been revolutionizing payments \- creating innovative experiences that making paying friends and family simple and delightful. With a strong position in helping people pay their network, Venmo is now expanding to win Commerce. We're looking for a seasoned Product Manager who can help bring a new Commerce ecosystem to life on Venmo. This job will involve creating new two sided ecosystems and networks on Venmo. It involves strong 0 to 1 product development skills and ability define strategy and move fast with conviction.
Job Description:
**Essential Responsibilities:**
* Drives product strategy with cross\-functional stakeholders consistent with the shared vision for the product or enabling platform.
* Plans and implements the architectural roadmap that balances innovative design and technical implementation, while balancing regulatory requirements, time\-to\-market, meeting customer needs and product profitability.
* Assesses the customer experience and customer needs in product requirements and decision making.
* Sets up data gathering mechanisms relative to the metrics that inform the success of products including usability studies, research and market analysis.
* Leads workstreams to include analytics, customer discovery, market research and competitive analysis to drive data\-driven decision\-making.
* Oversees product profitability measures, including budget.
* Plans operational mechanisms that drive execution and accountability including Product Reviews, Operating Reviews, and Business Reviews. Interfaces with product and technology leadership as needed.
* Partners with content strategists, data scientists, product designers and user experience researchers.
* Maximizes efficiency in a constantly evolving environment where the process is fluid and creative solutions are the standard.
**Expected Qualifications:**
* 8\+ years relevant experience and a Bachelor’s degree OR Any equivalent combination of education and experience.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$169,500 to $291,500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42">
      <c r="A142" t="inlineStr">
        <is>
          <t>in-3381601d222de6d6</t>
        </is>
      </c>
      <c r="B142" t="inlineStr">
        <is>
          <t>Lead Product Manager, Venmo Debit</t>
        </is>
      </c>
      <c r="C142" t="inlineStr">
        <is>
          <t>PayPal</t>
        </is>
      </c>
      <c r="D142" t="inlineStr">
        <is>
          <t>indeed</t>
        </is>
      </c>
      <c r="E142">
        <f>HYPERLINK("https://www.indeed.com/viewjob?jk=3381601d222de6d6", "https://www.indeed.com/viewjob?jk=3381601d222de6d6")</f>
        <v/>
      </c>
      <c r="F142">
        <f>HYPERLINK("https://paypal.eightfold.ai/careers?domain=paypal.com&amp;sort_by=relevance&amp;query=R0134100", "https://paypal.eightfold.ai/careers?domain=paypal.com&amp;sort_by=relevance&amp;query=R0134100")</f>
        <v/>
      </c>
      <c r="G142" t="inlineStr">
        <is>
          <t>Chicago, IL, US</t>
        </is>
      </c>
      <c r="H142" s="3" t="n">
        <v>46041</v>
      </c>
      <c r="I14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contributes to product strategy alongside cross\-functional stakeholders, ensuring alignment with the shared vision. It includes implementing an architectural roadmap that balances innovative design with regulatory requirements, customer needs, and profitability. The position focuses on enhancing customer experience and monitoring success metrics through usability studies and market analysis. Responsibilities also encompass managing workstreams for analytics and competitive analysis, overseeing product profitability, participating in operational reviews, and collaborating with content developers, data scientists, and designers. This job is an individual contributor.
Job Description:
**Essential Responsibilities:**
* Inputs to product strategy with cross\-functional stakeholders consistent with the shared vision for the product or enabling platform.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and technology leadership as needed.
* Partners with content developers, data scientists, product designers and user experience researchers.
**Expected Qualifications:**
* 5\+ years relevant experience and a Bachelor’s degree OR Any equivalent combination of education and experience.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43">
      <c r="A143" t="inlineStr">
        <is>
          <t>in-6e48bb8e9b01161e</t>
        </is>
      </c>
      <c r="B143" t="inlineStr">
        <is>
          <t>Lead Product Manager, Venmo Commerce</t>
        </is>
      </c>
      <c r="C143" t="inlineStr">
        <is>
          <t>PayPal</t>
        </is>
      </c>
      <c r="D143" t="inlineStr">
        <is>
          <t>indeed</t>
        </is>
      </c>
      <c r="E143">
        <f>HYPERLINK("https://www.indeed.com/viewjob?jk=6e48bb8e9b01161e", "https://www.indeed.com/viewjob?jk=6e48bb8e9b01161e")</f>
        <v/>
      </c>
      <c r="F143">
        <f>HYPERLINK("https://paypal.eightfold.ai/careers?domain=paypal.com&amp;sort_by=relevance&amp;query=R0134034", "https://paypal.eightfold.ai/careers?domain=paypal.com&amp;sort_by=relevance&amp;query=R0134034")</f>
        <v/>
      </c>
      <c r="G143" t="inlineStr">
        <is>
          <t>San Jose, CA, US</t>
        </is>
      </c>
      <c r="H143" s="3" t="n">
        <v>46041</v>
      </c>
      <c r="I14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Venmo has been revolutionizing payments \- creating innovative experiences that making paying friends and family simple and delightful. With a strong position in helping people pay their network, Venmo is now expanding to win Commerce. We're looking for a seasoned Product Manager who can help bring a new Commerce ecosystem to life on Venmo. This job will involve creating new two sided ecosystems and networks on Venmo. It involves strong 0 to 1 product development skills and ability define strategy and move fast with conviction.
Job Description:
**Essential Responsibilities:**
* Inputs to product strategy with cross\-functional stakeholders consistent with the shared vision for the product or enabling platform.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and technology leadership as needed.
* Partners with content developers, data scientists, product designers and user experience researchers.
**Expected Qualifications:**
* 5\+ years relevant experience and a Bachelor’s degree OR Any equivalent combination of education and experience.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44">
      <c r="A144" t="inlineStr">
        <is>
          <t>in-81aeadc6c0a15e3a</t>
        </is>
      </c>
      <c r="B144" t="inlineStr">
        <is>
          <t>Lead Product Manager, Venmo Debit</t>
        </is>
      </c>
      <c r="C144" t="inlineStr">
        <is>
          <t>PayPal</t>
        </is>
      </c>
      <c r="D144" t="inlineStr">
        <is>
          <t>indeed</t>
        </is>
      </c>
      <c r="E144">
        <f>HYPERLINK("https://www.indeed.com/viewjob?jk=81aeadc6c0a15e3a", "https://www.indeed.com/viewjob?jk=81aeadc6c0a15e3a")</f>
        <v/>
      </c>
      <c r="F144">
        <f>HYPERLINK("https://paypal.eightfold.ai/careers?domain=paypal.com&amp;sort_by=relevance&amp;query=R0134100", "https://paypal.eightfold.ai/careers?domain=paypal.com&amp;sort_by=relevance&amp;query=R0134100")</f>
        <v/>
      </c>
      <c r="G144" t="inlineStr">
        <is>
          <t>Austin, TX, US</t>
        </is>
      </c>
      <c r="H144" s="3" t="n">
        <v>46041</v>
      </c>
      <c r="I14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contributes to product strategy alongside cross\-functional stakeholders, ensuring alignment with the shared vision. It includes implementing an architectural roadmap that balances innovative design with regulatory requirements, customer needs, and profitability. The position focuses on enhancing customer experience and monitoring success metrics through usability studies and market analysis. Responsibilities also encompass managing workstreams for analytics and competitive analysis, overseeing product profitability, participating in operational reviews, and collaborating with content developers, data scientists, and designers. This job is an individual contributor.
Job Description:
**Essential Responsibilities:**
* Inputs to product strategy with cross\-functional stakeholders consistent with the shared vision for the product or enabling platform.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and technology leadership as needed.
* Partners with content developers, data scientists, product designers and user experience researchers.
**Expected Qualifications:**
* 5\+ years relevant experience and a Bachelor’s degree OR Any equivalent combination of education and experience.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45">
      <c r="A145" t="inlineStr">
        <is>
          <t>in-871544dc9a6f6cdc</t>
        </is>
      </c>
      <c r="B145" t="inlineStr">
        <is>
          <t>Lead Product Manager, Venmo Debit</t>
        </is>
      </c>
      <c r="C145" t="inlineStr">
        <is>
          <t>PayPal</t>
        </is>
      </c>
      <c r="D145" t="inlineStr">
        <is>
          <t>indeed</t>
        </is>
      </c>
      <c r="E145">
        <f>HYPERLINK("https://www.indeed.com/viewjob?jk=871544dc9a6f6cdc", "https://www.indeed.com/viewjob?jk=871544dc9a6f6cdc")</f>
        <v/>
      </c>
      <c r="F145">
        <f>HYPERLINK("https://paypal.eightfold.ai/careers?domain=paypal.com&amp;sort_by=relevance&amp;query=R0134100", "https://paypal.eightfold.ai/careers?domain=paypal.com&amp;sort_by=relevance&amp;query=R0134100")</f>
        <v/>
      </c>
      <c r="G145" t="inlineStr">
        <is>
          <t>San Jose, CA, US</t>
        </is>
      </c>
      <c r="H145" s="3" t="n">
        <v>46041</v>
      </c>
      <c r="I14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contributes to product strategy alongside cross\-functional stakeholders, ensuring alignment with the shared vision. It includes implementing an architectural roadmap that balances innovative design with regulatory requirements, customer needs, and profitability. The position focuses on enhancing customer experience and monitoring success metrics through usability studies and market analysis. Responsibilities also encompass managing workstreams for analytics and competitive analysis, overseeing product profitability, participating in operational reviews, and collaborating with content developers, data scientists, and designers. This job is an individual contributor.
Job Description:
**Essential Responsibilities:**
* Inputs to product strategy with cross\-functional stakeholders consistent with the shared vision for the product or enabling platform.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and technology leadership as needed.
* Partners with content developers, data scientists, product designers and user experience researchers.
**Expected Qualifications:**
* 5\+ years relevant experience and a Bachelor’s degree OR Any equivalent combination of education and experience.
Additional\_Responsibilities\_And\_Preferred\_Qualifications:
**As a Lead Product Manager in the Consumer Financial Services team, you will be responsible for developing new product features and capabilities to scale our Venmo Debit Card. The Venmo Debit Card provides our consumers with payment flexibility to shop with Venmo online, in\-store and in\-app while earning cashback by doing so.**
 **You’ll work with other product managers, engineers, designers, risk and other key partners to build and execute a detailed product roadmap to deliver on full\-year performance.****You will leverage the data around our existing products and review where the largest opportunities may be to grow and expand our target audience, manage request intakes, prioritization. feature scoping and participate in agile ceremonies to drive execution and launch. You will work with the Debit Card product team to help support balancing customer needs with business requirements, legal/compliance risks, partnership opportunities and monetization considerations.**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46">
      <c r="A146" t="inlineStr">
        <is>
          <t>in-68a2827830ed49a2</t>
        </is>
      </c>
      <c r="B146" t="inlineStr">
        <is>
          <t>Sr. Product Manager, Data</t>
        </is>
      </c>
      <c r="C146" t="inlineStr">
        <is>
          <t>Varo Bank</t>
        </is>
      </c>
      <c r="D146" t="inlineStr">
        <is>
          <t>indeed</t>
        </is>
      </c>
      <c r="E146">
        <f>HYPERLINK("https://www.indeed.com/viewjob?jk=68a2827830ed49a2", "https://www.indeed.com/viewjob?jk=68a2827830ed49a2")</f>
        <v/>
      </c>
      <c r="F146">
        <f>HYPERLINK("https://jobs.lever.co/varomoney/69e9072d-c69f-4650-a199-6791f7240b5f?lever-source=Indeed", "https://jobs.lever.co/varomoney/69e9072d-c69f-4650-a199-6791f7240b5f?lever-source=Indeed")</f>
        <v/>
      </c>
      <c r="G146" t="inlineStr">
        <is>
          <t>New York, NY, US</t>
        </is>
      </c>
      <c r="H146" s="3" t="n">
        <v>46041</v>
      </c>
      <c r="I146" t="inlineStr">
        <is>
          <t>Varo is an entirely new kind of bank. All digital, mission\-driven, FDIC insured and designed for the way our customers live their lives. A bank for all of us. **ABOUT THE PRODUCT TEAM**
Varo’s product team is a cornerstone of the culture and the app experiences that our customers interact with on a daily basis. We’re responsible for making sure the products we ship provide innovative solutions that solve real problems for people.  
We appreciate the value of getting into the mental models of our customers and out of our offices. We truly live up to the “glue” metaphor for product management and bring together cross\-functional teams to act on a combination of qualitative and quantitative data. We thrive on feedback and push to always up our game—but try to never take ourselves too seriously. **ABOUT THE SENIOR PRODUCT MANAGER, DATA ROLE**
We are looking for a Senior Product Manager to lead our data analytics platform and reporting capabilities. You will help drive the strategy and improvements that will help both technical and non\-technical users be informed on the health of our products, systems, and business. You’ll collaborate cross\-functionally with all teams and manage all aspects of development from prioritization, to discovery, to launch, and post\-launch support.
### **What you'll be doing**
* Lead the strategy, roadmap, and related discussions for Varo’s data, analytics, and reporting capabilities.
* Collaborate with engineers, product managers, data scientists, and governance to understand, prioritize, and deliver on data needs.
* Build data products that make data accessible to all teams.
* Provide strategic and tactical guidance on specific data elements that need to be tracked in order to assess performance.
* Understand product flows and their success indicators and use it to define and implement the right data solution.
* Validate that our data is accessible, reliable, and documented.
* Establish and manage an efficient process that supports, makes visible, and delivers on the data needs of all teams.
### **You'll bring the following required skills and experiences**
* Minimum 5\+ years of experience working in technology companies across all areas of analytics (customer, business, marketing, etc).
* Direct experience with big data ecosystems.
* Deep understanding of service\-oriented architecture, data flows in multi\-tier systems, event tracking, and relational data structures.
* Experience as a technical product manager or developer.
* Experience with schema design and dimensional data modeling.
* Strong SQL skills.
* Experience analyzing data to identify gaps and inconsistencies in deliverables.
* Bachelor's Degree in a technology or engineering related area of study.
For cash compensation, we set standard ranges for all US\-based roles based on function, level, and geographic location, benchmarked against similar\-stage growth companies. Per applicable law, the salary range for this role is $150,000 \- $198,000\. Final offer amounts are determined by multiple factors as well as candidate experience and expertise and may vary from the identified range.  
This role is also eligible for a bonus, equity, and competitive benefits.*We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7">
      <c r="A147" t="inlineStr">
        <is>
          <t>in-49c068283de2b53b</t>
        </is>
      </c>
      <c r="B147" t="inlineStr">
        <is>
          <t>Sr. Product Manager, Data</t>
        </is>
      </c>
      <c r="C147" t="inlineStr">
        <is>
          <t>Varo Bank</t>
        </is>
      </c>
      <c r="D147" t="inlineStr">
        <is>
          <t>indeed</t>
        </is>
      </c>
      <c r="E147">
        <f>HYPERLINK("https://www.indeed.com/viewjob?jk=49c068283de2b53b", "https://www.indeed.com/viewjob?jk=49c068283de2b53b")</f>
        <v/>
      </c>
      <c r="F147">
        <f>HYPERLINK("https://jobs.lever.co/varomoney/69e9072d-c69f-4650-a199-6791f7240b5f?lever-source=Indeed", "https://jobs.lever.co/varomoney/69e9072d-c69f-4650-a199-6791f7240b5f?lever-source=Indeed")</f>
        <v/>
      </c>
      <c r="G147" t="inlineStr">
        <is>
          <t>San Francisco, CA, US</t>
        </is>
      </c>
      <c r="H147" s="3" t="n">
        <v>46041</v>
      </c>
      <c r="I147" t="inlineStr">
        <is>
          <t>Varo is an entirely new kind of bank. All digital, mission\-driven, FDIC insured and designed for the way our customers live their lives. A bank for all of us. **ABOUT THE PRODUCT TEAM**
Varo’s product team is a cornerstone of the culture and the app experiences that our customers interact with on a daily basis. We’re responsible for making sure the products we ship provide innovative solutions that solve real problems for people.  
We appreciate the value of getting into the mental models of our customers and out of our offices. We truly live up to the “glue” metaphor for product management and bring together cross\-functional teams to act on a combination of qualitative and quantitative data. We thrive on feedback and push to always up our game—but try to never take ourselves too seriously. **ABOUT THE SENIOR PRODUCT MANAGER, DATA ROLE**
We are looking for a Senior Product Manager to lead our data analytics platform and reporting capabilities. You will help drive the strategy and improvements that will help both technical and non\-technical users be informed on the health of our products, systems, and business. You’ll collaborate cross\-functionally with all teams and manage all aspects of development from prioritization, to discovery, to launch, and post\-launch support.
### **What you'll be doing**
* Lead the strategy, roadmap, and related discussions for Varo’s data, analytics, and reporting capabilities.
* Collaborate with engineers, product managers, data scientists, and governance to understand, prioritize, and deliver on data needs.
* Build data products that make data accessible to all teams.
* Provide strategic and tactical guidance on specific data elements that need to be tracked in order to assess performance.
* Understand product flows and their success indicators and use it to define and implement the right data solution.
* Validate that our data is accessible, reliable, and documented.
* Establish and manage an efficient process that supports, makes visible, and delivers on the data needs of all teams.
### **You'll bring the following required skills and experiences**
* Minimum 5\+ years of experience working in technology companies across all areas of analytics (customer, business, marketing, etc).
* Direct experience with big data ecosystems.
* Deep understanding of service\-oriented architecture, data flows in multi\-tier systems, event tracking, and relational data structures.
* Experience as a technical product manager or developer.
* Experience with schema design and dimensional data modeling.
* Strong SQL skills.
* Experience analyzing data to identify gaps and inconsistencies in deliverables.
* Bachelor's Degree in a technology or engineering related area of study.
For cash compensation, we set standard ranges for all US\-based roles based on function, level, and geographic location, benchmarked against similar\-stage growth companies. Per applicable law, the salary range for this role is $150,000 \- $198,000\. Final offer amounts are determined by multiple factors as well as candidate experience and expertise and may vary from the identified range.  
This role is also eligible for a bonus, equity, and competitive benefits.*We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8">
      <c r="A148" t="inlineStr">
        <is>
          <t>in-9a49d31d8f86f522</t>
        </is>
      </c>
      <c r="B148" t="inlineStr">
        <is>
          <t>Principal Product Manager</t>
        </is>
      </c>
      <c r="C148" t="inlineStr">
        <is>
          <t>Oracle</t>
        </is>
      </c>
      <c r="D148" t="inlineStr">
        <is>
          <t>indeed</t>
        </is>
      </c>
      <c r="E148">
        <f>HYPERLINK("https://www.indeed.com/viewjob?jk=9a49d31d8f86f522", "https://www.indeed.com/viewjob?jk=9a49d31d8f86f522")</f>
        <v/>
      </c>
      <c r="F148">
        <f>HYPERLINK("https://eeho.fa.us2.oraclecloud.com/hcmUI/CandidateExperience/en/sites/CX_1/job/323066", "https://eeho.fa.us2.oraclecloud.com/hcmUI/CandidateExperience/en/sites/CX_1/job/323066")</f>
        <v/>
      </c>
      <c r="G148" t="inlineStr">
        <is>
          <t>US</t>
        </is>
      </c>
      <c r="H148" s="3" t="n">
        <v>46041</v>
      </c>
      <c r="I148" t="inlineStr">
        <is>
          <t>In this role you will work with a set of ML engineers, Developers, cross functional marketing and partnership teams to launch new product MVP and iterate quickly to find a product market fit. You will be a vocal advocate for our customers within and outside OCI, defining requirements, making feature prioritization trade\-offs, collaborating with engineering teams. This role will be visible at the highest levels of the company and requires coordination across many internal and external teams and regular presentations to leadership teams. Good writing skills, and a good understanding of Generative AI landscape, current trends in the market and basic understanding of GPU compute and cloud computing is helpful.  
Who we’re looking for: an experienced PM leader with a proven ability to operate effectively at a strategic and tactical level; a self\-starter with bias to action who can lead new, highly visible projects with full autonomy. You will have a solid technical background – either gained through formal education or experience – and superlative communication skills. You will also have a demonstrable history of product development in the distributed systems and cloud technology domains. Past experience working with containers, Kubernetes, applied Gen AI applications, cloud computing and GPUs will help excel.
**What you'll do**
Identify feature gaps and innovation opportunities by establishing by understating current sales process. Friction to scaled adoption of OCI offerings and working with customers.
Put ideas on the paper, present to leadership teams to take the product to market and find a product\-market\-fit.
Define the vision, strategy and roadmap for existing offerings from OCI AI Incubations portfolio of products,
Work with partners managing partner relationships, growing adoption of partner offerings in OCI.
Manage the product feature backlog and drive the technical teams to quality execution of deliverables.  
Evangelize our product by building a GTM strategy and working with Marketing, Architects, and field teams are set up for success.  
**What you'll bring**
6\+ years in product management with at least 2\+ years of PM experience in cloud computing
Experience with full product lifecycle, from conception to go\-to\-market
Bachelor’s degree in computer science, engineering, analytics, mathematics, or statistics
4\+ years of experience working with engineering teams (technical product or program management or software engineering)  
**Preferred Qualifications**
Hands\-on experience with containers, Kubernetes, and basic experience with Generative AI applications.
Master's degree in computer science, information systems or business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li-4348874112</t>
        </is>
      </c>
      <c r="B2" t="inlineStr">
        <is>
          <t>AdTech Product Manager</t>
        </is>
      </c>
      <c r="C2" t="inlineStr">
        <is>
          <t>MrBeast</t>
        </is>
      </c>
      <c r="D2" t="inlineStr">
        <is>
          <t>linkedin</t>
        </is>
      </c>
      <c r="E2" t="inlineStr"/>
      <c r="F2" t="inlineStr"/>
      <c r="G2" t="inlineStr">
        <is>
          <t>Los Angeles, CA</t>
        </is>
      </c>
      <c r="H2" t="inlineStr"/>
      <c r="I2" t="inlineStr">
        <is>
          <t>**About Us**
 Beast Industries is a multifaceted media and entertainment company founded by Jimmy Donaldson, popularly known as MrBeast, the most watched person in the world. Renowned for revolutionizing digital content creation, Beast Industries encompasses a diverse portfolio of ventures that extend far beyond its origins on YouTube. With a mission to entertain, inspire, and create significant social impact, Beast Industries operates across various domains including digital media, philanthropy, consumer products, and innovative business initiatives. At Beast Industries, we believe in the transformative power of digital media and its potential to entertain, educate, and effect positive change. Our commitment to innovation, creativity, and philanthropy drives us to explore new frontiers, create unforgettable experiences, and build a legacy that inspires future generations.
**AdTech Product Manager**
 Location: United States (Remote/Hybrid – Los Angeles)
**Design the Programmatic AdTech Engine for the world’s leading Brands and Creators**
 Beast Industries is the world's leading creator\-led organization. We are building an intelligence engine that will empower the next generation of creators to grow faster and monetize smarter.
 We are redefining what commerce and influence look like at global scale, moving beyond simple matching to create an intelligence\-driven, all\-in\-one marketing platform. Every interaction is designed to streamline workflows and maximize capital deployment using agentic AI. This is your opportunity to own the adtech features that transform influencer content into targeted campaigns, optimized revenue streams, and scalable integrations across every channel.
**The Role**
 You will serve as a focused Product Manager, supporting the Head of Brands by owning adtech\-related features and revenue streams. Your job is to integrate advertising technology, enabling features like the
 **creation of paid search ads** 
 for networks such as Google. This role requires specialized knowledge to expand the platform's scope beyond matching algorithms.
**What You’ll Do**
* Own Programmatic Features: Define and implement product features that enable brands to efficiently utilize influencer\-created content in paid search campaigns.
* Integrate Ad Networks: Oversee the product requirements for managing authentication and integrating with major ad networks, particularly focusing on the Google ad network.
* Test Revenue Thesis: Actively explore and validate the hypothesis that a larger market segment exists in programmatic advertising and paid search, rather than exclusively brand deals.
* Support Brand Workflows: Collaborate with the Head of Brands to ensure adtech features seamlessly fit into the overall brand campaign workflow, from brief definition to capital deployment optimization.
* Define Product Execution: Operate as a strong executor who can quickly define the product, write user stories, and partner directly with engineering teams, leveraging autonomy in a chaotic startup environment.
* Data Integration: Understand how to leverage platform data to inform ad targeting and campaign success metrics.
**What You’ll Bring**
* Programmatic Experience: Essential experience in programmatic advertising.
* AdTech Focus: Specialized knowledge of the ad technology landscape, specifically regarding how content is leveraged for paid advertising and search campaigns.
* Product Execution: Ability to define and execute the product roadmap, write user stories, and work effectively with engineers.
* Resourcefulness \&amp; Speed: Capability to operate in a fast\-paced, ambitious startup environment, acting as a resourceful individual who can move quickly to meet the project success.
* Market Knowledge: Familiarity with the US market, as all product managers must be US\-based for accessibility and cultural understanding.
**Why MrBeast**
 We are redefining commerce and influence at global scale. We are building the
 **AI\-first platform** 
 that empowers brands to
 **maximize capital deployment** 
 through paid and organic search. This is your opportunity to build the core programmatic features that transform the world's most influential content into undeniable business results.
**Benefits**
**The Perks, Why Work On the MrBeast Team**
 We are redefining what entertainment and storytelling look like at global scale. Every piece of content we publish reaches millions and influences culture in real time. This is your opportunity to lead the team that decides how those moments come to life across every screen.
* Competitive Salary
* Generous Medical (Blue Cross Blue Shield), Dental, Vision and company\-paid Life Insurance
* Company contributions to employee Health Savings Accounts (HSA)
* 401k Plan with Safe Harbor company\-matching
* Flexible vacation policy and paid company holidays
* Company\-provided technology package
* Relocation assistance where applicable, including travel and company\-provided housing for the first 90 days</t>
        </is>
      </c>
    </row>
    <row r="3">
      <c r="A3" t="inlineStr">
        <is>
          <t>li-4364661220</t>
        </is>
      </c>
      <c r="B3" t="inlineStr">
        <is>
          <t>Product Manager</t>
        </is>
      </c>
      <c r="C3" t="inlineStr">
        <is>
          <t>Vitro</t>
        </is>
      </c>
      <c r="D3" t="inlineStr">
        <is>
          <t>linkedin</t>
        </is>
      </c>
      <c r="E3" t="inlineStr"/>
      <c r="F3" t="inlineStr"/>
      <c r="G3" t="inlineStr">
        <is>
          <t>Cheswick, PA</t>
        </is>
      </c>
      <c r="H3" t="inlineStr"/>
      <c r="I3" t="inlineStr">
        <is>
          <t>Vitro Architectural Glass manufactures a broad range of industry\-leading, energy\-efficient products such as Solarban®, Sungate® and Starphire Ultra\-Clear® glasses. Throughout our storied history, collaboration and innovation have been central to our advancements. Today, the key to our success continues to lie in the strength of our partnerships. With a foundation formed on trust, teamwork and shared excitement, the possibilities for impactful innovations in glass are truly endless.
 With manufacturing facilities throughout the U.S. and Mexico, Vitro Architectural Glass is committed to sustainable manufacturing processes and products. Vitro also operates one of the world’s largest glass research and development facilities in Pittsburgh, PA and has four residential glass fabrication plants in Canada.
 Website: www.vitroglazings.com
 As the Float and Specialty Products Manager, the incumbent will lead the current range of products and define the roadmap for the next generations, focused on Vitro's strategic goal of dominating the Commercial market segment, and improve the Residential and Specialty markets too. The incumbent will translate product strategies into detailed requirements and prototypes by leading the process to effectively define, develop, and launch products.
**Responsibilities Of The Role**
* Lead Float product management, including product development, portfolio offering, discontinuation, and allocation as necessary.
* Lead product management processes, including product development, portfolio offering, discontinuation of products, and allocation in necessary cases.
* Lead specialty products and projects, defined by the Director, Commercial Innovation.
* Define, jointly with the Commercial product Director, product portfolios for the commercial building segment.
* Understand the market's wants and needs while conducting appropriate research to define new product developments.
* Gain a deep understanding of Vitro's customer experience, identify and fill product gaps and generate new ideas that grow market share, improve customer experience and drive growth.
* Create buy\-in for the product vision, both internally and with key external partners.
* Develop product pricing and positioning strategies.
* Translate product strategy into detailed requirements and prototypes.
* Scope and prioritize activities based on business and customer impact.
* Work closely with stakeholders to deliver with quick time\-to\-market and optimal resources.
* Drive product launches that include work with marketing and communications teams, executives, and other product management team members.
* Train internal sales teams to understand the value proposition and sell\-up.
* Gain a clear understanding of product values in the final products.
* Evaluate promotional plans to ensure consistency with product line strategies and clear messaging.
* Act as a product fanatic to build awareness and understanding.
* Represent the company by visiting customers to solicit feedback on company products and services.
**Desired Qualities**
* 5\+ years of relevant work experience in the glass industry.
* Prior experience in Product management, Commercial Sales and/or Architectural/Specification
* Float and value\-added platform products knowledge.
* Should have strong analytical skills and a high proficiency with Microsoft software, namely Excel.
* Strong interpersonal and communication skills and the ability to work under tight deadlines.</t>
        </is>
      </c>
    </row>
    <row r="4">
      <c r="A4" t="inlineStr">
        <is>
          <t>li-4354023324</t>
        </is>
      </c>
      <c r="B4" t="inlineStr">
        <is>
          <t>Product Manager 1</t>
        </is>
      </c>
      <c r="C4" t="inlineStr">
        <is>
          <t>Nasdaq Private Market</t>
        </is>
      </c>
      <c r="D4" t="inlineStr">
        <is>
          <t>linkedin</t>
        </is>
      </c>
      <c r="E4" t="inlineStr"/>
      <c r="F4" t="inlineStr"/>
      <c r="G4" t="inlineStr">
        <is>
          <t>New York, NY</t>
        </is>
      </c>
      <c r="H4" t="inlineStr"/>
      <c r="I4" t="inlineStr">
        <is>
          <t>Nasdaq Private Market ("NPM"), an independent, private company, is the premier provider of secondary liquidity solutions for private securities and offers a marketplace to provide liquidity to individual private company shareholders. NPM provides innovative, end\-to\-end solutions to enable seamless transactions for private companies, private equity and other private assets. The company operates in a fast\-paced fintech environment that is constantly evolving.
**About Nasdaq Private Market** 
 Nasdaq Private Market provides liquidity, wealth and data solutions for private companies, employees, and investors throughout each stage of the pre\-IPO lifecycle. Since inception over a decade ago, NPM has executed more than $60 billion in transactional volume for 200,000\+ individual eligible employee shareholders and investors across 780\+ company\-sponsored liquidity programs. Founded within Nasdaq, Inc. in 2013, today NPM is an independent private company with strategic investments from Nasdaq, Allen \&amp; Company, Bank of America, BNP Paribas, Citi, DRW Venture Capital, Goldman Sachs, HiJoJo Partners, Morgan Stanley, UBS, and Wells Fargo.
 NPM’s primary business lines include Company Solutions, SecondMarket Trading Marketplace, Transfer and Settlement, Tape D® Data and Analytics as well as Wealth Connect. Its Company Solutions business supports private companies using proprietary technology to facilitate tenders, auctions, and pre\-direct listing programs. NPM’s next\-generation SecondMarket® electronic trading marketplace is bringing transparency and efficiency to the block trading of private shares for employees and investors with a model fully aligned with the interests of private companies. Its Transfer and Settlement technology streamlines the complex, burdensome process of post\-match workflows for companies and trading counterparties. NPM’s Tape D® product aims to deliver on the market’s need for actionable insights into trading activity and private company data for investors. Wealth Connect helps identify wealth management resources for shareholders who transact on the NPM platform.
**Learn more at** 
 www.nasdaqprivatemarket.com.
 About the Job
 We are looking for a driven and detail\-oriented Junior Product Manager to join our team. In this role, you’ll be responsible for managing and maintaining the product roadmap, aligning and drafting business requirements, and working closely with key stakeholders to bring impactful products to life.
 Responsibilities
* Draft and organize business requirement documents (BRDs) based on stakeholder input
* Collaborate with design, engineering, and business teams to ensure timely delivery
* Monitor progress using tools like Jira to ensure transparency across teams
* Manage and maintain the product roadmap, ensuring alignment with business goals
* Run and document stakeholder meetings, converting discussions into clear, actionable product requirements
* Support agile development processes and help prioritize features for efficient release cycles
 Qualifications
* 2–3 years of experience as a Product Manager
* Strong experience with tools like Excel, Jira, and PowerPoint
* Excellent written and verbal communication skills
* Understanding of agile development methodologies and iterative software delivery
* Strong organizational skills and attention to detail
 Not Required, But a Plus
* Experience in the financial services or FinTech sector
**Featured Benefits** 
* Medical insurance
* Vision insurance
* Dental insurance
* 401(k)
* Paid paternity leave
* Paid maternity leave
* Commuter benefits
* Disability insurance
- 
*Nasdaq Private Market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t>
        </is>
      </c>
    </row>
    <row r="5">
      <c r="A5" t="inlineStr">
        <is>
          <t>li-4364821902</t>
        </is>
      </c>
      <c r="B5" t="inlineStr">
        <is>
          <t>Senior Product Manager - Merchant Experience</t>
        </is>
      </c>
      <c r="C5" t="inlineStr">
        <is>
          <t>Koalafi</t>
        </is>
      </c>
      <c r="D5" t="inlineStr">
        <is>
          <t>linkedin</t>
        </is>
      </c>
      <c r="E5" t="inlineStr"/>
      <c r="F5" t="inlineStr"/>
      <c r="G5" t="inlineStr">
        <is>
          <t>Arlington, VA</t>
        </is>
      </c>
      <c r="H5" t="inlineStr"/>
      <c r="I5" t="inlineStr">
        <is>
          <t>At Koalafi, we believe in a world where no one has to put an important purchase on hold. That's why we're making it easier for more people to pay for big purchases over time.
 Retailers across the country rely on us to offer flexible lease\-to\-own financing to their non\-prime consumers, while increasing sales and strengthening customer loyalty. Their 2M\+ customers love us because we provide a flexible way for them to make payments and give them an opportunity to improve their credit. Our 200\+ Koalafi teammates enjoy inspiring and challenging work that accelerates their careers.
 Interested in learning more about how we're transforming the financing experience and joining our team?
**What You'll Do**
 At Koalafi, we partner with merchants to offer flexible lease\-to\-own financing to consumers, helping merchants increase sales while giving customers more ways to pay over time. We work with a broad range of merchants, from small businesses to large enterprises, across both brick\-and\-mortar and ecommerce. A strong merchant experience is essential to how easily merchants onboard, how effectively they operate day to day, and how confidently they grow with Koalafi.
 We're looking for a Senior Product Manager to own the merchant experience and underlying merchant platform at Koalafi. In this role, you'll ensure merchants have the access, features, reporting, and reliability they need to be successful. The scope spans merchant\-facing experiences, internal agent experiences, and the backend systems and data foundations that power them.
 This individual contributor role reports directly to the Senior Director of Consumer and Merchant Experience. You'll work closely with a dedicated engineering team and partner tightly with the Merchant Tech Lead.
* Drive improvements to the merchant experience at Koalafi, ensuring merchants have the access, features, reporting, and reliability they need to be successful
* Improve merchant\-facing experiences, including:
+ Merchant access, authentication, and permissions
+ Core merchant portal experiences and workflows
+ Reporting and visibility into applications, performance, and activity
* Improve the agent\-facing tools and backend UI used to support merchants, ensuring internal teams have the context and capabilities they need to serve merchants effectively
* Shape the merchant platform and data foundations that support:
+ Merchant\-facing experiences
+ Agent and operational workflows
+ Use of merchant data across other product teams and systems
* Define product direction that balances usability, business viability, scalability, and system integrity
* Build scalable, self\-serve experiences that work well for most merchants, while allowing for flexibility without unnecessary complexity
 This role requires comfort working across both UI and backend product areas. You'll be accountable for the quality of merchant\-facing experiences as well as the systems and data models that support them.
**How you'll work**
* Partner closely with the Merchant Tech Lead to set direction, make tradeoffs, and deliver high\-quality systems and experiences
* Spend time directly with merchants through discovery, testing, and feedback to understand real needs and pain points
* Work with Sales and Account Management to ensure merchant\-facing products support onboarding, growth, and day\-to\-day operations
* Collaborate with the Application Experience teams where the merchant experience intersects with application flows
* Partner with Product Marketing, Operations, and Support to ensure merchants are well\-supported and informed, without directly owning training or enablement tools
* Turn merchant and business needs into clear priorities, requirements, and roadmaps
**About You**
* 5\+ years of product management experience, ideally in B2B SaaS or merchant platforms
* Experience owning both UI\-heavy product experiences and backend systems or data models
* Strong product judgment and comfort making tradeoffs between speed, quality, and scalability
* Experience conducting direct customer discovery and translating insights into shipped products
* Ability to operate effectively in a cross\-functional environment with multiple stakeholders
* Ability to communicate with a variety of technical and non\-technical stakeholders
* Experience successfully working directly with Sales team stakeholders
* Experience with reporting, dashboards, or data\-rich product areas
* Pragmatic, execution\-focused approach with the ability to think beyond immediate delivery
* Location Requirement: This position requires regular in\-person attendance at one of our two office locations (Richmond, VA or Arlington, VA). Candidates must already be located within a commutable distance to either location, as relocation assistance is not available at this time.
**Why choose Koalafi:** 
 A career at Koalafi means opportunities to tackle exciting challenges every single day. We take pride in a culture of innovation, trust, and ownership. You'll get outside your comfort zone, build meaningful relationships, and most of all, take charge of projects that ultimately help people get the things they need most.
**Benefits:**
 At Koalafi, you will have a direct impact on our products and help shape the company's success. We offer competitive compensation \&amp; benefits packages to keep you at your best:
* Comprehensive medical, dental, and vision coverage
* 20 PTO days \+ 11 paid holidays
* 401(k) retirement with company matching
* Student Loan \&amp; Tuition Reimbursement
* Commuter assistance
* Parental leave (maternal \+ paternal)
* Inclusion and Associate Engagement Programs
**Who we are \&amp; what we value:**
* We focus on what's most important
* We set clear expectations and deliver
* We embrace challenges to reach our full potential
* We ask, "How can this be better?"
* We move fast together</t>
        </is>
      </c>
    </row>
    <row r="6">
      <c r="A6" t="inlineStr">
        <is>
          <t>li-4330752647</t>
        </is>
      </c>
      <c r="B6" t="inlineStr">
        <is>
          <t>Product Manager</t>
        </is>
      </c>
      <c r="C6" t="inlineStr">
        <is>
          <t>AUI™ (Augmented Intelligence)</t>
        </is>
      </c>
      <c r="D6" t="inlineStr">
        <is>
          <t>linkedin</t>
        </is>
      </c>
      <c r="E6" t="inlineStr"/>
      <c r="F6" t="inlineStr"/>
      <c r="G6" t="inlineStr">
        <is>
          <t>New York, United States</t>
        </is>
      </c>
      <c r="H6" t="inlineStr"/>
      <c r="I6" t="inlineStr">
        <is>
          <t>**About Us** 
 At AUI, we’re thrilled to introduce you to
 **Apollo‑1** 
 . Apollo\-1 is our breakthrough neuro\-symbolic foundation model for conversational agents, enabling native tool\-use, fine\-tuning, and continuous evolution from human feedback.
 Based in New York and Tel Aviv, AUI is a
 **$750 million** 
 startup and over the past eight years has worked hand\-in\-hand with 60,000 human agents to build our breakthrough architecture.
**The Role: Product Manager** 
 We’re looking for a passionate and ambitious Product Manager to help shape the future of AI. You’ll play a crucial role in translating Apollo\-1’s advanced capabilities into market\-ready products and features.
**What You’ll Do:** 
* Lead product strategy and innovation, bridging the gap between Apollo\-1’s technical capabilities and market needs
* Define product road\-maps and prioritise features that leverage Apollo\-1’s unique neuro\-symbolic architecture
* Collaborate with research, engineering and business teams to bring AI\-powered products to market
* Gather and analyse user feedback to continuously improve our products
* Stay abreast of AI industry trends and competitive landscape
* Become an expert in Apollo\-1’s capabilities, including fine\-tuning for agents and native tool\-use
**Who We’re Looking For:** 
* Someone passionate about AI’s future and its practical applications
* A strategic thinker who can envision how cutting\-edge AI can solve real\-world problems
* A person skilled at translating complex technical capabilities into user\-friendly products
- 
**Requirements:** 
* 5\+ years of product management experience, preferably in AI or related technologies
* Strong technical background with the ability to understand and communicate complex AI concepts
* Experience in bringing innovative products from concept to market
* Excellent analytical skills for data\-driven decision making
* Strong communication skills to work effectively with both technical and non\-technical stakeholders
* Ability to thrive in a fast\-paced startup environment
- 
 If you’re excited about shaping the future of conversational AI and want to be at the forefront of bringing this technology to market, we want to hear from you.</t>
        </is>
      </c>
    </row>
    <row r="7">
      <c r="A7" t="inlineStr">
        <is>
          <t>li-4358570474</t>
        </is>
      </c>
      <c r="B7" t="inlineStr">
        <is>
          <t>Senior Product Manager</t>
        </is>
      </c>
      <c r="C7" t="inlineStr">
        <is>
          <t>MeeruAI</t>
        </is>
      </c>
      <c r="D7" t="inlineStr">
        <is>
          <t>linkedin</t>
        </is>
      </c>
      <c r="E7" t="inlineStr"/>
      <c r="F7" t="inlineStr"/>
      <c r="G7" t="inlineStr">
        <is>
          <t>Pleasanton, CA</t>
        </is>
      </c>
      <c r="H7" t="inlineStr"/>
      <c r="I7" t="inlineStr">
        <is>
          <t>**We are Hiring: Senior Product Manager – Finance \&amp; Accounting (Fulltime, Hybrid)** 
**MeeruAI \| Pleasanton, California** 
 At
 **MeeruAI,** 
 we are building the future of
 **AI\-powered Finance and Accounting** 
 , and we are looking for a
 **Senior Product Manager** 
 to own the roadmap and delivery of our core product capabilities. In this role, you will work closely with finance leaders, designers, engineers, and go\-to\-market teams to define high\-impact problems and ship AI\-driven solutions that deliver measurable customer value.
**What you will do:** 
* Lead discovery with Controllers, CFOs, and finance leaders to deeply understand workflows, pain points, and success metrics for Finance and Accounting AI.
* Own the roadmap for one or more product areas from problem definition through launch and iteration.
* Translate customer and business needs into clear problem statements, product requirements, and detailed user stories.
* Partner closely with Design and Engineering to scope, prioritize, and deliver high\-quality product increments.
* Define and track product KPIs such as adoption, cycle time, user satisfaction, and accuracy or quality metrics.
* Work with GTM and Customer Success to support rollouts, enablement, and ongoing customer success.
* Collaborate with other PMs to ensure a cohesive experience across products and modules.
* Mentor junior PMs and analysts and contribute to product culture and best practices.
**Qualifications:** 
* 5\+ years of experience in Product Management, with at least 3 years in B2B SaaS.
* Direct exposure to operational finance and accounting processes; hands\-on experience in a finance or accounting role is a plus.
* Proven track record of owning a product area end\-to\-end and delivering measurable business impact.
* Strong discovery, communication, and stakeholder management skills.
* Experience partnering with cross\-functional teams across Product, Design, Engineering, and GTM.
* Comfort working in an early\-stage, fast\-changing environment.
* Experience with AI or automation in finance or accounting is a plus.
**Work Location: Hybrid – Pleasanton, CA** 
 This role requires
 **on\-site presence at least three (3\) days per week** 
 in our Pleasanton office.
**Please apply only if you are currently local to the Pleasanton area. Relocation assistance is not available for this role.**</t>
        </is>
      </c>
    </row>
    <row r="8">
      <c r="A8" t="inlineStr">
        <is>
          <t>li-4361951293</t>
        </is>
      </c>
      <c r="B8" t="inlineStr">
        <is>
          <t>Product Manager (B2C)</t>
        </is>
      </c>
      <c r="C8" t="inlineStr">
        <is>
          <t>Avenue Code</t>
        </is>
      </c>
      <c r="D8" t="inlineStr">
        <is>
          <t>linkedin</t>
        </is>
      </c>
      <c r="E8" t="inlineStr"/>
      <c r="F8" t="inlineStr"/>
      <c r="G8" t="inlineStr"/>
      <c r="H8" t="inlineStr"/>
      <c r="I8" t="inlineStr">
        <is>
          <t>**About The Opportunity**
**About The Opportunity**
 Avenue Code is seeking a Product Manager to join the team. As a Product Manager, you’ll own the vision, strategy, and roadmap driving growth, engagement, and a best\-in\-class shopping experience for customers.
**This opportunity is Hybrid based out of San Mateo, CA or Miramar, FL.**
**Responsibilities**
**Responsibilities**
* Own the end\-to\-end product lifecycle — from idea to launch and beyond.
* Define and execute the product vision to deliver measurable business impact.
* Use data, customer insights, and experimentation to improve conversion and engagement.
* Partner closely with design, engineering, and marketing to craft seamless desktop and mobile experiences.
* Track KPIs and learn fast through A/B testing and rapid iteration.
**Requirements**
 Required Qualifications:
* 4\+ years of product management experience in eCommerce or consumer digital products.
* Strong analytical, strategic, and communication skills.
* Experience in cross\-functional teams and delivering impact in agile environments.
* Passion for sports, fandom, and building amazing customer experiences.
* BA/BS required; MBA a plus.
**Nice To Have Skills**
*Avenue Code discloses salary range information based on our commitment to fairness and transparency. We consider a wide range of factors such as internal equity, geographic location, relevant education, qualifications, certifications, experience, skills, seniority, business or organizational needs, and others. At Avenue Code, it is not typical for an individual to be hired at or near the top of the range for their role, and compensation decisions are dependent on the facts and circumstances of each case. A reasonable estimate of the current range for a Product Manager is up to $90/hour.*
*Avenue Code reinforces its commitment to privacy and to all the principles guaranteed by the most accurate global data protection laws, such as GDPR, LGPD, CCPA and CPRA. The Candidate data shared with Avenue Code will be kept confidential and will not be transmitted to disinterested third parties, nor will it be used for purposes other than the application for open positions. As a Consultancy company, Avenue Code may share your information with its clients and other Companies from the CompassUol Group to which Avenue Code’s consultants are allocated to perform its services.*</t>
        </is>
      </c>
    </row>
    <row r="9">
      <c r="A9" t="inlineStr">
        <is>
          <t>li-4362040765</t>
        </is>
      </c>
      <c r="B9" t="inlineStr">
        <is>
          <t>Principal, Product Owner</t>
        </is>
      </c>
      <c r="C9" t="inlineStr">
        <is>
          <t>SoTalent</t>
        </is>
      </c>
      <c r="D9" t="inlineStr">
        <is>
          <t>linkedin</t>
        </is>
      </c>
      <c r="E9" t="inlineStr"/>
      <c r="F9" t="inlineStr"/>
      <c r="G9" t="inlineStr">
        <is>
          <t>Frisco, TX</t>
        </is>
      </c>
      <c r="H9" t="inlineStr"/>
      <c r="I9" t="inlineStr">
        <is>
          <t>**Job Title : principal, Product Owner** 
**Location : Frisco, Texas, United States** 
**Type : Full Type** 
**Job Summary** 
 Our client is seeking a senior data and platform leader to drive the delivery of enterprise\-scale data capabilities that enable advanced analytics and AI initiatives. This role focuses on transforming complex business requirements into scalable, governed data solutions while partnering closely with technical and business stakeholders across the organization.
 The ideal candidate brings a strong execution mindset, deep experience in data platforms, and a passion for enabling AI\-ready data ecosystems.
**Key Responsibilities** 
 Enterprise Data Platform Delivery
* Lead the delivery of platform features that support large\-scale data ingestion, profiling, and domain\-oriented data ownership
* Implement layered data architectures to enable scalable, governed, and reusable data pipelines
* Convert business objectives into prioritized roadmaps, backlogs, and sprint plans that accelerate analytics and AI adoption
 Intelligent DataOps Enablement
* Drive the implementation of AI\-enabled DataOps capabilities such as automated governance, data quality monitoring, and intelligent metadata discovery
* Partner with engineering and architecture teams to deliver robust ingestion pipelines and domain\-aligned data products
 Domain Enablement \&amp; Data Marketplace Collaboration
* Empower data owners and stewards with tools to manage, curate, and activate their data assets
* Collaborate with enterprise data marketplace teams to ensure discoverability and usability of trusted data products
 Stakeholder \&amp; Cross\-Functional Collaboration
* Engage business leaders, data stewards, and technical teams to align on data access, governance, and platform priorities
* Facilitate cross\-functional delivery of high\-value data products while maintaining strong stakeholder satisfaction
 Governance \&amp; Compliance
* Ensure strong metadata management, lineage visibility, and policy enforcement across enterprise data domains
* Partner with data governance leadership to align platform capabilities with regulatory and organizational standards
**Required Qualifications** 
* Bachelor’s degree in Computer Science, Information Technology, Business Administration, or equivalent professional experience
* 7\+ years of experience in data engineering, data platform delivery, product management, or related roles
* Proven background working across business, technology, and operational teams in complex environments
* Strong expertise in Agile delivery, backlog prioritization, and user\-centered product development
* Experience with modern data platforms and governance tools such as Snowflake, Databricks, Informatica, Alation, or Collibra
**Compensation \&amp; Benefits** 
* Salary range: $130,000 – $180,000, depending on experience and qualifications
* Comprehensive benefits package including medical, dental, vision, disability coverage, paid time off, parental leave, 401(k) with company match, tuition reimbursement, and mileage reimbursement
* Annual performance\-based bonus eligibility</t>
        </is>
      </c>
    </row>
    <row r="10">
      <c r="A10" t="inlineStr">
        <is>
          <t>li-4361951157</t>
        </is>
      </c>
      <c r="B10" t="inlineStr">
        <is>
          <t>Technical Product Manager</t>
        </is>
      </c>
      <c r="C10" t="inlineStr">
        <is>
          <t>Energy CX</t>
        </is>
      </c>
      <c r="D10" t="inlineStr">
        <is>
          <t>linkedin</t>
        </is>
      </c>
      <c r="E10" t="inlineStr"/>
      <c r="F10" t="inlineStr"/>
      <c r="G10" t="inlineStr">
        <is>
          <t>Chicago, IL</t>
        </is>
      </c>
      <c r="H10" t="inlineStr"/>
      <c r="I10" t="inlineStr">
        <is>
          <t>**About Energy CX**
 Energy CX is redefining the energy brokerage industry as the fastest\-growing player in the US. By bringing cutting\-edge technology, advanced analytics, and innovative solutions, we are disrupting a space that has operated in the dark for too long.
**Why Energy CX?**
* Recession proof industry
* Entrepreneurial and ambitious culture with a great team oriented environment
* Fastest growing energy broker in the country
* Recognized by Fortune and Great Places to work US
* Named on Inc 5000’s list of America’s fastest growing companies
**Compensation**
* On target earnings → $115,000 to $200,000
 The expected salary range above may vary based on qualifications and experience.
**Title: Technical** 
 Product Manager
**About This Job**
 We're looking for a Product Manager to own and optimize our internal business systems during a critical high\-growth phase. You'll be the bridge between our business teams and technology by documenting processes, gathering requirements from across the organization, and driving the roadmap for our CRM, business intelligence tools, and enterprise applications.
 This role is essential to ensuring our internal systems scale efficiently while staying aligned with our customer\-facing product initiatives. As we scale, the systems you build and optimize will have direct impact on the entire organization and enable us to move faster and work smarter.
**What You'll Do**
* Own the internal product roadmap for business systems including CRMs and enterprise apps—balancing immediate needs with long\-term scalability
* Partner with department leaders across Accounting, Customer Success, Customer Support, Marketing, Operations, and Sales to identify pain points, gather requirements, and prioritize system improvements
* Document current processes and systems to create a single source of truth that enables efficient scaling and knowledge transfer
* Write detailed product requirements and work closely with our engineering team to deliver features that drive measurable productivity gains
* Ensure seamless integration across our tech stack by eliminating data silos, reducing manual workarounds, and optimizing cross\-system workflows
* Drive adoption and change management by validating that solutions meet business needs and deliver expected outcomes without causing disruptions
* Maintain strategic alignment between internal systems capabilities and external product roadmap to prevent bottlenecks
**What We're Looking For**
* 5\+ years of product management experience, with at least 2 years focused on internal tools and business systems
* Strong technical acumen—you understand system architectures, APIs, SQL, and integration patterns. Bonus: you have hands\-on technical experience
* Excellent stakeholder management—you excel at setting clear expectations and deadlines, understand how to prioritize quick wins while building for scale, communicate effectively and proactively, and keep everyone at the org aligned
* Experience with CRM platforms (Salesforce \&amp; Hubspot preferred) and enterprise systems
* Data\-driven mindset—you define success metrics and use data to prioritize and validate decisions
* Self\-starter mentality—you thrive in fast\-paced, high\-growth environments where you need to figure things out independently
**ECX Benefits**
**PTO**
* 15 days but highly flexible
* All major holidays
+ Half day on the Wednesday before Thanksgiving
- Thursday \&amp; following Friday fully off
+ 12/24 \- 1/2 Company break (Subject to be longer, but at minimum, all employees can expect this time off)
**Insurance**
* Health \- We cover 50% of your monthly premium cost
* Dental \- We cover 50% of your monthly premium cost
* Vision \- We cover 50% of your monthly premium cost
* Basic Term Life \&amp; AD\&amp;D insurance policy\- We cover 100%
**401(K)**
* Employer match 20% of total contribution on up to 5% of salary
**Additional**
* Work from home on Fridays
* 20 work from home days per year (in addition to WFH Fridays)
* Wednesday catered lunches
* Gym membership at on\-site gym facilities
* Frequent company events
**Energy CX Company Culture**
 Our culture is not for everyone. It is designed for people who want to grow fast, take ownership and raise the bar every day.
 At Energy CX, we don’t just work—we challenge each other to solve hard problems, innovate boldly and keep improving. We believe in personal growth, extreme accountability and building a team of exceptional people who push one another to be better.
 We live by
 **The Four Forces of Innovation** 
 — the levers that power innovation at scale:
**Higher Standards \-** 
**Raise the Bar**
 Excellence isn’t reserved for launches or headlines. It’s how we communicate, plan, and follow through.
 We value ownership, prioritization, focus, discipline, effective communication, action, efficiency, resourcefulness and maximizing value.
**Innovate It \-** 
**Think Differently**
 Innovation isn’t about flashy ideas, it’s about taking on new challenges and outgrowing what no longer serves. At Energy CX, we are experimenting constantly and building what the customer actually needs—especially when it breaks what came before.
 We value curiosity, experimentation, collaboration, bold thinking, long\-term vision, customer centricity and simplicity.
**Continuous Growth \-** 
**Better Every Day**
 Growth is not perfection – it's our commitment to get better every single day. No matter how successful we become, we stay open, driven and aware that mastery is a process. We improve with feedback and through failures.
 We value grit, transparency, resilience, fulfillment, constant learning, and being one team.
**Do Good \-** 
**Leave It Better**
 Doing good is about serving others and creating lasting impact. The good we do doesn't usually return to us directly – and that's the point. We believe that every system we strengthen, every teammate we invest in and every customer we guide creates an impact we may never see. But we do it anyway because our work extends far beyond today.
 We value humility, community, kindness and leaving every person and project better than we found them.
**The Deal at Energy CX**
 Our culture rewards personal growth and performance. If you want comfort, predictability or an easy path, this isn’t the place for you. If you want to push boundaries, grow faster than you thought possible and help reinvent how the world buys energy, you’ll thrive here.
 We are seeking exceptional individuals to join us.
**Hiring Scam Alert:** 
 All official communication regarding job opportunities at EnergyCX will come from an @energycx.com email address. We will never ask for personal information, payment, or sensitive data through unofficial channels. If you receive any suspicious emails claiming to be from EnergyCX but using a different domain, please disregard them and report the incident to us.</t>
        </is>
      </c>
    </row>
    <row r="11">
      <c r="A11" t="inlineStr">
        <is>
          <t>li-4342587190</t>
        </is>
      </c>
      <c r="B11" t="inlineStr">
        <is>
          <t>Product Manager, New Guest Experience</t>
        </is>
      </c>
      <c r="C11" t="inlineStr">
        <is>
          <t>Airbnb</t>
        </is>
      </c>
      <c r="D11" t="inlineStr">
        <is>
          <t>linkedin</t>
        </is>
      </c>
      <c r="E11" t="inlineStr"/>
      <c r="F11" t="inlineStr"/>
      <c r="G11" t="inlineStr"/>
      <c r="H11" t="inlineStr"/>
      <c r="I11"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Managers imagine the ideal experience for our community and work backwards, creating innovative products that delight our guests and hosts. They deeply understand the needs of our users and translate these into a strategy that combines strong product thinking and deep research. They partner with talented cross\-functional team members across engineering, design, operations, data science, and more, leading teams to execute a shared vision. They are incredibly detail\-oriented and hands on.
**The Difference You Will Make**
 We are seeking an exceptional product leader to drive the next generation of Airbnb’s growth and new guest experiences. In this pivotal role, you’ll redefine the new guest experience on Airbnb and make it easy for anyone to make their first booking.
 You’ll partner closely with design, engineering, marketing, and data teams to define and execute our growth strategy, innovate ways to increase Airbnb’s visibility across search engines and emerging AI platforms, and work across the entire guest experience from marketing to in\-app to ensure more guests find Airbnb and have a frictionless first booking on Airbnb.
**A Typical Day**
* Lead the product vision, strategy, and roadmap for growth and new guest experience, driving key business outcomes across first time booking, SEO/GEO, and marketing integrations.
* Partner with marketing, engineering, and design to bridge growth channels and our in\-app guest journey, ensuring seamless handoff and optimized conversion.
* Own \&amp; optimize the first\-time guests experience, driving improvements that increase first\-time bookers and graduate towards loyal guests.
* Drive SEO and AI visibility initiatives, increasing Airbnb’s reach and relevance in search results and AI\-powered discovery tools.
* Consolidate and enhance lifecycle campaigns (emails, push, SMS) and landing page integrations for optimal guest experience and conversion.
* Craft the product narrative and marketing strategies that communicate the benefits and features of these products both internally and externally.
* Develop product roadmaps and build alignment across product teams (Tech, Design), cross\-functional partners (FP\&amp;A, Marketing, Global Operations, Customer Experience, Trust, etc.) and Leadership/Executive team.
* Inspire teams, leadership, and the company to support the success of your products and business outcomes.
* Define goals and success with clearly measurable objectives and key results.
**Your Expertise**
* 8\+ years of product management experience, ideally in consumer growth and marketing technology.
* Proven success driving SEO/GEO and digital visibility.
* Experience creating product messaging and delivering to customers and the media.
* Demonstrated track record of building cross\-functional and executive leadership alignment.
* Experience working on consumer products with marketplace dynamic on a global scale.
* Excited to drive execution across large cross\-functional teams in a fast\-paced environment.
* Desire to do individual contributor product management work.
**Your Location:**
**We are open to candidates in multiple locations, but we ask that you are able to work Pacific Time Zone work hours as needed.**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$194,000—$239,000 USD</t>
        </is>
      </c>
    </row>
    <row r="12">
      <c r="A12" t="inlineStr">
        <is>
          <t>li-4364672152</t>
        </is>
      </c>
      <c r="B12" t="inlineStr">
        <is>
          <t>Product Manager</t>
        </is>
      </c>
      <c r="C12" t="inlineStr">
        <is>
          <t>CENTRL Inc</t>
        </is>
      </c>
      <c r="D12" t="inlineStr">
        <is>
          <t>linkedin</t>
        </is>
      </c>
      <c r="E12" t="inlineStr"/>
      <c r="F12" t="inlineStr"/>
      <c r="G12" t="inlineStr">
        <is>
          <t>Mountain View, CA</t>
        </is>
      </c>
      <c r="H12" t="inlineStr"/>
      <c r="I12" t="inlineStr">
        <is>
          <t>CENTRL is a super\-fast growing Silicon Valley technology AI company for Automating Diligence \&amp; DDQ/RFP Response for Investment Managers, Banks, and Corporates with offices in the SF Bay Area, NY, Australia and India. CENTRL’s clients include leading companies around the world including several Fortune 500 firms. CENTRL is led by a highly experienced management team with a proven track record.
 We’re looking for a Product Manager to own a core product area end\-to\-end, with direct responsibility for AI\-powered features. This role sits at the intersection of customers, engineering, data, and go\-to\-market teams. You’ll define the product vision, manage the roadmap, and translate real customer problems into scalable, AI\-driven solutions. This is a hands\-on role for someone who combines strong technical acumen with excellent client\-facing skills
**This position is based out of the Mountain View, CA office.** 
**Responsibilities** 
* Own the product vision, roadmap, and backlog for a defined product area, including AI\-powered capabilities
* Identify customer and market needs through client conversations, feedback, research, and data analysis
* Partner closely with engineering to translate capabilities into clear product requirements, user stories, and acceptance criteria
* Balance customer value, model capabilities, data constraints, and engineering complexity when making product tradeoffs
* Establish success metrics for AI features, including adoption, accuracy, performance, and business impact
* Collaborate with sales and client\-facing teams to support demos, pilots/POCs, and customer discussions
* Contribute to product documentation, demo assets, and sales collateral
* Use data and analytics to continuously evaluate product performance and inform roadmap decisions
* Stay current on AI and emerging technologies and help apply them meaningfully within the product
**Minimum Qualifications** 
* 3–5 years of experience in Product Management or Technical Product Management (required)
* Proven experience building and scaling enterprise B2B SaaS products (required)
* Bachelor’s degree in Computer Science, Engineering, or equivalent practical experience (required)
* Strong technical understanding and ability to work effectively with engineering teams
* Experience delivering AI\-powered features in a production B2B SaaS environment
* Comfortable working directly with clients and presenting to external stakeholders
* Self\-starter with a strong sense of ownership and accountability
**What We Offer** 
* Competitive salary, performance bonus, and company equity
* Comprehensive benefits including 401(k), medical, dental, and vision
* Generous PTO
* Opportunity to work on cutting\-edge AI and modern SaaS technologies
* High\-impact role with visibility across product, engineering, sales, and customers</t>
        </is>
      </c>
    </row>
    <row r="13">
      <c r="A13" t="inlineStr">
        <is>
          <t>li-4342567779</t>
        </is>
      </c>
      <c r="B13" t="inlineStr">
        <is>
          <t>Senior Product Manager, US</t>
        </is>
      </c>
      <c r="C13" t="inlineStr">
        <is>
          <t>West Monroe</t>
        </is>
      </c>
      <c r="D13" t="inlineStr">
        <is>
          <t>linkedin</t>
        </is>
      </c>
      <c r="E13" t="inlineStr"/>
      <c r="F13" t="inlineStr"/>
      <c r="G13" t="inlineStr">
        <is>
          <t>New York, United States</t>
        </is>
      </c>
      <c r="H13" t="inlineStr"/>
      <c r="I13" t="inlineStr">
        <is>
          <t>**Are you ready to make an impact?**
 West Monroe is seeking a Senior Product Manager to join the Technology and Experience practice in one of our US offices.
 This role will involve collaborating with client stakeholders across a variety of industries to understand and define functional requirements, write user stories, participate in backlog grooming, plan sprints and releases, and validate whether developed features and capabilities satisfy acceptance criteria and metric goals. You’ll be involved throughout the software development lifecycle: from initial scoping, through detailed requirements gathering, and finally to validation of functionality and deliverables, working in collaboration with development teams to deliver solutions.
 This is an exciting opportunity that will present the challenge of understanding client business problems and enabling our technical consultants to consistently develop and deliver solutions, including leveraging AI technologies to drive innovation and optimize business outcomes.
**Responsibilities**
* Work with key stakeholders and client personnel to understand and translate broad business goals and user pain points into detailed requirements, including identifying opportunities to leverage AI tools and techniques.
* Develop user stories and map process flows to support the design and development of software solutions for diverse, enterprise companies, incorporating AI\-driven features and capabilities where applicable.
* Collaborate with client business/technology departments and West Monroe software engineering consultants to develop solutions that meet business requirements, including those that utilize machine learning models, natural language processing (NLP), and predictive analytics.
* Work with key stakeholders to prioritize features based on business value, development effort, and potential impact of AI\-powered functionalities.
* Plan deployment and rollout of functionality to users in collaboration with client stakeholders and West Monroe software engineering consultants, ensuring proper integration of AI solutions and tools.
* Identify and address process pain points during the SDLC, including opportunities to automate workflows or enhance decision\-making using AI technologies.
* Add to, groom, and assist in continuously refining product backlogs within an Agile/Scrum team environment, ensuring AI\-related features are properly scoped and prioritized.
* Track development team milestones using project/product lifecycle management software, including monitoring the performance of AI models and ensuring alignment with business goals.
**Qualifications**
* Bachelor’s degree in relevant field preferred, or equivalent experience required.
* Consulting firm/industry experience preferred.
* 5\-7\+ years of experience working in a technical business analyst or product management capacity, supporting SDLC teams and feature releases.
* Well\-versed in authoring business/technical requirements and high\-quality user stories with the ability to analyze, understand, and prioritize business problems, including those related to AI and data\-driven solutions.
* Experience working in an Agile/Scrum sprint\-based environment with a deep understanding of methodology concepts, techniques, and ceremonies.
* Proficient in the use of PM tools like Jira for managing and tracking Scrum projects, including managing AI\-related tasks and tracking the performance of AI\-powered solutions.
* Familiarity with AI technologies, frameworks, and tools such as TensorFlow, PyTorch, Azure AI, AWS AI, or Google Cloud AI is a plus.
* Ability to work with data scientists and engineers to define requirements for AI models and ensure proper integration into software products.
* Understanding of key AI concepts such as supervised/unsupervised learning, NLP, computer vision, and predictive analytics.
* Ability to multi\-task and demonstrate a strong desire to take on new tasks and learn new things, including staying up\-to\-date with advancements in AI technologies.
* Strong written and oral communication, analytical skills, and problem\-solving capability, including the ability to explain AI concepts to non\-technical stakeholders.
 Based on pay transparency guidelines, the salary range for this role can vary based on your proximity to one of our West Monroe offices (see table below). Information on our competitive total rewards package, including our bonus structure and benefits is here. Individual salaries are determined by evaluating a variety of factors including geography, experience, skills, education, and internal equity.
 Employees (and their families) are covered by medical, dental, vision, and basic life insurance. Employees are able to enroll in our company’s 401k plan, purchase shares from our employee stock ownership program and be eligible to receive annual bonuses. Employees will also receive unlimited flexible time off and ten paid holidays throughout the calendar year. Eligibility for ten weeks of paid parental leave will also be available upon hire date.
 Seattle or Washington, D.C.
 $116,000—$136,500 USD
 Los Angeles
 $121,600—$143,000 USD
 New York City or San Francisco
 $127,100—$149,500 USD
 A location not listed above
 $110,500—$130,000 USD
 Other consultancies talk at you.
 At West Monroe, we work with you.
 We’re a global business and technology consulting firm passionate about creating measurable value for our clients, delivering real\-world solutions.
 The combination of business and technology is not new, but how we bring them together is unique. We’re fluent in both. We know that technology alone is not the answer, but how we apply it is. We rely on data to constantly adapt and solve new challenges. Actions that work today with outcomes that generate value for years to come.
 At West Monroe, we zero in on the heart of the opportunity, getting to results faster and preparing people for what’s next.
 You’ll feel the difference in how we work. We show up personally. We’re right there in the room with you, co\-creating through the challenges. With West Monroe, collaboration isn’t a lofty promise, but a daily action. We work together with you to turn vision into clear action with lasting impact.
**West Monroe** 
**is an Equal Employment Opportunity Employer**
 We believe in treating each employee and applicant for employment fairly and with dignity. We base our employment decisions on merit, experience, and potential, without regard to race, color, national origin, sex, sexual orientation, gender identity, marital status, age, religion, disability, veteran status, or any other characteristic prohibited by federal, state or local law. To learn more about diversity, equity and inclusion at West Monroe, visit www.westmonroe.com/inclusion. If you require a reasonable accommodation to participate in our recruiting process, please inquire by sending an email to recruiting@westmonroe.com.
 Please review our current policy regarding use of generative artificial intelligence during the application process.
 If you are based in California, we encourage you to read West Monroe’s Notice at Collection for California residents, provided pursuant to the California Consumer Privacy Act (CCPA) and linked here.</t>
        </is>
      </c>
    </row>
    <row r="14">
      <c r="A14" t="inlineStr">
        <is>
          <t>li-4362020780</t>
        </is>
      </c>
      <c r="B14" t="inlineStr">
        <is>
          <t>Senior Product Manager</t>
        </is>
      </c>
      <c r="C14" t="inlineStr">
        <is>
          <t>iO Associates</t>
        </is>
      </c>
      <c r="D14" t="inlineStr">
        <is>
          <t>linkedin</t>
        </is>
      </c>
      <c r="E14" t="inlineStr"/>
      <c r="F14" t="inlineStr"/>
      <c r="G14" t="inlineStr">
        <is>
          <t>Austin, TX</t>
        </is>
      </c>
      <c r="H14" t="inlineStr"/>
      <c r="I14" t="inlineStr">
        <is>
          <t>**Senior Product Manager** 
**Location:** 
 100% On Site
**Address:** 
 Austin, TX 78701
**Duration:** 
 FTE/Direct Hire
**Product Manager** 
 Our Client is seeking a highly skilled Product Manager to research, develop, and own the roadmap for multiple product lines. This role is ideal for someone with a strong track record of delivering impactful technology solutions that drive measurable business outcomes. You will work closely with cross\-functional teams and have the opportunity to make a meaningful impact within a fast\-growing, early\-stage technology environment.
**Responsibilities** 
* Own the product vision and roadmap, including identifying market opportunities, conducting user research, and defining strategic direction.
* Drive key outcomes such as user conversion, product adoption, and delivery of new product capabilities.
* Collaborate with engineering, design, and product marketing to translate product vision into actionable features.
* Balance business objectives, user needs, and technical feasibility to prioritize initiatives and ensure timely delivery.
* Champion user\-centric design principles to create intuitive, secure, and scalable digital experiences.
* Track product performance using key metrics; analyze user behavior and leverage data to guide product decisions.
* Communicate product vision, progress, and challenges clearly to internal stakeholders and external partners.
**Requirements** 
* 5\+ years of experience in Product Management, preferably in startup or high\-growth environments.
* Proven experience launching and managing digital products end\-to\-end.
* Strong analytical mindset with data\-driven decision\-making skills.
* Excellent communication, collaboration, and stakeholder management abilities.
* Ability to manage multiple priorities and work independently in a fast\-paced setting.
* Passion for innovation and improving customer experience through technology.
**Nice to Have** 
* Experience working in regulated industries.
* Background delivering fintech, proptech, or similar products.
* Experience within B2B SaaS organizations.
**Compensation \&amp; Benefits** 
* Competitive compensation package
* Equity participation
* Comprehensive health benefits
* Flexible paid time off
* Retirement plan with employer contribution
* Parental leave
* Professional development and team engagement opportunities</t>
        </is>
      </c>
    </row>
    <row r="15">
      <c r="A15" t="inlineStr">
        <is>
          <t>li-4311396930</t>
        </is>
      </c>
      <c r="B15" t="inlineStr">
        <is>
          <t>Product Manager</t>
        </is>
      </c>
      <c r="C15" t="inlineStr">
        <is>
          <t>Tenna</t>
        </is>
      </c>
      <c r="D15" t="inlineStr">
        <is>
          <t>linkedin</t>
        </is>
      </c>
      <c r="E15" t="inlineStr"/>
      <c r="F15" t="inlineStr"/>
      <c r="G15" t="inlineStr"/>
      <c r="H15" t="inlineStr"/>
      <c r="I15" t="inlineStr">
        <is>
          <t>**Position Description** 
 Tenna is searching for a Product Manager who will support our product vision and roadmap, while providing clear direction to a cross\-functional team of Software/Hardware Engineers and Designers. As a Product Manager, you will work closely with Engineering to translate detailed concepts into features, requirements, and acceptance criteria. If you are a creative problem solver, obsessed with capturing the voice of our customers, enjoy rolling up your sleeves to get the job done, and possess a passion for IoT – this might be the role for you..
**Why Tenna?** 
 At Tenna, we believe the best is right in front of all of us, and that each day holds more potential than the one before. We believe that every new discovery can lead to something better than we thought possible. When we boil it down, the top five qualities that define the Tenna Team are quality\-obsessed, gritty, continuous learners, collaborative problem solvers, and just plain awesome. Sound like you?
 Join us
 as we empower our customers to control their mixed assets anytime, anywhere, on one comprehensive platform. Apply now!
**Responsibilities** 
* Leads and manages the entire feature and product lifecycle from planning, development, and launch.
* Manages the iterative lifecycle of our product from idea conception to production including: scope, defining specifications, prioritization, design, implementation, user acceptance testing, quality assurance, deployment, and maintenance.
* Creates product specifications as needed: wireframes with support from Design, process workflows, state transition diagrams, copy decks, acceptance test plans, user stories and acceptance criteria, and personas.
* Defines and prioritizes the product backlog translating high\-level requirements into user stories, and performs acceptance testing on a rolling basis throughout each product iteration.
* Champions our product internally and externally by pushing for rapid adoption.
* Defines clear goals and KPIs around customer value and drives strategies to achieve them.
* Captures the voice of our customers by actively engaging in end\-user research, understanding end\-user goals and pain points, and communicating key conclusions/takeaways to internal stakeholders.
* Analyzes quantitative data to determine the most successful strategies and identifies new product opportunities.
* Assesses and makes creative recommendations on business opportunities for improvement in automation and efficiency of our processes.
* Works closely with Design, and Development to define Product Vision, Roadmap, and Release Plans.
* Ensures end\-user adoption and identifies and measures user utility.
* Collaborates with Marketing, Customer Success, and other internal stakeholders to define and execute go\-to\-market activities.
**Qualifications** 
* 7\+ years’ experience in an analytical, product\-focused role.
* 5\+ years’ experience delivering products as a Product Manager.
* 2\+ years’ experience writing user stories, and defining epics.
* 2\+ years' experience writing code is strongly preferred.
* Experience within the construction technology industry or IoT is strongly preferred.
* Experience bringing technology products to market in a fast\-paced environment.
* Proven ability to creatively solve problems, influence product improvements, and interpret business/technical requirements.
* Bachelor’s Degree in Engineering, Computer Science, Design, Information Technology, Economics, or related STEM degree program is required or equivalent.
* Ability to develop clean and targeted documentation, including process flows and standard operating procedures.
* Strong analytical thinking and decision\-making abilities.
* Proven ability to communicate effectively with technical and non\-technical people.
* Demonstrated personal commitment to customers. Sets and exceeds high\-quality standards
**Benefits, Perks, \&amp; Additional Information** 
* Full\-time opportunity.
* Opportunity is remote – nationwide.
* Competitive compensation package.
* Travel is required, up to 20%.
* Robust, low\-cost benefit packages.
* Benefit coverage begins the first date of employment.
* Dependent Care.
* 401k match.
* Employee referral bonuses.</t>
        </is>
      </c>
    </row>
    <row r="16">
      <c r="A16" t="inlineStr">
        <is>
          <t>li-4364653015</t>
        </is>
      </c>
      <c r="B16" t="inlineStr">
        <is>
          <t>Product Manager</t>
        </is>
      </c>
      <c r="C16" t="inlineStr">
        <is>
          <t>Inclusively</t>
        </is>
      </c>
      <c r="D16" t="inlineStr">
        <is>
          <t>linkedin</t>
        </is>
      </c>
      <c r="E16" t="inlineStr"/>
      <c r="F16" t="inlineStr"/>
      <c r="G16" t="inlineStr"/>
      <c r="H16" t="inlineStr"/>
      <c r="I16" t="inlineStr">
        <is>
          <t>**Inclusively is partnering with an insurance technology company to hire a Product Manager. \*\*Please note: this role is NOT an internal position with Inclusively but with the partner company.\*\*** 
**ABOUT INCLUSIVELY** 
 Inclusively is a digital tech platform that empowers job seekers with disabilities, caregivers, and veterans by using Success Enablers–accommodations and personalized workplace modifications that help all job seekers reach their full potential and excel. This includes all disabilities under the ADA, including mental health conditions (e.g. anxiety, depression, PTSD), chronic illnesses (e.g. diabetes, Long COVID), and neurodivergence (e.g. autism, ADHD).
 Create your profile, select Success Enablers, and connect to jobs from our partnered employers who are committed to creating diverse and inclusive teams. When registering, you must acknowledge that this platform is for people with disabilities, caregivers, and veterans
 **. However, Inclusively does not require candidates to disclose their specific disability to join the platform.** 
**Position Overview** 
 Ivans, a division of the company, is seeking a
 **Product Manager** 
 responsible for prioritizing and delivering robust capabilities that allow our business’s platform, which includes systems, services, and codebases, to integrate and transmit data to support current and future Ivans products. The Product Manager will collaborate closely with the Development Team and Product Team to define and manage the vision and roadmap of the platform to drive continued innovation, while evaluating the market and corporate priorities, development timelines, and release readiness with a focus on execution and delivery. As a key member of the team, they will have a critical role in shaping the connectivity and workflows of the platform. If you’re looking for a chance to redefine how the insurance industry connects and transmits data, this is the opportunity for you!
**What You’ll Do** 
* Work with our carriers to identify and document their distribution workflows to prepare analysis for our front\-end Product Managers to influence roadmaps, and tooling to better assist our onboarding \&amp; maintenance processes.
* Work closely with internal stakeholders to understand their needs and gather requirements for new features and enhancements
* Maintain, refine, and prioritize backlog. Define requirements, User stories, and acceptance criteria, and follow agile principles to develop and deliver
* Work with the core product teams to understand the client base, future product direction, and currently identified areas targeted for growth
* Participate in product roadmap/release plan activities to ensure that cross\-product opportunities are identified, planned, and delivered
* Ensure appropriate support processes are in place; track and correct product performance/support problems
* Be an ambassador to the internal team, explaining complex solutions and creating flexible offerings when needed
* Establish key monthly platform measurements to track performance, including revenue, usage in the customer base, sales projections, profitability, product performance, and quality
* Responsible for partnering with other Product Managers to meet release deadlines
* Performs other duties as assigned by the immediate manager or management team.
 We’re looking for someone who:
* Can work remotely or from the company office.
* Ability to travel.
**We’re Excited to Learn More About You** 
 Your experience may include:
* 3 \- 5 years of experience as a Product Manager or Product Owner, in an Agile development environment
* Experience developing product strategies and roadmaps focused on outcomes; utilizing both quantitative and qualitative data to identify opportunities and measure success
* Experience managing and enhancing APIs that internal/external partners and customers use to integrate within their applications.
* Understanding of the content and tools needed by developers to integrate with partner APIs.
* Strong collaborator with strategic planning experience
* Great communicator able to effectively tell the story of technical innovation and get others to share that story
* Demonstrated experience tracking industry trends, technology trends, and the competitive landscape to inform product differentiation
 You may have other skills or credentials, including:
* Insurance or financial industry experience.
* B2B product management experience.
* Knowledge in the use of Project Management methodologies (Agile Scrum, etc.)
* Experience with Jira, Confluence, ReadMe, Swagger, Pendo, or other related tools is helpful.
 Salary Range $90,000 – $120,000 Annually</t>
        </is>
      </c>
    </row>
    <row r="17">
      <c r="A17" t="inlineStr">
        <is>
          <t>li-4342646569</t>
        </is>
      </c>
      <c r="B17" t="inlineStr">
        <is>
          <t>Principal Product Manager</t>
        </is>
      </c>
      <c r="C17" t="inlineStr">
        <is>
          <t>Weave</t>
        </is>
      </c>
      <c r="D17" t="inlineStr">
        <is>
          <t>linkedin</t>
        </is>
      </c>
      <c r="E17" t="inlineStr"/>
      <c r="F17" t="inlineStr"/>
      <c r="G17" t="inlineStr">
        <is>
          <t>Lehi, UT</t>
        </is>
      </c>
      <c r="H17" t="inlineStr"/>
      <c r="I17" t="inlineStr">
        <is>
          <t>At
 **Weave (NASDAQ: WEAV)** 
 , we’re on a mission to elevate the patient experience by giving healthcare practices the tools they need to run more efficiently and meaningfully connect with their patients. With 30,000\+ customers and growing, Weave’s all\-in\-one platform supports every interaction from scheduling and payments to communication and reviews making it easier for healthcare professionals to focus on what matters most: patient care.
 We are looking for a
 **Principal Product Manager** 
 to drive the strategy, roadmap, and execution of integrations across our product suite. You will drive one of Weave’s most critical product areas ensuring reliable data sync, scalable partner connectivity, and continued expansion of supported integrations that power workflows across messaging, scheduling, payments, voice, and AI\-driven automation. In particular, you will focus on developing new surface areas and approaches for Weave to leverage PMS/EHR integrations and new product experiences. You will partner closely with engineering, business development/partnerships, customer success, sales, and compliance to deliver seamless, differentiated integration experiences that increase product adoption, retention, and market expansion.
 What You Will Own
* Define the integration strategy and roadmap for new opportunities across dental, medical, and specialty segments.
* Partner with Business Development on evaluating and negotiating new integration partnerships and data access models.
* Translate customer, partner, and market needs into detailed product requirements, specifications, and success metrics.
* Work with Engineering to build reliable, scalable solutions
* Develop frameworks for integration quality, availability SLAs, monitoring, alerting, and support escalation paths.
* Serve as the internal subject matter expert on PMS/EHR workflows, industry data standards, and interoperability trends.
* Drive cross\-functional launch planning, field enablement, and go\-to\-market communications for new integrations and enhancements.
* Use data to prioritize, measure impact, and continuously improve integration reliability and performance.
* Represent Weave in partner conversations and industry forums to advance interoperability strategy.
 What You Will Need to Accomplish the Job
* 8\+ years of product management experience, with 5\+ years focused on integrations, APIs, or data platform products.
* Experience scaling integration ecosystems at a SaaS or platform company.
* Experience working with REST, gRPC, ETL pipelines, EHR/PMS data, and/or RPA\-driven integrations.
* Demonstrated ability to lead cross\-functional initiatives end\-to\-end—from strategic framing to technical execution to market launch.
* Ability to communicate clearly with executives, engineers, partners, and customers, tailoring message to audience.
* Analytical mindset and fluency with data tools to drive prioritization and performance decision\-making.
* Comfortable operating in fast\-paced environments and balancing strategic planning with hands\-on execution.
* Minimum education: Bachelors degree, ideally in technical (CS, InfoSys, etc) or heavy quantitative (Economics, Physics, Mathematics, etc) domain.
 What Will Make Us Love You
* Experience in dental/medical specific integrations.
* Track record of both working at scale and taking new products 0→1\.
* Experience managing remote teams.
 At Weave, we use Artificial Intelligence (AI) tools to help us work more efficiently and create a smoother candidate experience. AI may assist with things like writing job descriptions, scheduling interviews, or reviewing applications against job\-related criteria. For additional information, please review the External AI Policy Statement available on our Careers page.
 Weave is an equal opportunity employer that is committed to fostering an inclusive workplace where all individuals are valued and supported. We welcome anyone who is hungry to learn, problem\-solve and progress regardless of race, color, ancestry, religion, sex, national origin, sexual orientation, age, citizenship, marital status, disability, gender identity, veteran status, or other applicable legally protected characteristics. If you have a disability or special need that requires accommodation, please let us know.
*All official correspondence will occur through Weave branded email. We will never ask you to share bank account information, cash a check from us, or purchase software or equipment as part of your interview or hiring process.*</t>
        </is>
      </c>
    </row>
    <row r="18">
      <c r="A18" t="inlineStr">
        <is>
          <t>li-4360973388</t>
        </is>
      </c>
      <c r="B18" t="inlineStr">
        <is>
          <t>Product Manager</t>
        </is>
      </c>
      <c r="C18" t="inlineStr">
        <is>
          <t>Emergency University</t>
        </is>
      </c>
      <c r="D18" t="inlineStr">
        <is>
          <t>linkedin</t>
        </is>
      </c>
      <c r="E18" t="inlineStr"/>
      <c r="F18" t="inlineStr"/>
      <c r="G18" t="inlineStr">
        <is>
          <t>Los Angeles, CA</t>
        </is>
      </c>
      <c r="H18" t="inlineStr"/>
      <c r="I18" t="inlineStr">
        <is>
          <t>As a Product Manager, you will be responsible for managing the development, launch, and ongoing support of our online training products. You will work closely with cross\-functional teams, including content creators, developers, and customer support, to ensure the successful delivery of high\-quality products that meet the needs of our customers.
 Key Responsibilities:
* Define and prioritize product features and requirements based on market research, customer feedback, and business objectives
* Collaborate with cross\-functional teams to develop product roadmaps and timelines
* Communicate product vision and updates to internal stakeholders and external customers
* Conduct market research and competitive analysis to identify trends and opportunities
* Work closely with content creators to ensure the development of engaging and effective training materials
* Collaborate with developers to ensure the timely and high\-quality delivery of product features
* Monitor product performance and user feedback to identify areas for improvement
* Develop and implement product launch plans, including marketing and sales strategies
* Provide ongoing support and training to internal teams and external customers on product features and updates
 Qualifications:
* Bachelor's degree in Business, Marketing, or related field
* 3\+ years of experience in product management, preferably in the e\-learning or healthcare industry
* Strong project management skills with the ability to manage multiple projects simultaneously
* Excellent communication and interpersonal skills
* Proven track record of successfully launching and managing products
* Familiarity with agile development methodologies
 Benefits:
* Competitive salary
* Medical, dental, and vision insurance
* 401(k) retirement plan
* Paid time off and holidays
* Career development opportunities
 Join our team and make a difference. Apply now to become our next Product Manager!</t>
        </is>
      </c>
    </row>
    <row r="19">
      <c r="A19" t="inlineStr">
        <is>
          <t>li-4342786750</t>
        </is>
      </c>
      <c r="B19" t="inlineStr">
        <is>
          <t>Sr. Product Manager</t>
        </is>
      </c>
      <c r="C19" t="inlineStr">
        <is>
          <t>AppFolio</t>
        </is>
      </c>
      <c r="D19" t="inlineStr">
        <is>
          <t>linkedin</t>
        </is>
      </c>
      <c r="E19" t="inlineStr"/>
      <c r="F19" t="inlineStr"/>
      <c r="G19" t="inlineStr">
        <is>
          <t>Dallas, TX</t>
        </is>
      </c>
      <c r="H19" t="inlineStr"/>
      <c r="I19" t="inlineStr">
        <is>
          <t>**Description**
 AppFolio is more than a company. We’re a community of dreamers, big thinkers, problem solvers, active listeners, and multipliers. At every opportunity, we set the pace while delivering innovation built to carry real estate into the future. One in which every experience feels effortless, yet meaningful. Where customers are empowered to take on any opportunity. We show up as one team, connected by our values to be a force for good. Because together, we have the power to create extraordinary outcomes for our customers, our communities, and ourselves.
 Who Are We Looking For?
 We are seeking a customer\-obsessed Senior Product Manager to lead the vision, strategy, and execution for our AI Maintenance Product. This role owns the end\-to\-end delivery of new AI capabilities and the strategic development of our maintenance performance analytics. This critical role is centered on leveraging machine learning and predictive analytics to revolutionize how maintenance operations are planned, executed, and optimized for our customers. You will own developing and releasing new workflows for the “Maintenance Performer”, delivering compelling user experiences that provide significant efficiency gains for our customers. This is a high\-impact role that requires a blend of strong AI/ML knowledge, deep customer empathy, and a relentless focus on delivering measurable business value.
 What You’ll Do
* Scale Maintenance Performer capabilities to drive new customers adoption leading to an X% increase by the end of 2026
* Supervise and measure launched products and feed insights back into product development process to drive growth
* Inspire and motivate a team of senior engineers to achieve ambitious outcomes, removing obstacles along the way
* Work closely with cross\-functional teams from engineering, data science, design, marketing, customer success, finance, legal and more
* Contribute to building and delivering on a multi year vision, strategy, and product roadmap
* Understand and influence the roadmaps of other product teams and our broader product strategy
* Clearly communicate product plans, benefits and results, as appropriate, to a spectrum of audiences, from internal partners to APM executives, employees to customers
* Make tradeoff decisions based on technical and business insights and experimentation
* Understand the technical complexities of platform development and enable faster GTM through building with platform components
 What We’re Looking For
* You have a track record of shipping great experiences that lead to discovery and high adoption in a role similar to this one
* You possess a practical understanding of AI/ML fundamentals, enabling you to design experiences that leverage agentic AI
* You are customer\-obsessed and want to spend a ton of time with customers and developers so that you can reduce friction and increase availability across the AppFolio ecosystem
* You know when to rely on intuition and when to rely on data
* You truly care about the business results of what you build, not just the elegance of the technology
* You are an excellent verbal and written communicator
* You’re technical enough that the engineers you work with regularly forget you're a PM
* You thrive in a cross\-functionally collaborative environment. You will work closely with functions like sales, marketing, customer success, engineering, design, and finance.
* You are intellectually curious and fascinated by innovative businesses, how they grow, and the technology they need to accelerate that growth
* You have a deep commitment to craft \&amp; product excellence
 You’ll love this job if you:
* Are adaptable and enjoy change \- we have all the opportunities and challenges an established yet rapidly growing company faces
* Love learning \- our industry and technology space is always evolving, the technologies we support are numerous
* Are intellectually curious and value critical thinking \- the Why behind the What is important to you
* You find crisp paths forward through uncertainty, ambiguity, constraints, and obstacles.
* Focus on outcomes \- Outcomes take priority over outputs
 What We Offer
* This is a high impact role \- you’re contributing directly to the long\-term growth of the product and company
* The team is awesome! Like, really really awesome!
* Work hybrid in SB or SD, or fully remote. The team itself is fully distributed.
* Competitive compensation and equity packages
 Location
 Find out more about our locations by visiting our site.
**Compensation \&amp; Benefits**
 The compensation range that we reasonably expect to pay for this role is: $138,400 \- $173,000 (base).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20">
      <c r="A20" t="inlineStr">
        <is>
          <t>li-4342707443</t>
        </is>
      </c>
      <c r="B20" t="inlineStr">
        <is>
          <t>Sr. Product Manager</t>
        </is>
      </c>
      <c r="C20" t="inlineStr">
        <is>
          <t>AppFolio</t>
        </is>
      </c>
      <c r="D20" t="inlineStr">
        <is>
          <t>linkedin</t>
        </is>
      </c>
      <c r="E20" t="inlineStr"/>
      <c r="F20" t="inlineStr"/>
      <c r="G20" t="inlineStr">
        <is>
          <t>Denver, CO</t>
        </is>
      </c>
      <c r="H20" t="inlineStr"/>
      <c r="I20" t="inlineStr">
        <is>
          <t>**Description**
 AppFolio is more than a company. We’re a community of dreamers, big thinkers, problem solvers, active listeners, and multipliers. At every opportunity, we set the pace while delivering innovation built to carry real estate into the future. One in which every experience feels effortless, yet meaningful. Where customers are empowered to take on any opportunity. We show up as one team, connected by our values to be a force for good. Because together, we have the power to create extraordinary outcomes for our customers, our communities, and ourselves.
 Who Are We Looking For?
 We are seeking a customer\-obsessed Senior Product Manager to lead the vision, strategy, and execution for our AI Maintenance Product. This role owns the end\-to\-end delivery of new AI capabilities and the strategic development of our maintenance performance analytics. This critical role is centered on leveraging machine learning and predictive analytics to revolutionize how maintenance operations are planned, executed, and optimized for our customers. You will own developing and releasing new workflows for the “Maintenance Performer”, delivering compelling user experiences that provide significant efficiency gains for our customers. This is a high\-impact role that requires a blend of strong AI/ML knowledge, deep customer empathy, and a relentless focus on delivering measurable business value.
 What You’ll Do
* Scale Maintenance Performer capabilities to drive new customers adoption leading to an X% increase by the end of 2026
* Supervise and measure launched products and feed insights back into product development process to drive growth
* Inspire and motivate a team of senior engineers to achieve ambitious outcomes, removing obstacles along the way
* Work closely with cross\-functional teams from engineering, data science, design, marketing, customer success, finance, legal and more
* Contribute to building and delivering on a multi year vision, strategy, and product roadmap
* Understand and influence the roadmaps of other product teams and our broader product strategy
* Clearly communicate product plans, benefits and results, as appropriate, to a spectrum of audiences, from internal partners to APM executives, employees to customers
* Make tradeoff decisions based on technical and business insights and experimentation
* Understand the technical complexities of platform development and enable faster GTM through building with platform components
 What We’re Looking For
* You have a track record of shipping great experiences that lead to discovery and high adoption in a role similar to this one
* You possess a practical understanding of AI/ML fundamentals, enabling you to design experiences that leverage agentic AI
* You are customer\-obsessed and want to spend a ton of time with customers and developers so that you can reduce friction and increase availability across the AppFolio ecosystem
* You know when to rely on intuition and when to rely on data
* You truly care about the business results of what you build, not just the elegance of the technology
* You are an excellent verbal and written communicator
* You’re technical enough that the engineers you work with regularly forget you're a PM
* You thrive in a cross\-functionally collaborative environment. You will work closely with functions like sales, marketing, customer success, engineering, design, and finance.
* You are intellectually curious and fascinated by innovative businesses, how they grow, and the technology they need to accelerate that growth
* You have a deep commitment to craft \&amp; product excellence
 You’ll love this job if you:
* Are adaptable and enjoy change \- we have all the opportunities and challenges an established yet rapidly growing company faces
* Love learning \- our industry and technology space is always evolving, the technologies we support are numerous
* Are intellectually curious and value critical thinking \- the Why behind the What is important to you
* You find crisp paths forward through uncertainty, ambiguity, constraints, and obstacles.
* Focus on outcomes \- Outcomes take priority over outputs
 What We Offer
* This is a high impact role \- you’re contributing directly to the long\-term growth of the product and company
* The team is awesome! Like, really really awesome!
* Work hybrid in SB or SD, or fully remote. The team itself is fully distributed.
* Competitive compensation and equity packages
 Location
 Find out more about our locations by visiting our site.
**Compensation \&amp; Benefits**
 The compensation range that we reasonably expect to pay for this role is: $138,400 \- $173,000 (base).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21">
      <c r="A21" t="inlineStr">
        <is>
          <t>li-4329581868</t>
        </is>
      </c>
      <c r="B21" t="inlineStr">
        <is>
          <t>Conversational AI Product Manager</t>
        </is>
      </c>
      <c r="C21" t="inlineStr">
        <is>
          <t>Morgan Stanley</t>
        </is>
      </c>
      <c r="D21" t="inlineStr">
        <is>
          <t>linkedin</t>
        </is>
      </c>
      <c r="E21" t="inlineStr"/>
      <c r="F21" t="inlineStr"/>
      <c r="G21" t="inlineStr">
        <is>
          <t>New York, NY</t>
        </is>
      </c>
      <c r="H21" t="inlineStr"/>
      <c r="I21" t="inlineStr">
        <is>
          <t>Seeking a highly skilled and motivated Program Manager to join our Firmwide GenAI team. The Product Manager will play a crucial role in defining and executing the strategic vision for AI\-powered chatbot solutions that transform how users interact with our platforms.
 This role is highly strategic and hands\-on, focused on leveraging advanced AI technologies – including large language models (LLMs) – to deliver scalable, secure, and human\-centric conversational experiences. You will lead the roadmap for Conversational AI (CAI) innovation, ensuring alignment with business objectives and driving measurable impact across customer and internal workflows.
**Key Responsibilities**
* Project Planning and Execution: Develop and maintain comprehensive project plan for Virtual Assistants (VA) initiatives, including timelines, milestones, and resources. Partner with Fleet Leadership and Product Owners to conduct current state analysis and set strategy.
* Stakeholder Management: Work with internal stakeholders to prioritize key product features and business outcomes in alignment with strategy and budget.
* Product Support: Build and maintain an Engagement \&amp; Adoption strategy and provide support for pilot and business launch.
* Innovate with AI: Design and implement CAI solutions powered by LLMs, integrating them with enterprise systems, APIs, and human\-in\-the\-loop processes.
* Risk Management: Identify potential risk and issues that may impact project delivery and develop mitigation strategies to address them proactively. Monitor project performance and implement corrective actions as necessary to ensure successful outcomes.
* Cross\-Functional Collaboration: Collaborate with cross\-functional business and technology teams across the organization to drive alignment and successful project execution.
* Performance Monitoring and Reporting: Track project performance metrics and KPIs to measure progress against objective and identify areas for improvement. Assist in the development of the target operating, service, and support models.
* Continuous Improvement: Lead continuous improvement initiatives to optimize processes, increase efficiency, and enhance overall effectiveness of GenAI programs.
* People Management: Manage a team providing support and guidance towards achieving business objectives.
**Requirements**
* Experience: 5 – 7 years in product management or related domain, with 2\+ years leading AI/ML\-driven chatbot or conversational interface development.
* Technical Expertise: Strong understanding of LLM concepts such as prompt engineering, retrieval\-augmented generation, agent orchestration, natural language processing.
* Strategic Leadership: Proven ability to define product vision and execute in complex, matrixed organizations.
* Analytical Skills: Proficiency in product analytics, experimentation, and data\-driven decision\-making.
* Communication: Exceptional ability to simplify technical concepts for diverse audiences.
* Adaptability: Ability to manage multiple priorities in fast\-paced, evolving environments.
**Nice to have**
* Financial Services Industry experience.
* Experience designing chatbot workflows that integrate LLMs with enterprise tools, APIs, and human review processes.
* Familiarity with AI governance, compliance, and security frameworks.
* Exposure to conversational design and conversational UX principles, and multi\-modal interfaces.
* Track record of defining and reporting impact metrics (e.g., resolution rates, productivity improvements).
* Experience with Kore.ai or related Conversational AI platforms (Dialogflow, IBM Watson, etc.), OpenAI technology and LangChain frameworks.
* Experience with Natural Language Understanding, Knowledge Graphs, and LLM concepts.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$120,000 and $205,000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22">
      <c r="A22" t="inlineStr">
        <is>
          <t>li-4342657638</t>
        </is>
      </c>
      <c r="B22" t="inlineStr">
        <is>
          <t>Sr. Product Manager</t>
        </is>
      </c>
      <c r="C22" t="inlineStr">
        <is>
          <t>AppFolio</t>
        </is>
      </c>
      <c r="D22" t="inlineStr">
        <is>
          <t>linkedin</t>
        </is>
      </c>
      <c r="E22" t="inlineStr"/>
      <c r="F22" t="inlineStr"/>
      <c r="G22" t="inlineStr">
        <is>
          <t>Santa Barbara, CA</t>
        </is>
      </c>
      <c r="H22" t="inlineStr"/>
      <c r="I22" t="inlineStr">
        <is>
          <t>**Description**
 AppFolio is more than a company. We’re a community of dreamers, big thinkers, problem solvers, active listeners, and multipliers. At every opportunity, we set the pace while delivering innovation built to carry real estate into the future. One in which every experience feels effortless, yet meaningful. Where customers are empowered to take on any opportunity. We show up as one team, connected by our values to be a force for good. Because together, we have the power to create extraordinary outcomes for our customers, our communities, and ourselves.
 Who Are We Looking For?
 We are seeking a customer\-obsessed Senior Product Manager to lead the vision, strategy, and execution for our AI Maintenance Product. This role owns the end\-to\-end delivery of new AI capabilities and the strategic development of our maintenance performance analytics. This critical role is centered on leveraging machine learning and predictive analytics to revolutionize how maintenance operations are planned, executed, and optimized for our customers. You will own developing and releasing new workflows for the “Maintenance Performer”, delivering compelling user experiences that provide significant efficiency gains for our customers. This is a high\-impact role that requires a blend of strong AI/ML knowledge, deep customer empathy, and a relentless focus on delivering measurable business value.
 What You’ll Do
* Scale Maintenance Performer capabilities to drive new customers adoption leading to an X% increase by the end of 2026
* Supervise and measure launched products and feed insights back into product development process to drive growth
* Inspire and motivate a team of senior engineers to achieve ambitious outcomes, removing obstacles along the way
* Work closely with cross\-functional teams from engineering, data science, design, marketing, customer success, finance, legal and more
* Contribute to building and delivering on a multi year vision, strategy, and product roadmap
* Understand and influence the roadmaps of other product teams and our broader product strategy
* Clearly communicate product plans, benefits and results, as appropriate, to a spectrum of audiences, from internal partners to APM executives, employees to customers
* Make tradeoff decisions based on technical and business insights and experimentation
* Understand the technical complexities of platform development and enable faster GTM through building with platform components
 What We’re Looking For
* You have a track record of shipping great experiences that lead to discovery and high adoption in a role similar to this one
* You possess a practical understanding of AI/ML fundamentals, enabling you to design experiences that leverage agentic AI
* You are customer\-obsessed and want to spend a ton of time with customers and developers so that you can reduce friction and increase availability across the AppFolio ecosystem
* You know when to rely on intuition and when to rely on data
* You truly care about the business results of what you build, not just the elegance of the technology
* You are an excellent verbal and written communicator
* You’re technical enough that the engineers you work with regularly forget you're a PM
* You thrive in a cross\-functionally collaborative environment. You will work closely with functions like sales, marketing, customer success, engineering, design, and finance.
* You are intellectually curious and fascinated by innovative businesses, how they grow, and the technology they need to accelerate that growth
* You have a deep commitment to craft \&amp; product excellence
 You’ll love this job if you:
* Are adaptable and enjoy change \- we have all the opportunities and challenges an established yet rapidly growing company faces
* Love learning \- our industry and technology space is always evolving, the technologies we support are numerous
* Are intellectually curious and value critical thinking \- the Why behind the What is important to you
* You find crisp paths forward through uncertainty, ambiguity, constraints, and obstacles.
* Focus on outcomes \- Outcomes take priority over outputs
 What We Offer
* This is a high impact role \- you’re contributing directly to the long\-term growth of the product and company
* The team is awesome! Like, really really awesome!
* Work hybrid in SB or SD, or fully remote. The team itself is fully distributed.
* Competitive compensation and equity packages
 Location
 Find out more about our locations by visiting our site.
**Compensation \&amp; Benefits**
 The compensation range that we reasonably expect to pay for this role is: $138,400 \- $173,000 (base).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23">
      <c r="A23" t="inlineStr">
        <is>
          <t>li-4359245843</t>
        </is>
      </c>
      <c r="B23" t="inlineStr">
        <is>
          <t>Senior Product Manager</t>
        </is>
      </c>
      <c r="C23" t="inlineStr">
        <is>
          <t>Phoenix Energy Technologies</t>
        </is>
      </c>
      <c r="D23" t="inlineStr">
        <is>
          <t>linkedin</t>
        </is>
      </c>
      <c r="E23" t="inlineStr"/>
      <c r="F23" t="inlineStr"/>
      <c r="G23" t="inlineStr">
        <is>
          <t>Ann Arbor, MI</t>
        </is>
      </c>
      <c r="H23" t="inlineStr"/>
      <c r="I23" t="inlineStr">
        <is>
          <t>**JOB SUMMARY:** 
 The Senior Product Manager leads the execution of our product roadmap and manages the lifecycle of our SaaS and Managed Services offerings. Reporting to the Vice President of Product Management, this role will be instrumental in informing and translating our strategic vision into actionable plans, driving cross\-functional alignment, and delivering innovative solutions that meet customer needs. The ideal candidate is a hands\-on leader with strong domain expertise, excellent communication skills, and a passion for building impactful products and services in a fast\-paced, high\-growth environment.
**DUTIES AND RESPONSIBILITIES:** 
* **Product Strategy:** 
 Understand business needs and industry best practices to contribute to our Product vision.
* **Product Execution:** 
 Translate strategic product vision into detailed roadmaps and project plans with support as needed from Director or Vice President of Product. Lead matrixed team in product development, rollout, and adoption.
* **Product Definition:** 
 incorporate feedback and research from key stakeholders (customers, prospects, and internal users) to develop highly detailed product requirements that can be easily understood and built by the Engineering team.
* **Intra\-Team Leadership** 
 : help guide and mentor more junior product managers, solution engineers, or other business stakeholders fostering a culture of ownership, accountability, continuous improvement, and a Product Mindset.
* **Customer \&amp; Market Insights** 
 : Conduct primary and secondary research and engage with customers and internal stakeholders to define use cases and business requirements that inform product decisions and validate new features.
* **Cross\-Functional Collaboration** 
 : Partner with Engineering, Sales, Marketing, Solutions Architecture, and Customer Success to ensure timely and successful product launches and lifecycle management.
* **Process Development** 
 : Support the rollout and enforcement of standardized product development processes and understand/optimize the processes whereby our products are used.
* **Performance Tracking** 
 : Define, communicate, and monitor product KPIs and customer feedback to assess performance and identify areas for improvement. Track and prioritize enhancements.
* **Innovation Support:** 
 Contribute to ideation and innovation efforts, ensuring alignment with emerging technologies and market trends.
* **Product Representation** 
 : Serve as a subject matter expert in internal and external forums, including customer meetings and industry events.
**REQUIRED SKILLS \&amp; ABILITIES:** 
* Proficient in agile methodologies, product lifecycle management, market research, change management, and data analysis with a Product Mindset.
* Strong critical and strategic thinking with domain knowledge in energy management, building control systems, HVAC, and refrigeration, asset management and/or related asset analytics fields.
* Strong business analysis capabilities to enable use case and product requirements development.
* Excellent project management and cross\-functional collaboration skills.
* Analytical mindset with a data\-driven approach to decision\-making.
* Strong written and verbal communication skills.
* Adaptable to change and emerging technologies, methodologies, and agile strategies.
* Proven ability to execute product strategies in a SaaS and/or Managed Services environment.
* Experience managing product or matrixed teams and working in a dynamic, fast\-paced setting.
**EDUCATION AND EXPERIENCE:** 
* Bachelor’s degree in engineering, business administration, marketing, computer science, software development or a related field.
* 5 years of experience in product management, preferably in the energy and/or asset management or related field.
**PHYSICAL REQUIREMENTS:** 
* Prolonged periods sitting at a desk and working on a computer.
* Must be able to lift up to 15 pounds at times.
**ABOUT PHOENIX ENERGY TECHNOLOGIES, INC.:** 
 Founded in 2004, Phoenix Energy Technologies is a leading provider of Enterprise Energy Management Software and Services. Phoenix Energy Technologies works with retail, grocery and healthcare customers to discover opportunities and implement strategies which reduce energy consumption and lower facilities spend. Through real\-time measurement and verification of energy use, related costs and contextual data (such as weather, occupancy, and schedules) Phoenix Energy Technologies helps its customers get a "full view" of energy consumption and costs to drive efficiencies, reduce energy spend, and deliver maximum ROI. 
 In addition to its SaaS software services, Phoenix Energy also provides professional Business Process Outsourcing (BPO) and Analysis as a Service (AaaS) to its customers. Phoenix Energy Technologies has taken an innovative approach to alarm and data management with a focus on built\-in intelligence. By leveraging the Phoenix Energy Technologies technology platform, together with a robust and innovative services team, and proactive analytics tools, Phoenix Energy Technologies Customers redefine the 360\-degree approach to energy and facilities management. 
 Culture is important at Phoenix Energy Technologies and we take great pride in our company culture. We offer a great product/service, have exceptional leadership and a close\-knit group of knowledgeable and hard\-working Team\-oriented employees. 
 **We are innovative, creative, professional and growth\-oriented. We have excellent medical, dental, vision and life benefits, a great flexible Personal Time Off Plan (PTO) and immediate 401K contributions. Phoenix Energy Technologies is truly an awesome place to work and grow!** 
 We are excited about where we are headed and we think you will be too:  
 Using our SaaS product, we help large multi\-site organizations reduce energy consumption and costs without the installation of hardware, through quickly implemented web\-based software coupled with our professional services and proactive analytics. 
 Our Customers achieve measurable energy, facilities repair, and maintenance savings by operating more efficiently, limiting equipment failures and costly truck\-rollouts, and providing greater comfort controls as well as taking advantage of our proactive analytics.
 Armed with better monitoring and decision\-making tools, customers not only save money, they also support sustainable energy and attain significant carbon reduction goals. Through our technology and services, we help our Customers achieve quick win ROI with reductions in energy consumption and facilities spend in their first year with Phoenix Energy Technologies.</t>
        </is>
      </c>
    </row>
    <row r="24">
      <c r="A24" t="inlineStr">
        <is>
          <t>li-4364619604</t>
        </is>
      </c>
      <c r="B24" t="inlineStr">
        <is>
          <t>Product Manager</t>
        </is>
      </c>
      <c r="C24" t="inlineStr">
        <is>
          <t>Vaco by Highspring</t>
        </is>
      </c>
      <c r="D24" t="inlineStr">
        <is>
          <t>linkedin</t>
        </is>
      </c>
      <c r="E24" t="inlineStr"/>
      <c r="F24" t="inlineStr"/>
      <c r="G24" t="inlineStr">
        <is>
          <t>Charlotte, NC</t>
        </is>
      </c>
      <c r="H24" t="inlineStr"/>
      <c r="I24" t="inlineStr">
        <is>
          <t>Vaco is actively looking for a full time Product Manager to sit on\-site 5x/week in Charlotte, NC. Must be willing to work on a W2 basis (no sponsorship or 3rd party vendors). Local to Charlotte, NC candidates are highly preferred.
 Reuired skills:
 5\+ years experience as a Product Manager
 Proven experience using AI powered productivity tools
 Experience with API's, GIT, and Cloud platforms
 Preferably B2B experience
 W2 basis with no sponsorship
 Charlotte, NC
 Determining compensation for this role (and others) at Vaco/Highspring depends upon a wide array of factors including but not limited to the individual's skill sets, experience and training, licensure and certifications, office location and other geographic considerations, as well as other business and organizational needs. With that said, as required by local law in geographies that require salary range disclosure, Vaco/Highspring notes the salary range for the role is noted in this job posting. The individual may also be eligible for discretionary bonuses, and can participate in medical, dental, and vision benefits as well as the company's 401(k) retirement plan.
 Additional disclaimer:
 Unless otherwise noted in the job description, the position Vaco/Highspring is filing for is occupied. Please note, however, that Vaco/Highspring is regularly asked to provide talent to other organizations. By submitting to this position, you are agreeing to be included in our talent pool for future hiring for similarly qualified positions. Submissions to this position are subject to the use of AI to perform preliminary candidate screenings, focused on ensuring minimum job requirements noted in the position are satisfied. Further assessment of candidates beyond this initial phase within Vaco/Highspring will be otherwise assessed by recruiters and hiring managers. Vaco/Highspring does not have knowledge of the tools used by its clients in making final hiring decisions and cannot opine on their use of AI products.</t>
        </is>
      </c>
    </row>
    <row r="25">
      <c r="A25" t="inlineStr">
        <is>
          <t>li-4364662750</t>
        </is>
      </c>
      <c r="B25" t="inlineStr">
        <is>
          <t>Product Manager</t>
        </is>
      </c>
      <c r="C25" t="inlineStr">
        <is>
          <t>Marathon Motors &amp; Generators</t>
        </is>
      </c>
      <c r="D25" t="inlineStr">
        <is>
          <t>linkedin</t>
        </is>
      </c>
      <c r="E25" t="inlineStr"/>
      <c r="F25" t="inlineStr"/>
      <c r="G25" t="inlineStr">
        <is>
          <t>Wausau, WI</t>
        </is>
      </c>
      <c r="H25" t="inlineStr"/>
      <c r="I25" t="inlineStr">
        <is>
          <t>*Since 1913, Marathon Electric has been dedicated to providing customers with quality motors and generators for targeted applications. Marathon Electric became part of WEG Group in 2024\. Founded in 1961, WEG is a global electric\-electronic equipment company, operating mainly in the capital goods sector with solutions in electric machines, automation and paints for several sectors, including infrastructure, steel, pulp and paper, oil and gas, mining, among many others. WEG stands out in innovation by constantly developing solutions to meet the major trends in energy efficiency, renewable energy and electric mobility. With manufacturing units in 12 countries and present in more than 135 countries, WEG has more than 40,000 employees worldwide.*
**About The Role**
 In this role, the Product Manager will be responsible for leading and developing product line P\&amp;L throughout the product life cycle and developing the strategy for growth and margin improvement, in support of the Business Strategy and Objectives. They will be responsible for the VOC, market analysis, pricing, cost reduction programs and the new product commercialization.
 The Product Manager position is a key role in the organization with the ability to influence major stakeholders in the business (Sales, Engineering, Operations, Finance and Business Leaders) without direct authority through influential leadership by understanding markets, competitors, customer needs, product and applications expertise. The person is responsible to develop \&amp; manage a product line roadmap that will identify product innovation activities and decisions to enable sustainable differentiation and meet revenue and profit targets for the product line. The Product Manager is also responsible for providing regular communication, support and training to sales and service teams/distributors.
**Major Responsibilities**
* Manage the P\&amp;L of the product group, including developing and implementing margin and sales improvement projects and working with the plant managers to ensure cost out initiatives are implemented.
* Manage the entire life cycle of the defined product line within the business from planning, product definition, tactical launch activities and end of life including communication and setting of expectations with customers.
* Operate as the internal voice of our customers across development teams through an understanding of market requirements, product definition, training and launch activities.
* Determine customers' needs and desires by conducting VOC using a structured approach
* Research and assess Market Sizing, Profitability, CAGR and key trends relevant to our Business Unit through research, VOC and seeking input from key internal stakeholders
* Recommend areas of focus (grow, observe, maintain and exit Market Segments, Geographies, Products) to support the businesses strategic financial goals
* Assess the competitive landscape by comparing the company's product to competitors' products
* Determine strategic product pricing by utilizing market research data, reviewing production and sales costs, anticipating volume and cost special and customized orders
* Recommend the nature and scope of present and future product lines by establishing product specifications and requirements that ensure a strong and clear value proposition \&amp; a strong business case for the product by customer segment.
* Develop value proposition, core messaging and positioning for the defined product line(s).
* Work with the Marketing Team to create and maintain marketing plans, advertising and sales tools including brochures, product descriptions, web content, etc.
* Set pricing and general sales policy for the product line(s).
* Assist Customer Service and Sales teams with technical and customer support.
* Interface with internal departments including R\&amp;D, engineering, sales, marketing and support teams to ensure revenue and customer satisfaction goals are achieved
**Required**
**Education / Experience / Skills:**
* Education: Bachelor’s degree in related Engineering field. (\+MBA preferred but not required)
* Experience: 5\+ years of experience as a Product Manager in a Motors or relevant Industrial Products
* Leadership: Strong Leadership, Team Management skills and strong collaborator across different functions, with people from all levels (senior, peers and below)
* Communication: Excellent Communications Skills – Written, Verbal, Presentations Possess excellent organizational skills.
* Strategic Mindset: Able to see the big picture perspective and synthesize ambiguous data to arrive at a solid conclusion with recommendations on how to strategically solve a problem. Strategic, Systemic \&amp; Analytical Thinking to create a shared vision
* Decision Making: Makes good decision with a bias for action and accountability with a sense of urgency
* Problem Solver: Steps up to conflicts, seeing them as opportunities; reads situations quickly; good at focused listening; can hammer out tough agreements and settle disputes equitably; can find common ground and get cooperation with minimum noise. Deals fairly with non\-performance and is unafraid to deliver tough messages when necessary.
* Drive for Results: Is high energy, action oriented and focused on producing good outcomes. Can be counted on to exceed goals successfully; is constantly and consistently one of the top performers; very bottom\-line oriented; steadfastly pushes self and others forward to the goal.
* Customer Focus: Is dedicated to meeting the expectations and requirements of internal and external customers;
* Dealing with Ambiguity: Can effectively cope with change; can shift gears comfortably; can decide and act without having the total picture; isn't upset when things are up in the air; doesn't have to finish things before moving on; can comfortably handle risk and uncertainty.
* Humility: Is comfortable in own skin and wants credit to go to the team for business achievements. Not afraid to ask for help and seek guidance when needed. Receives criticism with grace and is willing to change direction when presented with a better solution.
**Desired**
* Hands\-on experience in Motors
**Travel:** 
 Travel (up to 15% \- 20%) required.
**Language:** 
 English
 We offer a pleasant work environment, competitive compensation and full benefits package. To Apply: All candidates must submit an updated resume and complete our application in order to be considered for this position. Must be authorized to work in the United States. WEG does not offer visa sponsorship for this role.
 Founded in 1961, WEG is a global electric\-electronic equipment company, operating mainly in the capital goods sector with solutions in electric machines, automation and paints for several sectors, including infrastructure, steel, pulp and paper, oil and gas, mining, among many others.
 WEG stands out in innovation by constantly developing solutions to meet the major trends in energy efficiency, renewable energy and electric mobility. With manufacturing units in 17 countries and present in more than 135 countries, the company has more than 45,000 employees worldwide.
 WEG’s net revenue reached R$ 32\.5 billion in 2023, 52\.9% from outside Brazil.
 Our business areas are divided as follows.
**Industrial Electro\-Electronic Equipment**
 This area includes electric motors, drives and industrial automation equipment and services, and maintenance services. Electric motors and other related equipment find applications in practically all industrial segments, in equipment such as compressors, pumps and fans, for example.
**Energy Generation, Transmission and Distribution (GTD)**
 Products and services included in this area are electric generators for hydraulic and thermal power plants (biomass), hydro turbines (small hydroelectric plants or PCH, and hydroelectric generators or CGH)), wind turbines, transformers, substations, control panels and system integration services.
**Commercial and Appliance Motors**
 In this business area, our focus is the market of single phase motors for durable consumer goods, such as washing machines, air conditioners, water pumps, among others.
**Paints and Varnishes**
 In this area, which includes liquid paints, powder paints, and electro\-insulating varnishes, we have a very clear focus on industrial applications in Brazil and are expanding to Latin America and other regions.</t>
        </is>
      </c>
    </row>
    <row r="26">
      <c r="A26" t="inlineStr">
        <is>
          <t>li-4364881473</t>
        </is>
      </c>
      <c r="B26" t="inlineStr">
        <is>
          <t>Sr. Product Manager</t>
        </is>
      </c>
      <c r="C26" t="inlineStr">
        <is>
          <t>Elevate</t>
        </is>
      </c>
      <c r="D26" t="inlineStr">
        <is>
          <t>linkedin</t>
        </is>
      </c>
      <c r="E26" t="inlineStr"/>
      <c r="F26" t="inlineStr"/>
      <c r="G26" t="inlineStr">
        <is>
          <t>Flower Mound, TX</t>
        </is>
      </c>
      <c r="H26" t="inlineStr"/>
      <c r="I26" t="inlineStr">
        <is>
          <t>**General Summary** 
 We are looking for an energetic self\-starter to join the Product Management team. This opportunity is for a very visible, high impact position that will have broad responsibility for a flagship lending brand within a fast\-growing company.  You will be responsible for leading a cross functional team to achieve key operating metrics by developing roadmaps, identifying priority initiatives and partnering with teams across the organization to drive results.  This position must develop and launch programs and features that create and maintain a competitive position in the market. 
 Ultimately, you are accountable for driving profitable business growth.  The successful candidate will be highly analytical, detail\-oriented, and naturally curious.  This individual should also be a strategic thinker with experience in strategy development and execution. 
**Principal Duties and Responsibilities** 
* Lead product strategy and drive the roadmap for both an installment and line of credit product
* Understand and own product performance and metrics:
	+ Financial performance and projections
	+ Marketing data and trends
	+ Risk analysis
	+ Customer support metrics
* Drive significant business and technology initiatives in a cross functional environment
	+ Coordinate with internal partners from Marketing, Legal, Risk and Technology teams
	+ Build and strengthen relationships with internal and external partners
* Identify opportunities to improve customer experience and financial success
* Manage all aspects of the product development lifecycle including research, proposals, prioritization, implementation and post launch maintenance
**Experience and Education** 
* Bachelor’s degree with strong academic performance \- graduate degree is a plus, but not required
* 5\+ years of product management experience \- preferably for an Internet/e\-commerce property or a financial services firm.
* Proven track record of delivering product releases on time with measurable impact to key business metrics
**Required Skills, Abilities, Soft Skill Factors** 
* Communication and diplomacy skills necessary to guide, influence and convince others
* Ability to efficiently plan and manage numerous projects and tasks simultaneously
* Ability to work well under tight deadlines in fast paced, team\-oriented environment
* Exceptional ability to communicate both written and verbal to cross\-functional teams
* Ability to work independently when needed to drive projects to successful completion
* Strong attention to detail and organization
* Management experience of both internal employees and external partners a plus
**California Employee Privacy Policy \| Family \&amp; Medical Leave Act \| Employee Polygraph Protection Act \|E\-Verify** 
 Equal Opportunity Employer
 This employer is required to notify all applicants of their rights pursuant to federal employment laws.
 For further information, please review the Know Your Rights notice from the Department of Labor.</t>
        </is>
      </c>
    </row>
    <row r="27">
      <c r="A27" t="inlineStr">
        <is>
          <t>li-4351714880</t>
        </is>
      </c>
      <c r="B27" t="inlineStr">
        <is>
          <t>Product Manager</t>
        </is>
      </c>
      <c r="C27" t="inlineStr">
        <is>
          <t>Underdog.io -Apply to top tech jobs in 60 seconds. A place where companies apply to you</t>
        </is>
      </c>
      <c r="D27" t="inlineStr">
        <is>
          <t>linkedin</t>
        </is>
      </c>
      <c r="E27" t="inlineStr"/>
      <c r="F27" t="inlineStr"/>
      <c r="G27" t="inlineStr"/>
      <c r="H27" t="inlineStr"/>
      <c r="I27" t="inlineStr">
        <is>
          <t>One of our hiring partners is looking to hire a Product Manager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28">
      <c r="A28" t="inlineStr">
        <is>
          <t>li-4362071213</t>
        </is>
      </c>
      <c r="B28" t="inlineStr">
        <is>
          <t>Product Owner - Site Energy Management</t>
        </is>
      </c>
      <c r="C28" t="inlineStr">
        <is>
          <t>Electrify America</t>
        </is>
      </c>
      <c r="D28" t="inlineStr">
        <is>
          <t>linkedin</t>
        </is>
      </c>
      <c r="E28" t="inlineStr"/>
      <c r="F28" t="inlineStr"/>
      <c r="G28" t="inlineStr"/>
      <c r="H28" t="inlineStr"/>
      <c r="I28" t="inlineStr">
        <is>
          <t>Electrify America is committed to revolutionizing the way people charge. As the country's largest open DC fast charging network, Electrify America is actively contributing to electrifying mobility today and building a more sustainable future.
 At Electrify America, we value innovation, collaboration, and a commitment to sustainability. We strive to establish a diverse and inclusive workplace where employees can develop personally and professionally. As a team member at this rapidly growing company, you can work on state\-of\-the\-art technology and join a team making a significant impact in the world. If you're interested in joining a dynamic, innovative company, Electrify America is a place where you can learn, grow, and make a difference!
****Brief Role Description****
 Electrify America’s Product Management team is charged with leading the development of all products and services at Electrify America. This includes product strategy and planning (i.e., defining product requirements, building business cases), maintenance of product roadmap and backlog, and ongoing monitoring and refinement of existing offerings.
 The Product Owner: Energy Controls \&amp; Site Design will own four critical areas for Electrify America:
* Site\-level energy management
* Battery Energy Storage System (BESS) requirements, selection and integration
* Site standardization and integration electrical equipment between Electrify America’s DC fast chargers, switch gear, transformers, on\-site storage systems, and more.
 The Product Owner is responsible for strategy and planning for all equipment and services, pricing, and product P\&amp;L management. The Product Owner will work closely with the Engineering, Operations, and Charging \&amp; Energy Services teams to align optimal product portfolio with any operational constraints to select and optimize Electrify America’s portfolio.
 Successful candidates will have strong knowledge of electrical systems and experience in product strategy, the EV industry, and a history of leading enterprise\-level projects to successful delivery.
****Possible Tasks within this Role****
 Working across the three product areas listed above, the successful candidate will balance the following responsibilities
* Product Strategy (30%)
+ Define set of products and services offered by Electrify America
+ Develop product roadmap with plan for rollout of new products and services over the next 12\-24 months
+ Track and analyze competitive landscape and provide relevant product insights to the broader Electrify America organization
* Product Planning (40%)
+ Identify core product requirements through data/analytics and customer research
+ Collaborate with cross\-functional teams (e.g., Engineering, Operations, Charging \&amp; Energy Services) to define new products and features
+ Recommend pricing for any products and services sold to customers
+ Conduct make/buy analyses for any new offerings
+ Support negotiations with key product suppliers/partners
+ Define distribution/channel strategy
* Feedback Loop \&amp; Product life\-cycle (20%)
+ Gather lessons learned from existing deployments and incorporate into the next set of products and services
* Product Delivery (10%)
* Support Technical Program Manager through the implementation of new products and features
****Qualification requirements****
**Years Of Experience**
 7 – 10 years of relevant experience
**Education Required**
* Bachelor's degree in Systems or Electrical Engineering
**Skills: General skills needed to perform the job**
* 7\+ years of experience in product management, engineering, corporate/business strategy, or related fields
* Experience building and maintaining product roadmaps and backlogs
* Familiarity with electrical engineering, systems engineering and/or firmware/software development
* Experience using data to model complex systems
* Strong interpersonal skills
* Ability to solve problems creatively
* Ability to work in a dynamic, start\-up environment and flex as needs and priorities change
* Skilled in Microsoft PowerPoint, Excel, Word, Confluence and Jira
**Required Skills**
* Strong understanding of commercial utility billing practices \&amp; how to optimize around them
* Experience working with utilities to build 1MW\+ interconnections
**Desired Skills**
* Experience in a product manager or product owner role
* Knowledge and experience in managing complex products from strategy and planning through delivery, monitoring, and maintenance
* Experience with EV charging
 Electrify America, LLC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This role description is a guideline and does not create contractual rights between the Company and any of its applicants. The Company does not enter into any type of employment contract, implied or written, with its applicants regarding job security.
 This Organization participates in E\-Verify. We maintain a drug free workplace and perform pre\-employment substance abuse testing.
 Electrify America endeavors to make www.electrifyamerica.com/careers accessible to all users. If you would like to contact us regarding the accessibility of our website or need assistance completing the application process, please contact us at careers@electrifyamerica.com. This contact information is for accommodation requests only and cannot be used to inquire about the status of applications.</t>
        </is>
      </c>
    </row>
    <row r="29">
      <c r="A29" t="inlineStr">
        <is>
          <t>li-4326430417</t>
        </is>
      </c>
      <c r="B29" t="inlineStr">
        <is>
          <t>Senior Product Manager, Ads</t>
        </is>
      </c>
      <c r="C29" t="inlineStr">
        <is>
          <t>Twitch</t>
        </is>
      </c>
      <c r="D29" t="inlineStr">
        <is>
          <t>linkedin</t>
        </is>
      </c>
      <c r="E29" t="inlineStr"/>
      <c r="F29" t="inlineStr"/>
      <c r="G29" t="inlineStr">
        <is>
          <t>New York, NY</t>
        </is>
      </c>
      <c r="H29" t="inlineStr"/>
      <c r="I29"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**You Have:**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**Bonus Points**
* Experience working on new ad demand channels
* Experience working on innovative ad supply generation initiatives including new formats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TW9027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$136,100—$235,200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30">
      <c r="A30" t="inlineStr">
        <is>
          <t>li-4353922732</t>
        </is>
      </c>
      <c r="B30" t="inlineStr">
        <is>
          <t>Product Manager</t>
        </is>
      </c>
      <c r="C30" t="inlineStr">
        <is>
          <t>Gordon Incorporated</t>
        </is>
      </c>
      <c r="D30" t="inlineStr">
        <is>
          <t>linkedin</t>
        </is>
      </c>
      <c r="E30" t="inlineStr"/>
      <c r="F30" t="inlineStr"/>
      <c r="G30" t="inlineStr">
        <is>
          <t>Bossier City, LA</t>
        </is>
      </c>
      <c r="H30" t="inlineStr"/>
      <c r="I30" t="inlineStr">
        <is>
          <t>**Benefits:**
* 401(k)
* Dental insurance
* Health insurance
* Paid time off
* Vision insurance
* This position is on\-site in Bossier City, LA. NOTE: This is not an IT position.
**Position Summary**
 The Product Manager will provide overall management direction of one or more product offerings to meet the needs of our customers, including identifying gaps in product offerings at all stages and innovative solutions to fill them. The role requires a direct understanding of design and manufacturing processes, and industry standards required to establish complete product development, marketing, manufacturing, and sales strategies. The Product Manager is responsible for each product offering from cradle to grave, including the processing of orders.
**Objectives**
* Drive the product and business planning processes for cross\-functional teams
* Analyze customer needs, current market trends and potential partnerships from an ROI (Return on Investment) perspective, always seeking continuous improvement
* Assess current competitor offerings and seek opportunities for creating advantages
* Analyze product requirements and develop appropriate programs to ensure they’re met
* Develop, implement and maintain production timelines across multiple departments
* Appraise new product ideas and strategize appropriate go\-to\-market plans
* Lead the Product Team to ensure maximum performance, by providing purpose, direction and motivation·
* Lead the Product Team to develop product requirement definitions through deployment, identifying schedules, scopes, budget estimations and implementation plans, including risk mitigation.
* Coordinate internal and external resources to ensure that meet quality standards, schedules and budgets are met or improved upon
* Analyze product and/or project status and, when necessary, revise the scope, schedule or budget to ensure that product and/or project requirements can be met.
* Establish and maintain relationships with relevant stakeholders, providing day\-to\-day contact on project status and changes.
**Responsibilities** 
* Drive the execution of all processes in the product lifecycle, including product and market research, competitor analysis, planning, positioning, requirements, and roadmap development, and product launch
* Translate product strategy into detailed requirements for prototyping and final development by engineering teams
* Create product strategy documents that describe business cases, high\-level use cases, technical requirements, revenue and ROI
* Analyze market data to develop sales strategies and define product objectives for effective marketing communications
* Collaborate closely with engineering, production, marketing and sales teams in the development, quality expectations, release of products and balance resources to ensure success for the entire organization
* Develop product positioning and messaging that differentiates Gordon, Inc. across primary market segments
* Establish and maintain processes for managing scope during the product lifecycle, setting quality and performance standards and assessing risks
* Assign and monitor resources to ensure product efficiency and maximize deliverables.
* Report product outcomes and/or risks to the appropriate management channels and escalate issues, as necessary, according to project work plan
* Provide technical support for the Independent Manufacturer’s Representatives in their role and responsibilities to attain preferential and proprietary specifications for Gordon products
* Work in concert with the Division Sales Managers, Engineers and the respective Business Units to provide Architectural and design support for our customers, Manufacturers’ Reps, as well as providing specifications for Architects
* Provides Technical Sales Service for Independent Reps and all other Customers. Is the focal point of contact for Customer Assistance in the areas of the Product Group(s) assigned
* Works with Architects to design and specify Gordon, Inc. products into the scope of their work
* Sales Order Entry – from receipt of the order through the process of establishing a schedule for shipment that is acceptable to the Customer.
* The use of M1 (Our Fully Integrated ERP System) and compliance to established and required procedures
* Reviews reports of Scheduled and Not\-Scheduled Sales Orders to ensure that no un\-warranted delays are present in the process, and that Lead times are being achieved in all areas throughout the order entry process
* Works closely with the Production Planning Manager to stay abreast of the completion schedule of all jobs in the Schedule
* Ensures that timely and accurate information is related to the customer relative to the delivery of their orders(s)
* Responsible for Bids and the Quoting Process, as well as leads in the Review and recommendation for large quotations. Ensures that quotations reflect the production and process capabilities of Gordon.
* Identifies specific job and project requirements for which established process capabilities do not currently exist, and recommends Product Development initiatives and testing
* Follows\-up on Bids and Quotations and documents issues learned, providing feedback and constructive implementation of marketing feedback
* Ensures that all procedures are followed, with precision, and that “short cuts” that are intended to save minutes do not result in creating non\-value added work downstream, lends itself to possible confusion, or result in an ambiguous specification and expectation for whatever process is required to satisfy the needs of the customer
+ Other functional requirements include:
- Return Authorization procedure
- Credits procedure
- Internal Debit Procedure
- Sales Order Cancellation Procedure
- Generates Absorb Freight documentation
- Coordination with Purchasing on Custom color matches
- Order Expediting with the Planning \&amp; Scheduling Teams
- Seeks Technical solutions to Customer problems in concert with Engineering
- Systematic Follow\-up with the Customer for Approvals
- Submittal Drawings
- Advance Purchase of Raw Materials
- Calculates take\-offs for customers
- Reviews Purchase Order scope vs. Estimate scope
- Maintains a two\-year calendar and sales projection update
- Maintenance of information and procedures on Gordon Intranet
* Anticipates and timely communicates deviations from a product/project plan or schedule and keeps all participants and stakeholders informed
* Analyzes, identifies, logs, and manages potential and known actual risk issues, takes corrective action by tackling day\-to\-day issues head\-on
* Forecasts how more serious project setbacks and issues of risks might impact project scope, schedule, quality, and cost
* Responsible for bringing the project to a close, which may include creating an end\-of\-project report or evaluation document, holding project completion meetings and activities, and capturing and using relevant lessons learned
* Manage customer relationships, working collaboratively with both internal and external stakeholders while navigating complex design challenges, developing creative technical solutions to meet project goals
* Communicating effectively with internal and external project stakeholders throughout the project lifecycle to deliver successful projects and promote repeat business.
* Responsible for direct customer communication, including management of schedules and key milestones/deliverables
* Analysis of complex project criteria (design intent, budget, schedule, resource availability, etc.) and creation of effective, actionable plans to align these various criteria in real\-time with achievable positive results
* Recommend and present innovative solutions and drive internal developments and improvements.
* Utilize architectural and manufacturing expertise to guide design development and oversight in collaboration with the production of shop drawings and supporting documentation
* Collaborate with the production team to ensure projects are manufactured on time and to exacting standards
* Measuring and monitoring project performance using appropriate tools and techniques
* Proactively working to deliver projects on time, within budget, within scope and within spec.
* Expedite, review, and provide “Quality Control” on shop drawings and submittals
* Prepare, submit, obtain approval, verify, and track billings until payment is received
* Price and process change order proposals and coordinate with the Estimating Team when required
* Set up cost projections for all projects managed and update monthly
* Promote Gordon, Inc. and maintain strong relationships with subcontractors, general contractors, owners and architects
**Education / Experience Qualifications**
* 0 – 5 years of experience in Product Management
* 0 – 3 years of experience in Manufacturing
* Bachelor’s degree and/or working experience in Manufacturing, Architecture, Construction or related field.
* Leader, providing a team with direction and vision, including motivating people to perform, listening to people, providing feedback, recognizing strengths, and providing challenges
* Knowledge of financial acumen – cash flow, cost projections, job cost, billings projections with oversight
* Basic knowledge of Gordon, Inc. products, services, processes, and order processing
**Knowledge, Skills and Abilities**
* Proficient in MS Office Suite
* Strong experience in a dynamic product management role
* Proven success in overseeing all elements of the product development lifecycle
* High effectiveness in managing cross\-functional teams
* Experience in delivering finely tuned product marketing strategies
* Strong attention to deadlines and budgetary guidelines
* Proven success working with all levels of management
* Strong written and verbal communication skills
* Excellent presentation skills
* Demonstrates commitment to deliver outstanding service – both with internal and external stakeholders
* Takes ownership to personally resolve customer problems (or find someone who can)
* Listens well, asks clarifying questions, and checks for agreement with customers
* Committed to following up with customers in all instances in a timely manner
* Strong sense of accountability \- ensures that you will do what you say that you are going to do
* Creates a personal connection with customers – smiles, warm greetings, acts friendly and respectful
* Positive attitude
* Responsible for the overall outcome of the project
* Actively identifies risk and escalates as needed
* Understands project plans and specifications
* Able to read and interpret product/project drawings and specifications
* Independently performs most assignments with instruction
* Works autonomously at times
* Receives guidance for unusual or complex problems and supervisor approval for changes in standards
* Engages and promotes company culture
* Open to feedback and flexible to change
* Assist in the development/mentoring of Product Specialist and Administrative Assistant roles
**Other Duties**
 Please note that this job description is not designed to cover or contain a comprehensive listing of activities, duties, or responsibilities that are required of the employee for this job. Duties, responsibilities, and activities may change at any time with or without notice.</t>
        </is>
      </c>
    </row>
    <row r="31">
      <c r="A31" t="inlineStr">
        <is>
          <t>li-4326237807</t>
        </is>
      </c>
      <c r="B31" t="inlineStr">
        <is>
          <t>Senior Product Manager, Ads</t>
        </is>
      </c>
      <c r="C31" t="inlineStr">
        <is>
          <t>Twitch</t>
        </is>
      </c>
      <c r="D31" t="inlineStr">
        <is>
          <t>linkedin</t>
        </is>
      </c>
      <c r="E31" t="inlineStr"/>
      <c r="F31" t="inlineStr"/>
      <c r="G31" t="inlineStr">
        <is>
          <t>San Francisco, CA</t>
        </is>
      </c>
      <c r="H31" t="inlineStr"/>
      <c r="I31"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**You Have:**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**Bonus Points**
* Experience working on new ad demand channels
* Experience working on innovative ad supply generation initiatives including new formats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TW9027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$136,100—$235,200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32">
      <c r="A32" t="inlineStr">
        <is>
          <t>li-4364800856</t>
        </is>
      </c>
      <c r="B32" t="inlineStr">
        <is>
          <t>Senior Strategic Product Manager - REMOTE</t>
        </is>
      </c>
      <c r="C32" t="inlineStr">
        <is>
          <t>Jobgether</t>
        </is>
      </c>
      <c r="D32" t="inlineStr">
        <is>
          <t>linkedin</t>
        </is>
      </c>
      <c r="E32" t="inlineStr"/>
      <c r="F32" t="inlineStr"/>
      <c r="G32" t="inlineStr">
        <is>
          <t>Kansas, United States</t>
        </is>
      </c>
      <c r="H32" t="inlineStr"/>
      <c r="I32" t="inlineStr">
        <is>
          <t>This position is posted by Jobgether on behalf of a partner company. We are currently looking for a Strategic Product Operations Manager \- REMOTE. In this role, you will be pivotal in ensuring operational excellence in product planning, feedback integration, and alignment across teams. Your contributions will drive effective collaboration between Product Management, Engineering, Marketing, and Sales. By maintaining workflow efficiency and aligning strategic goals, you will significantly impact product delivery and overall business success. Join us as we strive for innovation in a supportive and diverse environment.
**Accountabilities**
* Lead the quarterly product planning process in coordination with Product Management and Engineering.
* Centralize and operationalize customer and internal feedback collection processes.
* Track and operationalize launch milestones for major product releases.
* Develop and maintain product management playbooks and process documentation.
* Support operational reporting by tracking planning health and launch statuses.
**Requirements**
* Bachelor's Degree in a related field.
* 5\+ years of experience in Product Operations or related roles.
* Strong understanding of product development processes.
* Exceptional organizational and analytical skills.
* Proficient with product management and reporting tools.
**Benefits**
* Join a global team with a dynamic, collaborative work environment.
* Remote work model offering flexibility to balance work with life.
* Access to development programs and strong mentoring.
* Attractive benefits package including health and life insurance.
* Generous leave policies to ensure a healthy work\-life balance.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
      <c r="A33" t="inlineStr">
        <is>
          <t>li-4361930125</t>
        </is>
      </c>
      <c r="B33" t="inlineStr">
        <is>
          <t>Senior Product Manager II - Growth</t>
        </is>
      </c>
      <c r="C33" t="inlineStr">
        <is>
          <t>RemoteHunter</t>
        </is>
      </c>
      <c r="D33" t="inlineStr">
        <is>
          <t>linkedin</t>
        </is>
      </c>
      <c r="E33" t="inlineStr"/>
      <c r="F33" t="inlineStr"/>
      <c r="G33" t="inlineStr"/>
      <c r="H33" t="inlineStr"/>
      <c r="I33" t="inlineStr">
        <is>
          <t>About the Opportunity:
 A holistic financial health company helps everyday Americans build a brighter financial future by creating transparent, fair, and simple financial products. The flagship product provides fast access to funds with no interest, late fees, or credit checks, supporting over 9 million users with credit building, budgeting, and deals. The Growth pod focuses on converting free users into paying subscribers by optimizing the early user journey. The Senior Product Manager II will own key parts of the activation funnel and drive improvements through experimentation and collaboration.
 Responsibilities:
 • Own and improve onboarding and activation funnel to increase activation rate
 • Drive improvements in bank and payroll connection and approval\-to\-activation conversion
 • Design and run experiments focused on early lifecycle impact with consideration for long\-term outcomes
 • Own growth\-related features including bank connect, payroll connect, non\-activated user experiences, and referral UX
 • Support referral and promotional initiatives that increase low\-CAC activations
 • Collaborate with Design, Engineering, Analytics, Marketing, and adjacent product teams to deliver growth initiatives
 Requirements:
 • 6\+ years of consumer product management experience focused on growth and/or retention
 • Experience with funnels, conversion metrics, and experimentation
 • Strong analytical skills using qualitative and quantitative insights
 • Ability to execute independently within a defined problem space
 • Clear, effective communicator and collaborator across teams
 • Mobile app experience required; experience in a highly regulated industry is a plus
 Compensation:
 • The anticipated annual base salary for this position is $180,000 \- $210,000
 • Salary depends on factors such as qualifications, experience, skills, education, certifications, and location
 Benefits \&amp; Perks:
 • Medical, dental, and vision insurance
 • Flexible PTO policy
 • 401k plan
 • Paid parental leave
 • Physical and mental wellbeing benefits including virtual workouts, discounted gym memberships, virtual therapy sessions, and unlimited on\-demand health support
 • Monthly reimbursements for wifi and cell phone bills
 • Annual reimbursement for Learning \&amp; Development
 • Dynamic, flexible, and collaborative start\-up work environment with a talented team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4">
      <c r="A34" t="inlineStr">
        <is>
          <t>li-4342685142</t>
        </is>
      </c>
      <c r="B34" t="inlineStr">
        <is>
          <t>Product Manager - Customized Polymer Solutions</t>
        </is>
      </c>
      <c r="C34" t="inlineStr">
        <is>
          <t>Greif</t>
        </is>
      </c>
      <c r="D34" t="inlineStr">
        <is>
          <t>linkedin</t>
        </is>
      </c>
      <c r="E34" t="inlineStr"/>
      <c r="F34" t="inlineStr"/>
      <c r="G34" t="inlineStr">
        <is>
          <t>Alsip, IL</t>
        </is>
      </c>
      <c r="H34" t="inlineStr"/>
      <c r="I34" t="inlineStr">
        <is>
          <t>**Greif** 
 is a global leader in performance packaging located in 40 countries. The company delivers trusted, innovative, and tailored solutions that support some of the world's most in demand and fastest\-growing industries.
 With a commitment to legendary customer service, operational excellence, and global sustainability,
 **Greif** 
 packages life's essentials \- and creates lasting value for its colleagues, customers, and other stakeholders.
 Learn more about the company's
 **Customized Polymer** 
 ,
 **Sustainable Fiber** 
 ,
 **Durable Metal** 
 , and
 **Integrated Solutions** 
 at
 **www.greif.com** 
 and follow
 **Greif** 
 on Instagram and LinkedIn.
**Our Vision** 
 Being the customer service company in the world.
**Our Purpose** 
 Creating packaging solutions for life’s essentials.
**Job Requisition \#:** 
 032716 Product Manager \- Customized Polymer Solutions (Open)
**Job Description** 
 We are seeking a Product Manager to join our North American team. This role is pivotal in driving product strategy, innovation, and lifecycle management for our Customized Polymer Solutions Strategic Business Unit. You will collaborate across global teams to deliver sustainable, cost\-effective, and high\-performance packaging solutions that meet customer needs and regulatory standards.
**Key Responsibilities** 
**Product Strategy \&amp; Portfolio Management** 
* Rationalize SKUs and standardize materials to optimize efficiency.
* Create and implement product roadmaps for Customized Polymer Solutions.
* Monitor market trends and competitor activity to inform strategy.
**Technical Development \&amp; Innovation** 
* Partner with Engineering and Operations to design and manufacture new products.
* Drive innovation in material/polymer science, barrier technology, and sustainability.
* Ensure compliance with global regulatory standards (e.g., recyclability, EPR).
**Cross\-Functional Leadership** 
* Lead projects involving Sales, Marketing, Quality, Regulatory, and Supply Chain.
* Influence senior decision\-makers on product design and investment priorities.
**Customer Engagement** 
* Support major accounts and product launches in North America.
* Represent the company externally as a technical SME in customer meetings and industry forums.
**Education And Experience** 
* Bachelor’s degree in Packaging, Chemical or Mechanical Engineering, Chemistry, or Polymer Science.
* Advanced degree (MBA or MS) preferred.
* 8–12 years of experience in product management within industrial packaging or related sectors preferred.
**Skills \&amp; Competencies** 
* Strong technical knowledge of packaging materials, polymers, and manufacturing processes.
* Familiarity with global compliance standards and sustainability practices.
* Language requirement: Proficiency in English (written and spoken).
* Experience with rigid plastic, steel, or fiber packaging solutions.
* Ability to lead global, technically intensive projects without direct reports.
* Strong analytical, leadership, and communication skills.
 At
 **Greif** 
 , your work has purpose, colleagues care about your well\-being, and you have the opportunity to grow and thrive. Service and leadership are the core of everything we do. Our global presence provides us a platform to do good in the world.
 At
 **Greif** 
 , your work has purpose, colleagues care about your well\-being, and you have the opportunity to grow and thrive. Service and leadership are the core of everything we do. Our global presence provides us a platform to do good in the world.
**Compensation Range** 
 The pay range for this position is $128,100\.00 \- $218,200\.00\. Typically, a competitive wage for new hires will fall between $150,000\.00 to $200,000\.00\. Offers for this position may vary based on market data and other factors such as job\-related knowledge, skills, experience, and geographic location. The position may also be eligible for a short\-term incentive.
**Benefits Statement** 
 Greif offers a comprehensive benefits package, including medical, dental, paid time off, and other competitive benefits which are available for eligible colleagues effective day one.
***Protect Yourself From Scams:***
*We value the integrity of our recruitment process and prioritize the well\-being of our candidates. While you may find Greif job postings on various platforms, all legitimate opportunities can be verified on our official Careers page at www.greif.com. All communication from Greif regarding job opportunities will also come from an @greif.com email address. If you have concerns about the legitimacy of a job posting, receive an unsolicited job offer or suspect fraudulent activity, please contact us for verification via this link* 
 Contact Us \- Greif
 *.* 
**EEO Statement** 
**https://www.greif.com/wp\-content/uploads/2023/04/HR\-101\-Equal\-Employment\-Opportunity\-Policy\-English.pdf** 
*We offer a competitive salary, excellent benefits and opportunity for growth. Greif is an equal opportunity employer. We will not discriminate against any applicant or employee on the basis of sex, race, religion, age, national origin, color, disability, veteran status or any other* 
*any other legally protected characteristic.* 
*For more information read Greif’s Equal Opportunity Policy.*</t>
        </is>
      </c>
    </row>
    <row r="35">
      <c r="A35" t="inlineStr">
        <is>
          <t>li-4361365140</t>
        </is>
      </c>
      <c r="B35" t="inlineStr">
        <is>
          <t>Product Manager (US)</t>
        </is>
      </c>
      <c r="C35" t="inlineStr">
        <is>
          <t>TD</t>
        </is>
      </c>
      <c r="D35" t="inlineStr">
        <is>
          <t>linkedin</t>
        </is>
      </c>
      <c r="E35" t="inlineStr"/>
      <c r="F35" t="inlineStr"/>
      <c r="G35" t="inlineStr">
        <is>
          <t>Southfield, MI</t>
        </is>
      </c>
      <c r="H35" t="inlineStr"/>
      <c r="I35" t="inlineStr">
        <is>
          <t>**Work Location:**
 Southfield, Michigan, États\-Unis d'Amérique
**Hours**
 40
**Pay Details**
 $86,840 \- $130,000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Gestion des produits
**Job Description**
**Job Description Summary**
 The Program/Product Development Manager in Auto Lending is responsible for overseeing the design, development, and implementation of new lending products and programs tailored to the automotive finance market. This role bridges the gap between business strategy, technology, and customer needs to deliver innovative solutions that drive growth, efficiency, and customer satisfaction within the auto lending division.
**Depth \&amp; Scope**
* Highly seasoned professional role requiring substantial knowledge/expertise in a complex field and knowledge of broader related areas
* Accountable for either a single major functional area with a mass or niche product/segment suite and moderate level of complexity with a range of complex attributes
* Integrates knowledge of the enterprise sub\-function’s or business line’s overarching strategy in developing solutions across multiple functions or operations
* Provides expertise and advice on unique distribution issues (i.e. primarily 3rd party channels) for niche/customized products/segments
* Has advisory/consultative accountability for functional areas that are not directly managed
* Solves or may lead others to solve complex problems; leads efforts or partners with others to develop new solutions
* Uses sophisticated analytical thought to exercise judgement and identify solutions
* Impacts the achievement of sub\-function or business line objectives within the area accountable for
* Develops and maintains a robust understanding of the regulatory requirements, customer, market, and industry to deliver product and process innovation to improve the value proposition
* Develops and implements products/policies and procedures in such a way that it enhances the end to end customer experience (including training, enhancement and irritant reduction) while achieving business objectives
* Oversees and ensures the clear and effective delivery of products and services to the customer
* Acts as a Subject Matter Expert for product\-related inquiries
* May lead business plans leveraging Acquisition and Segments teams to increase new account growth and track P\&amp;L impact
* Liaises with partners (i.e. Marketing, Phone Channel, Retail) to understand industry and customer trends; Analyzes challenges and identifies areas of opportunity through customer research, focus groups, and external secondary research; Facilitates ideation sessions and builds necessary business cases for NPD, identifying solutions and building stronger plans for growth
* Builds and maintains effective relationships with sales distribution, key internal stakeholders and/or external partners to ensure that customer needs are considered in strategic decisions and in the development of options, solutions and alternatives
* Leads and facilitates problem solving sessions with partners and vendors
* Designs end to end process for development, implementation, use, reporting and feedback on developed products and segments
* Directs and coordinates market research to determine underlying customer needs – input to development process
* Participates in the day to day management of the product(s), identifying and implementing product features and enhancements, providing business case support of recommendations and assisting in the strategic development of new initiatives
* Adheres to enterprise frameworks or methodologies that relate to activities for own business area
* Delivers financial results for the product/product suite via operation of all available levers: pricing, margin, volume etc., creates and delivers business cases to achieve strategic business results (acquisition, retention, customer experience, engagement and market share)
* Supports Senior Management as a subject matter expert for the product(s) portfolio through all forms of written and verbal presentations, (product reviews, planning and forecasting, strategic review sessions)
* Conducts ongoing industry and competitive analysis to obtain market insights and ensure Acquisition Teams are kept informed of matters to be competitive and win in the marketplace
* Keeps current on emerging trends/developments and grows knowledge of the business, related tools and techniques
* Refines product management strategies through detailed analysis of the P\&amp;L, ongoing competitive research and review of marketing/risk management tactics
* Ensures effective product policies and processes are established to support business processes align with risk appetite
* Oversees product management deliverables within budget and as per the approved product plan, working with business partners to develop the content of those deliverables
* Champions the development of the annual business plan and the monthly/quarterly forecast process
* Contributes to and supports partner led projects as identified
* Participates and collaborates on initiatives with internal and external service providers (IT, operations, legal, compliance, marketing etc.) to ensure the product meets TDBG objectives and standards
* Identifies and manages risks (market, credit, operational) associated with the product/segment
* Develops/maintains productive working relationships with distribution channel owners
* Is knowledgeable of and complies with Bank and Industry Codes of Conduct
* Maintains a culture of risk management and control, supported by effective processes in alignment with risk appetite
**Education \&amp; Experience**
* Undergraduate degree or product management certificate and/or
* 7\+ years relevant experience
* Previous Product experience typically required
* Advanced knowledge of and ability to conduct product research, product analysis and development, forecasting, pricing, competitive intelligence
* Knowledge of current and emerging competitor and market trends
* Ability to lead, plan, implement and evaluate program/project activities to ensure completion of product initiatives
* Ability to forecast and contribute to strategic direction of the product management function and provide advice to senior leadership
* Ability to communicate effectively in both oral and written form
* Ability to work collaboratively and build relationships across teams and functions
* Ability to work successfully as a member of a team and independently
* Ability to exercise sound judgement in making decisions
* Ability to analyze, organize and prioritize work while meeting multiple deadlines
* Skill in preparing and managing budgets and P\&amp;L
* Knowledge of and/or skill in using analytical software tools, data analysis methods and reporting techniques
* Skill in using computer applications including MS Office
* Ability to handle confidential information with discretion
**Employee/Team Accountabilities**
* Participates fully as a member of the team, supports a positive work environment that promotes service to the business, quality, innovation and teamwork and ensures timely communication of issues/points of interest
* Provides thought leadership and/or industry knowledge for own area of expertise in own area and participates in knowledge transfer within the team and business unit
* Participates in personal performance management and development activities, including cross training within own team
* Keeps others informed and up\-to\-date about the status/progress of projects and/or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36">
      <c r="A36" t="inlineStr">
        <is>
          <t>li-4350752139</t>
        </is>
      </c>
      <c r="B36" t="inlineStr">
        <is>
          <t>Product Manager</t>
        </is>
      </c>
      <c r="C36" t="inlineStr">
        <is>
          <t>IBM</t>
        </is>
      </c>
      <c r="D36" t="inlineStr">
        <is>
          <t>linkedin</t>
        </is>
      </c>
      <c r="E36" t="inlineStr"/>
      <c r="F36" t="inlineStr"/>
      <c r="G36" t="inlineStr">
        <is>
          <t>Austin, TX</t>
        </is>
      </c>
      <c r="H36" t="inlineStr"/>
      <c r="I36"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HashiCorp’s security platforms currently secure human\-to\-system and system\-to\-system access. This new focus extends that mission to the world of autonomous agents. The platform will manage the lifecycle of AI agent identities (e.g., decentralized identifiers or verifiable credentials), enforce dynamic access policies (e.g., using Policy as Code), and ensure compliance for all AI\-to\-resource and AI\-to\-AI communications. This role is dedicated to pioneering the product features that address the unique security and governance challenges posed by large\-scale agent deployments. This role sits at the convergence of AI, advanced security protocols, and product strategy. You will work with AI developers, security architects, and compliance officers to understand their needs and advance our Agentic AI IAM product line.
**Responsibilities**
* Craft the product story by understanding the evolving AI security landscape, user needs for agent governance and access control, and HashiCorp principles.
* Write detailed product strategy documents focused on AI identity, authorization, and secure interaction protocols to set the context for the product roadmap.
* Prioritize the product roadmap by taking feedback from AI practitioners, security researchers, engineering, marketing, and the HashiCorp vision regarding agent security capabilities.
* Conduct user research and write Product Requirement Documents (PRDs) to distill the research into requirements for engineering to deliver.
* Communicate product status to all partners. Keep sales and marketing updated on feature releases and keep engineering informed on feature requests.
* Help with sales and marketing collateral to educate on the product story and features (Website copy, whitepapers, sales decks, FAQs, etc).
**Preferred Education**
 Master's Degree
**Required Technical And Professional Expertise**
* 5\+ years of product management experience with security, IAM (Identity and Access Management), or enterprise AI/ML products.
* Strong technical understanding of security, policy enforcement, audit logs, and AI platform architectures.
* Strong user and market research skills, particularly within the AI and enterprise security space.
* Ability to organize multiple stakeholders towards a common goal.
* Analytical with the ability to prioritize and make tradeoffs.
**Preferred Technical And Professional Experience**
* 1\+ years of experience with concepts like fine\-grained authorization (e.g., OPA/Rego), or securing cloud\-native AI/ML pipelines.
* Direct knowledge of or experience planning for challenges related to securing autonomous agents (e.g., prompt injection, tool access control) is highly desirable.
* Strong technical acumen, with a solid understanding of infrastructure, open source, and the lifecycle of digital identities.</t>
        </is>
      </c>
    </row>
    <row r="37">
      <c r="A37" t="inlineStr">
        <is>
          <t>li-4331724940</t>
        </is>
      </c>
      <c r="B37" t="inlineStr">
        <is>
          <t>Product Manager (Intermediate or Senior)</t>
        </is>
      </c>
      <c r="C37" t="inlineStr">
        <is>
          <t>O2E Brands</t>
        </is>
      </c>
      <c r="D37" t="inlineStr">
        <is>
          <t>linkedin</t>
        </is>
      </c>
      <c r="E37" t="inlineStr"/>
      <c r="F37" t="inlineStr"/>
      <c r="G37" t="inlineStr">
        <is>
          <t>Overland Park, KS</t>
        </is>
      </c>
      <c r="H37" t="inlineStr"/>
      <c r="I37" t="inlineStr">
        <is>
          <t>1\-800\-GOT\-JUNK?, the \#1 name in junk removal, is looking for a
 **Product Manager (Intermediate or Senior)** 
 in Kansas City, accountable for our Partner portfolio of Products that drive removal service and operational excellence.
 As part of the Product Management team, you will shape the vision and build the next generation of mobile and web applications for our front line franchise teams and operators \- defining the future of our service experience. You will help unlock the next level of innovation, efficiency and five star service delivery.
 You will develop and execute a roadmap leveraging a deep understanding of our strategy, service delivery, and underlying technology, creating a unifying experience that delights our teams and customers.
**💼 A DAY IN THE LIFE**
* Define and own the product vision, strategy, and roadmap across a portfolio of products in alignment with business objectives.
* Lead the end\-to\-end product lifecycle, from ideation and development to launch and iteration.
* Collaborate and influence across teams and senior leadership, including engineering, design, marketing, and sales, to deliver high\-impact solutions.
* Conduct continuous research and discovery, externally and with our Franchise community, to understand customer needs, competitive landscapes, and industry trends.
* Gather and prioritize requirements, balancing customer feedback with business goals and technical constraints.
* Track product performance and use data insights to inform continuous improvement.
* Collaborate other product managers and contribute to the overall maturing of the product management function.
**🎯 What You Bring To The Table**
* Product Leadership: At least 3\+ years of progressive product management experience, including defining and executing product strategy and roadmaps.
* User \&amp; Data Driven: Deep empathy for user pain points, translating them into clear problem statements, experiments, and ultimately solutions. Expert at using data and KPIs to inform product decisions and measure success.
* Strategic \&amp; Collaborative: Ability to think strategically about complex problems, prioritize effectively, and collaborate across all levels (engineering, operations, front line teams, executive).
* Technical \&amp; Automation Mindset: Solid understanding of modern software development, with a keen interest in leveraging automation and AI for operational efficiency.
**Nice To Have**
* Logistics/Transportation: Proven experience building logistics, fleet or transportation platforms and applications.
* Mobile Focus: Mobile app development, leading application development including integrations with diverse technology platforms and overall obsession and expert understanding of mobile technologies.
**🏢 HYBRID WORK ENVIRONMENT**
 Our motto "It's All About People" drives us to create a hybrid work model that promotes collaboration, celebration, and connection, while giving you the flexibility to work where it makes sense for you.
* Kansas City based team members will be expected to work in\-office 3 days a week (Tues–Thurs).
**💰 Compensation \&amp; Benefits** 
* Competitive Salary (Actual salary offered will be commensurate with education, experience and internal parity)
* A Total Compensation Package designed to support your financial, personal, and professional well\-being. This includes:
+ Performance Bonus
+ Participation in our Company Profit Sharing Program
+ Comprehensive Extended Health \&amp; Dental Benefits
+ Generous Paid Time Off, including annual vacation and personal days
+ Hybrid Work Environment, offering flexibility to work both remotely and from our corporate offices
+ Professional Development Opportunities to support ongoing career growth
+ Access to Health and Wellness Programs
+ Speak to us to learn more about what we offer
**📌 THE HIRING PROCESS**
* Pre\-Screen – Let’s talk about your experience, goals \&amp; excitement for this role!
* Interviews – Two or more interviews with different team members, including structured competency \&amp; scenario\-based questions
* Presentation/Assessment
* References \&amp; Background Check
* We use audio recording transcription for our interview practices 🔊
**🏆 About Us**
**Did you know O2E Brands has been voted one of the Best Workplaces in Canada 14 times!? Take a sneak peek into why that is, here: (YouTube) Check us out on social!**
**At O2E Brands, we know that great talent comes in many forms, and we want to meet you at your best. We value diversity and inclusivity. We will provide reasonable accommodations to applicants with disabilities at any time throughout the recruitment and selection process upon request.**
**➡️ Ready to take your career to the next level? Apply today! 🚀**
**1800gotjunk.com \| wow1day.com \| shackshine.com**</t>
        </is>
      </c>
    </row>
    <row r="38">
      <c r="A38" t="inlineStr">
        <is>
          <t>li-4364881265</t>
        </is>
      </c>
      <c r="B38" t="inlineStr">
        <is>
          <t>Product Owner - Automation Framework</t>
        </is>
      </c>
      <c r="C38" t="inlineStr">
        <is>
          <t>Pentangle Tech Services | P5 Group</t>
        </is>
      </c>
      <c r="D38" t="inlineStr">
        <is>
          <t>linkedin</t>
        </is>
      </c>
      <c r="E38" t="inlineStr"/>
      <c r="F38" t="inlineStr"/>
      <c r="G38" t="inlineStr">
        <is>
          <t>Oregon, United States</t>
        </is>
      </c>
      <c r="H38" t="inlineStr"/>
      <c r="I38" t="inlineStr">
        <is>
          <t>**Job Description:**
* **7 to 10 years relevant** 
 mandatory experience.
* Automation Framework
 **(Virtualized Android Environment, Linux/QNX, Qualcomm SOM)**
* Team: Automation Scrum Team –
 **In\-Flight Entertainment (IFE)**
* Work closely with
 **Android platform engineers, QNX/Linux teams, Qualcomm chipset specialists, and virtualization architects.**
* Understand the automation framework architecture (hardware abstraction, virtualized interfaces, DUT orchestration, reporting pipelines).
* Write clear, well\-structured epics, features, and user stories for automation tooling, framework improvements, APIs, and test execution workflows.
* Refine backlog items with engineering teams to ensure clarity, feasibility, and alignment with the automation strategy.
* Collaborate with Scrum Master and Engineering Lead to drive predictable, sprint\-based delivery.</t>
        </is>
      </c>
    </row>
    <row r="39">
      <c r="A39" t="inlineStr">
        <is>
          <t>li-4346507504</t>
        </is>
      </c>
      <c r="B39" t="inlineStr">
        <is>
          <t>Senior Product Manager, Applications</t>
        </is>
      </c>
      <c r="C39" t="inlineStr">
        <is>
          <t>Govini</t>
        </is>
      </c>
      <c r="D39" t="inlineStr">
        <is>
          <t>linkedin</t>
        </is>
      </c>
      <c r="E39" t="inlineStr"/>
      <c r="F39" t="inlineStr"/>
      <c r="G39" t="inlineStr">
        <is>
          <t>Arlington, VA</t>
        </is>
      </c>
      <c r="H39" t="inlineStr"/>
      <c r="I39"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 product\-oriented leader to lead the integration of new capabilities into our existing Applications within the Ark platform. This is an individual contributor role responsible for prioritizing, rationalizing and integrating existing prototypes into our production Applications. As the product owner, you are accountable for delivering valuable and differentiated solutions at scale, end to end, within our Ark platform.
 Govini’s application\-aligned product managers are responsible for thinking broadly across the communities we serve and delivering solutions that provide value to a wide range of customers. They partner with account\-aligned PMs, as well as our engagement and implementation teams, to broadly scale “in\-the\-field” solutions and improve the configurability and adaptability of our platform. In this role, you will partner with customer\-aligned PMs to integrate prototype workflows and capabilities into full production within the Ark. You should be highly motivated by the market adoption of the solutions you successfully launch.
 In order to do this job well, you must possess exceptional judgment when it comes to identifying opportunities to deliver customer value in a productized way, as well as in the relative prioritization of those opportunities. You must work effectively cross\-functionally in often ambiguous circumstances, distilling market opportunities to a clear set of objectives and solutions, and articulating the value of those solutions both internally and externally.
 In a typical week, a product manager could expect to:
* Spend several days on site with users, seeking to understand how users across a variety of accounts utilize Ark to relieve pain points and triangulate the commonalities to build new valuable workflows in the Ark.
* Draft clear and compelling articulation of customer problems, and what a good solution to those problems would look like in the Ark.
* Partner with the sales team to help assess opportunities and understand the degree to which customer requirements align with product capabilities and roadmap
* Define how those solutions deliver value across a wide range of customer environments and determine what features are necessary to support broad adoption of the solution.
* Collaborate with engineering and design teams to deliver the most promising capabilities.
 This is a full\-time team member position, working in the office at our Arlington, VA location.
 This role may require up to 50% travel.
 Scope of Responsibilities
* For new product features, define the addressable market size, the competitive landscape, the near term sales opportunities, and alignment with the overall product strategy
* Validate concepts using the value proposition canvas/business model canvas, build a comprehensive business case, and communicate and defend the prioritization internally
* Partner with internal engineering and data science teams to scope the expected associated investment costs/timelines, and ensure that the business can deliver on scope, contractual obligations, and agreed\-upon timelines
* Facilitate market introduction of new features/functions while balancing tradeoffs of risk, cost, and speed
* Ensure smooth integration of prototyped features/functions into Ark for utilization across customer accounts
**Qualifications**
* U.S. Citizenship is required
* Bachelor’s degree in business or technology\-related field
**Required Skills**
* 5\+ years in a product or software role, including experience with enterprise software (B2B or B2G)
* Strong value orientation, understanding of what matters for our customers, and why
* Self\-starter, owner mentality
* Ability to thrive in a fast\-paced, dynamic work environment
* Exceptional written and oral communication skills across all levels of the business
**Desired Skills**
* Current possession of a U.S. security clearance, or the ability to obtain one with our sponsorship
* Experience in or exposure to the nuances of a startup or other entrepreneurial environment
* Experience in or around DoD, in particular, the Department of the Army or the Department of the Air Force
* Full product lifecycle experience, from early idea through production and maintenance
* Familiarity with the value proposition canvas and/or business model canvas frameworks
* Advanced degree in a business or technical field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40">
      <c r="A40" t="inlineStr">
        <is>
          <t>li-4252367909</t>
        </is>
      </c>
      <c r="B40" t="inlineStr">
        <is>
          <t>Product Manager - Enterprise Workflows</t>
        </is>
      </c>
      <c r="C40" t="inlineStr">
        <is>
          <t>Motorola Solutions</t>
        </is>
      </c>
      <c r="D40" t="inlineStr">
        <is>
          <t>linkedin</t>
        </is>
      </c>
      <c r="E40" t="inlineStr"/>
      <c r="F40" t="inlineStr"/>
      <c r="G40" t="inlineStr">
        <is>
          <t>Richardson, TX</t>
        </is>
      </c>
      <c r="H40" t="inlineStr"/>
      <c r="I40"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A smarter store starts with smarter communication. Theatro, our user\-friendly, voice\-driven AI platform provides retail workers with real\-time, discreet, and efficient communication — helping them stay safe and productive while delivering top\-notch customer service.
**Job Description**
 Motorola Solutions, Inc. is seeking a highly experienced and driven Senior Product Manager to lead the strategy, roadmap, and execution for key enterprise software products within our Theatro organization. Theatro is a Dallas\-based cutting\-edge technology organization within MSI. It is the market leader in voice\-controlled enterprise wearable for retail, casinos, hospitality, and manufacturing. Theatro’s “heads up, hands free” mobile solution provides a software suite of productivity and communication applications through a SaaS (Software as a Service) offering designed to optimize frontline employee productivity and ability provide amazing customer experiences. You will be a critical leader within the Theatro product organization, responsible for deeply understanding user needs, market trends, and technological advancements to define and deliver innovative and impactful software workflow solutions. This role requires a strong technical acumen, an intellectually curious mindset, excellent communication skills, and a proven track record of successfully launching and scaling enterprise software solutions.
**Responsibilities:**
* Product Strategy \&amp; Vision: Define and articulate a clear and compelling innovative product vision, strategy, and roadmap for assigned software workflow solutions, aligned with the overall company goals and market opportunities.
* Market \&amp; User Research: Conduct thorough market research, competitive analysis, and user research to identify unmet needs, emerging trends, and opportunities for innovation.
* Customer Engagement: Foster strong relationships with customer\-facing teams and end\-customers to understand critical use cases, pain points and direct feedback to drive product roadmap.
* Requirements Definition: Translate user needs, market insights, and technical capabilities into detailed and well\-documented product requirements, user stories, and acceptance criteria.
* Prioritization \&amp; Backlog Management: Effectively prioritize features and initiatives based on business value, technical feasibility, and user impact, maintaining a well\-groomed product backlog.
* Cross\-Functional Collaboration: Collaborate closely with engineering, design, marketing, sales, and customer success teams throughout the product lifecycle to ensure successful development, launch, and adoption.
* Product Development \&amp; Execution: Act as the product owner within agile development teams, actively participating in sprint planning, reviews, and retrospectives to ensure timely and high\-quality delivery.
* Performance Monitoring \&amp; Analysis: Define and track key product metrics, analyze performance data, and identify areas for optimization and improvement.
* Stakeholder Management: Effectively communicate product vision, strategy, roadmap, and progress to internal and external stakeholders, including executive leadership.
* Mentorship \&amp; Leadership: Mentor and guide other product managers on enterprise workflows, fostering a collaborative and growth\-oriented environment within the product team.
* Staying Current: Continuously stay informed about the latest workflow software technologies, industry trends, and best practices in product management.
**Qualifications:**
* Bachelor's degree in Computer Science, Engineering, Business Administration, or a related field. Master's degree preferred.
* 5\+ years of progressive experience in product management, with a strong focus on software products (SaaS, enterprise software, voice platform products, etc.).
* Proven track record of successfully defining, launching, and scaling software products in a fast\-paced environment.
* Experience in conversational UX design or familiarity with voice user interface design software (Voiceflow, Dialogue Flow)
* Familiarity with emerging Generative AI technologies, especially voice based solutions.
* Strong technical aptitude and the ability to effectively communicate with engineering teams on technical concepts.
* Excellent analytical and problem\-solving skills, with the ability to interpret data and draw actionable insights.
* Exceptional communication, presentation, and interpersonal skills, with the ability to influence and collaborate effectively across different teams and levels.
* Strong business acumen and understanding of market dynamics, competitive landscapes, and revenue models for software products.
* Experience with user research methodologies and the ability to translate user insights into product requirements.
* Demonstrated ability to prioritize effectively and manage competing priorities.
* Experience with software tools (e.g., Visio, Figma, and AdobeXD).
**Bonus Points:**
* Experience in workflow solutions for frontline employees in retail, hospitality, manufacturing, etc.
* Experience with voice technologies or software workflow solutions
* Experience leading and mentoring other product managers.
 Target Base Salary Range: $75,000 \- $112,000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Bachelor's degree in Computer Science, Engineering, Business Administration, or a related field. Master's degree preferred.
 5\+ years of progressive experience in product management, with a strong focus on software products (SaaS, enterprise software, voice platform products, etc.).
**Travel Requirements**
 Under 10%
**Relocation Provided**
 None
**Position Type**
 Experienced
**Referral Payment Plan**
 Yes
**Our U.S. Benefits include:**
* Incentive Bonus Plans
* Medical, Dental, Vision benefits
* 401K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41">
      <c r="A41" t="inlineStr">
        <is>
          <t>li-4342774810</t>
        </is>
      </c>
      <c r="B41" t="inlineStr">
        <is>
          <t>Senior Product Manager</t>
        </is>
      </c>
      <c r="C41" t="inlineStr">
        <is>
          <t>SciPlay</t>
        </is>
      </c>
      <c r="D41" t="inlineStr">
        <is>
          <t>linkedin</t>
        </is>
      </c>
      <c r="E41" t="inlineStr"/>
      <c r="F41" t="inlineStr"/>
      <c r="G41" t="inlineStr">
        <is>
          <t>Cedar Falls, IA</t>
        </is>
      </c>
      <c r="H41" t="inlineStr"/>
      <c r="I41" t="inlineStr">
        <is>
          <t>**SciPlay** 
 is a leading developer and publisher of digital games on mobile and web platforms, providing highly entertaining free\-to\-play games that millions of people play every day for their authenticity, engagement and fun.
 SciPlay currently offers nine core games, including social casino games Jackpot Party Casino, Gold Fish Casino Slots, Hot Shot Casino and Quick Hit Slots, and casual games MONOPOLY Slots, Bingo Showdown, 88 Fortunes Slots, Backgammon Live and Solitaire Pet Adventure with offices all over the world!
**Position Summary**
 Product Managers manage the life\-cycle of in\-game mechanics and features. Responsible for projecting revenue impact through data and statistical methods, conducting A/B tests to isolate the impact of individual features, and evaluate the results of these tests. Work with other Product Managers and Analysts to provide a complete analysis of each element of an individual product to drive revenue and meet the product goals. This specific position will work directly with the Director of Product on driving new features, events, and overall improvements into Jackpot Party Slots Casino. Working closely with the development, live operations, and analytics teams, this position should understand how to design, implement, and run feature development, the in\-game economy, and game systems in order to maximize the value of features, users’ engagement and monetization.
**Essential Job Functions**
* Lead feature development from ideation to implementation.
* Constantly monitor and drive product KPIs of the game.
* Analyze economic, engagement, and monetization data; report on performance, suggest and implement optimizations.
* Estimate the revenue impact of new features or optimizations
* Work with Director of Production and Engineering leads to create accurate ROI estimates based on revenue impacts and development cost
* Design and maintain a high\-quality backlog of “ready to implement” features for Roadmapping and Sprint planning, with easily understandable specifications documents.
* Work with Art, Engineering, and Production to ensure planned feature specs are 100% approved, cost\-evaluated, and ready for implementation at the start of each sprint. This includes final UX design flows from Art.
* Work with Analytics to plan comprehensive testing strategies for features that will be tested in\-game
* Define and tune the economic aspects of the game’s features, both at launch and on–going.
* Review daily KPIs and proactively identify opportunities, trends, and threats to the product.
* Evaluate notable competitors and share key insights / learnings to test.
* Document our processes and best practices
* Work very closely with both the Product Management and the Monetization teams
* Attend daily stand\-ups and weekly meetings with the development team, other Product Managers, and Analysts
* Act as day\-to\-day primary point of contact for any product related questions from the game team.
* Constantly seek improvement opportunities in our day\-to\-day workflows
* Create presentations of notable successful cross\-genre mechanics for sharing with broader PM org and executive leadership team.
* Evaluate test results of implemented features and make recommendations for future iterations.
**Required Qualifications**
* Bachelor's degree with significant coursework in business, mathematics, analytics, or a related field.
* Must be passionate about the product and has a strong desire to move the genre forward.
* Motivated to win market share while building a high\-quality product.
* Experience in gaming, social, online casino, or consumer mobile live service products.
* 4\+ years relevant experience
**Preferred Experience**
* MBA or equivalent experience preferred.
**Knowledge, Skills And Abilities**
* Critical Thinking and Creative Problem Solving
* Expert Excel/Google Sheet Skills and Proficient in Powerpoint/Google Slides
* Strong understanding of statistical significance in datasets.
* Understanding of forecasting and statistical modeling
* Agile/Scrum software development experience is a plus
* Ability to develop positive relationships and communicate effectively with Developers, QA, Analysts and Producers.
* Excellent Organizational skills
* Strong starter who can quickly get up to speed on new markets and products.
* Strong affinity for understanding target audience needs and spender priorities.
**We are SciPlay! We make games!**
 At SciPlay, we are programmed to think untraditionally, and we believe in doing what you love and doing it well. We take pride in our ability to stay ahead of the game! We are the brainiacs behind\-the\-scenes; innovating, dreaming, and navigating the social gaming world. Together, if we stay passionate and ambitious with our goals, no one can stop us from becoming the \#1 social and casual gaming company.
**A Few Of Our Highlighted Perks And Benefits**
* Competitive salaries
* Annual bonuses, matching 401k
* Fun environment: Open Office Concept with Ergonomic Seating and Standing Desks. Game Room featuring current generation consoles, numerous game titles, and various table games.
* Food! Fully Stocked Kitchen with Beverages and Snacks, as well as company\-paid lunches 2x/week
* Paid Family Leave
* Paid Volunteer Time
* Annual 2\-night company retreat
**Read More About Our Values Here**
 https://www.sciplay.com/life\-at\-sciplay
**Don’t meet every single requirement?** 
 Studies have shown that women and people of color are less likely to apply to jobs unless they meet every single qualification. At SciPlay we are dedicated to building a diverse, inclusive, and authentic workplace. Both professionally and personally, we believe our differences are key to unlocking our superpowers. So, if you’re excited about this role but your past experience doesn’t align perfectly with every qualification in the job description, we encourage you to apply anyways. You may be just the right candidate for this or other roles we have!
 **\#beYOU**
 SciPlay is a wholly\-owned subsidiary of Light \&amp; Wonder, Inc. At Light \&amp; Wonder, it’s all about the games! Learn more at www.lnw.com.
*SciPlay Corporation and its affiliates (collectively, SciPlay) are committed to creating a workforce of credibility and dependability. As a prerequisite to employment with SciPlay (to the extent permitted by law), you shall be asked to consent to SciPlay conducting a due diligence/background investigation on you. This job description should not be interpreted as all\-inclusive; it is intended to identify major responsibilities and requirements of the job. The employee in this position may be requested to perform other job\-related tasks and responsibilities than those stated above. SciPlay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*EEOC Poster.*
 Light \&amp; Wonder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for EEOC Poster.</t>
        </is>
      </c>
    </row>
    <row r="42">
      <c r="A42" t="inlineStr">
        <is>
          <t>li-4360449991</t>
        </is>
      </c>
      <c r="B42" t="inlineStr">
        <is>
          <t>Growth Product Manager, Website</t>
        </is>
      </c>
      <c r="C42" t="inlineStr">
        <is>
          <t>RemoteHunter</t>
        </is>
      </c>
      <c r="D42" t="inlineStr">
        <is>
          <t>linkedin</t>
        </is>
      </c>
      <c r="E42" t="inlineStr"/>
      <c r="F42" t="inlineStr"/>
      <c r="G42" t="inlineStr"/>
      <c r="H42" t="inlineStr"/>
      <c r="I42" t="inlineStr">
        <is>
          <t>About the Opportunity:
 The organization is the creator of a leading time series platform used to collect, store, and analyze time series data at any scale. Developers can query and analyze their time\-stamped data in real\-time to discover, interpret, and share new insights. This remote\-first organization seeks an experienced and entrepreneurial Growth Product Manager to join the Marketing team. The role involves delivering website strategies to increase awareness, drive customer acquisition, and improve product adoption. The position functions as both Product Manager of the main website and driver of customer experience journeys for solution discovery.
 Responsibilities:
 • Own the website as a growth channel, including conversion rate optimization, site performance, and user experience improvements to drive developer signups and product adoption
 • Design and execute marketing experiments focused on product\-led growth and lead generation; prioritize test ideas with cross\-functional teams, run A/B tests, analyze results, and implement successful experiments
 • Develop and execute a technical SEO/GEO roadmap to improve crawlability, indexability, structured data, and discoverability in AI\-powered search results for organic growth
 • Manage the web development roadmap, balancing priorities between conversion optimization, technical improvements, and new capabilities
 • Analyze user behavior, conversion funnels, and test results to identify effective strategies and areas for change
 • Establish regular reporting cadence to communicate website performance, organic growth metrics, and experiment results to leadership and cross\-functional teams
 • Understand B2B SaaS marketing and sales motions to drive cross\-functional success
 Requirements:
 • 4\+ years of growth product management experience, especially in a fast\-paced product\-led growth environment
 • Strong analytical skills with the ability to independently analyze data, identify growth opportunities, and make actionable decisions
 • Expertise in hypotheses\-driven website experimentation and relevant tools including Google Analytics, A/B testing platforms, design collaboration tools such as Figma, and CMS like Contentful or Sanity; knowledge of SQL/Python is a plus
 • Working knowledge of GEO/AEO principles and modern SEO tactics for AI\-powered search engines
 • Exceptional communication, relationship management, and organizational skills, with proven ability to lead complex, multi\-quarter, cross\-functional projects
 • Bias for action and ability to work autonomously; ability to identify opportunities, make quick decisions with imperfect information, and ship iteratively
 • Empathy for developers and enthusiasm for building products they will love
 Benefits \&amp; Perks:
 • Medical, dental, and vision insurance with 100% employee coverage
 • Company contribution to Flexible Spending Account (FSA)
 • Flexible Time Off policy
 • Life insurance, short\-term and long\-term disability insurance
 • 401(k) retirement plan
 • Wellness programs
 • Annual professional development budget
 • Financial planning and legal advice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3">
      <c r="A43" t="inlineStr">
        <is>
          <t>li-4346671069</t>
        </is>
      </c>
      <c r="B43" t="inlineStr">
        <is>
          <t>Product Manager - Macro Space (Supply Chain SaaS)</t>
        </is>
      </c>
      <c r="C43" t="inlineStr">
        <is>
          <t>RELEX Solutions</t>
        </is>
      </c>
      <c r="D43" t="inlineStr">
        <is>
          <t>linkedin</t>
        </is>
      </c>
      <c r="E43" t="inlineStr"/>
      <c r="F43" t="inlineStr"/>
      <c r="G43" t="inlineStr">
        <is>
          <t>Phoenix, AZ</t>
        </is>
      </c>
      <c r="H43" t="inlineStr"/>
      <c r="I43" t="inlineStr">
        <is>
          <t>We are now looking for a
 **Product Manager with a focus on Macro Space (Floor Planning)** 
 in our Space and Assortment Management, to join our RELEX family in Atlanta. You will be joining a US Product team \- a branch of a larger global Product organization, the majority of which are based at company HQ in Helsinki. Together the team is aiming to make sure the North American market is represented in our central roadmap and Product Development. You will help the team achieve this goal by utilizing expertise to help support Sales and Implementation teams, contribute to ongoing planning and roadmap discussions, and participate in stakeholder engagement when it comes to all things Product.
**What you’ll be doing:**
 You will play an eclectic role contributing to many facets of our business. The focus of the role is on Macro Space (Floor Planning as part of what we term as Space \&amp; Assortment solutions. At RELEX, this refers to Micro Space (Planogram management and optimization), Macro Space (Floor Planning), as well as Clustering and Assortment solutions. Some of the key areas of responsibility are based around the following:
* Product expertise
+ Play the role of Macro Space Product expert with the deep knowledge and understanding of the Macro Space product and its data flows and configurations
+ Be a product evangelist of your products both internally and externally (e.g., supporting sales, engaging with prospective partners)
* Sales support
+ Play the role of trusted advisor within sales cases for Macro Space solution, contributing to transposing of prospect requirements to solutions within our software base
* Operations guidance/support
+ Involvement in customer implementations providing guidance and expertise to operations team members
+ Consult and work with our Operations, Product Excellence \&amp; Best Practice teams on best practice within Macro Space solution by investigating product data flows, processes and configurations
* Roadmap contribution and collaboration
+ Understanding where our Macro Space Product could improve, as well as contributing to building and maintaining the operational roadmaps and ongoing development effort.
* Product strategy and vision
+ Contribute to our centrally maintained Macro Space Product vision and ensure the North American market is front and center (aligning with our strategic priorities)
**What you will bring to the table:**
* Experience of Space related products within the industry and a clear view of best practice, and how improvements can be made in terms of solutions and user experience
* Experience in Product management, and software and general product development, including development methodology and roadmap management
* Able to contribute and influence product direction with collaboration with customers and central teams
* Able to work with sales and operations teams together with the central Product management to add strategic guidance, particularly with scoping
* Actively works with customers and involves them early in the release communications
* Can talk about difficult topics on multiple abstraction layers from C level to other members of the wider product team
* Can play the role of Product expert for our Operations team (new and existing projects), and sales cases
**What we consider as an advantage:**
* (Deep) understanding of retail industry or broader range of product areas, albeit, predominantly focused on Space, Assortment and Category Management
* Experience in a retail setting understanding how our customers (retailers) utilize Space related software
**RELEX Solutions is an equal opportunity employer. We celebrate diversity and are committed to creating an inclusive environment for all employees.**</t>
        </is>
      </c>
    </row>
    <row r="44">
      <c r="A44" t="inlineStr">
        <is>
          <t>li-4346642117</t>
        </is>
      </c>
      <c r="B44" t="inlineStr">
        <is>
          <t>Product Manager - Macro Space (Supply Chain SaaS)</t>
        </is>
      </c>
      <c r="C44" t="inlineStr">
        <is>
          <t>RELEX Solutions</t>
        </is>
      </c>
      <c r="D44" t="inlineStr">
        <is>
          <t>linkedin</t>
        </is>
      </c>
      <c r="E44" t="inlineStr"/>
      <c r="F44" t="inlineStr"/>
      <c r="G44" t="inlineStr">
        <is>
          <t>USAF Academy, CO</t>
        </is>
      </c>
      <c r="H44" t="inlineStr"/>
      <c r="I44" t="inlineStr">
        <is>
          <t>We are now looking for a
 **Product Manager with a focus on Macro Space (Floor Planning)** 
 in our Space and Assortment Management, to join our RELEX family in Atlanta. You will be joining a US Product team \- a branch of a larger global Product organization, the majority of which are based at company HQ in Helsinki. Together the team is aiming to make sure the North American market is represented in our central roadmap and Product Development. You will help the team achieve this goal by utilizing expertise to help support Sales and Implementation teams, contribute to ongoing planning and roadmap discussions, and participate in stakeholder engagement when it comes to all things Product.
**What you’ll be doing:**
 You will play an eclectic role contributing to many facets of our business. The focus of the role is on Macro Space (Floor Planning as part of what we term as Space \&amp; Assortment solutions. At RELEX, this refers to Micro Space (Planogram management and optimization), Macro Space (Floor Planning), as well as Clustering and Assortment solutions. Some of the key areas of responsibility are based around the following:
* Product expertise
+ Play the role of Macro Space Product expert with the deep knowledge and understanding of the Macro Space product and its data flows and configurations
+ Be a product evangelist of your products both internally and externally (e.g., supporting sales, engaging with prospective partners)
* Sales support
+ Play the role of trusted advisor within sales cases for Macro Space solution, contributing to transposing of prospect requirements to solutions within our software base
* Operations guidance/support
+ Involvement in customer implementations providing guidance and expertise to operations team members
+ Consult and work with our Operations, Product Excellence \&amp; Best Practice teams on best practice within Macro Space solution by investigating product data flows, processes and configurations
* Roadmap contribution and collaboration
+ Understanding where our Macro Space Product could improve, as well as contributing to building and maintaining the operational roadmaps and ongoing development effort.
* Product strategy and vision
+ Contribute to our centrally maintained Macro Space Product vision and ensure the North American market is front and center (aligning with our strategic priorities)
**What you will bring to the table:**
* Experience of Space related products within the industry and a clear view of best practice, and how improvements can be made in terms of solutions and user experience
* Experience in Product management, and software and general product development, including development methodology and roadmap management
* Able to contribute and influence product direction with collaboration with customers and central teams
* Able to work with sales and operations teams together with the central Product management to add strategic guidance, particularly with scoping
* Actively works with customers and involves them early in the release communications
* Can talk about difficult topics on multiple abstraction layers from C level to other members of the wider product team
* Can play the role of Product expert for our Operations team (new and existing projects), and sales cases
**What we consider as an advantage:**
* (Deep) understanding of retail industry or broader range of product areas, albeit, predominantly focused on Space, Assortment and Category Management
* Experience in a retail setting understanding how our customers (retailers) utilize Space related software
**RELEX Solutions is an equal opportunity employer. We celebrate diversity and are committed to creating an inclusive environment for all employees.**</t>
        </is>
      </c>
    </row>
    <row r="45">
      <c r="A45" t="inlineStr">
        <is>
          <t>li-4354144415</t>
        </is>
      </c>
      <c r="B45" t="inlineStr">
        <is>
          <t>Product Manager, Finance and Billing (Ads)</t>
        </is>
      </c>
      <c r="C45" t="inlineStr">
        <is>
          <t>Netflix</t>
        </is>
      </c>
      <c r="D45" t="inlineStr">
        <is>
          <t>linkedin</t>
        </is>
      </c>
      <c r="E45" t="inlineStr"/>
      <c r="F45" t="inlineStr"/>
      <c r="G45" t="inlineStr">
        <is>
          <t>Seattle, WA</t>
        </is>
      </c>
      <c r="H45" t="inlineStr"/>
      <c r="I45"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Our Team
 The Ads Platform team builds the advertising systems and integrations that powers the delivery of ads using our world class content delivery ecosystem. We deliver ads in a manner that’s thoughtful of our member’s viewing experience and drive great outcomes for advertisers. We also ensure that advertiser brand safety is ensured during serving, members only see the most appropriate ads for them and Netflix’s advertising policies and contracts are thoroughly enforced.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help us differentiate from the competition and become a market leader in record time.
 We are looking for a Product Manager, to lead complex monetization billing automation, financial reporting infrastructure, and critical billing initiatives.
 Job Responsibilities
**The PM Will**
* Shape the Finance and Billing strategy for billing and finance functionalities for ads business
* Develop product solutions for automating billing and revenue recognition, addressing intricate invoicing scenarios. This includes managing product bundles, prepayments, monetization of non\-real\-time bidding (non\-RTB) marketplaces, and integrations with third\-party (3P) billing systems like Prisma, as well as billing for integrated marketing products
* Design and own financial reporting infrastructure , supporting compliance, regulatory and management reporting use cases
* Collaboration with cross functional teams such as engineering, design ,finance and sales teams to ensure seamless integration and delivery of ad billing solutions
* Develop and maintain product roadmap for areas managed and ensure aligns with business goals and customer needs
* Regularly update stakeholders on product progress, challenges and opportunities
 Candidate Experience
* Industry Expertise: Proven (5\-7 years) experience in product management within the advertising or ad tech industry, with a focus on billing and finance.
* Technical Proficiency: Strong understanding of ad delivery systems, integrations, and content delivery networks.
* Analytical Skills: Demonstrated ability to analyze complex data sets and derive actionable insights to drive product decisions.
* Project Management: Experience managing multiple projects simultaneously, with a track record of delivering on time and within scope.
* Communication Skills: Excellent verbal and written communication skills, with the ability to articulate complex concepts to diverse audiences.
* Leadership: Proven ability to lead cross\-functional teams and influence stakeholders at all levels of the organization.
* Adaptability: Comfortable working in a fast\-paced, rapidly changing environment, with a strong ability to adapt to new challenges and opportunities.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$120,000 \- $515,000\.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46">
      <c r="A46" t="inlineStr">
        <is>
          <t>li-4364841046</t>
        </is>
      </c>
      <c r="B46" t="inlineStr">
        <is>
          <t>Product Owner I (US) - Online Banking PG</t>
        </is>
      </c>
      <c r="C46" t="inlineStr">
        <is>
          <t>TD</t>
        </is>
      </c>
      <c r="D46" t="inlineStr">
        <is>
          <t>linkedin</t>
        </is>
      </c>
      <c r="E46" t="inlineStr"/>
      <c r="F46" t="inlineStr"/>
      <c r="G46" t="inlineStr">
        <is>
          <t>Mount Laurel, NJ</t>
        </is>
      </c>
      <c r="H46" t="inlineStr"/>
      <c r="I46" t="inlineStr">
        <is>
          <t>**Work Location:**
 Mount Laurel, New Jersey, United States of America
**Hours**
 40
**Pay Details**
 $91,000 \- $145,600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Enterprise Enabling Functions
**Job Description**
 The Product Owner I is responsible to ensure that a development team (pod) is creating value for the organization through the delivery of customer\-focused product increments. This entails aligning with other Product Owners and senior management to follow a product vision, creating and maintaining a prioritized product backlog, managing delivery blockers, continuously assessing customer feedback. The Product Owner I should always be considering how to maximize value, assessing how the product or the delivery process can be continuously improved, contributes to a positive work environment and ensures that work embodies the Agile principles of transparency, collaboration and engagement.
**Depth \&amp; Scope**
* Key subject matter expert professional role requiring substantial knowledge / expertise in a complex field and knowledge of broader related areas
* Accountable for specialized product development support based on sound product expertise and knowledge of Agile/Scrum processes, roles and practices
* Integrates knowledge of the enterprise sub\-function’s or business line’s overarching strategy in developing solutions across multiple functions or operations
* Interprets internal/external business challenges and the industry environment, recommends course of action and best practices to improve products, processes or services
* Leads and integrates cross\-function understanding within their own field of specialty, and /or projects with significant resource requirements, risk and / or complexity
* Solves or may lead others to solve complex problems; leads efforts or partners with others to develop new solutions
* Uses sophisticated analytical thought to exercise judgement and identify solutions
* Impacts the achievement of sub\-function or business line objectives within the area they are accountable for
* Communicates difficult concepts; converts information to compelling business context and advice; influences and gains alignment across increasingly senior stakeholders
* Works autonomously as the lead and guide others within area of expertise
**Education \&amp; Experience**
* Undergraduate degree and / or product certificate
* 7\+ years relevant experience
* 3\-5 years Product Owner or Agile related delivery experience
* Certified Scrum Product Owner (CSPO) certification and project management experience considered an asset
* Scaled Agile Framework (SAFe) certifications or experience operating in scaled agile delivery considered an asset
**Customer Accountabilities**
* Partners with senior management to support the delivery of a product vision
* In alignment with the product vision, create and maintain a product backlog and continuously re\-prioritize user stories that will provide the most customer or end user value
* Continuously aligns with senior management on the product delivery roadmap, defined Minimum Marketable Features or Minimum Viable Products and release cadence
* Reviews performance analytics; recommend and champion strategies to enhance the customer or end user product experience
* Participates in scrum or Kanban events (e.g. stand\-ups, retrospectives), express new ideas for improving product value or delivery efficiency, sharing with leadership as appropriate
* Proactively engages established business process partners to ensure customers or end users are prepared for application changes and establish Day 2 processes
* Creates a value\-focused product backlog and continuously iterate, ensuring there are user stories scoped and prioritized
* Provides user story design, development and completion oversight; accepting / rejecting user stories based on the agreed upon Definition of Done and Acceptance Criteria
* Manages delivery initiatives and (depending on complexity) oversee multiple development team (pod) backlogs
* Proactively raises issues that impede the efficient delivery of customer\-focused increments
* Responsible for defect management and prioritization
**Shareholder Accountabilities**
* Adheres to enterprise frameworks or methodologies that relate to activities for own business area / journey
* Ensures on\-going strategic alignment with senior management, providing feedback as appropriate
* Considers development team and stakeholder feedback in backlog management, facilitating conversations with multiple stakeholders representing competing priorities
* Understands the internal business and technical environment, proactively defining, aligning or integrating with relevant stakeholders, shared services control groups (or platform as appropriate
* Leads the submission and discussion on the Quarterly Business Review, with respect to their product
* Proactively manages business stakeholders to obtain inputs needed for product development in a timely manner
* Monitors the regulatory environment and partner with the senior management to consider changes to product strategy as needed
* Actively coordinates and engages in risk, quality and/or business testing management
* Empowered to make product delivery decisions, escalating to senior management as appropriate
* Actively communicates to business, technology and senior management regarding product changes and backlog priorities
* Single point of escalation for development team, providing guidance and decisioning as needed
* Works cohesively with peers to reinforce Agile processes
* Compiles performance metrics and share with relevant stakeholders
* Defines the OKRs in partnership with numerous stakeholders across the organization
* Protects the interests of the organization\- identify and manage risks, and escalate non\-standard, high risk activities as necessary
* Keeps abreast of emerging issues, trends, and evolving regulatory requirements and assess potential impacts
* Maintains a culture of risk management and control, supported by effective processes in alignment with risk appetite
**Employee/Team Accountabilities**
* Participates fully as a member of the team, support a positive work environment that promotes service to the business, quality, innovation and teamwork and ensure timely communication of issues / points of interest
* Supports team development, track team performance metrics, and provides ongoing coaching and support
* Provides thought leadership and / or industry knowledge for area of expertise in product area and participate in knowledge transfer within the team and business area / journey
* Works cohesively with Scrum Master to reinforce Agile processes
* Participates in personal performance management and development activities, including cross training within own team
* Keeps others informed and up\-to\-date about the status / progress of delivery and / 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 / stakeholders to develop productive working relationships
* Contributes to a fair, positive and equitable environment that supports a diverse workforce
* Acts as a brand ambassador for the business area / journey and the bank, both internally and / 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47">
      <c r="A47" t="inlineStr">
        <is>
          <t>li-4326217823</t>
        </is>
      </c>
      <c r="B47" t="inlineStr">
        <is>
          <t>IT Product Manager - Logistics</t>
        </is>
      </c>
      <c r="C47" t="inlineStr">
        <is>
          <t>Swire Coca-Cola, USA</t>
        </is>
      </c>
      <c r="D47" t="inlineStr">
        <is>
          <t>linkedin</t>
        </is>
      </c>
      <c r="E47" t="inlineStr"/>
      <c r="F47" t="inlineStr"/>
      <c r="G47" t="inlineStr">
        <is>
          <t>Draper, UT</t>
        </is>
      </c>
      <c r="H47" t="inlineStr"/>
      <c r="I47" t="inlineStr">
        <is>
          <t>Who is Swire Coca\-Cola? We are a family\-owned bottling company with a story spanning over two centuries. We are one of the largest bottlers of Coca\-Cola in North America and distribute more than 50 beverage brands and flavors creating joy for our customers every day. Our 8,000\+ driven employees work hard as part of a team that delivers refreshment to over 30 million consumers across 13 states. Begin a journey with us at Swire Coca\-Cola and belong to a community of dedicated team members who think big and believe in winning together.
 Why you’ll love working at Swire Coca\-Cola:
 Swire Coca\-Cola is committed to providing balance to support you in all aspects of your life, both at work and beyond. We offer the benefits you need for physical, financial, and emotional well\-being.
* Health coverage (3 medical options, dental and vision). 401(k) Retirement Plan w/company match
* Health Savings Accounts w/company match
* FREE virtual primary care, acute care and physical therapy
* FREE Employee Assistance Program
* Company paid (vacation, holidays, sick time, bereavement, jury duty, maternity/parental, disability leave and volunteer time)
* Discounted \&amp; free product
* Tuition reimbursement
* Opportunities for career advancement
 In addition to health benefits, Swire Coca\-Cola is proud to offer you opportunities where you help give back directly to the communities and causes you care about. Note: Enrollment in a Swire Medical Plan is
 *required for some benefits.*
**Job Details:**
 Schedule: This position is required to be on\-site 5 days a week.
 Job Level: 6
**What does a Product Manager at Swire Coca\-Cola do?**
 As a Product Manager in our IT organization, you will act as a strategic liaison between Technology and business units, supporting the advancement of organizational goals through effective product management. You will align technology capabilities with business needs, manage the full product lifecycle, and foster collaboration across teams and stakeholders. This role is ideal for a results\-driven professional with strong leadership skills and a proven track record in technology management, ready to drive impactful product initiatives in a dynamic IT environment.
**Responsibilities:**
* Align technology capabilities and product initiatives with business unit objectives, identifying opportunities for innovation and technical improvements that deliver value to stakeholders and users.
* Build and maintain strong relationships with business unit managers and internal stakeholders, collaborating to understand needs, gather requirements, and support strategic IT planning.
* Oversee the end\-to\-end lifecycle of IT products, from ideation and planning through launch, assessment, and iteration, ensuring products meet business goals and user expectations.
* Lead product design and implementation, applying product management principles to coordinate cross\-functional teams and ensure timely completion of product milestones.
* Implement agile methodologies, manage sprints, drive continuous improvement through iterative solutions, and facilitate agile ceremonies to enhance team performance.
* Leverage emerging technology trends and conduct market analysis to propose enhancements that maximize business impact and user satisfaction.
* Manage product documentation to ensure accuracy, accessibility, and support for users and enablement initiatives.
* Collaborate with internal teams, vendors, and suppliers to coordinate efforts, resolve issues, and deliver high\-quality outcomes aligned with business needs.
* Track and optimize key performance indicators (KPIs) such as business value delivery (e.g., revenue, customer lifetime value, churn), user adoption rates, customer satisfaction, on\-time delivery, return on investment, product strategy alignment, intake\-to\-solution time, time\-to\-market, team engagement scores, career progression tracking, documentation discoverability, and cross\-functional collaboration.
**Requirements:**
* Bachelor's Degree Engineering, Information Technology, Business Management, or a related field required
* Master's Degree or MBA a plus
* 4\+ years in product management or technology management roles, with a demonstrated history of leading initiatives, products, or services that drive organizational technology evolution, preferably supporting business units or operations functions required
* Product lifecycle management and market analysis
* Proficiency in agile methodologies and product management
* Strong analytical skills for data\-driven decision\-making and KPI tracking
**Come and join our Sparkling team!**
 Swire Coca\-Cola is an equal employment opportunity and affirmative action employer that participates in the E\-Verify program as required by law. All qualified applicants will receive consideration for employment without regard race, color, religion, sex, sexual orientation, gender identity, national origin, disability, Veteran status or other legally protected characteristics. Swire Coca\-Cola does not sponsor applicants for work visas.</t>
        </is>
      </c>
    </row>
    <row r="48">
      <c r="A48" t="inlineStr">
        <is>
          <t>li-4342755112</t>
        </is>
      </c>
      <c r="B48" t="inlineStr">
        <is>
          <t>Product Manager and Market Strategy for AI Solutions</t>
        </is>
      </c>
      <c r="C48" t="inlineStr">
        <is>
          <t>Jacobs</t>
        </is>
      </c>
      <c r="D48" t="inlineStr">
        <is>
          <t>linkedin</t>
        </is>
      </c>
      <c r="E48" t="inlineStr"/>
      <c r="F48" t="inlineStr"/>
      <c r="G48" t="inlineStr">
        <is>
          <t>New York, NY</t>
        </is>
      </c>
      <c r="H48" t="inlineStr"/>
      <c r="I48"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This
 **Product Manager and Market Strategy** 
 role is housed in our
 **BeyondIF team** 
 , which is part of our
 **Data \&amp; Digital division** 
 . BeyondIF is Jacobs innovation and R\&amp;D program and acts as an “accelerator” for a range of digital innovations across many markets and geographies. Artificial Intelligence has the potential to disrupt and improve outcomes for a huge portion of Jacobs’ mission. Jacobs has developed several new AI tools, with many more in pilot stage, that maximize the upsides of AI while minimizing the risks. This role, working within Jacobs’ BeyondIF program, will foster several emerging tools out of the pilot and into the “scaling” phase.
**Areas of Responsibility**
* “Outbound” oriented product management – leading voice\-of\-customer and voice\-of\-prospect interviews and consolidating results. Defining key user stories, writing specifications, and prioritizing the roadmap
* Collaborating with the engineering and delivery team (mostly in Poland) to deliver on the roadmap
* Prioritization of AI product and solution roadmap, in coordination with D\&amp;D and Poland Jacobs AI team
* Forecasting the products’ financial outlook by defining total potential market, pricing, and long term costs to ensure the right product investments are made
* Product marketing work including, defining and drafting how the product should be pitched (value proposition statements, etc.)
* Collaborating with people teams across the Jacobs’ global business and maintaining clear, organized conversation and documentation
* Working within the Jacobs context – these are all products that will be launched via Jacobs’ vast footprint in our markets. Thus, this job requires understanding the bigger context and prioritizing products and paths to market that make “being part of Jacobs” the greatest strength. This may lead to prioritization of products that an independent tech company might not prioritize!
**Note** 
 There will be significant collaboration required with European and North American time zones
 Here's what you'll need
* 5\-10 years total experience split in any ratio across the following
+ Product management experience in enterprise/commercial software and digital tools (managing roadmaps, organizing backlogs, summarizing customer/prospect/market feedback and turning it into excellent product specifications documents, etc.)
+ Demonstrated experience working on the financial/commercial side of things (previous responsibility for business planning, and MBA, etc.)
* Interest in transportation, water, mobility, and/or energy
* Interest in enterprise software and AI including market sizing and price determination
* Comfortable conducting qualitative interviews with customers (existing and prospective), partners, and competitors
* Comfort making decisions quickly in a fast\-changing environment
* Adept at conducting primary and secondary research to analyze and size potential markets, establish market segmentation, competitors, market\-entry challenges, and financial opportunity
* Excellent Executive\-level communication skills, including written, spreadsheet visual (presentations), and verbal
* Ability to take initiative and drive projects from concept to completion, even in ambiguous or undefined environments
**Preferred**
* Experience in AI products and solutions
* Experience in the AEC (Architectural, Engineering, and Consultant) industry or related industries
* Experience with DevOps, Jira, or related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$90,000\.00 to $150,000\.00\.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December 08,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49">
      <c r="A49" t="inlineStr">
        <is>
          <t>li-4289496856</t>
        </is>
      </c>
      <c r="B49" t="inlineStr">
        <is>
          <t>Sr. Product Manager</t>
        </is>
      </c>
      <c r="C49" t="inlineStr">
        <is>
          <t>ATEC Spine</t>
        </is>
      </c>
      <c r="D49" t="inlineStr">
        <is>
          <t>linkedin</t>
        </is>
      </c>
      <c r="E49" t="inlineStr"/>
      <c r="F49" t="inlineStr"/>
      <c r="G49" t="inlineStr">
        <is>
          <t>Carlsbad, CA</t>
        </is>
      </c>
      <c r="H49" t="inlineStr"/>
      <c r="I49" t="inlineStr">
        <is>
          <t>Responsible for identification and implementation of product strategies, marketing plans, promotional and advertising programs, as well as oversees all aspects of product management, including: product development, market launch and surveillance, sales training and forecasting for assigned product line, in such a way as to ensure that existing and new products meet Company goals and expectations.
**Essential Duties And Responsibilities**
* Designs, develops and implements product marketing campaigns for assigned product line, including: setting objectives and short\- and long\-term strategies, conducting market research and competition tracking, developing product mix and action plans, ROI analysis
* Manages all product marketing activities for assigned product line, including: new idea generation, product profiling review, product strategic development plans, project management, product training as well as market launch and surveillance
* Pursues product line extensions and/or trimming, labeling revisions, clinical studies and any other activities to build and sustain value of the product line and maximize earnings.
* Continually seeks new innovations for assigned product line
* Develops high\-quality sales collateral, efficient customer service processes, and optimized manufacturing operations to support assigned product line
* Develops and monitors sales forecasts as necessary and works collaboratively with other departments to optimize product mix throughout product lifecycle both domestically and internationally
* Monitors competitive landscape to stay abreast of market trends by regularly reviewing scientific literature, competitor's product offerings, traveling with field sales personnel, attending surgeries, meeting with stakeholders, attending scientific meetings, etc.
* Develops product presentations, surgical techniques, and white papers in support of sales and corporate marketing campaigns, e.g. product binders, web sites, brochures, etc.
* Leads and/or participates on cross\-functional product development teams
* Collaborates responsively and proactively with domestic and international sales to ensure quality product support of new product launches, existing product segments, training programs, and key surgeon and account management
* Establishes and maintains strong relationships with designing and consulting physicians as well as proctor surgeons
* Maintains a strong market position of assigned product line through a highly visible presence and public relations at scientific conferences and meetings
* Routinely interfaces with Company managers/directors of other product lines to fully understand the interdependent relationship between product portfolios
* Collaborates with MarComm and other related departments to develop creative promotional, advertising and value\-added services to maximize revenue for assigned product line
* Collaborates regularly with R\&amp;D to develop/refine products, invent new solutions, and develop best in class procedure offerings
* Maintains frequent and regular contact with strategic industry experts and trade organizations, field visits with key surgeons and sales consultants, and participates in key meetings and conferences to ensure company and products are perceived superior relative to the competition
* Participates in strategic sales and marketing planning activities for assigned products in order to identify key targets, surgeons, and hospitals by specific product
* Performs other duties as required
**Requirements**
 The requirements listed below are representative of the knowledge, skill, and/or ability required. Reasonable accommodations may be made to enable individuals with disabilities to perform the essential functions.
* Must have medical industry experience.
* Strong relationship partnering skills and the ability to effectively communicate to all levels of management including collaboration with Engineering/R\&amp;D, Regulatory, and Operations/Manufacturing counterparts on product strategic planning, design review, and marketing playbook.
* Knowledge of computer applications (i.e.: Microsoft Word, Excel (including pivot tables), PowerPoint, Access \&amp; Project, Windows, Internet applications, etc.) required.
* Excellent oral and written communication skills.
* Develops and presents Business Cases as justification for new product as required.
* Superior interpersonal skills.
* Ability to organize and prioritize workflow and to meet established timeframes.
* Ability to multi\-task within a cross\-functional team and matrix management structure
* Strong attention to details.
* Ability to represent the company at a variety of business functions or situations in a professional and competent manner.
* Ability to exercise independent judgment consistent with department guidelines.
* Ability to maintain updated knowledge of procedures, products and activities of assigned product line.
* Ability to communicate effectively with engineers at a technical level.
* Ability to perform multiple tasks in a fast\-paced, team environment.
* Ability to work under pressure.
* Proven skill and experience in overall market analysis, planning, development and management.
* Demonstrated strategic/tactical planning and implementation capabilities.
* Technically sensitive and receptive.
* Demonstrated capacity for planning, marketing and product development.
* Ability to prepare sales forecasts
* Experience with and understanding of a clinical/surgical environment and workflow.
* Ability to travel up to 40 percent.
**Supervisory Responsibilities**
* May supervise one or more positions within Product Group including Product Manager, Associate Product Manager, or Marketing Associate as necessary.
**Education And Experience**
 Bachelor's degree in Marketing or related field with minimum of 5 years of related experience, preferably in the orthopedic device industry, and 2\-4 years of combined Marketing experience and education. (Related experience ONLY includes the following Marketing Roles \- Spine and if not then may consider a combination of these: Knee/Hip/Joint, Sports Medicine, Arthroscopic, Trauma (managing instrument sets). Sales experience is a plus, but without pure Marketing experience candidates will not be considered preferred. Adept at both upstream and downstream marketing (especially in launching of new products). Life Science or medical device sales experience a preference to compliment Marketing foundation. Strong leadership skills, including prior experience leading/working on cross\-functional product development teams; familiar with stage gate design control processes. Ability to and willingness to work at both the strategic and tactical level. Previous P\&amp;L and budgetary responsibility preferred or financial acumen.
 For roles based in the United States that require access to hospital facilities, must be eligible for and maintain credentials at all required hospitals, including meeting any applicable physical requirements or vaccination requirements (including the COVID\-19 vaccine, as applicable).
 ATEC is committed to providing equal employment opportunities to its employees and applicants without regard to race, color, religion, national origin, age, sex, sexual orientation, gender identity, gender expression, or any other protected status in accordance with all applicable federal, state or local laws. Further, ATEC will make reasonable accommodations that are necessary to comply with disability discrimination laws.
**Salary Range**
 Alphatec Spine, Inc. complies with state and federal wage and hour laws and compensation depends upon candidate's qualifications, education, skill set, years of experience, and internal equity. $130,000 to $160,000 Full\-Time Annual Salary</t>
        </is>
      </c>
    </row>
    <row r="50">
      <c r="A50" t="inlineStr">
        <is>
          <t>li-4360869787</t>
        </is>
      </c>
      <c r="B50" t="inlineStr">
        <is>
          <t>Group Outbound Product Manager, Data Analytics, Google Cloud</t>
        </is>
      </c>
      <c r="C50" t="inlineStr">
        <is>
          <t>Google</t>
        </is>
      </c>
      <c r="D50" t="inlineStr">
        <is>
          <t>linkedin</t>
        </is>
      </c>
      <c r="E50" t="inlineStr"/>
      <c r="F50" t="inlineStr"/>
      <c r="G50" t="inlineStr">
        <is>
          <t>Sunnyvale, CA</t>
        </is>
      </c>
      <c r="H50" t="inlineStr"/>
      <c r="I50"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Kirkland, WA, USA; Seattle, WA, USA; San Francisco, CA, USA** 
 .
 **Minimum qualifications:**
* Bachelor's degree or equivalent practical experience.
* 10 years of experience in product management or a related technical role.
* 5 years of experience taking technical products from conception to launch.
* Experience developing or launching products or technologies within databases, analytics, big data, or a related area.
**Preferred qualifications:**
* Master's degree in a technology or a business related field, or equivalent practical experience.
* 7 years of experience working cross\-functionally with engineering, UX/UI, business, finance, and other stakeholders.
* 7 years of experience in a business function or role (e.g., marketing, business operations, consulting).
* 5 years of experience in software development or engineering.
* 5 years of experience in a role preparing and delivering technical presentations to executive leadership.
* Knowledge in building accessibility and experience for incorporating accessibility into product development methodologies.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Product Activation and Outbound Product Management (PA/OPM) team is responsible for driving growth of the Data and Analytics portfolio. This includes working with Go\-to\-Market (GTM) and Business teams to drive an annual business plan for data and analytics, including the growth goals for the year, defining the business motions and plays for field teams and diagnosing how to streamline business process and agreement execution. In addition, this team supports external messaging for our Data and Analytics products, related solutions and differences. We partner with product management, product marketing and GTM teams to develop and execute all go\-to\-market activities that drive business performance and customer satisfaction.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Product Requirements Document by overseeing collaboration with partner teams (e.g., engineers, UX) during product design.
* Own and oversee definition of product roadmaps.
* Own development and secure buy\-in for a product goal that identifies, defines, and supports the overall product narrative and direction, achieving an outcome that is greater than the sum of its parts.
* Oversee validation of market size and opportunity (e.g., user\-based, strategic opportunity, business).
* Lead the team through defining, identifying, collecting, and tracking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1">
      <c r="A51" t="inlineStr">
        <is>
          <t>li-4362040944</t>
        </is>
      </c>
      <c r="B51" t="inlineStr">
        <is>
          <t>Sr. Product Manager</t>
        </is>
      </c>
      <c r="C51" t="inlineStr">
        <is>
          <t>Ericsson</t>
        </is>
      </c>
      <c r="D51" t="inlineStr">
        <is>
          <t>linkedin</t>
        </is>
      </c>
      <c r="E51" t="inlineStr"/>
      <c r="F51" t="inlineStr"/>
      <c r="G51" t="inlineStr">
        <is>
          <t>Harrison, NJ</t>
        </is>
      </c>
      <c r="H51" t="inlineStr"/>
      <c r="I51" t="inlineStr">
        <is>
          <t>**Grow with us**
**About this opportunity:**
**This position needs to be located in the 2 areas Boise, Santa Clara, Plano or EST preferred.**
 Ericsson Inc. does not sponsor US work authorizations for this job position including H\-1B, O\-1, L\-1 and TN. Ericsson also does not hire F\-1’s working on EAD for this position.
 We are seeking an experienced and motivated Senior Product Manager to define and execute the product strategy for AI\-driven solutions within our cloud management platform (NetCloud), with a focus on Private 5G and enterprise wireless use cases. This role is part of a team responsible for introducing and accelerating new technology adoption and delivering high\-value capabilities that solve operational challenges for customers.
 Why Join Us? This is a high\-impact, high\-visibility role at the intersection of three of the most transformative technologies today: AI, Cloud, and Wireless. You will have the opportunity to shape a growing product category and directly enable business transformation of top\-tier global enterprises.
**What You Will Do**
* Product Strategy \&amp; Vision: Define the strategic roadmap and product vision for leveraging AI/ML to enhance the management, orchestration, monitoring, and optimization of private 5G networks and other enterprise wireless/networking infrastructure within the cloud platform.
* Customer \&amp; Market Insight: Deeply understand the challenges faced by network operators, IT teams, and developers managing private 5G and enterprise edge infrastructure. Conduct competitive analysis and market research to identify opportunities for differentiation through AI.
* Feature Definition \&amp; Execution: Translate market needs and technical possibilities into detailed product requirements and acceptance criteria. Prioritize the backlog to maximize customer value and business impact.
* Go\-to\-Market (GTM) Strategy: Collaborate closely with Marketing, Sales, and Solutions Engineering to develop compelling messaging, sales enablement materials, and GTM plans for new AI\-powered features.
* Cross\-Functional Leadership: Serve as the product owner, working with Engineering, Data Science, UX/UI, Architecture, Compliance/Legal, and other teams to guide the entire product lifecycle from ideation to launch and iteration.
* Technical Translator: Act as the bridge between cutting\-edge AI research/engineering and customer\-facing product value, ensuring AI models and data pipelines are integrated into the product in a meaningful, scalable, cost\-effective, and secure way.
* Business Performance: Define and track key performance indicators (KPIs) related to AI feature adoption, customer value, and overall product success.
**The Skills You Bring**
* 5\+ years of professional experience, with a minimum of 3\+ years in a Product Management role defining and launching enterprise software or cloud services.
* Communication \&amp; Influence: Exceptional written and verbal communication skills, including the ability to articulate strategic vision cross\-functionally, clarify technical nuance and implementation requirements with R\&amp;D, and translate technical concepts to a non\-technical audience (executives, sales, customers). This is the single most important skill for this job. Please acknowledge this emphasis. Very strong communication skills are essential.
* Deep Expertise in Enterprise Networking/Wireless: Solid understanding of enterprise networking concepts, including experience with mobile wireless network infrastructure, RAN, Core, User Equipment (UE), routers, and switches. Specific experience with Private 5G or enterprise LTE is a significant plus.
* Experience with AI/ML Products: Proven track record of defining and launching products or features that rely on machine learning, predictive analytics, or large\-scale data processing (e.g., AIOps, predictive maintenance, resource optimization).
* Cloud Platform Experience: Familiarity with major public cloud providers (AWS, Azure, GCP) or experience with large\-scale cloud management or orchestration platforms (e.g., Kubernetes, OpenStack, cloud\-native infrastructure).
* Technical Acumen: Ability to engage in detailed technical discussions with data scientists and engineers regarding model performance, data requirements, and deployment architectures.
* Education: Bachelor's degree, preferably in an area of technical competence (Computer Science, Engineering, Data Science, etc). An Advanced degree or MBA is a plus.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Ericsson uses a merit\-based hiring approach that values people with different experiences, perspectives and skillsets. We truly believe this approach drives innovation, which is essential for our future growth. We encourage people from all backgrounds to apply and realize their full potential as part of our Ericsson team. Ericsson is proud to be an Equal Opportunity employer, learn more.
 If you need assistance or to request an accommodation due to a disability, please contact Ericsson at hr.direct.americas@ericsson.com.
**DISCLAIMER:** 
 The above statements are intended to describe the general nature and level of work being performed by employees in this position. They are not an exhaustive list of all responsibilities, duties and skills required for this position, and you may be required to perform additional job tasks as assigned.
**Primary country and city:** 
 United States (US) \|\| Boise (ID) (Country/ City)
**Job details:** 
 Product Portfolio Management
**Compensation And Benefits At Ericsson**
 At Ericsson, we know that our people are the key to our success. We offer a competitive package to help with your individual needs and goals.
**Your Pay**
 The salary range for this position is dependent on various factors including, but not limited to, location, and the candidate’s combination of job\-related knowledge, qualifications, skills, education, training, and experience.
* LOCATION: Santa Clara CA, New York, NJ, DC 126400\-165900
**Short\-Term Variable Compensation Plan (select if STV)** 
**:** 
 Your pay also includes the opportunity for an annual bonus. Actual bonus payouts are based on performance of the business against the unit’s objectives, individual performance, and the individual bonus target. Certain eligibility and pro\-ration rules apply.
**Your Health**
 Ericsson Enterprise Wireless Solutions offers excellent, competitive employee benefits, such as: subsidized, nationwide PPO medical benefit options including a low\-deductible Point of Service Plan and a qualifying High Deductible Health Plan (HDHP), with a generous company\-provided HSA contribution. For California employees, we offer a subsidized HMO option through Kaiser. Ericsson Enterprise Wireless Solutions also offers subsidized dental and vision coverage.
**Your Financial Security**
 We invest in both your short and long\-term financial wellbeing. Our 401(k) plan has a 4% company match and immediate vesting. Employees will also receive company\-paid employee basic life and AD\&amp;D insurance and company\-paid disability benefits.
**Your Time**
 Your work\-life balance is important to us. New employees are provided a minimum of 15 days of accrued vacation, up to 3 personal days per year, 11 annual holidays, 8 hours of volunteer time, and 80 hours of sick time annually. Please note paid time off is pro\-rated based on the employee’s start date. Furthermore, Ericsson provides up to 16 weeks of paid maternity leave and 6 weeks of parental or adoption leave at 100% of pay.
**Additional Benefits**
 Ericsson Enterprise Wireless Solutions offers other company\-paid benefits such as a comprehensive Employee Assistance Program, mobile therapy, and volunteer paid time off.</t>
        </is>
      </c>
    </row>
    <row r="52">
      <c r="A52" t="inlineStr">
        <is>
          <t>li-4361901941</t>
        </is>
      </c>
      <c r="B52" t="inlineStr">
        <is>
          <t>Sr. Product Manager</t>
        </is>
      </c>
      <c r="C52" t="inlineStr">
        <is>
          <t>Ericsson</t>
        </is>
      </c>
      <c r="D52" t="inlineStr">
        <is>
          <t>linkedin</t>
        </is>
      </c>
      <c r="E52" t="inlineStr"/>
      <c r="F52" t="inlineStr"/>
      <c r="G52" t="inlineStr">
        <is>
          <t>Marlton, NJ</t>
        </is>
      </c>
      <c r="H52" t="inlineStr"/>
      <c r="I52" t="inlineStr">
        <is>
          <t>**Grow with us**
**About this opportunity:**
**This position needs to be located in the 2 areas Boise, Santa Clara, Plano or EST preferred.**
 Ericsson Inc. does not sponsor US work authorizations for this job position including H\-1B, O\-1, L\-1 and TN. Ericsson also does not hire F\-1’s working on EAD for this position.
 We are seeking an experienced and motivated Senior Product Manager to define and execute the product strategy for AI\-driven solutions within our cloud management platform (NetCloud), with a focus on Private 5G and enterprise wireless use cases. This role is part of a team responsible for introducing and accelerating new technology adoption and delivering high\-value capabilities that solve operational challenges for customers.
 Why Join Us? This is a high\-impact, high\-visibility role at the intersection of three of the most transformative technologies today: AI, Cloud, and Wireless. You will have the opportunity to shape a growing product category and directly enable business transformation of top\-tier global enterprises.
**What You Will Do**
* Product Strategy \&amp; Vision: Define the strategic roadmap and product vision for leveraging AI/ML to enhance the management, orchestration, monitoring, and optimization of private 5G networks and other enterprise wireless/networking infrastructure within the cloud platform.
* Customer \&amp; Market Insight: Deeply understand the challenges faced by network operators, IT teams, and developers managing private 5G and enterprise edge infrastructure. Conduct competitive analysis and market research to identify opportunities for differentiation through AI.
* Feature Definition \&amp; Execution: Translate market needs and technical possibilities into detailed product requirements and acceptance criteria. Prioritize the backlog to maximize customer value and business impact.
* Go\-to\-Market (GTM) Strategy: Collaborate closely with Marketing, Sales, and Solutions Engineering to develop compelling messaging, sales enablement materials, and GTM plans for new AI\-powered features.
* Cross\-Functional Leadership: Serve as the product owner, working with Engineering, Data Science, UX/UI, Architecture, Compliance/Legal, and other teams to guide the entire product lifecycle from ideation to launch and iteration.
* Technical Translator: Act as the bridge between cutting\-edge AI research/engineering and customer\-facing product value, ensuring AI models and data pipelines are integrated into the product in a meaningful, scalable, cost\-effective, and secure way.
* Business Performance: Define and track key performance indicators (KPIs) related to AI feature adoption, customer value, and overall product success.
**The Skills You Bring**
* 5\+ years of professional experience, with a minimum of 3\+ years in a Product Management role defining and launching enterprise software or cloud services.
* Communication \&amp; Influence: Exceptional written and verbal communication skills, including the ability to articulate strategic vision cross\-functionally, clarify technical nuance and implementation requirements with R\&amp;D, and translate technical concepts to a non\-technical audience (executives, sales, customers). This is the single most important skill for this job. Please acknowledge this emphasis. Very strong communication skills are essential.
* Deep Expertise in Enterprise Networking/Wireless: Solid understanding of enterprise networking concepts, including experience with mobile wireless network infrastructure, RAN, Core, User Equipment (UE), routers, and switches. Specific experience with Private 5G or enterprise LTE is a significant plus.
* Experience with AI/ML Products: Proven track record of defining and launching products or features that rely on machine learning, predictive analytics, or large\-scale data processing (e.g., AIOps, predictive maintenance, resource optimization).
* Cloud Platform Experience: Familiarity with major public cloud providers (AWS, Azure, GCP) or experience with large\-scale cloud management or orchestration platforms (e.g., Kubernetes, OpenStack, cloud\-native infrastructure).
* Technical Acumen: Ability to engage in detailed technical discussions with data scientists and engineers regarding model performance, data requirements, and deployment architectures.
* Education: Bachelor's degree, preferably in an area of technical competence (Computer Science, Engineering, Data Science, etc). An Advanced degree or MBA is a plus.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Ericsson uses a merit\-based hiring approach that values people with different experiences, perspectives and skillsets. We truly believe this approach drives innovation, which is essential for our future growth. We encourage people from all backgrounds to apply and realize their full potential as part of our Ericsson team. Ericsson is proud to be an Equal Opportunity employer, learn more.
 If you need assistance or to request an accommodation due to a disability, please contact Ericsson at hr.direct.americas@ericsson.com.
**DISCLAIMER:** 
 The above statements are intended to describe the general nature and level of work being performed by employees in this position. They are not an exhaustive list of all responsibilities, duties and skills required for this position, and you may be required to perform additional job tasks as assigned.
**Primary country and city:** 
 United States (US) \|\| Boise (ID) (Country/ City)
**Job details:** 
 Product Portfolio Management
**Compensation And Benefits At Ericsson**
 At Ericsson, we know that our people are the key to our success. We offer a competitive package to help with your individual needs and goals.
**Your Pay**
 The salary range for this position is dependent on various factors including, but not limited to, location, and the candidate’s combination of job\-related knowledge, qualifications, skills, education, training, and experience.
* LOCATION: Santa Clara CA, New York, NJ, DC 126400\-165900
**Short\-Term Variable Compensation Plan (select if STV)** 
**:** 
 Your pay also includes the opportunity for an annual bonus. Actual bonus payouts are based on performance of the business against the unit’s objectives, individual performance, and the individual bonus target. Certain eligibility and pro\-ration rules apply.
**Your Health**
 Ericsson Enterprise Wireless Solutions offers excellent, competitive employee benefits, such as: subsidized, nationwide PPO medical benefit options including a low\-deductible Point of Service Plan and a qualifying High Deductible Health Plan (HDHP), with a generous company\-provided HSA contribution. For California employees, we offer a subsidized HMO option through Kaiser. Ericsson Enterprise Wireless Solutions also offers subsidized dental and vision coverage.
**Your Financial Security**
 We invest in both your short and long\-term financial wellbeing. Our 401(k) plan has a 4% company match and immediate vesting. Employees will also receive company\-paid employee basic life and AD\&amp;D insurance and company\-paid disability benefits.
**Your Time**
 Your work\-life balance is important to us. New employees are provided a minimum of 15 days of accrued vacation, up to 3 personal days per year, 11 annual holidays, 8 hours of volunteer time, and 80 hours of sick time annually. Please note paid time off is pro\-rated based on the employee’s start date. Furthermore, Ericsson provides up to 16 weeks of paid maternity leave and 6 weeks of parental or adoption leave at 100% of pay.
**Additional Benefits**
 Ericsson Enterprise Wireless Solutions offers other company\-paid benefits such as a comprehensive Employee Assistance Program, mobile therapy, and volunteer paid time off.</t>
        </is>
      </c>
    </row>
    <row r="53">
      <c r="A53" t="inlineStr">
        <is>
          <t>li-4329681330</t>
        </is>
      </c>
      <c r="B53" t="inlineStr">
        <is>
          <t>Senior Digital Product Manager</t>
        </is>
      </c>
      <c r="C53" t="inlineStr">
        <is>
          <t>Boost Mobile</t>
        </is>
      </c>
      <c r="D53" t="inlineStr">
        <is>
          <t>linkedin</t>
        </is>
      </c>
      <c r="E53" t="inlineStr"/>
      <c r="F53" t="inlineStr"/>
      <c r="G53" t="inlineStr">
        <is>
          <t>Littleton, CO</t>
        </is>
      </c>
      <c r="H53" t="inlineStr"/>
      <c r="I53"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Retail Wireless team, serving our Boost Mobile and Gen Mobile brands, is redefining consumer expectations through new platforms, new business models and new ways of thinking. Equipped with a passion for change and the power to drive it, we continue to push boundaries and be a disruptive force in the market.
**Job Duties And Responsibilities**
 Reporting to a Group Digital Product Manager, you will be a member of a dedicated team responsible for digital products for new and existing customers—on boostmobile.com and the Boost Mobile mobile app. As a Senior Digital Product Manager, you will own roadmap items, collaborating with key stakeholders and cross\-functional teams to align on how to solve business problems and drive deliverables from discovery to deployment in a fast\-paced environment. You will juggle multiple initiatives and deliverables at once, often amid shifting priorities and limited direction, and are expected to proactively turn ambiguity into clear plans and decisive action.
**Key Responsibilities**
* Drive end\-to\-end feature delivery, including thorough discovery, business requirements, and product design, ensuring work is fully documented, reviewed with relevant partners and approved by stakeholders
* Negotiate tactical trade\-offs (scope vs. timeline) to advocate for iterative development and accelerate time to market for critical deliverables
* Own the strategic roadmap and business cases for specific product scopes, including sizing opportunities and defining KPIs and OKRs
* Lead complex, end\-to\-end research projects to synthesize data and insights that influence near\- and long\-term product direction
* Collaborate with designers, UX researchers, and analytics partners to ideate, test, and iterate on customer\-centric digital experiences
* Partner with engineering (IT) to assess technical feasibility, manage technical risks, stay aware of architecture decisions, and provide feedback and clarification about requirements
* Mentor junior team members, constructively address conflict between product and business, and advocate for process improvements
* Lead the delivery of digital product solutions that align with roadmap priorities, are consistent with product and business strategy, provide customer value with an optimal user experience, and have measurable results
* Develop and execute initiatives that drive tangible business outcomes, following established Objectives and Key Results (OKRs)
* Drive continuous improvement through monitoring analytics, user feedback, and key performance indicators (KPIs)
* Maintain regular contact with key stakeholders, including senior leadership, to stay aware of their strategies, challenges, and plans; share related product roadmap items and status; and discuss problems and opportunities
* Provide hands\-on coaching to junior product managers, offering guidance on discovery practices, requirements quality, stakeholder communication, and prioritization
**Key partners/relationships:** 
 Business stakeholders in Retail Wireless (Digital Sales, Customer Ops, Billing \&amp; Credit), Experience Design, UX Research, E\-commerce Operations, Engineering, Digital Marketing, MarTech and the Project Management Office (PMO)
**Skills, Experience And Requirements**
**Education and Experience**
* Bachelor’s degree in business, technology, or a related field
* Over 5 years of experience as a senior digital product manager for web and mobile applications
**Skills And Qualifications**
* Experience with e\-commerce and account management for a subscription\-based service/product
* Strong understanding of the SDLC for web and mobile apps, as well as design thinking principles
* Experience in product strategy, roadmap planning, and product lifecycle management
* Experience working cross\-functionally with engineering, design, marketing, and sales teams
* Comprehensive knowledge of web and mobile app architecture and experience building products as home\-grown solutions or on a platform
* Strong diplomacy and relationship\-building skills, with the ability to influence people over whom you might not have direct authority
* Demonstrated success in both enterprise and more nimble/startup cultures
* Proven ability to manage multiple concurrent projects and priorities with limited guidance in a fast\-paced environment
* Experience mentoring or coaching junior product managers
* Experience with AI in in\-product experiences and product management tools preferred
* Figma, Confluence, Jira experience preferred
 Visa sponsorship not available for this role
**Salary Ranges**
 Compensation: $96,250\.00/Year \- $137,500\.00/Year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54">
      <c r="A54" t="inlineStr">
        <is>
          <t>li-4360991926</t>
        </is>
      </c>
      <c r="B54" t="inlineStr">
        <is>
          <t>Sr. Product Manager</t>
        </is>
      </c>
      <c r="C54" t="inlineStr">
        <is>
          <t>Ericsson</t>
        </is>
      </c>
      <c r="D54" t="inlineStr">
        <is>
          <t>linkedin</t>
        </is>
      </c>
      <c r="E54" t="inlineStr"/>
      <c r="F54" t="inlineStr"/>
      <c r="G54" t="inlineStr">
        <is>
          <t>Liverpool, NY</t>
        </is>
      </c>
      <c r="H54" t="inlineStr"/>
      <c r="I54" t="inlineStr">
        <is>
          <t>**Grow with us**
**About this opportunity:**
**This position needs to be located in the 2 areas Boise, Santa Clara, Plano or EST preferred.**
 Ericsson Inc. does not sponsor US work authorizations for this job position including H\-1B, O\-1, L\-1 and TN. Ericsson also does not hire F\-1’s working on EAD for this position.
 We are seeking an experienced and motivated Senior Product Manager to define and execute the product strategy for AI\-driven solutions within our cloud management platform (NetCloud), with a focus on Private 5G and enterprise wireless use cases. This role is part of a team responsible for introducing and accelerating new technology adoption and delivering high\-value capabilities that solve operational challenges for customers.
 Why Join Us? This is a high\-impact, high\-visibility role at the intersection of three of the most transformative technologies today: AI, Cloud, and Wireless. You will have the opportunity to shape a growing product category and directly enable business transformation of top\-tier global enterprises.
**What You Will Do**
* Product Strategy \&amp; Vision: Define the strategic roadmap and product vision for leveraging AI/ML to enhance the management, orchestration, monitoring, and optimization of private 5G networks and other enterprise wireless/networking infrastructure within the cloud platform.
* Customer \&amp; Market Insight: Deeply understand the challenges faced by network operators, IT teams, and developers managing private 5G and enterprise edge infrastructure. Conduct competitive analysis and market research to identify opportunities for differentiation through AI.
* Feature Definition \&amp; Execution: Translate market needs and technical possibilities into detailed product requirements and acceptance criteria. Prioritize the backlog to maximize customer value and business impact.
* Go\-to\-Market (GTM) Strategy: Collaborate closely with Marketing, Sales, and Solutions Engineering to develop compelling messaging, sales enablement materials, and GTM plans for new AI\-powered features.
* Cross\-Functional Leadership: Serve as the product owner, working with Engineering, Data Science, UX/UI, Architecture, Compliance/Legal, and other teams to guide the entire product lifecycle from ideation to launch and iteration.
* Technical Translator: Act as the bridge between cutting\-edge AI research/engineering and customer\-facing product value, ensuring AI models and data pipelines are integrated into the product in a meaningful, scalable, cost\-effective, and secure way.
* Business Performance: Define and track key performance indicators (KPIs) related to AI feature adoption, customer value, and overall product success.
**The Skills You Bring**
* 5\+ years of professional experience, with a minimum of 3\+ years in a Product Management role defining and launching enterprise software or cloud services.
* Communication \&amp; Influence: Exceptional written and verbal communication skills, including the ability to articulate strategic vision cross\-functionally, clarify technical nuance and implementation requirements with R\&amp;D, and translate technical concepts to a non\-technical audience (executives, sales, customers). This is the single most important skill for this job. Please acknowledge this emphasis. Very strong communication skills are essential.
* Deep Expertise in Enterprise Networking/Wireless: Solid understanding of enterprise networking concepts, including experience with mobile wireless network infrastructure, RAN, Core, User Equipment (UE), routers, and switches. Specific experience with Private 5G or enterprise LTE is a significant plus.
* Experience with AI/ML Products: Proven track record of defining and launching products or features that rely on machine learning, predictive analytics, or large\-scale data processing (e.g., AIOps, predictive maintenance, resource optimization).
* Cloud Platform Experience: Familiarity with major public cloud providers (AWS, Azure, GCP) or experience with large\-scale cloud management or orchestration platforms (e.g., Kubernetes, OpenStack, cloud\-native infrastructure).
* Technical Acumen: Ability to engage in detailed technical discussions with data scientists and engineers regarding model performance, data requirements, and deployment architectures.
* Education: Bachelor's degree, preferably in an area of technical competence (Computer Science, Engineering, Data Science, etc). An Advanced degree or MBA is a plus.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Ericsson uses a merit\-based hiring approach that values people with different experiences, perspectives and skillsets. We truly believe this approach drives innovation, which is essential for our future growth. We encourage people from all backgrounds to apply and realize their full potential as part of our Ericsson team. Ericsson is proud to be an Equal Opportunity employer, learn more.
 If you need assistance or to request an accommodation due to a disability, please contact Ericsson at hr.direct.americas@ericsson.com.
**DISCLAIMER:** 
 The above statements are intended to describe the general nature and level of work being performed by employees in this position. They are not an exhaustive list of all responsibilities, duties and skills required for this position, and you may be required to perform additional job tasks as assigned.
**Primary country and city:** 
 United States (US) \|\| Boise (ID) (Country/ City)
**Job details:** 
 Product Portfolio Management
**Compensation And Benefits At Ericsson**
 At Ericsson, we know that our people are the key to our success. We offer a competitive package to help with your individual needs and goals.
**Your Pay**
 The salary range for this position is dependent on various factors including, but not limited to, location, and the candidate’s combination of job\-related knowledge, qualifications, skills, education, training, and experience.
* LOCATION: Santa Clara CA, New York, NJ, DC 126400\-165900
**Short\-Term Variable Compensation Plan (select if STV)** 
**:** 
 Your pay also includes the opportunity for an annual bonus. Actual bonus payouts are based on performance of the business against the unit’s objectives, individual performance, and the individual bonus target. Certain eligibility and pro\-ration rules apply.
**Your Health**
 Ericsson Enterprise Wireless Solutions offers excellent, competitive employee benefits, such as: subsidized, nationwide PPO medical benefit options including a low\-deductible Point of Service Plan and a qualifying High Deductible Health Plan (HDHP), with a generous company\-provided HSA contribution. For California employees, we offer a subsidized HMO option through Kaiser. Ericsson Enterprise Wireless Solutions also offers subsidized dental and vision coverage.
**Your Financial Security**
 We invest in both your short and long\-term financial wellbeing. Our 401(k) plan has a 4% company match and immediate vesting. Employees will also receive company\-paid employee basic life and AD\&amp;D insurance and company\-paid disability benefits.
**Your Time**
 Your work\-life balance is important to us. New employees are provided a minimum of 15 days of accrued vacation, up to 3 personal days per year, 11 annual holidays, 8 hours of volunteer time, and 80 hours of sick time annually. Please note paid time off is pro\-rated based on the employee’s start date. Furthermore, Ericsson provides up to 16 weeks of paid maternity leave and 6 weeks of parental or adoption leave at 100% of pay.
**Additional Benefits**
 Ericsson Enterprise Wireless Solutions offers other company\-paid benefits such as a comprehensive Employee Assistance Program, mobile therapy, and volunteer paid time off.</t>
        </is>
      </c>
    </row>
    <row r="55">
      <c r="A55" t="inlineStr">
        <is>
          <t>li-4360982890</t>
        </is>
      </c>
      <c r="B55" t="inlineStr">
        <is>
          <t>Sr. Product Manager</t>
        </is>
      </c>
      <c r="C55" t="inlineStr">
        <is>
          <t>Ericsson</t>
        </is>
      </c>
      <c r="D55" t="inlineStr">
        <is>
          <t>linkedin</t>
        </is>
      </c>
      <c r="E55" t="inlineStr"/>
      <c r="F55" t="inlineStr"/>
      <c r="G55" t="inlineStr">
        <is>
          <t>Syracuse, NY</t>
        </is>
      </c>
      <c r="H55" t="inlineStr"/>
      <c r="I55" t="inlineStr">
        <is>
          <t>**Grow with us**
**About this opportunity:**
**This position needs to be located in the 2 areas Boise, Santa Clara, Plano or EST preferred.**
 Ericsson Inc. does not sponsor US work authorizations for this job position including H\-1B, O\-1, L\-1 and TN. Ericsson also does not hire F\-1’s working on EAD for this position.
 We are seeking an experienced and motivated Senior Product Manager to define and execute the product strategy for AI\-driven solutions within our cloud management platform (NetCloud), with a focus on Private 5G and enterprise wireless use cases. This role is part of a team responsible for introducing and accelerating new technology adoption and delivering high\-value capabilities that solve operational challenges for customers.
 Why Join Us? This is a high\-impact, high\-visibility role at the intersection of three of the most transformative technologies today: AI, Cloud, and Wireless. You will have the opportunity to shape a growing product category and directly enable business transformation of top\-tier global enterprises.
**What You Will Do**
* Product Strategy \&amp; Vision: Define the strategic roadmap and product vision for leveraging AI/ML to enhance the management, orchestration, monitoring, and optimization of private 5G networks and other enterprise wireless/networking infrastructure within the cloud platform.
* Customer \&amp; Market Insight: Deeply understand the challenges faced by network operators, IT teams, and developers managing private 5G and enterprise edge infrastructure. Conduct competitive analysis and market research to identify opportunities for differentiation through AI.
* Feature Definition \&amp; Execution: Translate market needs and technical possibilities into detailed product requirements and acceptance criteria. Prioritize the backlog to maximize customer value and business impact.
* Go\-to\-Market (GTM) Strategy: Collaborate closely with Marketing, Sales, and Solutions Engineering to develop compelling messaging, sales enablement materials, and GTM plans for new AI\-powered features.
* Cross\-Functional Leadership: Serve as the product owner, working with Engineering, Data Science, UX/UI, Architecture, Compliance/Legal, and other teams to guide the entire product lifecycle from ideation to launch and iteration.
* Technical Translator: Act as the bridge between cutting\-edge AI research/engineering and customer\-facing product value, ensuring AI models and data pipelines are integrated into the product in a meaningful, scalable, cost\-effective, and secure way.
* Business Performance: Define and track key performance indicators (KPIs) related to AI feature adoption, customer value, and overall product success.
**The Skills You Bring**
* 5\+ years of professional experience, with a minimum of 3\+ years in a Product Management role defining and launching enterprise software or cloud services.
* Communication \&amp; Influence: Exceptional written and verbal communication skills, including the ability to articulate strategic vision cross\-functionally, clarify technical nuance and implementation requirements with R\&amp;D, and translate technical concepts to a non\-technical audience (executives, sales, customers). This is the single most important skill for this job. Please acknowledge this emphasis. Very strong communication skills are essential.
* Deep Expertise in Enterprise Networking/Wireless: Solid understanding of enterprise networking concepts, including experience with mobile wireless network infrastructure, RAN, Core, User Equipment (UE), routers, and switches. Specific experience with Private 5G or enterprise LTE is a significant plus.
* Experience with AI/ML Products: Proven track record of defining and launching products or features that rely on machine learning, predictive analytics, or large\-scale data processing (e.g., AIOps, predictive maintenance, resource optimization).
* Cloud Platform Experience: Familiarity with major public cloud providers (AWS, Azure, GCP) or experience with large\-scale cloud management or orchestration platforms (e.g., Kubernetes, OpenStack, cloud\-native infrastructure).
* Technical Acumen: Ability to engage in detailed technical discussions with data scientists and engineers regarding model performance, data requirements, and deployment architectures.
* Education: Bachelor's degree, preferably in an area of technical competence (Computer Science, Engineering, Data Science, etc). An Advanced degree or MBA is a plus.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Ericsson uses a merit\-based hiring approach that values people with different experiences, perspectives and skillsets. We truly believe this approach drives innovation, which is essential for our future growth. We encourage people from all backgrounds to apply and realize their full potential as part of our Ericsson team. Ericsson is proud to be an Equal Opportunity employer, learn more.
 If you need assistance or to request an accommodation due to a disability, please contact Ericsson at hr.direct.americas@ericsson.com.
**DISCLAIMER:** 
 The above statements are intended to describe the general nature and level of work being performed by employees in this position. They are not an exhaustive list of all responsibilities, duties and skills required for this position, and you may be required to perform additional job tasks as assigned.
**Primary country and city:** 
 United States (US) \|\| Boise (ID) (Country/ City)
**Job details:** 
 Product Portfolio Management
**Compensation And Benefits At Ericsson**
 At Ericsson, we know that our people are the key to our success. We offer a competitive package to help with your individual needs and goals.
**Your Pay**
 The salary range for this position is dependent on various factors including, but not limited to, location, and the candidate’s combination of job\-related knowledge, qualifications, skills, education, training, and experience.
* LOCATION: Santa Clara CA, New York, NJ, DC 126400\-165900
**Short\-Term Variable Compensation Plan (select if STV)** 
**:** 
 Your pay also includes the opportunity for an annual bonus. Actual bonus payouts are based on performance of the business against the unit’s objectives, individual performance, and the individual bonus target. Certain eligibility and pro\-ration rules apply.
**Your Health**
 Ericsson Enterprise Wireless Solutions offers excellent, competitive employee benefits, such as: subsidized, nationwide PPO medical benefit options including a low\-deductible Point of Service Plan and a qualifying High Deductible Health Plan (HDHP), with a generous company\-provided HSA contribution. For California employees, we offer a subsidized HMO option through Kaiser. Ericsson Enterprise Wireless Solutions also offers subsidized dental and vision coverage.
**Your Financial Security**
 We invest in both your short and long\-term financial wellbeing. Our 401(k) plan has a 4% company match and immediate vesting. Employees will also receive company\-paid employee basic life and AD\&amp;D insurance and company\-paid disability benefits.
**Your Time**
 Your work\-life balance is important to us. New employees are provided a minimum of 15 days of accrued vacation, up to 3 personal days per year, 11 annual holidays, 8 hours of volunteer time, and 80 hours of sick time annually. Please note paid time off is pro\-rated based on the employee’s start date. Furthermore, Ericsson provides up to 16 weeks of paid maternity leave and 6 weeks of parental or adoption leave at 100% of pay.
**Additional Benefits**
 Ericsson Enterprise Wireless Solutions offers other company\-paid benefits such as a comprehensive Employee Assistance Program, mobile therapy, and volunteer paid time off.</t>
        </is>
      </c>
    </row>
    <row r="56">
      <c r="A56" t="inlineStr">
        <is>
          <t>li-4362060932</t>
        </is>
      </c>
      <c r="B56" t="inlineStr">
        <is>
          <t>Sr. Product Manager</t>
        </is>
      </c>
      <c r="C56" t="inlineStr">
        <is>
          <t>Ericsson</t>
        </is>
      </c>
      <c r="D56" t="inlineStr">
        <is>
          <t>linkedin</t>
        </is>
      </c>
      <c r="E56" t="inlineStr"/>
      <c r="F56" t="inlineStr"/>
      <c r="G56" t="inlineStr">
        <is>
          <t>Newark, NJ</t>
        </is>
      </c>
      <c r="H56" t="inlineStr"/>
      <c r="I56" t="inlineStr">
        <is>
          <t>**Grow with us**
**About this opportunity:**
**This position needs to be located in the 2 areas Boise, Santa Clara, Plano or EST preferred.**
 Ericsson Inc. does not sponsor US work authorizations for this job position including H\-1B, O\-1, L\-1 and TN. Ericsson also does not hire F\-1’s working on EAD for this position.
 We are seeking an experienced and motivated Senior Product Manager to define and execute the product strategy for AI\-driven solutions within our cloud management platform (NetCloud), with a focus on Private 5G and enterprise wireless use cases. This role is part of a team responsible for introducing and accelerating new technology adoption and delivering high\-value capabilities that solve operational challenges for customers.
 Why Join Us? This is a high\-impact, high\-visibility role at the intersection of three of the most transformative technologies today: AI, Cloud, and Wireless. You will have the opportunity to shape a growing product category and directly enable business transformation of top\-tier global enterprises.
**What You Will Do**
* Product Strategy \&amp; Vision: Define the strategic roadmap and product vision for leveraging AI/ML to enhance the management, orchestration, monitoring, and optimization of private 5G networks and other enterprise wireless/networking infrastructure within the cloud platform.
* Customer \&amp; Market Insight: Deeply understand the challenges faced by network operators, IT teams, and developers managing private 5G and enterprise edge infrastructure. Conduct competitive analysis and market research to identify opportunities for differentiation through AI.
* Feature Definition \&amp; Execution: Translate market needs and technical possibilities into detailed product requirements and acceptance criteria. Prioritize the backlog to maximize customer value and business impact.
* Go\-to\-Market (GTM) Strategy: Collaborate closely with Marketing, Sales, and Solutions Engineering to develop compelling messaging, sales enablement materials, and GTM plans for new AI\-powered features.
* Cross\-Functional Leadership: Serve as the product owner, working with Engineering, Data Science, UX/UI, Architecture, Compliance/Legal, and other teams to guide the entire product lifecycle from ideation to launch and iteration.
* Technical Translator: Act as the bridge between cutting\-edge AI research/engineering and customer\-facing product value, ensuring AI models and data pipelines are integrated into the product in a meaningful, scalable, cost\-effective, and secure way.
* Business Performance: Define and track key performance indicators (KPIs) related to AI feature adoption, customer value, and overall product success.
**The Skills You Bring**
* 5\+ years of professional experience, with a minimum of 3\+ years in a Product Management role defining and launching enterprise software or cloud services.
* Communication \&amp; Influence: Exceptional written and verbal communication skills, including the ability to articulate strategic vision cross\-functionally, clarify technical nuance and implementation requirements with R\&amp;D, and translate technical concepts to a non\-technical audience (executives, sales, customers). This is the single most important skill for this job. Please acknowledge this emphasis. Very strong communication skills are essential.
* Deep Expertise in Enterprise Networking/Wireless: Solid understanding of enterprise networking concepts, including experience with mobile wireless network infrastructure, RAN, Core, User Equipment (UE), routers, and switches. Specific experience with Private 5G or enterprise LTE is a significant plus.
* Experience with AI/ML Products: Proven track record of defining and launching products or features that rely on machine learning, predictive analytics, or large\-scale data processing (e.g., AIOps, predictive maintenance, resource optimization).
* Cloud Platform Experience: Familiarity with major public cloud providers (AWS, Azure, GCP) or experience with large\-scale cloud management or orchestration platforms (e.g., Kubernetes, OpenStack, cloud\-native infrastructure).
* Technical Acumen: Ability to engage in detailed technical discussions with data scientists and engineers regarding model performance, data requirements, and deployment architectures.
* Education: Bachelor's degree, preferably in an area of technical competence (Computer Science, Engineering, Data Science, etc). An Advanced degree or MBA is a plus.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Ericsson uses a merit\-based hiring approach that values people with different experiences, perspectives and skillsets. We truly believe this approach drives innovation, which is essential for our future growth. We encourage people from all backgrounds to apply and realize their full potential as part of our Ericsson team. Ericsson is proud to be an Equal Opportunity employer, learn more.
 If you need assistance or to request an accommodation due to a disability, please contact Ericsson at hr.direct.americas@ericsson.com.
**DISCLAIMER:** 
 The above statements are intended to describe the general nature and level of work being performed by employees in this position. They are not an exhaustive list of all responsibilities, duties and skills required for this position, and you may be required to perform additional job tasks as assigned.
**Primary country and city:** 
 United States (US) \|\| Boise (ID) (Country/ City)
**Job details:** 
 Product Portfolio Management
**Compensation And Benefits At Ericsson**
 At Ericsson, we know that our people are the key to our success. We offer a competitive package to help with your individual needs and goals.
**Your Pay**
 The salary range for this position is dependent on various factors including, but not limited to, location, and the candidate’s combination of job\-related knowledge, qualifications, skills, education, training, and experience.
* LOCATION: Santa Clara CA, New York, NJ, DC 126400\-165900
**Short\-Term Variable Compensation Plan (select if STV)** 
**:** 
 Your pay also includes the opportunity for an annual bonus. Actual bonus payouts are based on performance of the business against the unit’s objectives, individual performance, and the individual bonus target. Certain eligibility and pro\-ration rules apply.
**Your Health**
 Ericsson Enterprise Wireless Solutions offers excellent, competitive employee benefits, such as: subsidized, nationwide PPO medical benefit options including a low\-deductible Point of Service Plan and a qualifying High Deductible Health Plan (HDHP), with a generous company\-provided HSA contribution. For California employees, we offer a subsidized HMO option through Kaiser. Ericsson Enterprise Wireless Solutions also offers subsidized dental and vision coverage.
**Your Financial Security**
 We invest in both your short and long\-term financial wellbeing. Our 401(k) plan has a 4% company match and immediate vesting. Employees will also receive company\-paid employee basic life and AD\&amp;D insurance and company\-paid disability benefits.
**Your Time**
 Your work\-life balance is important to us. New employees are provided a minimum of 15 days of accrued vacation, up to 3 personal days per year, 11 annual holidays, 8 hours of volunteer time, and 80 hours of sick time annually. Please note paid time off is pro\-rated based on the employee’s start date. Furthermore, Ericsson provides up to 16 weeks of paid maternity leave and 6 weeks of parental or adoption leave at 100% of pay.
**Additional Benefits**
 Ericsson Enterprise Wireless Solutions offers other company\-paid benefits such as a comprehensive Employee Assistance Program, mobile therapy, and volunteer paid time off.</t>
        </is>
      </c>
    </row>
    <row r="57">
      <c r="A57" t="inlineStr">
        <is>
          <t>li-4361991193</t>
        </is>
      </c>
      <c r="B57" t="inlineStr">
        <is>
          <t>Staff Product Manager, Device/IoT</t>
        </is>
      </c>
      <c r="C57" t="inlineStr">
        <is>
          <t>Motive</t>
        </is>
      </c>
      <c r="D57" t="inlineStr">
        <is>
          <t>linkedin</t>
        </is>
      </c>
      <c r="E57" t="inlineStr"/>
      <c r="F57" t="inlineStr"/>
      <c r="G57" t="inlineStr"/>
      <c r="H57" t="inlineStr"/>
      <c r="I57" t="inlineStr">
        <is>
          <t>**Who We Are** 
 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
 Motive serves nearly 100,000 customers – from Fortune 500 enterprises to small businesses – across a wide range of industries, including transportation and logistics, construction, energy, field service, manufacturing, agriculture, food and beverage, retail, and the public sector.
 Visit gomotive.com to learn more.
**About The Role** 
 We are not solving a small problem, and we’re not addressing a small market. We are addressing significant issues faced by trillion\-dollar industries that power the physical economy, including logistics, transportation, food \&amp; beverage, plumbers, HVAC, construction, and oil \&amp; gas. These businesses continue to be the lifelines of our economy even during the COVID pandemic. The opportunity here is enormous, and you will have a massive impact.
 As a Product Manager, you will craft compelling physical and digital product experiences to delight our customers and deliver a multi\-year hardware roadmap leading to the best IoT device portfolio for the fleet safety and telematics industry.
 What do we value?
 Here are some of our core values that would give you a sense of who we are as a team.
* We are super transparent. We all know how the company is doing and what different teams are working on.
* We are low\-ego, hard\-working people. We have built an environment where everyone can voice their opinion and ask judgment\-free questions, and we work hard to keep it that way.
* We advocate for our customers and strive to do what is best for them in every decision we make.
* Deadlines are critical for us. We pride ourselves on following through to deliver on time to accomplish our collective goals.
**What You’ll Do** 
* Craft a compelling physical and digital product experience to delight our customers.
* Deliver a multi\-year hardware roadmap leading to the best IoT device portfolio for the fleet safety and telematics industry
* Own the vision and execution of the hardware and the corresponding firmware capabilities.
* Set and articulate the product's vision, and get buy\-in from C level executives.
* Drive new hardware projects from ideation through implementation and launch, focusing on excellent execution
* Balance technical tradeoffs such as installation experience, size, compute, battery, connectivity to deliver a winning solution.
* Continue to build additional value by optimizing the user experience of over 1 million\+ hardware devices in the field.
* Collaborate across multiple products, engineering, and go\-to\-market teams to ship the products that our customers would love
**What We’re Looking For** 
* 10\+ years of product management experience with expertise in launching hardware products from concept to launch.
* BA/BS in Electrical Engineering/Computer Science/Industrial Design/Mechanical Engineering/Embedded Systems, or a related technical field or equivalent practical experience.
* You have solid experience with the hardware product development cycle and embedded systems experience
* You have high “EQ” and the ability to handle multiple competing priorities and tight deadlines in a fast\-paced environment
* You are curious about a new market where you don’t have first\-hand experience. You work diligently to understand customers' mindsets in a new market and enjoy delivering delightful experiences quickly.
* You are comfortable and confident sharing your thoughts in verbal or written form. You can engage constructively in debate and discussion with different personality types and seniority levels.
* You are a trailblazer who is humble, kind, and open to learning new stuff. You can take a stand, yet commit even when you disagree. You have a strong bias to action (aka hustle) and are not afraid to get your hands dirty.
* Experience with launching hardware products with volumes of over 100K\+ units is a huge plus
* Familiarity with Edge AI, camera technology, telematics, cellular\-connected devices, GPS systems, low\-power wireless technologies like Bluetooth Low Energy, and/or automotive protocols such as CAN, OBD\-II, J1939
***Pay Transparency***
*Your compensation may be based on several factors, including education, work experience, and certifications. For certain roles, total compensation may include restricted stock units. Motive offers benefits including health, pharmacy, optical and dental care benefits, paid time off, sick time off, short term and long term disability coverage, life insurance as well as 401k contribution (all benefits are subject to eligibility requirements). Learn more about our benefits by visiting Motive Perks \&amp; Benefits.* 
*The compensation range for this position will depend on where you reside. For this role, the compensation range is:* 
 United States
 $180,000—$225,000 USD
*Creating a diverse and inclusive workplace is one of Motive's core values. We are an equal opportunity employer and welcome people of different backgrounds, experiences, abilities and perspectives.* 
*Please review our Candidate Privacy Notice here.* 
*UK Candidate Privacy Notice here.* 
*The applicant must be authorized to receive and access those commodities and technologies controlled under U.S. Export Administration Regulations. It is Motive's policy to require that employees be authorized to receive access to Motive products and technology.*</t>
        </is>
      </c>
    </row>
    <row r="58">
      <c r="A58" t="inlineStr">
        <is>
          <t>li-4362070785</t>
        </is>
      </c>
      <c r="B58" t="inlineStr">
        <is>
          <t>Sr. Product Manager</t>
        </is>
      </c>
      <c r="C58" t="inlineStr">
        <is>
          <t>Ericsson</t>
        </is>
      </c>
      <c r="D58" t="inlineStr">
        <is>
          <t>linkedin</t>
        </is>
      </c>
      <c r="E58" t="inlineStr"/>
      <c r="F58" t="inlineStr"/>
      <c r="G58" t="inlineStr">
        <is>
          <t>Colonie, NY</t>
        </is>
      </c>
      <c r="H58" t="inlineStr"/>
      <c r="I58" t="inlineStr">
        <is>
          <t>**Grow with us**
**About this opportunity:**
**This position needs to be located in the 2 areas Boise, Santa Clara, Plano or EST preferred.**
 Ericsson Inc. does not sponsor US work authorizations for this job position including H\-1B, O\-1, L\-1 and TN. Ericsson also does not hire F\-1’s working on EAD for this position.
 We are seeking an experienced and motivated Senior Product Manager to define and execute the product strategy for AI\-driven solutions within our cloud management platform (NetCloud), with a focus on Private 5G and enterprise wireless use cases. This role is part of a team responsible for introducing and accelerating new technology adoption and delivering high\-value capabilities that solve operational challenges for customers.
 Why Join Us? This is a high\-impact, high\-visibility role at the intersection of three of the most transformative technologies today: AI, Cloud, and Wireless. You will have the opportunity to shape a growing product category and directly enable business transformation of top\-tier global enterprises.
**What You Will Do**
* Product Strategy \&amp; Vision: Define the strategic roadmap and product vision for leveraging AI/ML to enhance the management, orchestration, monitoring, and optimization of private 5G networks and other enterprise wireless/networking infrastructure within the cloud platform.
* Customer \&amp; Market Insight: Deeply understand the challenges faced by network operators, IT teams, and developers managing private 5G and enterprise edge infrastructure. Conduct competitive analysis and market research to identify opportunities for differentiation through AI.
* Feature Definition \&amp; Execution: Translate market needs and technical possibilities into detailed product requirements and acceptance criteria. Prioritize the backlog to maximize customer value and business impact.
* Go\-to\-Market (GTM) Strategy: Collaborate closely with Marketing, Sales, and Solutions Engineering to develop compelling messaging, sales enablement materials, and GTM plans for new AI\-powered features.
* Cross\-Functional Leadership: Serve as the product owner, working with Engineering, Data Science, UX/UI, Architecture, Compliance/Legal, and other teams to guide the entire product lifecycle from ideation to launch and iteration.
* Technical Translator: Act as the bridge between cutting\-edge AI research/engineering and customer\-facing product value, ensuring AI models and data pipelines are integrated into the product in a meaningful, scalable, cost\-effective, and secure way.
* Business Performance: Define and track key performance indicators (KPIs) related to AI feature adoption, customer value, and overall product success.
**The Skills You Bring**
* 5\+ years of professional experience, with a minimum of 3\+ years in a Product Management role defining and launching enterprise software or cloud services.
* Communication \&amp; Influence: Exceptional written and verbal communication skills, including the ability to articulate strategic vision cross\-functionally, clarify technical nuance and implementation requirements with R\&amp;D, and translate technical concepts to a non\-technical audience (executives, sales, customers). This is the single most important skill for this job. Please acknowledge this emphasis. Very strong communication skills are essential.
* Deep Expertise in Enterprise Networking/Wireless: Solid understanding of enterprise networking concepts, including experience with mobile wireless network infrastructure, RAN, Core, User Equipment (UE), routers, and switches. Specific experience with Private 5G or enterprise LTE is a significant plus.
* Experience with AI/ML Products: Proven track record of defining and launching products or features that rely on machine learning, predictive analytics, or large\-scale data processing (e.g., AIOps, predictive maintenance, resource optimization).
* Cloud Platform Experience: Familiarity with major public cloud providers (AWS, Azure, GCP) or experience with large\-scale cloud management or orchestration platforms (e.g., Kubernetes, OpenStack, cloud\-native infrastructure).
* Technical Acumen: Ability to engage in detailed technical discussions with data scientists and engineers regarding model performance, data requirements, and deployment architectures.
* Education: Bachelor's degree, preferably in an area of technical competence (Computer Science, Engineering, Data Science, etc). An Advanced degree or MBA is a plus.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Ericsson uses a merit\-based hiring approach that values people with different experiences, perspectives and skillsets. We truly believe this approach drives innovation, which is essential for our future growth. We encourage people from all backgrounds to apply and realize their full potential as part of our Ericsson team. Ericsson is proud to be an Equal Opportunity employer, learn more.
 If you need assistance or to request an accommodation due to a disability, please contact Ericsson at hr.direct.americas@ericsson.com.
**DISCLAIMER:** 
 The above statements are intended to describe the general nature and level of work being performed by employees in this position. They are not an exhaustive list of all responsibilities, duties and skills required for this position, and you may be required to perform additional job tasks as assigned.
**Primary country and city:** 
 United States (US) \|\| Boise (ID) (Country/ City)
**Job details:** 
 Product Portfolio Management
**Compensation And Benefits At Ericsson**
 At Ericsson, we know that our people are the key to our success. We offer a competitive package to help with your individual needs and goals.
**Your Pay**
 The salary range for this position is dependent on various factors including, but not limited to, location, and the candidate’s combination of job\-related knowledge, qualifications, skills, education, training, and experience.
* LOCATION: Santa Clara CA, New York, NJ, DC 126400\-165900
**Short\-Term Variable Compensation Plan (select if STV)** 
**:** 
 Your pay also includes the opportunity for an annual bonus. Actual bonus payouts are based on performance of the business against the unit’s objectives, individual performance, and the individual bonus target. Certain eligibility and pro\-ration rules apply.
**Your Health**
 Ericsson Enterprise Wireless Solutions offers excellent, competitive employee benefits, such as: subsidized, nationwide PPO medical benefit options including a low\-deductible Point of Service Plan and a qualifying High Deductible Health Plan (HDHP), with a generous company\-provided HSA contribution. For California employees, we offer a subsidized HMO option through Kaiser. Ericsson Enterprise Wireless Solutions also offers subsidized dental and vision coverage.
**Your Financial Security**
 We invest in both your short and long\-term financial wellbeing. Our 401(k) plan has a 4% company match and immediate vesting. Employees will also receive company\-paid employee basic life and AD\&amp;D insurance and company\-paid disability benefits.
**Your Time**
 Your work\-life balance is important to us. New employees are provided a minimum of 15 days of accrued vacation, up to 3 personal days per year, 11 annual holidays, 8 hours of volunteer time, and 80 hours of sick time annually. Please note paid time off is pro\-rated based on the employee’s start date. Furthermore, Ericsson provides up to 16 weeks of paid maternity leave and 6 weeks of parental or adoption leave at 100% of pay.
**Additional Benefits**
 Ericsson Enterprise Wireless Solutions offers other company\-paid benefits such as a comprehensive Employee Assistance Program, mobile therapy, and volunteer paid time off.</t>
        </is>
      </c>
    </row>
    <row r="59">
      <c r="A59" t="inlineStr">
        <is>
          <t>li-4362011000</t>
        </is>
      </c>
      <c r="B59" t="inlineStr">
        <is>
          <t>Sr. Product Manager</t>
        </is>
      </c>
      <c r="C59" t="inlineStr">
        <is>
          <t>Ericsson</t>
        </is>
      </c>
      <c r="D59" t="inlineStr">
        <is>
          <t>linkedin</t>
        </is>
      </c>
      <c r="E59" t="inlineStr"/>
      <c r="F59" t="inlineStr"/>
      <c r="G59" t="inlineStr">
        <is>
          <t>Glenmont, NY</t>
        </is>
      </c>
      <c r="H59" t="inlineStr"/>
      <c r="I59" t="inlineStr">
        <is>
          <t>**Grow with us**
**About this opportunity:**
**This position needs to be located in the 2 areas Boise, Santa Clara, Plano or EST preferred.**
 Ericsson Inc. does not sponsor US work authorizations for this job position including H\-1B, O\-1, L\-1 and TN. Ericsson also does not hire F\-1’s working on EAD for this position.
 We are seeking an experienced and motivated Senior Product Manager to define and execute the product strategy for AI\-driven solutions within our cloud management platform (NetCloud), with a focus on Private 5G and enterprise wireless use cases. This role is part of a team responsible for introducing and accelerating new technology adoption and delivering high\-value capabilities that solve operational challenges for customers.
 Why Join Us? This is a high\-impact, high\-visibility role at the intersection of three of the most transformative technologies today: AI, Cloud, and Wireless. You will have the opportunity to shape a growing product category and directly enable business transformation of top\-tier global enterprises.
**What You Will Do**
* Product Strategy \&amp; Vision: Define the strategic roadmap and product vision for leveraging AI/ML to enhance the management, orchestration, monitoring, and optimization of private 5G networks and other enterprise wireless/networking infrastructure within the cloud platform.
* Customer \&amp; Market Insight: Deeply understand the challenges faced by network operators, IT teams, and developers managing private 5G and enterprise edge infrastructure. Conduct competitive analysis and market research to identify opportunities for differentiation through AI.
* Feature Definition \&amp; Execution: Translate market needs and technical possibilities into detailed product requirements and acceptance criteria. Prioritize the backlog to maximize customer value and business impact.
* Go\-to\-Market (GTM) Strategy: Collaborate closely with Marketing, Sales, and Solutions Engineering to develop compelling messaging, sales enablement materials, and GTM plans for new AI\-powered features.
* Cross\-Functional Leadership: Serve as the product owner, working with Engineering, Data Science, UX/UI, Architecture, Compliance/Legal, and other teams to guide the entire product lifecycle from ideation to launch and iteration.
* Technical Translator: Act as the bridge between cutting\-edge AI research/engineering and customer\-facing product value, ensuring AI models and data pipelines are integrated into the product in a meaningful, scalable, cost\-effective, and secure way.
* Business Performance: Define and track key performance indicators (KPIs) related to AI feature adoption, customer value, and overall product success.
**The Skills You Bring**
* 5\+ years of professional experience, with a minimum of 3\+ years in a Product Management role defining and launching enterprise software or cloud services.
* Communication \&amp; Influence: Exceptional written and verbal communication skills, including the ability to articulate strategic vision cross\-functionally, clarify technical nuance and implementation requirements with R\&amp;D, and translate technical concepts to a non\-technical audience (executives, sales, customers). This is the single most important skill for this job. Please acknowledge this emphasis. Very strong communication skills are essential.
* Deep Expertise in Enterprise Networking/Wireless: Solid understanding of enterprise networking concepts, including experience with mobile wireless network infrastructure, RAN, Core, User Equipment (UE), routers, and switches. Specific experience with Private 5G or enterprise LTE is a significant plus.
* Experience with AI/ML Products: Proven track record of defining and launching products or features that rely on machine learning, predictive analytics, or large\-scale data processing (e.g., AIOps, predictive maintenance, resource optimization).
* Cloud Platform Experience: Familiarity with major public cloud providers (AWS, Azure, GCP) or experience with large\-scale cloud management or orchestration platforms (e.g., Kubernetes, OpenStack, cloud\-native infrastructure).
* Technical Acumen: Ability to engage in detailed technical discussions with data scientists and engineers regarding model performance, data requirements, and deployment architectures.
* Education: Bachelor's degree, preferably in an area of technical competence (Computer Science, Engineering, Data Science, etc). An Advanced degree or MBA is a plus.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Ericsson uses a merit\-based hiring approach that values people with different experiences, perspectives and skillsets. We truly believe this approach drives innovation, which is essential for our future growth. We encourage people from all backgrounds to apply and realize their full potential as part of our Ericsson team. Ericsson is proud to be an Equal Opportunity employer, learn more.
 If you need assistance or to request an accommodation due to a disability, please contact Ericsson at hr.direct.americas@ericsson.com.
**DISCLAIMER:** 
 The above statements are intended to describe the general nature and level of work being performed by employees in this position. They are not an exhaustive list of all responsibilities, duties and skills required for this position, and you may be required to perform additional job tasks as assigned.
**Primary country and city:** 
 United States (US) \|\| Boise (ID) (Country/ City)
**Job details:** 
 Product Portfolio Management
**Compensation And Benefits At Ericsson**
 At Ericsson, we know that our people are the key to our success. We offer a competitive package to help with your individual needs and goals.
**Your Pay**
 The salary range for this position is dependent on various factors including, but not limited to, location, and the candidate’s combination of job\-related knowledge, qualifications, skills, education, training, and experience.
* LOCATION: Santa Clara CA, New York, NJ, DC 126400\-165900
**Short\-Term Variable Compensation Plan (select if STV)** 
**:** 
 Your pay also includes the opportunity for an annual bonus. Actual bonus payouts are based on performance of the business against the unit’s objectives, individual performance, and the individual bonus target. Certain eligibility and pro\-ration rules apply.
**Your Health**
 Ericsson Enterprise Wireless Solutions offers excellent, competitive employee benefits, such as: subsidized, nationwide PPO medical benefit options including a low\-deductible Point of Service Plan and a qualifying High Deductible Health Plan (HDHP), with a generous company\-provided HSA contribution. For California employees, we offer a subsidized HMO option through Kaiser. Ericsson Enterprise Wireless Solutions also offers subsidized dental and vision coverage.
**Your Financial Security**
 We invest in both your short and long\-term financial wellbeing. Our 401(k) plan has a 4% company match and immediate vesting. Employees will also receive company\-paid employee basic life and AD\&amp;D insurance and company\-paid disability benefits.
**Your Time**
 Your work\-life balance is important to us. New employees are provided a minimum of 15 days of accrued vacation, up to 3 personal days per year, 11 annual holidays, 8 hours of volunteer time, and 80 hours of sick time annually. Please note paid time off is pro\-rated based on the employee’s start date. Furthermore, Ericsson provides up to 16 weeks of paid maternity leave and 6 weeks of parental or adoption leave at 100% of pay.
**Additional Benefits**
 Ericsson Enterprise Wireless Solutions offers other company\-paid benefits such as a comprehensive Employee Assistance Program, mobile therapy, and volunteer paid time off.</t>
        </is>
      </c>
    </row>
    <row r="60">
      <c r="A60" t="inlineStr">
        <is>
          <t>li-4361911340</t>
        </is>
      </c>
      <c r="B60" t="inlineStr">
        <is>
          <t>Sr. Product Manager</t>
        </is>
      </c>
      <c r="C60" t="inlineStr">
        <is>
          <t>Ericsson</t>
        </is>
      </c>
      <c r="D60" t="inlineStr">
        <is>
          <t>linkedin</t>
        </is>
      </c>
      <c r="E60" t="inlineStr"/>
      <c r="F60" t="inlineStr"/>
      <c r="G60" t="inlineStr">
        <is>
          <t>Albany, NY</t>
        </is>
      </c>
      <c r="H60" t="inlineStr"/>
      <c r="I60" t="inlineStr">
        <is>
          <t>**Grow with us**
**About this opportunity:**
**This position needs to be located in the 2 areas Boise, Santa Clara, Plano or EST preferred.**
 Ericsson Inc. does not sponsor US work authorizations for this job position including H\-1B, O\-1, L\-1 and TN. Ericsson also does not hire F\-1’s working on EAD for this position.
 We are seeking an experienced and motivated Senior Product Manager to define and execute the product strategy for AI\-driven solutions within our cloud management platform (NetCloud), with a focus on Private 5G and enterprise wireless use cases. This role is part of a team responsible for introducing and accelerating new technology adoption and delivering high\-value capabilities that solve operational challenges for customers.
 Why Join Us? This is a high\-impact, high\-visibility role at the intersection of three of the most transformative technologies today: AI, Cloud, and Wireless. You will have the opportunity to shape a growing product category and directly enable business transformation of top\-tier global enterprises.
**What You Will Do**
* Product Strategy \&amp; Vision: Define the strategic roadmap and product vision for leveraging AI/ML to enhance the management, orchestration, monitoring, and optimization of private 5G networks and other enterprise wireless/networking infrastructure within the cloud platform.
* Customer \&amp; Market Insight: Deeply understand the challenges faced by network operators, IT teams, and developers managing private 5G and enterprise edge infrastructure. Conduct competitive analysis and market research to identify opportunities for differentiation through AI.
* Feature Definition \&amp; Execution: Translate market needs and technical possibilities into detailed product requirements and acceptance criteria. Prioritize the backlog to maximize customer value and business impact.
* Go\-to\-Market (GTM) Strategy: Collaborate closely with Marketing, Sales, and Solutions Engineering to develop compelling messaging, sales enablement materials, and GTM plans for new AI\-powered features.
* Cross\-Functional Leadership: Serve as the product owner, working with Engineering, Data Science, UX/UI, Architecture, Compliance/Legal, and other teams to guide the entire product lifecycle from ideation to launch and iteration.
* Technical Translator: Act as the bridge between cutting\-edge AI research/engineering and customer\-facing product value, ensuring AI models and data pipelines are integrated into the product in a meaningful, scalable, cost\-effective, and secure way.
* Business Performance: Define and track key performance indicators (KPIs) related to AI feature adoption, customer value, and overall product success.
**The Skills You Bring**
* 5\+ years of professional experience, with a minimum of 3\+ years in a Product Management role defining and launching enterprise software or cloud services.
* Communication \&amp; Influence: Exceptional written and verbal communication skills, including the ability to articulate strategic vision cross\-functionally, clarify technical nuance and implementation requirements with R\&amp;D, and translate technical concepts to a non\-technical audience (executives, sales, customers). This is the single most important skill for this job. Please acknowledge this emphasis. Very strong communication skills are essential.
* Deep Expertise in Enterprise Networking/Wireless: Solid understanding of enterprise networking concepts, including experience with mobile wireless network infrastructure, RAN, Core, User Equipment (UE), routers, and switches. Specific experience with Private 5G or enterprise LTE is a significant plus.
* Experience with AI/ML Products: Proven track record of defining and launching products or features that rely on machine learning, predictive analytics, or large\-scale data processing (e.g., AIOps, predictive maintenance, resource optimization).
* Cloud Platform Experience: Familiarity with major public cloud providers (AWS, Azure, GCP) or experience with large\-scale cloud management or orchestration platforms (e.g., Kubernetes, OpenStack, cloud\-native infrastructure).
* Technical Acumen: Ability to engage in detailed technical discussions with data scientists and engineers regarding model performance, data requirements, and deployment architectures.
* Education: Bachelor's degree, preferably in an area of technical competence (Computer Science, Engineering, Data Science, etc). An Advanced degree or MBA is a plus.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Ericsson uses a merit\-based hiring approach that values people with different experiences, perspectives and skillsets. We truly believe this approach drives innovation, which is essential for our future growth. We encourage people from all backgrounds to apply and realize their full potential as part of our Ericsson team. Ericsson is proud to be an Equal Opportunity employer, learn more.
 If you need assistance or to request an accommodation due to a disability, please contact Ericsson at hr.direct.americas@ericsson.com.
**DISCLAIMER:** 
 The above statements are intended to describe the general nature and level of work being performed by employees in this position. They are not an exhaustive list of all responsibilities, duties and skills required for this position, and you may be required to perform additional job tasks as assigned.
**Primary country and city:** 
 United States (US) \|\| Boise (ID) (Country/ City)
**Job details:** 
 Product Portfolio Management
**Compensation And Benefits At Ericsson**
 At Ericsson, we know that our people are the key to our success. We offer a competitive package to help with your individual needs and goals.
**Your Pay**
 The salary range for this position is dependent on various factors including, but not limited to, location, and the candidate’s combination of job\-related knowledge, qualifications, skills, education, training, and experience.
* LOCATION: Santa Clara CA, New York, NJ, DC 126400\-165900
**Short\-Term Variable Compensation Plan (select if STV)** 
**:** 
 Your pay also includes the opportunity for an annual bonus. Actual bonus payouts are based on performance of the business against the unit’s objectives, individual performance, and the individual bonus target. Certain eligibility and pro\-ration rules apply.
**Your Health**
 Ericsson Enterprise Wireless Solutions offers excellent, competitive employee benefits, such as: subsidized, nationwide PPO medical benefit options including a low\-deductible Point of Service Plan and a qualifying High Deductible Health Plan (HDHP), with a generous company\-provided HSA contribution. For California employees, we offer a subsidized HMO option through Kaiser. Ericsson Enterprise Wireless Solutions also offers subsidized dental and vision coverage.
**Your Financial Security**
 We invest in both your short and long\-term financial wellbeing. Our 401(k) plan has a 4% company match and immediate vesting. Employees will also receive company\-paid employee basic life and AD\&amp;D insurance and company\-paid disability benefits.
**Your Time**
 Your work\-life balance is important to us. New employees are provided a minimum of 15 days of accrued vacation, up to 3 personal days per year, 11 annual holidays, 8 hours of volunteer time, and 80 hours of sick time annually. Please note paid time off is pro\-rated based on the employee’s start date. Furthermore, Ericsson provides up to 16 weeks of paid maternity leave and 6 weeks of parental or adoption leave at 100% of pay.
**Additional Benefits**
 Ericsson Enterprise Wireless Solutions offers other company\-paid benefits such as a comprehensive Employee Assistance Program, mobile therapy, and volunteer paid time off.</t>
        </is>
      </c>
    </row>
    <row r="61">
      <c r="A61" t="inlineStr">
        <is>
          <t>li-4361911656</t>
        </is>
      </c>
      <c r="B61" t="inlineStr">
        <is>
          <t>Technical Hardware Product Manager</t>
        </is>
      </c>
      <c r="C61" t="inlineStr">
        <is>
          <t>SpotOn</t>
        </is>
      </c>
      <c r="D61" t="inlineStr">
        <is>
          <t>linkedin</t>
        </is>
      </c>
      <c r="E61" t="inlineStr"/>
      <c r="F61" t="inlineStr"/>
      <c r="G61" t="inlineStr">
        <is>
          <t>Chicago, IL</t>
        </is>
      </c>
      <c r="H61" t="inlineStr"/>
      <c r="I61" t="inlineStr">
        <is>
          <t>**About SpotOn** 
  We’re not just building restaurant tech—we’re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**Technical Hardware Product Manager** 
 We’re looking for an experienced Technical Product Manager who is passionate about Restaurants, building innovative hardware products, and impacting the 15 Million people who live and work in the restaurant space. This Technical Product Manager will work closely with our Customer Success team, Engineering, Design, Marketing, and Sales teams to deliver a world class suite of hardware at the heart of every restaurant.
**You will:** 
* Lead the product strategy for SpotOn both new hardware and improving current hardware in the field
* Manage the hardware
 product roadmap, making strategic adjustments as needed based on client needs, data, and business priority.
* Work with multiple cross\-functional teams to elicit, understand, rationalize, and prioritize requests for new functionality.
* Assess market competition, client preferences, emerging technologies, and industry trends to identify what is needed to maintain a competitive advantage and sustained growth.
* Partner with engineering to test new devices and leverage telemetry and data to inform decisions.
* Build relationships with key business partners and other brand stakeholders to serve as the internal and external evangelist for your product.
* Collaborate with other stakeholders, such as product marketing, on the creation of positioning for your products.
**Qualifications:** 
* 4\+ years of relevant product management experience with restaurant hardware or consumer hardware
* Strong understanding of the hardware lifecycle from prototype to general availability.
* Ability to facilitate technical hardware discussions, customer outcome discussions, and how the two come together.
* Exceptional attention to detail and ability to coordinate with stakeholders including individual contributors and external partners. Can competently navigate chaos, lead without authority, and drive best\-informed decisions in the absence of perfect information.
* Ability to influence C\-level and help drive well informed decisions.
* A metrics\-driven work style that leverages data to make informed decisions.
* An ability to manage multiple projects in an iterative process.
* Ability to put yourself in the customer’s shoes to understand their needs and how they interact with our products.
* Past restaurant experience, especially working in a restaurant, is a serious plus
**Compensation:** 
* Our base pay range starts at $170,000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The base salary range listed will vary depending on location and experience.
 Base salary range: $170,000 USD \- $200,000 USD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62">
      <c r="A62" t="inlineStr">
        <is>
          <t>li-4360949161</t>
        </is>
      </c>
      <c r="B62" t="inlineStr">
        <is>
          <t>MuleSoft Technical Product Manager with GCP Experience</t>
        </is>
      </c>
      <c r="C62" t="inlineStr">
        <is>
          <t>Systems Technology Group, Inc. (STG)</t>
        </is>
      </c>
      <c r="D62" t="inlineStr">
        <is>
          <t>linkedin</t>
        </is>
      </c>
      <c r="E62" t="inlineStr"/>
      <c r="F62" t="inlineStr"/>
      <c r="G62" t="inlineStr">
        <is>
          <t>Dearborn, MI</t>
        </is>
      </c>
      <c r="H62" t="inlineStr"/>
      <c r="I62" t="inlineStr">
        <is>
          <t>**Title:**
**MuleSoft Technical Product Manager with GCP Experience** 
**Description:**
 STG is a SEI CMMi Level 5 company with several Fortune 500 and State Government clients. STG has an opening for
 **MuleSoft Technical Product Manager with GCP Experience** 
 .
 Please note that this project assignment is with our own direct clients. We do not go through any vendors. STG only does business with direct end\-clients. This is expected to be a long\-term position. STG will provide immigration and permanent residency sponsorship assistance to those candidates who need it.
**Job Description:**
 Employees in this job function plan and oversees the execution of projects and/or programs that are focused on technology implementation or upgrade of technology applications capabilities and solutions (e.g., enterprise applications, SAAS, internal infrastructure, networking, data centers, labs, etc.). They could also act as Scrum Masters or Agile Coaches to ensure team lives by the values and practices of scrum by embracing Agile/scrum/Kanban/Lean principles
**Key Responsibilities:**
1. Develop project plans, define the project/program scope, goals and deliverables for areas of technology application development and implementation for the enterprise
2. Drive problem\-solving and continuous improvement initiatives by collaborating with IT teams, technology vendors, etc.
3. Facilitate development effort by creating and monitoring an efficient, streamlined process between the internal teams and external technology providers
4. Effectively communicate status updates to all stakeholders across multiple organizations/ teams, with reinforcing quantitative measurements
5. Ensure project and program objectives, deliverables and results are completed within the agreed scope, timeline, budget and allocated resources
6. Provide accurate and insightful analysis and reporting, presenting the data in a clear format for presentations and reviews
7. Identify risks and create risk mitigation plans to ensure timely completion of the projects/programs
8. Manage technology product goals and forecasts. Collaborate with technical development team(s) to translate the long\-term objectives into actionable technology strategy and an implementation roadmap
9. Guide execution by applying standard frameworks and development lifecycle methodologies like agile, waterfall etc.
**Skills Required:**
* We are seeking a Technical Product Manager (TPM) with a strong background in cloud technologies, integration platforms, and agile project delivery. The ideal candidate will lead a team of 15\+ engineers, manage end\-to\-end product development lifecycles, define and prioritize user stories, and ensure timely delivery of high\-quality software solutions.
* Own the product roadmap and manage cross\-functional alignment between engineering, design, and business teams.
* Lead and mentor a team of 15\+ engineers across multiple projects.
* Create, refine, and assign user stories and epics in Jira; ensure proper backlog prioritization.
* Work closely with engineering teams using MuleSoft and Cloud Run for API management and cloud deployment. Ensure project delivery timelines are met through agile ceremonies (sprint planning, retrospectives, daily stand\-ups).
* Manage release cycles, integration testing, and post\-release feedback collection.
* Identify and resolve bottlenecks in product development processes.
* Promote technical excellence, innovation, scalability, and continuous improvement within the team.
* 5–8 years of experience in product management or technical program management.
* Strong technical background in MuleSoft, GCP, and Cloud Run.
* Hands\-on experience with Agile/Scrum methodologies and Jira.
* Strong understanding of cloud\-native application architecture, APIs, and microservices design.
* Demonstrated ability to balance competing priorities and deliver projects on time.
* Certification in MuleSoft, Google Cloud, or Agile Project Management (CSM/PSPO).
* Experience working in fast\-paced SaaS or enterprise product environments.
* Familiarity with DevOps, CI/CD pipelines, and observability tools.
* GCP Cloud Run
* Salesforce
**MuleSoft Technical Product Manager with GCP Experience** 
 position is based at
 **Dearborn, Michigan.** 
 A great opportunity to experience the corporate environment leading personal career growth.
**Resume Submittal Instructions:** 
 Interested/qualified candidates should email their word formatted resumes to
 **Vasavi Konda –
 vasavi.konda(@)stgit.com** 
 and/or contact @
**(Two\-Four\-Eight) Seven\- One\-Two – Six\-Seven\-Two\-Five (@248\.712\.6725\)**
 .
 In the subject line of the email please include:
 **First and Last Name** 
 \-
 **MuleSoft Technical Product Manager with GCP Experience** 
 .
 For more information about STG, please visit us at www.stgit.com.
**Sincerely,** 
**Vasavi Konda\| Recruiting Specialist** 
***“Opportunities don't happen, you create them.”***
**Systems Technology Group (STG)** 
 3001 W. Big Beaver Road, Suite 500
 Troy, Michigan 48084
 Phone:
 @
**(Two\-Four\-Eight) Seven\- One\-Two – Six\-Seven\-Two\-Five: @**
 248\.712\.6725(O)
 Email: vasavi.konda(@)stgit.com</t>
        </is>
      </c>
    </row>
    <row r="63">
      <c r="A63" t="inlineStr">
        <is>
          <t>li-4326313229</t>
        </is>
      </c>
      <c r="B63" t="inlineStr">
        <is>
          <t>Senior Product Manager, AI Security</t>
        </is>
      </c>
      <c r="C63" t="inlineStr">
        <is>
          <t>HackerOne</t>
        </is>
      </c>
      <c r="D63" t="inlineStr">
        <is>
          <t>linkedin</t>
        </is>
      </c>
      <c r="E63" t="inlineStr"/>
      <c r="F63" t="inlineStr"/>
      <c r="G63" t="inlineStr">
        <is>
          <t>Boston, MA</t>
        </is>
      </c>
      <c r="H63" t="inlineStr"/>
      <c r="I63"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**Senior Product Manager, AI Security**
**Remote Location: Seattle, WA; San Francisco Bay Area; Austin, TX; Boston, MA; or Washington, DC**
**Position Summary**
 HackerOne is seeking an exceptional Product Manager to spearhead the development of our cutting\-edge AI Security product portfolio. As the owner of AI Security products, you will play a pivotal role in shaping the future of how organizations secure their artificial intelligence and machine learning systems. You will be at the forefront of defining and delivering innovative solutions that address emerging AI\-specific threats.
 This is a strategic role that requires a deep understanding of both AI technologies and cybersecurity principles. You will be responsible for the entire product lifecycle, from ideation and strategy to execution and go\-to\-market, ensuring our AI security offerings are a market\-leading force.
 At HackerOne, we embrace a Flexible Work approach that gives us the freedom to do our best work while also fostering the connections and community that make us stronger. Reflecting this philosophy, this is a remote role and we are open to hiring anywhere in the US, with candidates within \~50 miles of
 **Seattle, WA; San Francisco Bay Area; Boston, MA; Austin, TX; or Washington, DC** 
 . We believe this balance of proximity and flexibility gives Hackeronies the chance to occasionally come together – fostering collaboration, connection, and in\-person moments that enrich our culture – while still preserving the benefits of remote work.
**What You Will Do**
* Drive strategy and execution for our AI Red Teaming offerings.
* Develop and maintain a multi\-year product roadmap that aligns with the company's overall objectives and the evolving AI threat landscape.
* Lead the end\-to\-end product development lifecycle for AI security solutions.
* Gather and synthesize inputs from internal stakeholders, our security researcher community, customers, and partners.
* Translate complex customer AI security, as well as safety and trust, challenges into clear, concise and actionable product requirements and user stories in collaboration with Design, Engineering and Customer Operations.
* Collaborate with Product Marketing to launch and drive adoption of new AI security products and features. Act as a subject matter expert and evangelist for HackerOne's AI security solutions, presenting to customers, prospects, at industry events, and to internal teams.
* Maintain a deep understanding of the latest advancements in AI (across generative AI \&amp; machine learning), AI security research, security for AI systems, and competitive offerings to identify new opportunities and ensure HackerOne remains an innovator in this space.
**Minimum Qualifications**
* 5\+ years of Product Management experience in tech/SaaS businesses.
* Demonstrated ability to shape and drive AI adoption and strategy across domains by re\-architecting security products, processes, and platforms around AI—embedding AI into how solutions are designed, built, and operated to deliver transformative protection against emerging AI threats.
* A proven track record of successfully launching and scaling technical products / platforms in high\-growth businesses involving in\-depth cross\-functional collaboration and leadership across R\&amp;D and go\-to\-market functions.
* Deep understanding of cybersecurity technologies with direct product management experience in related cybersecurity fields, such as vulnerability management, penetration testing, application security, and related fields.
* Strategic thinker who can translate market trends, customer needs, and technical innovations into a clear product vision and actionable roadmap
* Deep empathy for customers / users in gathering and synthesizing input and a passion for solving their most pressing security challenges.
* Outstanding communication and leadership skills with a collaborative and team\-oriented approach to identifying problems, determining potential solutions, and building consensus around your vision with internal and external stakeholders.
* Experience using data and metrics to inform product decisions and measure success.
* Experience leading product development in cloud services.
* Passion for cybersecurity in helping with HackerOne’s mission of empowering the world to build a safer internet
**Preferred Qualifications**
* Bachelor's degree in Computer Science, Engineering, or related field.
* MBA degree
* Domain experience with security research / hacking as part of red teaming, penetration testing and/or bug bounty programs, including methods, tools, and types of testing.
* Strong understanding of AI concepts, common vulnerabilities in AI systems, and the evolving AI threat landscape, including familiarity with AI security frameworks, tools and best practices.
 Compensation Bands:
**San Francisco**
 $202K – $247K
* Offers Equity
**Seattle, Austin, DC, Boston**
 $182K – $222K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Flexible Work Stipend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t>
        </is>
      </c>
    </row>
    <row r="64">
      <c r="A64" t="inlineStr">
        <is>
          <t>li-4342595801</t>
        </is>
      </c>
      <c r="B64" t="inlineStr">
        <is>
          <t>Product Manager and Market Strategy for AI Solutions</t>
        </is>
      </c>
      <c r="C64" t="inlineStr">
        <is>
          <t>Jacobs</t>
        </is>
      </c>
      <c r="D64" t="inlineStr">
        <is>
          <t>linkedin</t>
        </is>
      </c>
      <c r="E64" t="inlineStr"/>
      <c r="F64" t="inlineStr"/>
      <c r="G64" t="inlineStr">
        <is>
          <t>Chattanooga, TN</t>
        </is>
      </c>
      <c r="H64" t="inlineStr"/>
      <c r="I64"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This
 **Product Manager and Market Strategy** 
 role is housed in our
 **BeyondIF team** 
 , which is part of our
 **Data \&amp; Digital division** 
 . BeyondIF is Jacobs innovation and R\&amp;D program and acts as an “accelerator” for a range of digital innovations across many markets and geographies. Artificial Intelligence has the potential to disrupt and improve outcomes for a huge portion of Jacobs’ mission. Jacobs has developed several new AI tools, with many more in pilot stage, that maximize the upsides of AI while minimizing the risks. This role, working within Jacobs’ BeyondIF program, will foster several emerging tools out of the pilot and into the “scaling” phase.
**Areas of Responsibility**
* “Outbound” oriented product management – leading voice\-of\-customer and voice\-of\-prospect interviews and consolidating results. Defining key user stories, writing specifications, and prioritizing the roadmap
* Collaborating with the engineering and delivery team (mostly in Poland) to deliver on the roadmap
* Prioritization of AI product and solution roadmap, in coordination with D\&amp;D and Poland Jacobs AI team
* Forecasting the products’ financial outlook by defining total potential market, pricing, and long term costs to ensure the right product investments are made
* Product marketing work including, defining and drafting how the product should be pitched (value proposition statements, etc.)
* Collaborating with people teams across the Jacobs’ global business and maintaining clear, organized conversation and documentation
* Working within the Jacobs context – these are all products that will be launched via Jacobs’ vast footprint in our markets. Thus, this job requires understanding the bigger context and prioritizing products and paths to market that make “being part of Jacobs” the greatest strength. This may lead to prioritization of products that an independent tech company might not prioritize!
**Note** 
 There will be significant collaboration required with European and North American time zones
 Here's what you'll need
* 5\-10 years total experience split in any ratio across the following
+ Product management experience in enterprise/commercial software and digital tools (managing roadmaps, organizing backlogs, summarizing customer/prospect/market feedback and turning it into excellent product specifications documents, etc.)
+ Demonstrated experience working on the financial/commercial side of things (previous responsibility for business planning, and MBA, etc.)
* Interest in transportation, water, mobility, and/or energy
* Interest in enterprise software and AI including market sizing and price determination
* Comfortable conducting qualitative interviews with customers (existing and prospective), partners, and competitors
* Comfort making decisions quickly in a fast\-changing environment
* Adept at conducting primary and secondary research to analyze and size potential markets, establish market segmentation, competitors, market\-entry challenges, and financial opportunity
* Excellent Executive\-level communication skills, including written, spreadsheet visual (presentations), and verbal
* Ability to take initiative and drive projects from concept to completion, even in ambiguous or undefined environments
**Preferred**
* Experience in AI products and solutions
* Experience in the AEC (Architectural, Engineering, and Consultant) industry or related industries
* Experience with DevOps, Jira, or related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$90,000\.00 to $150,000\.00\.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December 08,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65">
      <c r="A65" t="inlineStr">
        <is>
          <t>li-4346467904</t>
        </is>
      </c>
      <c r="B65" t="inlineStr">
        <is>
          <t>Technical Product Manager XOps</t>
        </is>
      </c>
      <c r="C65" t="inlineStr">
        <is>
          <t>F5</t>
        </is>
      </c>
      <c r="D65" t="inlineStr">
        <is>
          <t>linkedin</t>
        </is>
      </c>
      <c r="E65" t="inlineStr"/>
      <c r="F65" t="inlineStr"/>
      <c r="G65" t="inlineStr">
        <is>
          <t>San Jose, CA</t>
        </is>
      </c>
      <c r="H65" t="inlineStr"/>
      <c r="I65"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**Role Summary**
 This role is instrumental in driving strategy, technical execution, and delivering impactful outcomes for the F5 Unified Console platform under the XOps framework. As part of the team, you will shape how operational teams across DevOps, SecOps, NetOps, and AppOps collect, analyze, and act on application\-level telemetry through advanced Unified Console Observability and proactive AI\-powered insights. Your contributions will help streamline cross\-discipline workflows through intelligent integrations and actionable insights to support operators, security teams, and application owners.
 You will collaborate across Engineering, Architecture, Product Management, Field Teams, and Customers to deeply understand operational challenges, validate real\-world use cases, and ensure the product evolves to meet emerging needs. From competitive analysis to solution demonstrations and guidance, you will act as a technical leader driving innovation in observability, security, proactive AI\-driven automation, and telemetry across various systems—including BIG\-IP, syslog pipelines, Databases like Prometheus and ClickHouse, along with AI\-enhanced data integrations.
 We are seeking a Product Management Engineer for XOps who thrives at the intersection of AI\-powered insights, data observability, platform solutions, and customer problem\-solving. If you are eager to enable proactive insights and unified workflows that enhance application performance, security, and reliability across diverse teams, we want to connect with you.
**Primary Responsibilities**
**Advocate for XOps: Serve as the voice of XOps teams (DevOps, SecOps, AppOps, NetOps) leveraging F5 Unified Console and AI Insights across their BIG\-IP, NGINX, and XC environments.**
**Drive Observability Innovation: Translate complex customer workflows into actionable product requirements with a focus on consolidated telemetry, advanced performance analytics, and proactive AI\-powered anomaly detection.**
**Shape Customer\-Centric Solutions: Validate Unified Console interfaces, dashboards, telemetry workflows, and data models leveraging on\-the\-ground customer environments and feedback.**
**Enable XOps Team Success: Produce demos and deliver training highlighting how Unified Console Observability and AI\-enhanced insights empower teams to respond faster and operate smarter.**
**Highlight Competitive Advantages: Create thought leadership content showcasing F5's strengths in observability, proactive security, and AI\-driven automation compared to competitors.**
**Influence Product Strategy: Collaborate across teams to guide strategy, focusing on telemetry ingestion, dashboards, AI anomaly correlation, agentless observability, and cross\-functional data integration.**
**Be a Technical XOps Subject\-Matter Expert: Provide expertise on application telemetry, BIG\-IP LTM insights, syslog pipelines, MCP telemetry, and market trends in AI\-ops observability.**
**Analyze Competition: Evaluate competitor offerings in categories such as APM, NPM, SIEM, and AI\-enhanced operations.**
**Knowledge, Skills, And Abilities**
* XOps Communication Expertise: Ability to articulate technical observability and AI concepts to both engineering teams and business stakeholders across DevOps, SecOps, AppOps, and NetOps teams.
* Modern Telemetry Knowledge: Strong grasp of telemetry concepts, including HTTP, OpenTelemetry, REST APIs, syslog analysis, and application behavior modeling.
* Proficiency in Observability Systems: Familiarity with tools like Prometheus, ClickHouse, Splunk, or similar platforms for metrics, logs, and real\-time analysis.
* Networking \&amp; Applications Background: Foundational knowledge of BIG\-IP LTM, MCP telemetry integrations, and reverse proxy or load\-balancing systems.
* AI\-Driven Observability Insight: Comfort working with AI/ML technologies to enable proactive operational insights or automation.
* Cross\-Team Collaboration: Exceptional communication skills to bridge technical and operational gaps across diverse teams.
* Problem\-Solving Instincts: Ability to distill complex data challenges into simple solutions, driving faster decision\-making and measurable outcomes.
**Qualifications**
* XOps Experience: 2\+ years in Product Management, DevOps, Security Operations, or related technical customer\-facing roles supporting XOps teams.
* Operations Expertise: 3\+ years working with application, infrastructure, networking, or security operations solutions in enterprise environments.
* Telemetry Systems: Hands\-on experience with observability platforms such as Prometheus, Splunk, Datadog, ELK Stack, or similar tools.
* Product \&amp; Market Intelligence: Experience in researching and analyzing trends or competitive offerings in observability, AI automation, or security\-driven telemetry.
* Bonus Skills: Experience with BIG\-IP or managing scalable load\-balancing solutions in dynamic network environments.
 The Job Description is intended to be a general representation of the responsibilities and requirements of the job. However, the description may not be all\-inclusive, and responsibilities and requirements are subject to change.
 The annual base pay for this position is: $179,200\.00 \- $268,800\.00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66">
      <c r="A66" t="inlineStr">
        <is>
          <t>li-4307073267</t>
        </is>
      </c>
      <c r="B66" t="inlineStr">
        <is>
          <t>Automation Workstream Product Owner</t>
        </is>
      </c>
      <c r="C66" t="inlineStr">
        <is>
          <t>Peraton</t>
        </is>
      </c>
      <c r="D66" t="inlineStr">
        <is>
          <t>linkedin</t>
        </is>
      </c>
      <c r="E66" t="inlineStr"/>
      <c r="F66" t="inlineStr"/>
      <c r="G66" t="inlineStr">
        <is>
          <t>Washington, DC</t>
        </is>
      </c>
      <c r="H66" t="inlineStr"/>
      <c r="I6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 (NAS) through the FAA's Brand New Air Traffic Control System (BNATCS) 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Help shape the future of U.S. airspace safety and efficiency. We are seeking a
 **Automation Workstream Product Owner** 
 to join our team of qualified, diverse individuals. The ideal candidate will lead the vision, backlog, and execution of automation initiatives in support of the Federal Aviation Administration (FAA). In this role, you will act as the primary liaison between stakeholders, engineering teams, and subcontractors, ensuring automation requirements are well\-defined, prioritized, and delivered. This position offers an excellent opportunity to gain in\-depth experience in federal contracting while supporting high\-visibility aviation programs.
 In this position, you will:
* Own and manage the product backlog for FAA automation workstreams, ensuring priorities are aligned with program objectives.
* Define, refine, and prioritize requirements for automation across infrastructure, testing, and operations.
* Partner with leadership, engineers, and subcontractors to translate technical needs into actionable backlog items.
* Ensure automation solutions comply with federal standards, and cybersecurity requirements (NIST RMF, Zero Trust).
* Collaborate with systems architects and engineers to integrate automation into DevSecOps pipelines and cloud\-native environments.
* Monitor progress of automation initiatives, ensuring on\-time and high\-quality delivery.
* Conduct stakeholder workshops, backlog grooming sessions, and sprint planning activities.
* Identify risks, dependencies, and gaps in automation delivery and work with cross\-functional teams to resolve them.
* Prepare and deliver status updates, metrics, and recommendations for leadership and program management reviews.
* Stay informed of emerging automation tools, frameworks, and technologies to guide modernization efforts.
* Drive initiatives that enhance efficiency, scalability, and resiliency of FAA systems by embedding automation into infrastructure, testing, and operations workflows.
* Develop and manage metrics dashboards to measure automation performance and adoption.
* Define and managing automation requirements for mission\-critical or safety\-critical systems.
 Why This Role Matters
 The FAA is the cornerstone of aviation safety and innovation. As the Automation Workstream Product Owner, you will ensure automation capabilities are delivered in line with FAA's mission\-critical needs. By managing the product backlog, aligning stakeholders, and guiding engineering execution, you will enable the FAA to accelerate delivery, reduce risk, and maintain the safety and efficiency that millions of travelers depend on every day.
**Qualifications**
**Basic Qualifications:**
* U.S. Citizenship Required.
* Must have the ability to obtain / maintain a Public Trust clearance.
* Bachelor's degree and 12 years of experience; or Masters degree and 10 years experience; or Associate's degree and 14 years' experience; or HS diploma/equivalent and 16 years experience.
* Experience in product ownership or automation delivery roles.
* Demonstrated experience with automation frameworks, DevSecOps, and CI/CD pipeline integration.
* Knowledge of Infrastructure as Code (IaC) tools such as Terraform, Ansible, or CloudFormation.
* Familiarity with cloud environments (AWS, Azure, GCP) and their automation capabilities.
* Strong knowledge of federal compliance frameworks (e.g., NIST RMF, FedRAMP, Zero Trust).
* Strong background in risk management and compliance audits.
* Hands\-on experience with automation testing frameworks and monitoring integrations.
**Preferred Qualifications** 
 :
* Direct FAA or NAS configuration management experience.
* Certifications such as SAFe Product Owner/Product Manager, AWS Solutions Architect, or Certified Scrum Product Owner (CSPO).
* Experience supporting FAA, DOT, DHS, or other federal modernization programs.
* Familiarity with FAA NextGen programs and automation dependencies in aviation infrastructure.
* Background in AI/ML\-driven automation, predictive analytics, or intelligent orchestration.
* Excellent communication and collaboration skills to manage stakeholder engagement.
* Proven ability to coordinate cross\-functional teams and subcontractors for automation delivery.
* Excellent communication and collaboration skills to manage stakeholder engagement.
 \#BNATC
 \#BNATC
 \#BNATC
 \#BNATC
**SCA / Union / Intern Rate or Range**
**Details**
 Target Salary Range: $112,000 \- $179,000\.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67">
      <c r="A67" t="inlineStr">
        <is>
          <t>li-4326258328</t>
        </is>
      </c>
      <c r="B67" t="inlineStr">
        <is>
          <t>Senior Product Manager, AI Security</t>
        </is>
      </c>
      <c r="C67" t="inlineStr">
        <is>
          <t>HackerOne</t>
        </is>
      </c>
      <c r="D67" t="inlineStr">
        <is>
          <t>linkedin</t>
        </is>
      </c>
      <c r="E67" t="inlineStr"/>
      <c r="F67" t="inlineStr"/>
      <c r="G67" t="inlineStr">
        <is>
          <t>Washington, DC</t>
        </is>
      </c>
      <c r="H67" t="inlineStr"/>
      <c r="I67"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**Senior Product Manager, AI Security**
**Remote Location: Seattle, WA; San Francisco Bay Area; Austin, TX; Boston, MA; or Washington, DC**
**Position Summary**
 HackerOne is seeking an exceptional Product Manager to spearhead the development of our cutting\-edge AI Security product portfolio. As the owner of AI Security products, you will play a pivotal role in shaping the future of how organizations secure their artificial intelligence and machine learning systems. You will be at the forefront of defining and delivering innovative solutions that address emerging AI\-specific threats.
 This is a strategic role that requires a deep understanding of both AI technologies and cybersecurity principles. You will be responsible for the entire product lifecycle, from ideation and strategy to execution and go\-to\-market, ensuring our AI security offerings are a market\-leading force.
 At HackerOne, we embrace a Flexible Work approach that gives us the freedom to do our best work while also fostering the connections and community that make us stronger. Reflecting this philosophy, this is a remote role and we are open to hiring anywhere in the US, with candidates within \~50 miles of
 **Seattle, WA; San Francisco Bay Area; Boston, MA; Austin, TX; or Washington, DC** 
 . We believe this balance of proximity and flexibility gives Hackeronies the chance to occasionally come together – fostering collaboration, connection, and in\-person moments that enrich our culture – while still preserving the benefits of remote work.
**What You Will Do**
* Drive strategy and execution for our AI Red Teaming offerings.
* Develop and maintain a multi\-year product roadmap that aligns with the company's overall objectives and the evolving AI threat landscape.
* Lead the end\-to\-end product development lifecycle for AI security solutions.
* Gather and synthesize inputs from internal stakeholders, our security researcher community, customers, and partners.
* Translate complex customer AI security, as well as safety and trust, challenges into clear, concise and actionable product requirements and user stories in collaboration with Design, Engineering and Customer Operations.
* Collaborate with Product Marketing to launch and drive adoption of new AI security products and features. Act as a subject matter expert and evangelist for HackerOne's AI security solutions, presenting to customers, prospects, at industry events, and to internal teams.
* Maintain a deep understanding of the latest advancements in AI (across generative AI \&amp; machine learning), AI security research, security for AI systems, and competitive offerings to identify new opportunities and ensure HackerOne remains an innovator in this space.
**Minimum Qualifications**
* 5\+ years of Product Management experience in tech/SaaS businesses.
* Demonstrated ability to shape and drive AI adoption and strategy across domains by re\-architecting security products, processes, and platforms around AI—embedding AI into how solutions are designed, built, and operated to deliver transformative protection against emerging AI threats.
* A proven track record of successfully launching and scaling technical products / platforms in high\-growth businesses involving in\-depth cross\-functional collaboration and leadership across R\&amp;D and go\-to\-market functions.
* Deep understanding of cybersecurity technologies with direct product management experience in related cybersecurity fields, such as vulnerability management, penetration testing, application security, and related fields.
* Strategic thinker who can translate market trends, customer needs, and technical innovations into a clear product vision and actionable roadmap
* Deep empathy for customers / users in gathering and synthesizing input and a passion for solving their most pressing security challenges.
* Outstanding communication and leadership skills with a collaborative and team\-oriented approach to identifying problems, determining potential solutions, and building consensus around your vision with internal and external stakeholders.
* Experience using data and metrics to inform product decisions and measure success.
* Experience leading product development in cloud services.
* Passion for cybersecurity in helping with HackerOne’s mission of empowering the world to build a safer internet
**Preferred Qualifications**
* Bachelor's degree in Computer Science, Engineering, or related field.
* MBA degree
* Domain experience with security research / hacking as part of red teaming, penetration testing and/or bug bounty programs, including methods, tools, and types of testing.
* Strong understanding of AI concepts, common vulnerabilities in AI systems, and the evolving AI threat landscape, including familiarity with AI security frameworks, tools and best practices.
 Compensation Bands:
**San Francisco**
 $202K – $247K
* Offers Equity
**Seattle, Austin, DC, Boston**
 $182K – $222K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Flexible Work Stipend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t>
        </is>
      </c>
    </row>
    <row r="68">
      <c r="A68" t="inlineStr">
        <is>
          <t>li-4342647710</t>
        </is>
      </c>
      <c r="B68" t="inlineStr">
        <is>
          <t>Principal Product Manager, GenAI Advertising Platform (SMB Focus) (Mailchimp)</t>
        </is>
      </c>
      <c r="C68" t="inlineStr">
        <is>
          <t>Intuit</t>
        </is>
      </c>
      <c r="D68" t="inlineStr">
        <is>
          <t>linkedin</t>
        </is>
      </c>
      <c r="E68" t="inlineStr"/>
      <c r="F68" t="inlineStr"/>
      <c r="G68" t="inlineStr">
        <is>
          <t>New York, NY</t>
        </is>
      </c>
      <c r="H68" t="inlineStr"/>
      <c r="I68" t="inlineStr">
        <is>
          <t>**Overview**
 The Vision: AI\-First, Outcomes\-as\-a\-Service
 At Intuit Mailchimp, we are redefining digital advertising for small and mid\-market businesses (SMBs). The real challenge isn’t running ads—it’s achieving predictable growth without complexity.
 Our mission is to make world\-class advertising as effortless as possible for every SMB. We’re transforming ad creation and optimization into a simple, prompt\-driven experience: the business states its goal—“Get 10 qualified leads this week” or “Increase online sales by 20%”—and our Generative AI platform autonomously designs, executes, and optimizes the campaign across channels.
 This role is for a visionary Principal who will architect, launch, and scale the platform and AI systems that make this “done\-for\-you” promise real — turning advanced advertising into something any business owner can do in minutes.
 The Opportunity: Building the Next\-Generation Growth Engine
 As the Principal PM for the GenAI Advertising Platform, you will own the end\-to\-end strategy, architecture, and delivery of a unified, outcome\-driven advertising system that becomes a central growth pillar for Intuit Mailchimp.
 You’ll build and launch AI\-powered advertising experiences that enable SMBs to effortlessly create, manage, and optimize single\-channel and cross\-channel campaigns across Meta, Google, LinkedIn, Amazon, eBay, Yelp, and beyond.
 You’ll partner closely with the Marketing Data Platform to ensure our AI, ML, and System Learning Models (SLMs) are trained and scaled to deliver smarter, faster, and more effective campaign performance.
 Your north star: make Mailchimp advertising the easiest, most intelligent, and most effective way for SMBs to grow—hands\-off, done\-for\-you, and outcome\-driven.
**Responsibilities**
 Your Mandate: Architecting the AI\-Driven, Done\-for\-You Advertising Platform
* Architecting the Autonomous Campaign (GenAI\-First)
* Intent\-to\-Outcome Flow: Design a natural\-language, prompt\-driven experience that translates simple business goals into complete, optimized campaigns — no manual setup required.
* The Outcome Engine: Build the proprietary GenAI decision system that predicts, executes, and continuously optimizes campaign strategy and spend across channels in real time.
* Generative Creative Flywheel: Create an autonomous system that generates and refines ad copy, visuals, and targeting using live performance data and AI feedback loops.
* Platform Foundations \&amp; Scalable Orchestration
* Unified Abstraction Layer: Architect a single cross\-channel framework that abstracts away ad network complexity, enabling fully automated campaign orchestration and reporting from one place.
* AI/ML Infrastructure Partnership: Collaborate with the Marketing Data Platform to design scalable ingestion, feature engineering, and model pipelines that power predictive optimization and self\-learning.
* Cross\-Channel Execution: Launch end\-to\-end advertising experiences that support both single\-channel execution and AI\-orchestrated cross\-channel optimization — all behind a “done\-for\-you” interface.
* Scalability for SMB Growth: Ensure the platform’s architecture scales seamlessly from new entrepreneurs to mid\-market businesses running thousands of concurrent campaigns.
* Principal Leadership \&amp; Responsible Innovation
* AI Pod Leadership: Lead a cross\-functional “AI Pod” spanning Engineering, Data Science, and Design — driving technical clarity, velocity, and innovation.
* Organizational Influence: Operate as a Group PM, uniting advertising, CRM, commerce, and data initiatives under one AI\-first growth ecosystem vision.
* Responsible AI: Champion ethical, transparent, and policy\-compliant AI practices that build long\-term customer trust.
* Outcome Accountability: Own P\&amp;L inputs and relentlessly drive measurable business impact — lowering CPA, improving ROAS, and increasing LTV through automation.
**Qualifications**
* 12\+ years of product management experience, with 5\+ years in AdTech, Marketing Automation, or AI/ML\-driven platforms.
* Proven success building and shipping GenAI or autonomous optimization systems leveraging LLMs, diffusion models, or reinforcement learning.
* Deep domain expertise in digital advertising ecosystems, ad APIs, targeting, and attribution.
* Strong technical fluency in data architecture, model lifecycle management, and scalable ML/SLM systems.
* Experience collaborating with data platform and infrastructure teams to operationalize AI for scale.
* Strategic leadership scope: ability to set multi\-year product strategy, align executive stakeholders, and mentor senior PMs. Ability to collaborate internal and external to deliver results form 0\-1 and to scaled solutions.
* A first\-principles mindset and proven ability to simplify complex, technical systems into delightful, intuitive customer experiences.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$238,000 \- 319,000
 New York City, New York: $232,500 \- 314,500</t>
        </is>
      </c>
    </row>
    <row r="69">
      <c r="A69" t="inlineStr">
        <is>
          <t>li-4360974106</t>
        </is>
      </c>
      <c r="B69" t="inlineStr">
        <is>
          <t>Program Manager</t>
        </is>
      </c>
      <c r="C69" t="inlineStr">
        <is>
          <t>Hyra</t>
        </is>
      </c>
      <c r="D69" t="inlineStr">
        <is>
          <t>linkedin</t>
        </is>
      </c>
      <c r="E69" t="inlineStr"/>
      <c r="F69" t="inlineStr"/>
      <c r="G69" t="inlineStr"/>
      <c r="H69" t="inlineStr"/>
      <c r="I69" t="inlineStr">
        <is>
          <t>Program Manager \- Oracle ERP Cloud Implementation
 Location: San Francisco, California, 94110 \| Type: Remote
 Hyra is working on behalf of Spire Systems Inc. to hire for the position of Program Manager \- Oracle ERP Cloud Implementation. This role involves leading the full lifecycle of a large\-scale Oracle ERP Cloud implementation across multiple business units. You will coordinate between technical teams, stakeholders, and vendors to ensure project milestones are met on time and within budget.
 What you'll be doing
 • Directing the end\-to\-end implementation of Oracle ERP Cloud modules
 • Managing project timelines, resource allocation, and budget tracking
 • Coordinating major milestones including system testing and go\-live phases
 • Facilitating communication between executive leadership and technical delivery teams
 • Identifying and mitigating project risks while ensuring quality standards are met
 What we're looking for
 • Proven experience managing large\-scale Oracle ERP Cloud implementations
 • Strong background in project management methodologies and governance
 • Ability to travel periodically for key project milestones as required
 • Excellent stakeholder management and professional communication skills
 • Must be legally authorized to work in the United States and eligible for W2 employment
 What Spire Systems Inc. offers
 • Competitive compensation package
 • Remote work flexibility
 • Opportunity to lead a high\-impact enterprise digital transformation
 • Professional environment working with modern cloud technologies
 Apply via Hyra to be considered for this opportunity.</t>
        </is>
      </c>
    </row>
    <row r="70">
      <c r="A70" t="inlineStr">
        <is>
          <t>li-4360919992</t>
        </is>
      </c>
      <c r="B70" t="inlineStr">
        <is>
          <t>Senior Technical Program Manager</t>
        </is>
      </c>
      <c r="C70" t="inlineStr">
        <is>
          <t>RemoteHunter</t>
        </is>
      </c>
      <c r="D70" t="inlineStr">
        <is>
          <t>linkedin</t>
        </is>
      </c>
      <c r="E70" t="inlineStr"/>
      <c r="F70" t="inlineStr"/>
      <c r="G70" t="inlineStr"/>
      <c r="H70" t="inlineStr"/>
      <c r="I70" t="inlineStr">
        <is>
          <t>About the Opportunity:
 A rapidly growing Health\-Tech organization is developing a next\-generation pharmacy benefits management platform to transform how companies manage pharmacy benefits. This unified technology platform delivers real\-time insights driving cost savings, clinical services, and superior customer experience. The Senior Technical Program Manager will bridge business strategy and engineering execution by translating product strategy into technology solutions, influencing priorities, simplifying architecture, and ensuring scalable technology.
 Responsibilities:
 • Lead end\-to\-end programs from multi\-year roadmap facilitation to execution
 • Translate corporate strategy into actionable deliverables in undefined technical environments
 • Serve as primary communicator for complex projects, providing concise, data\-backed updates for leadership
 • Drive technical transparency, identify risks, and improve efficiency in existing architectures
 • Optimize cross\-team processes and software development workflows to set organizational standards
 • Build consensus across engineering, product, and operations teams
 • Mentor junior team members and make prioritization decisions under pressure
 Requirements:
 • 8\+ years of experience in technical program management with a record of delivering high\-visibility, multi\-team initiatives
 • Ability to connect project\-level work to broad business goals and cost optimizations
 • Deep understanding of SDLC, Agile methodologies, and complex engineering architectures including security and privacy considerations
 • Experience mentoring peers and driving team growth via hiring and process improvements
 • Comfortable working independently while seeking strategic alignment when needed
 • Experience managing multi\-year, multi\-team programs across geographically dispersed locations
 • Experience commercializing technical product launches and discussing technical products
 Benefits \&amp; Perks:
 • Medical, Pharmacy, Dental, Vision, Life, and AD\&amp;D Insurance
 • Flexible Spending Benefits
 • 401(k) Retirement Savings Program
 • Short\-term and long\-term disability coverage
 • Discretionary Paid Time Off and Paid Company Holidays
 • Wellness and Commuter Benefits
 • Paid Parental Leave
 • Employee Assistance Program (EAP)
 • Well\-stocked kitchen at office locations
 • Professional development and training opportunities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1">
      <c r="A71" t="inlineStr">
        <is>
          <t>li-4346468324</t>
        </is>
      </c>
      <c r="B71" t="inlineStr">
        <is>
          <t>Technical Program Manager</t>
        </is>
      </c>
      <c r="C71" t="inlineStr">
        <is>
          <t>Instrumental Inc.</t>
        </is>
      </c>
      <c r="D71" t="inlineStr">
        <is>
          <t>linkedin</t>
        </is>
      </c>
      <c r="E71" t="inlineStr"/>
      <c r="F71" t="inlineStr"/>
      <c r="G71" t="inlineStr">
        <is>
          <t>Palo Alto, CA</t>
        </is>
      </c>
      <c r="H71" t="inlineStr"/>
      <c r="I71" t="inlineStr">
        <is>
          <t>Instrumental technology is used by the world’s most admired electronics brands — including Meta, NVIDIA, Bose, and Cisco — to significantly reduce the
 **$12T lost every year** 
 to downtime, scrap, and mistakes in manufacturing. Our system collects data directly from the factory floor and uses proprietary AI to automatically identify and resolve issues, helping teams improve yield, quality, and time to market.
 We are seeking a versatile
 **Technical Program Manager** 
 to join our tight\-knit, high\-performance team in Palo Alto. You will play a pivotal role in supporting customer deployments, coordinating technical programs, and ensuring our cutting\-edge manufacturing AI solutions are delivered with excellence. You’ll wear multiple hats—from leading technical support and managing timelines, to building strong customer relationships and driving internal coordination across global teams.
 This is a great opportunity for someone passionate about growing their career in project management and technology. The ideal candidate is technically savvy, highly organized, and deeply customer\-oriented. You bring a collaborative mindset, communicate proactively, and are ready to make a real impact within a small, mission\-focused team.
**What You Will Do**
* Own Customer Deployments: You will collaborate closely with top electronics brands to deliver iconic products. You will act as an expert in customer build schedules and business priorities, serving as a liaison with Contract Manufacturers to ensure smooth implementation and efficient data extraction from the factory to the Instrumental platform.
* Represent Instrumental Onsite: Act as the primary point of contact for customer operations teams and manufacturing partners, addressing questions and resolving issues with professionalism and urgency. Travel within North America (and occasionally APAC) to support deployments and ensure product performance.
* Support Logistical Operations: Collaborate with both internal and customer operations teams to meet logistics requirements, including export compliance, for the seamless delivery of manufacturing and technical equipment worldwide.
* Drive Platform Adoption: Become an expert in Instrumental’s platform to boost customer engagement and provide frontline troubleshooting support. Lead platform training sessions to support both new implementations and ongoing customer success.
* Promote Operational Excellence: Follow established operational procedures while continuously identifying and advocating for process improvements to enhance efficiency and quality across deployments.
**We’d Love To Chat If You Have**
* Industry Experience: 3\+ years of professional experience in electronics manufacturing or a closely related field, with a strong understanding of industry standards, processes, and factory environments.
* Manufacturing Equipment Experience: Hands\-on experience installing, assembling, and/or supporting electronics manufacturing equipment (e.g., vision systems, functional testers, calibration systems). Familiarity with MES system integration and data pipeline setup is a plus.
* Global Project Management: Strong project management capabilities, including planning, coordination, and cross\-functional execution with international Contract Manufacturers (CMs), vendors, and internal stakeholders across time zones. Ability to manage multiple priorities in dynamic, fast\-paced environments. Maintains a solutions oriented mindset around communication.
* Customer Relationship Management: Proven track record of building strong customer relationships. Able to engage customers directly, understand their needs, and deliver technical and programmatic support with empathy and clarity.
* Startup/Growth\-Stage Agility: Experience in high\-growth and/or agile work environments is a plus.
* Critical Thinking \&amp; Learning Mindset: Thrives when navigating ambiguity, solving open\-ended problems, and learning on the fly. Demonstrated self\-starter attitude with a strong sense of ownership and persistence.
* Language Skills: Excellent written and verbal communication skills in English are required; Spanish proficiency is a strong plus.
* In\-person \&amp; Travel Flexibility: Ability to work at our Instrumental office and travel 10–20% of the time across North America and occasionally APAC region to support deployments and customer success.
 We’re a growing team that consistently works collaboratively, is supportive of each other, and is highly energized by the opportunity for large impact. We actively work to promote an inclusive environment, valuing passion and the ability to learn. You’re encouraged to apply even if your experience doesn’t precisely match the job description!
 The following is a representative annual base salary range for this position within the Bay Area: $132,000\-144,000\. In addition, job level \&amp; salary opportunity is evaluated through our interview process – we review experience, knowledge, skills, and abilities of each applicant.
 Instrumental is very proud to offer a highly\-rated variety of benefits including: Health, Vision, Dental, Public Transit/Commuter Plans, and Maternity/Paternity Leave.</t>
        </is>
      </c>
    </row>
    <row r="72">
      <c r="A72" t="inlineStr">
        <is>
          <t>li-4343973085</t>
        </is>
      </c>
      <c r="B72" t="inlineStr">
        <is>
          <t>Technical Program Manager - Clinical Data Onboarding</t>
        </is>
      </c>
      <c r="C72" t="inlineStr">
        <is>
          <t>Truveta</t>
        </is>
      </c>
      <c r="D72" t="inlineStr">
        <is>
          <t>linkedin</t>
        </is>
      </c>
      <c r="E72" t="inlineStr"/>
      <c r="F72" t="inlineStr"/>
      <c r="G72" t="inlineStr"/>
      <c r="H72" t="inlineStr"/>
      <c r="I72" t="inlineStr">
        <is>
          <t>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inspired people with a special combination of health, software and big data experience who share our company values.
**This position is based out of our headquarters in the Greater Seattle area.**
**Who We Need**
 Truveta is rapidly building a talented and diverse team to tackle complex health and technical challenges.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**This Opportunity**
 We are seeking a Technical Program Manager with strong technical aptitude, project management experience, and a solid understanding of data systems and processes. This role will focus primarily on optimizing and automating data onboarding workflows to drive scalability, consistency, and efficiency across the organization. In addition, you will support the Senior Technical Program Manager in coordinating onboarding activities for our health system partners, ensuring high\-quality execution and alignment across teams. Working closely with the Manager and Senior TPM, you will help implement improvements, streamline processes, and strengthen the overall onboarding operation.
**What You’ll Do**
* Support and coordinate the end\-to\-end data onboarding lifecycle for member health systems, including file intake, schema management and alignment to data specifications, profiling, source\-to\-target mapping, and validation.
* Collaborate with technical and business stakeholders to clarify requirements, identify gaps, and ensure specifications, mappings, and process documentation are complete and accurate.
* Write and maintain data specifications and operational documentation to drive consistency, repeatability, and process optimization.
* Identify and implement opportunities to streamline and scale onboarding workflows, improving internal efficiency and the Onboarding team’s partner experience.
* Manage project plans, timelines, risks, and dependencies to ensure onboarding deliverables are completed on schedule and meet Truveta quality standards.
* Facilitate communication across Product, Engineering, Data, and Health System Engagement teams to ensure alignment and resolve issues throughout onboarding.
**Key Qualifications**
* 3–5 years of experience in technical project management, technical program management, product operations, or similar roles supporting data\-centric initiatives.
* Experience with data ingestion, ETL, or data integration projects, ideally involving structured data from external partners.
* Strong understanding of file management, data specifications, data modeling concepts, and source\-to\-target mapping.
* Ability to write clear, structured technical specifications and process documentation.
* Demonstrated strength in project planning, issue tracking, and cross\-functional coordination.
* Bachelor’s degree in Computer Science, Information Systems, Engineering, or a related technical field (or equivalent experience).
* Comfortable working amid ambiguity and evolving requirements.
* Strong written and verbal communication skills, with the ability to explain complex concepts to technical and non\-technical audiences.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Interesting and meaningful work for every career stage
* Great benefits package
* Comprehensive benefits with strong medical, dental and vision insurance plans
* 401K plan
* Professional development \&amp; training opportunities for continuous learning
* Work/life autonomy via flexible work hours and flexible paid time off
* Generous parental leave
* Regular team activities (virtual and in\-person)
* The base pay for this position is $95,000 to $125,000\. The pay range reflects the minimum and maximum target. Pay is based on several factors including location and may vary depending on job\-related knowledge, skills, and experience. Certain roles are eligible for additional compensation such as incentive pay and stock options.
*If you are based in California, we encourage you to read this important information for California residents* 
*linked* 
*here.*
 Truveta is committed to creating a diverse, inclusive, and empowering workplace. We believe that having employees, interns, and contractors with diverse backgrounds enables Truveta to better meet our mission and serve patients and health communities around the world. We recognize that opportunities in technology historically excluded and continue to disproportionately exclude Black and Indigenous people, people of color, people from working class backgrounds, people with disabilities, and LGBTQIA\+ people. We strongly encourage individuals with these identities to apply even if you don’t meet all of the requirements.
**Please note that all applicants must be authorized to work in the United States for any employer as we are unable to sponsor work visas or permits (e.g. F\-1 OPT, H1\-B) at this time. We appreciate your interest in the position and encourage you to explore future opportunities with us.**</t>
        </is>
      </c>
    </row>
    <row r="73">
      <c r="A73" t="inlineStr">
        <is>
          <t>li-4364635961</t>
        </is>
      </c>
      <c r="B73" t="inlineStr">
        <is>
          <t>Sr. Program Manager (Remote)</t>
        </is>
      </c>
      <c r="C73" t="inlineStr">
        <is>
          <t>Jobgether</t>
        </is>
      </c>
      <c r="D73" t="inlineStr">
        <is>
          <t>linkedin</t>
        </is>
      </c>
      <c r="E73" t="inlineStr"/>
      <c r="F73" t="inlineStr"/>
      <c r="G73" t="inlineStr">
        <is>
          <t>Florida, United States</t>
        </is>
      </c>
      <c r="H73" t="inlineStr"/>
      <c r="I73" t="inlineStr">
        <is>
          <t>This position is posted by Jobgether on behalf of a partner company. We are currently looking for a Program Manager \- REMOTE. As a pivotal role in our organization, you will lead high\-impact support programs that influence the future of enterprise systems. Your expertise in program management will drive complex, multi\-disciplinary projects from concept to execution, specifically aimed at supporting the Navy. You will coordinate diverse teams to achieve operational excellence while fostering collaborative communication with stakeholders at all levels. This role offers a unique opportunity to deliver meaningful outcomes and ensure projects align with strategic objectives.
**Accountabilities**
* Oversee and direct diverse teams, executing multifaceted assignments with strategic foresight.
* Ensure performance, cost, and schedule goals are met or exceeded across all projects.
* Provide maintenance, technical, and operational support for enterprise systems.
* Communicate clearly with stakeholders, driving clarity and alignment across teams.
**Requirements**
* Active Secret clearance required.
* 10\+ years of experience in engineering with enterprise/computer systems.
* 5 years of experience managing Firm Fixed Price programs of at least $100M.
* Experience with cloud\-based and application initiatives in a Navy environment.
* 5\+ years leading technical teams in dynamic environments.
* Proficient in integrated program management: cost, schedule, performance, and risk.
* Bachelor's degree in Engineering, Physics, Computer Science, Information Security, or a related field.
* PMP certification is required.
**Benefits**
* Growth opportunities with career and learning development.
* Supportive team focused on helping you achieve your career goals.
* Comprehensive benefits and wellness packages.
* 401K with company match and competitive pay.
* Flexible work arrangements for work\-life balance.
* Award\-winning culture of innovation.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4">
      <c r="A74" t="inlineStr">
        <is>
          <t>li-4364274047</t>
        </is>
      </c>
      <c r="B74" t="inlineStr">
        <is>
          <t>Associate Director - IT Systems Program Manager</t>
        </is>
      </c>
      <c r="C74" t="inlineStr">
        <is>
          <t>BioSpace</t>
        </is>
      </c>
      <c r="D74" t="inlineStr">
        <is>
          <t>linkedin</t>
        </is>
      </c>
      <c r="E74" t="inlineStr"/>
      <c r="F74" t="inlineStr"/>
      <c r="G74" t="inlineStr">
        <is>
          <t>Houston, TX</t>
        </is>
      </c>
      <c r="H74" t="inlineStr"/>
      <c r="I74"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**Associate Director – IT Systems Program Manager**
**This is an opportunity you don’t want to miss!**
 Lilly is entering an exciting period of growth, and we are committed to delivering innovative medicines to patients around the world. Lilly is investing to create several new state\-of\-the\-art manufacturing sites. These brand\-new facilities will utilize the latest technology for API Manufacturing and will include several platforms including Peptides, Small Molecules, Bio Conjugates and Oligonucleotides Drug Substance Manufacturing. This is an exciting once\-in\-a\-lifetime opportunity to help build and operate a new site. These new API sites will be built using the latest high\-tech equipment, advanced highly integrated and automated manufacturing systems, and have a focus on minimizing the impact to our environment.
**What You’ll Be Doing**
 You will be part of Tech@Lilly MQ (Manufacturing and Quality), an organization that drives manufacturing operational excellence and productivity efforts through utilization of technology. Tech@Lilly MQ strives to enable the making of medicine “with safety first and quality always”.
 The Program Manager for MQ Tech@Lilly will play a crucial role in overseeing and aligning multiple programs to ensure they meet their intended objectives, timelines, budgets and impacts. This role requires a deep understanding of each program's goals and how they connect with others across the portfolio. Additionally, identifies interdependencies and ensures seamless integration between various initiatives. By proactively managing potential risks, cross\-connections, and resource exchanges, they drive cohesive execution across the organization, balancing strategic priorities with practical deliverables to maximize value. This position is vital for ensuring all programs are aligned with the overall Strategy for New API facilities and deliver desired outcomes efficiently and within budget. The Program Manager will also have an active participation in driving business and strategic financial plan conversations related to programs/projects for new API facilities.
**How You’ll Succeed**
* Program Management: Lead and manage large\-scale programs, ensuring alignment with organizational goals and objectives.
* Release Train Engineering: Oversee the release train process, coordinating with various teams to ensure timely and efficient delivery of products and services.
* Determine when to apply Agile and/or Waterfall techniques to manage project timelines, resources, and deliverables effectively.
* GxP Compliance: Ensure all projects adhere to GxP standards, maintaining the highest levels of quality and regulatory compliance.
* Stakeholder Management: Engage with stakeholders at all levels, providing clear communication and regular updates on program status.
* Risk Management: Identify potential risks and develop mitigation strategies to ensure program success.
* Resource Allocation: Effectively allocate resources across projects to optimize productivity and performance.
* Reporting: Generate and present comprehensive reports on program progress, performance metrics, and outcomes.
* Must have a strong business understanding and demonstrated business learning agility e.g. manufacturing processes, lab processes, engineering standards.
* Must have strong analytical and problem\-solving skills.
* Must be able to communicate complex technical information to both technical and non\-technical stakeholders and influence decision making at senior leadership level.
* Must be able to stay up\-to\-date with new technologies and evaluate which ones are best suited for the organization's needs.
* Develop an in\-depth understanding of the business processes at LP1\. Apply knowledge to assigned solutions to support the business processes. Work with Process Engineers, Operations, Quality, and TS/MS to resolve any issues reported on the solutions implemented.
* Drive the site adoption of assigned solutions, ensuring alignment with Site and IT strategy, and leveraging awareness of internal and external trends in partnership with the Business SMEs.
**Basic Requirements**
* Education: Bachelor’s degree in IT, project management or related field
* Experience: Minimum 10 years of experience in program or portfolio management, with a proven track record of successfully overseeing multiple projects
* Knowledge: Experience managing large\-scale, cross\-functional projects and programs. Experience working with project management methodologies (Agile, Waterfall, Scrum, etc
* Experience in Pharma and GMP Manufacturing
**Additional Preferences**
* Experience: Experience managing programs/projects in the pharmaceutical business. Previous experience in the startup of a new facility or clinical development manufacturing site.
* Leadership Skills: Proven leadership experience in managing cross\-functional teams.
* Industry Engagement: Active participation in industry forums and standards organizations.
* Skills: Strong analytical and problem\-solving skills, with the ability to assess risks, manage trade\-offs, and make sound decisions. Excellent communication and leadership skills to interact with stakeholders at all levels of the organization
**Other Information**
* Role is Monday through Friday and based on\-site. Must be flexible in providing support to accommodate other inputs (production schedules, shutdowns, etc.). Occasional extended hour and / or off\-hour work may be required.
* Position will be based out of Texas.
* 5\-10% of Business Travel time.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$124,500 \- $182,600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75">
      <c r="A75" t="inlineStr">
        <is>
          <t>li-4354114402</t>
        </is>
      </c>
      <c r="B75" t="inlineStr">
        <is>
          <t>Learning and Development Program Manager</t>
        </is>
      </c>
      <c r="C75" t="inlineStr">
        <is>
          <t>Rightworks</t>
        </is>
      </c>
      <c r="D75" t="inlineStr">
        <is>
          <t>linkedin</t>
        </is>
      </c>
      <c r="E75" t="inlineStr"/>
      <c r="F75" t="inlineStr"/>
      <c r="G75" t="inlineStr">
        <is>
          <t>Nashua, NH</t>
        </is>
      </c>
      <c r="H75" t="inlineStr"/>
      <c r="I75" t="inlineStr">
        <is>
          <t>Rightworks offers the only intelligent cloud purpose\-built for accounting firms and professionals. Backed by award\-winning support, our fully managed IT and applications ensure customers have secure, reliable, on\-demand access to their technology. We provide a curated software ecosystem that simplifies the complexity of running an accounting firm or small business, supported by a community of thought leaders, peer networks, and educational resources. Our success is made possible by leveraging decades of specialized experience in leading accounting firms, SMBs and technology companies. Thousands of Firms and SMBs count on us to run their business every day.
 We have a great team, we’re growing fast and have a winning culture based on innovation, teamwork, and mutual respect.
 This role can either be a hybrid position, with 3 days per week (Tuesday/Wednesday/Thursday) in our Nashua, NH headquarters or fully remote.
**Job Overview**
 The Learning and Development Program Manager will be responsible for the creating, designing, implementing, and managing comprehensive learning and development programs that enhance employee skills and support the company's strategic goals. This role involves assessing training needs, developing, delivering and presenting curriculum, and evaluating the effectiveness of training programs. The manager will work closely with HR and other departments to ensure that learning initiatives align with business objectives and foster a culture of continuous improvement.
**Key Responsibilities**
* Create, design, implement, and manage comprehensive learning and development programs.
* Assess training needs and develop curriculum to address skill gaps.
* Evaluate the effectiveness of training programs and make improvements as needed.
* Collaborate with HR and other departments to align learning initiatives with business objectives.
* Foster a culture of continuous improvement and professional development.
* Manage relationships with external training providers and vendors.
* Monitor and analyze training metrics, providing reports to senior management.
* Ownership of our LMS system, Rightworks University (via Cornerstone)
* Partnering with our communications department for any internal comms around training programs
* Participation in our monthly people leaders' meetings to include trainings for leadership level roles
**Requirements**
* Bachelor's degree in Human Resources, Education, Business Administration
* 3\-5 years of experience in L\&amp;D or related field
* Relevant certifications
* Proficient in MS Office suite and LMS software
* Strong knowledge of training methodologies and adult learning principles
* Excellent communication and interpersonal skills
* Strong analytical and problem\-solving abilities
* Excellent presentation facilitation skills
* Proficiency in learning management systems and training software
* Ability to manage multiple programs at one time
* Proven ability to collaborate and influence across all levels of the organization
* Expertise in talent management, career/leadership development, and succession planning
* Experience leading large\-scale initiatives aligned with business goals
* Expertise in assessing and improving training effectiveness
* Skilled in project management and prioritization
* Ownership of program strategy and end\-to\-end delivery
**Eligibility Requirements**
* This role is open to US Citizens or permanent residents authorized to work in the United States. Rightworks LLC is unable to offer visa sponsorship.
* Due to specific state regulations, we are unable to accept applications from residents of California, Hawaii, or Alaska.
* Relocation will not be offered for this position.
**Compensation**
 Compensation for this role ranges from $100,000 to $110,000 annually, depending on experience.
**Benefits**
 To provide best\-in\-class solutions, we need a best\-in\-class team. We offer competitive salaries to recruit the best talent. We provide company\-paid short and long\-term disability insurance, life insurance and a generous 401K match. We offer highly affordable medical, dental, vision coverage, and many other valuable benefits. We offer flexible PTO, and numerous paid holidays, affording you the time to be there for what is important in your life. We encourage giving back to our communities by providing paid volunteer time off. We are proud to be an Equal Opportunity Employer!
*This job description may not be inclusive of all assigned duties, responsibilities, or aspects of the job described, and may be amended at any time at the sole discretion of the employer.*</t>
        </is>
      </c>
    </row>
    <row r="76">
      <c r="A76" t="inlineStr">
        <is>
          <t>li-4319562593</t>
        </is>
      </c>
      <c r="B76" t="inlineStr">
        <is>
          <t>Enterprise Program Manager</t>
        </is>
      </c>
      <c r="C76" t="inlineStr">
        <is>
          <t>Sprouts Farmers Market</t>
        </is>
      </c>
      <c r="D76" t="inlineStr">
        <is>
          <t>linkedin</t>
        </is>
      </c>
      <c r="E76" t="inlineStr"/>
      <c r="F76" t="inlineStr"/>
      <c r="G76" t="inlineStr">
        <is>
          <t>Phoenix, AZ</t>
        </is>
      </c>
      <c r="H76" t="inlineStr"/>
      <c r="I76" t="inlineStr">
        <is>
          <t>**Overview**
***Please note this position is based in our Phoenix, AZ Support Office.***
 The Enterprise Program Manager role is pivotal in ensuring that complex, large\-scale, cross\-functional projects are aligned with organizational goals, planned thoughtfully and executed efficiently across the enterprise. This role involves managing program budgets, schedules, and resources to optimize efficiency and impact; facilitating communication across teams to ensure alignment, manage risks and drive informed decisions. This role requires an experienced project management professional with demonstrated ability to lead and influence, think strategically, and communicate and collaborate effectively across all levels of the organization.
**Overview Of Responsibilities**
 Essential Job Functions:
**Planning \&amp; Execu** 
**tion:** 
 Work with senior leadership to define program objectives, scope, deliverables, and success metrics. Define plan and adapt to changing project requirements and dynamic environments. Responsible for supporting development and documentation of key project artifacts (Charter, Requirements, Test plans) and maintaining a focus on driving towards project milestones. Hold vendors and third parties accountable to their deliverables and timelines while fostering healthy relationship. Bridge waterfall and agile project methodologies, ac􀆟ng as ScrumMaster for IT delivery work (story creation, sprint planning, stand\-ups, retrospectives, scrum\-to\-scrum for cross\-functional coordination).
**Stakeholder Communica** 
**tion:** 
 Facilitate communication across teams to ensure alignment and transparency, by establishing appropriate governance cadence and communication channels. Lead Team meetings at all levels, drive meaningful agendas ensuring right focus at the right time. Communicate project progress to stakeholders through weekly status reports and other effective means tailoring communication to audience. Prepare for and lead Steering Committee, focusing content on driving alignment around decisions and risk mitigation approaches.
**Resource Management:** 
 Identify and secure cross\-functional resources based on project needs. Support external recruitment to fill key program roles. Allocate project team resources effectively towards completion of work, resolving constraints. Forecast and track resource usage across project to identify gaps/needs and escalate risks or re\-allocate team as necessary. Review Time allocation to projects for appropriate capitalization.
**Budget Management:** 
 Develop and manage program budget across multiple projects and workstreams, allocating funding where needed to achieve program goals. Support business case development and approval processes where needed. Manage purchase orders, receipts and invoice coordination in accordance with project budget, monitor budget usage, support re\-forecasting and manage project activities to drive spend. Produce project financial reporting (Capital and OpEx) with variance explanations and support timely reviews with the project team.
**Risk Management:** 
 Maintain RAID log; drive closure of actions, issues and decisions needed, escalating when appropriate. Identify and track risks across all aspects of program (e.g. people, process, technology); recommend and deploy mitigation strategies and eliminate blockers.
**Performance Monitoring:** 
 Track project performance using appropriate systems and tools in accordance with PMO standards to ensure projects meet quality, schedule, and budget expectations. Draft and distribute project status reporting. Apply tollgate principles for each milestone to ensure readiness to proceed. Articulate impacts of project delivery changes to ROI or key success measures.
**Team Leadership:** 
 Provide coaching and direction to project managers and workstream leads across program space. Drive team recognition and celebration, fostering a collaborative and high\-performance work environment that reinforces Sprouts culture and purpose.
**Change Management:** 
 Drive leadership alignment and business adoption to achieve program goals. Embed organizational change management aspects into project planning and execution. Ensure completion of relevant OCM deliverables (e.g. Stakeholder \&amp; Impact Assessment, Communication \&amp; Training Plan, Adoption Metrics), leveraging OCM specialists where needed. Ensure proper hand\-offs to IT Support and Customer Care Teams.
**Process Improvement:** 
 Support, recommend, and implement continuous improvement opportunities to drive efficiency and improve quality, within PMO and functional domains. Encourage and recognize program teams for continuous improvement mindset.
**Qualifications**
* Education: Bachelor's degree in Business Administration, Project Management, or a related field; PMP certification preferred.
* Experience: Minimum of 5\-7 years of experience in project or program management, with at least 3 years managing enterprise\-level programs.
* Certifications: PMP, PgMP, or other relevant certifications are highly desirable.
* Proficient in project management tools and so􀅌ware (e.g. MS Project, ServiceNow, JIRA, Asana, Click\-Up)
**Key Competencies**
* Strategic \&amp; Critical Thinking: Ability to align program goals with broader organizational objectives. Strong analytical and problem\-solving capabilities.
* Leadership: Demonstrated ability to lead cross\-functional teams and drive results; grow and develop talent
* Risk Management: Expertise in identifying and mitigating risks across large\-scale programs.
* Adaptability: Ability to manage change and navigate ambiguity in a dynamic environment.
* Collaboration: Strong emphasis on teamwork and collaboration across departments; strong interpersonal skills. Ability to manage complex stakeholder relationships.
* Communication: Exception communication and presentation skills, both written and verbal. Ability to tailor message to audience
* Organization: Excellent organizational, 􀆟me management and multitasking abilities.
* Customer Focus: anticipates and prioritizes customer needs, consistently delivering high\-quality support.
**Benefits**
 In addition to a rewarding career, Sprouts offers a comprehensive program to help support you and your family. These programs include:
* Competitive pay
* Sick time plan that you can use to support you or your immediate families health
* Vacation accrual plan
* Opportunities for career growth
* 15% discount for you and one other family member in your household on all purchases made at Sprouts
* Flexible schedules
* Employee Assistance Program (EAP)
* 401(K) Retirement savings plan with a generous company match
* Company paid life insurance
* Contests and appreciation events throughout the year full of prizes, food and fun!
**Eligibility Requirements May Apply For The Following Benefits**
* Bonus based on company and/or individual performance
* Affordable benefit coverage, including medical, dental and vision
* Health Savings Account with company match
* Pre\-tax Flexible Spending Accounts for healthcare and dependent care
* Company paid short\-term disability coverage
* Paid parental leave for both mothers and fathers
* Paid holidays
**Get Paid Every Day!**
 Sprouts Farmers Market offers DailyPay \- if you’re hired as an eligible employee, you’ll be able to
 **transfer the money you’ve already earned at no extra cost, and get it the next business day, for free** 
 . We offer DailyPay so you don’t have to wait for payday to access the money you’ve already worked for. With DailyPay, you can see how much you’ve made every day and you can transfer your money any time before payday.
 You can learn more by visiting
 **https://www.dailypay.com/partners/sprouts\-farmers\-market/.**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 management reserves the right to amend and change duties, responsibilities, and requirements to meet business and organizational needs as necessary.*
*Sprouts will consider for employment qualified applicants with criminal histories in a manner consistent with the requirements of the Fair Chance in Hiring Ordinance.*
*California Residents: We collect information in accordance with California law, please see here for more information.*</t>
        </is>
      </c>
    </row>
    <row r="77">
      <c r="A77" t="inlineStr">
        <is>
          <t>li-4342757033</t>
        </is>
      </c>
      <c r="B77" t="inlineStr">
        <is>
          <t>Sr Program Manager, Space Vehicle Build</t>
        </is>
      </c>
      <c r="C77" t="inlineStr">
        <is>
          <t>Sierra Space</t>
        </is>
      </c>
      <c r="D77" t="inlineStr">
        <is>
          <t>linkedin</t>
        </is>
      </c>
      <c r="E77" t="inlineStr"/>
      <c r="F77" t="inlineStr"/>
      <c r="G77" t="inlineStr">
        <is>
          <t>Louisville, CO</t>
        </is>
      </c>
      <c r="H77" t="inlineStr"/>
      <c r="I77" t="inlineStr">
        <is>
          <t>**Sierra Space Careers:**
 At Sierra Space, we build the missions and systems that keep our world secure in the domain above Earth.
 Sierra Space team members share a spirit of innovation and collaboration and a belief that we can deliver on the boldest missions in space today. Together with our customers, we aim to safeguard our nation, sustain human presence in space, and secure the freedom of operations in low Earth orbit and beyond.
 Our success is measured by the trust of those who rely on what we build and deliver, and our technologies keep the United States and its allies mission\-ready throughout space.
 We are mission\-driven, and together, we are an extraordinary team.
**About The Role**
 The Sr. Program Manager is responsible for leading a program and has overall responsibility and authority for that program/contract's cost, schedule, and technical performance. This role involves comprehensive program planning, execution, and resource management to ensure successful program outcomes. They will have a proven record of successful program management execution, in\-depth knowledge across all facets of program management, and proficiency in financial and performance metrics analysis. The Sr. Program Manager will collaborate with cross\-functional teams to achieve program objectives and develop and initiate Learning \&amp; Development programs. This position offers the opportunity to work on complex projects, stay updated with the latest industry trends, and contribute to the continuous improvement of program management processes.
 In this role, you will lead a program and assume overall responsibility and authority for its cost, schedule, and technical performance, while being accountable for a program, Integrated Product Team (IPT), or portfolio of programs valued up to $250M. You will manage budgets, schedules, and execution in alignment with contractual requirements, developing and maintaining comprehensive program plans, schedules, and budgets. By monitoring program performance, you will implement corrective actions as needed to meet objectives, leveraging specific program management training in EVMS, CAM, BOE, FAR, and CAS to ensure success. You will apply advanced project management methodologies and tools, analyze financial and performance metrics to drive decisions and improvements, and collaborate with cross\-functional teams, including engineering, finance, and operations. Additionally, you will communicate program status, risks, and issues to stakeholders, prepare and deliver effective reports and presentations, and ensure compliance with all contractual and regulatory requirements. Building strong relationships with external customers and stakeholders will be critical, as will developing and initiating Learning \&amp; Development programs to enhance team capabilities. You will apply problem\-solving skills to address challenges, lead a single program, an IPT, or a portfolio of programs, and provide mentorship to junior managers. Development Program Managers in this role should have a strong technical background or an engineering degree, while Sustaining Program Managers should possess technical acumen, even if they do not hold an engineering degree. With an external, customer\-facing, end\-to\-end responsibility, you will lead management reviews, interface with financial teams, and drive complex program strategies. You will provide strategic knowledge of the organizational impact on programs, demonstrate proven leadership in removing obstacles that affect performance, and exhibit exceptional skills in high\-level stakeholder management and decision\-making. Mastery in leading organization\-wide program strategies, the ability to lead interdisciplinary teams in program delivery, and strong leadership skills to execute programs without direct authority will be essential to your success.
**About You**
 Our mission is driven by an unyielding commitment to advancing space\-based technology in service of our customers and safeguarding national security. We seek individuals who are passionate about innovating beyond boundaries and relentlessly pursuing solutions that protect, preserve and empower – to join us in this critical mission.
 We’re looking for team members who align with our values, mission and goals – while also meeting the minimum qualifications below. The preferred qualifications are a bonus, not a requirement.
 The Sr. Program Manager, Space Vehicle Build, is responsible for leading the CRS2 Program’s CONOPS for ground operations flow for launch and post landing activities. This role will collaborate with cross\-functional teams to achieve program objectives, including leading team members through all training, both internal and joint training with Flight Ops and customers.
 This role involves comprehensive program planning, execution, and resource management to ensure successful program outcomes. They will have a proven record of successful program management execution, in\-depth knowledge across all facets of program management, and proficiency in financial and performance metrics analysis.
 Key responsibilities:
* The ideal candidate will be accountable for vehicle build strategy, including but not limited to, the integrated schedule, cost account management, resource management, and performance to plan for spacecraft factory and processing operations.
* The ideal candidate will coordinate with Ground Operations, Test Operations, and Production (including logistics and facilities) to establish, maintain, and perform to high fidelity schedules, resource plans, and budgetary estimates on work scope
* The ideal candidate is expected to actively drive the creation and iteration of cross\-functional, integrated plans through the entire life of the program
* The ideal candidate will develop and implement metrics and tools that manage work scope, identify trends in performance.
* The ideal candidate will be responsible for making decisions to correct poor performance and execute program objectives within budget
* The ideal candidate is expected to serve a manager role as well as a technical leader with demonstrated skills in communication, delegation, and team\-building.
 Minimum Qualifications:
* Requires Bachelor's degree in a related field (or equivalent work experience in lieu of degree or Masters \+10 yrs experience).
* Typically 12\+ years of related experience.
* Expert knowledge of all related program management areas, including strategic and operational aspects.
* Leadership and business management skills to direct complex programs and multiple teams.
* Ability to manage high\-profile, large\-scale programs or a substantial program portfolio.
* Advanced negotiation and conflict resolution in customer and stakeholder interactions.
* Strong financial acumen for managing and reporting on program health and performance.
* Ability to lead programs that significantly impact the organization's strategic goals.
 Preferred Qualifications:
* Certifications: Senior\-level project management certifications preferred (e.g., PfMP).
* Familiarity with Agile project management methodologies.
* Strong analytical and organizational skills.
* Excellent communication and teamwork skills.
* Willingness to learn and adapt to new technologies and methodologies.
* Proficiency in using project management software tools such as Microsoft Project, JIRA, or Asana.
* Experience with risk management and mitigation strategies.
* Knowledge of Lean Six Sigma principles and practices.
* Ability to manage multiple projects simultaneously and prioritize tasks effectively.
* Understanding of software development lifecycle (SDLC) and systems engineering processes.
* Experience with contract management and negotiation.
* Familiarity with data analysis tools such as Excel, Tableau, or Power BI.
* Strong technical writing skills for creating detailed project documentation and reports.
* Understanding of supply chain management and logistics as they pertain to program execution.
* Ability to conduct root cause analysis and implement corrective actions.
 Compensation:
 Pay Range:
 $178,145\.00 \- $244,970\.00
 Your actual base compensation will be determined on a case\-by\-case basis and may vary based on job\-related knowledge and skills, education, experience, internal equity and market competitiveness.
**Elevate Your Career**
 At Sierra Space, we are committed to your personal and professional development. We empower you to make profound and meaningful contributions and foster a vibrant culture of collaboration, where teamwork ignites breakthrough innovations.
 We also offer a generous benefit package, including medical, dental, and vision plans, 401(k) with 150% match up to 6%, life insurance, 3 weeks paid time off, and more.
 Sierra Space is an industry\-leading space and defense technology company providing satellites, spacecraft, and enabling mission systems and components. We deliver mission\-proven technologies to our customers that safeguard our nation, protect space\-based assets and enable space exploration.
*Application Deadline: This role will remain posted until a qualified pool of candidates is* 
*identified.*
***Please note: Sierra Space does not accept unsolicited resumes from contract agencies or search firms. Any unsolicited resumes submitted to our website or to Sierra Space team members not through our approved vendor list or Talent Acquisition will be considered property of Sierra Space, and we will not be obligated to pay any referral fees.***
 Sierra Space Corporation is an equal opportunity employer and is committed to working with and providing reasonable accommodations to applicants with disabilities. If you need special assistance or a reasonable accommodation related to applying for employment with Sierra Space or at any stage of the recruitment process, please contact us.</t>
        </is>
      </c>
    </row>
    <row r="78">
      <c r="A78" t="inlineStr">
        <is>
          <t>li-4364905921</t>
        </is>
      </c>
      <c r="B78" t="inlineStr">
        <is>
          <t>Data Center Engineer - Product Manager #3504225</t>
        </is>
      </c>
      <c r="C78" t="inlineStr">
        <is>
          <t>Axiom Path</t>
        </is>
      </c>
      <c r="D78" t="inlineStr">
        <is>
          <t>linkedin</t>
        </is>
      </c>
      <c r="E78" t="inlineStr"/>
      <c r="F78" t="inlineStr"/>
      <c r="G78" t="inlineStr">
        <is>
          <t>Noblesville, IN</t>
        </is>
      </c>
      <c r="H78" t="inlineStr"/>
      <c r="I78" t="inlineStr">
        <is>
          <t>**Be Part of a High\-Performing Team** 
 This organization is a global leader in climate and thermal management solutions, delivering advanced systems that support mission\-critical environments. The team operates at the intersection of engineering innovation and commercial strategy, developing technologies that enable efficient, reliable, and scalable infrastructure for modern facilities. With a strong commitment to sustainability and performance, the group supports some of the most demanding applications in the built environment, including data centers and advanced industrial operations.
**What’s In Store For You** 
 This role offers the opportunity to work on highly visible, technically complex systems that directly support critical infrastructure. The position provides exposure to innovation initiatives, cross\-functional leadership, and long\-term product strategy development. Team members benefit from a collaborative environment, professional development resources, and a workplace culture that supports both performance and long\-term growth.
**How You Will Make an Impact** 
* Lead the strategy and evolution of thermal management systems supporting data center applications
* Drive commercialization efforts for new and existing liquid and water\-based cooling systems
* Partner with engineering, innovation, and marketing teams to bring system solutions to market
* Develop technical\-commercial messaging, sales tools, and customer\-facing materials
* Support field teams through technical presentations, customer engagements, and system positioning
* Contribute to system\-level roadmaps and influence future technology pipelines
**Are You an Experienced Product Management Professional Ready to Make an Impact?** 
* Bachelor’s degree in Engineering required; advanced business education preferred
* Minimum of 8 years of experience across product management, application engineering, or related technical\-commercial roles
* Proven experience supporting data center environments and thermal management systems
* Strong understanding of liquid and water\-cooled infrastructure
* Ability to translate complex technical concepts into clear business and product strategies
* Effective communicator with the ability to influence cross\-functional teams
* Comfortable operating in a fast\-paced, highly technical environment
***To apply, please submit your resume and cover letter highlighting your relevant experience and qualifications.***
 \-\-\-\-\-\-\-
 About us:
*Axiom Path is a global solutions provider leveraging AI and pre\-built analytics to deliver exceptional services across various domains. Our core values (Accountability, Excellence, Integrity, and Community) guide us in providing optimized results and unparalleled service. We are an equal opportunity employer, a SIA\-recognized diversity\-owned firm, committed to diversity and inclusion.*</t>
        </is>
      </c>
    </row>
    <row r="79">
      <c r="A79" t="inlineStr">
        <is>
          <t>li-4348824770</t>
        </is>
      </c>
      <c r="B79" t="inlineStr">
        <is>
          <t>IT Program Manager</t>
        </is>
      </c>
      <c r="C79" t="inlineStr">
        <is>
          <t>Universal Technical Institute, Inc.</t>
        </is>
      </c>
      <c r="D79" t="inlineStr">
        <is>
          <t>linkedin</t>
        </is>
      </c>
      <c r="E79" t="inlineStr"/>
      <c r="F79" t="inlineStr"/>
      <c r="G79" t="inlineStr"/>
      <c r="H79" t="inlineStr"/>
      <c r="I79" t="inlineStr">
        <is>
          <t>**Overview** 
 The IT Program Manager provides strategic leadership across multiple interrelated IT projects within enterprise programs. This role manages program resources, budgets, risks, cross\-functional dependencies, and ensures delivery of integrated solutions that support long\-term business value. The IT Program Manager leads governance structures, facilitates executive stakeholder engagement, and oversees change management and benefits realization across the program lifecycle.
**Pay Range: $108,000 \- $150,000** 
**What We Offer** 
* Tuition Waiver: Enjoy a tuition waiver after 6 months of employment for you AND your immediate family offered at UTI and Concorde campuses
* Paid Time Off: Competitive paid time off programs for employees (Vacation, Sick, Flexible)
* Retirement Matching: 50% match on the first 6% of your contributions after 90 days
* Paid Parental Leave: 4 weeks of paid leave for both birthing and non\-birthing parents to bond with a new baby
* Competitive Insurance: Health, vision, and dental coverage for you and your dependents
* Pet Insurance: Competitive coverage for your furry family members through ASPCA
* Health Plan Enrollment: Eligibility starts first of the month following completing one full month of employment.
**Foundational Technical Projects** 
**Qualifications** 
**Education / Experience:** 
* Bachelor’s degree in Computer Science, Information Technology, Business Administration, or related field (required)
* Master’s degree (preferred)
* Ten (10\) years of experience in IT program and project management, including enterprise\-level initiatives (required)
* Experience in management of complex, cross\-functional IT initiatives
* Expert understanding of Program Management, and Adaptive Project Management methodologies as well as agile frameworks and ways of working
**Licenses / Certifications** 
* PMP Certification (Required)
* PgMT Certification (preferred)
* Valid, state\-issued driver's license (required)
**Specific Accountabilities** 
**Technical Program Roadmap Ownership** 
 Develop and maintain a roadmap for modernization initiatives, ensuring alignment with enterprise architecture and security standards.
**Integration Oversight** 
 Ensure seamless integration of new platforms with existing systems, minimizing disruption and maintaining data integrity.
**Risk \&amp; Compliance Management** 
 Proactively identify and mitigate technical risks related to cybersecurity, regulatory compliance, and data governance.
**Vendor \&amp; Technology Evaluation** 
 Lead evaluation and selection of technologies and vendors for network upgrades, IAM solutions, and data platforms.
**Quality Assurance \&amp; Performance Metrics** 
 Define and enforce technical quality standards, including performance benchmarks for infrastructure and security systems.
**Cross\-Functional Technical Coordination** 
 Facilitate collaboration between infrastructure, security, data engineering, and application teams to ensure cohesive delivery.
**Skills** 
**Deep Technical Acumen** 
 in:
* Cloud platforms (AWS, Azure, GCP)
* Data management technologies (ETL, data lakes, data warehouses)
* Network architecture and protocols
* Identity \&amp; Access Management (IAM) frameworks
**Advanced Risk Management** 
 for technical dependencies and cybersecurity threats.
**Stakeholder Communication** 
 with ability to translate technical complexity into business terms.
**Program Governance** 
 using tools like ADO, FreshService, or ClickUp for tracking technical deliverables.
**Abilities** 
* Ability to
 **lead modernization programs** 
 involving legacy\-to\-cloud migration and zero\-trust security models.
* Ability to
 **drive technical decision\-making** 
 and resolve architecture conflicts across multiple domains.
* Ability to
 **adapt to emerging technologies** 
 and incorporate them into program strategy.
* Ability to
 **influence enterprise architecture standards** 
 and enforce compliance across projects.
**Experience** 
* **10\+ years in IT program/project management** 
 , with at least
 **5 years in infrastructure and security\-focused programs** 
 .
* Proven experience in
 **large\-scale data platform modernization** 
 and
 **network transformation projects** 
 .
* Hands\-on experience with
 **cybersecurity frameworks** 
 (NIST, ISO 27001\) and
 **IAM solutions** 
 (Okta, Azure AD).
* Familiarity with
 **DevSecOps practices** 
 and
 **cloud\-native architectures** 
 .</t>
        </is>
      </c>
    </row>
    <row r="80">
      <c r="A80" t="inlineStr">
        <is>
          <t>li-4342624486</t>
        </is>
      </c>
      <c r="B80" t="inlineStr">
        <is>
          <t>Product Manager- Construction Materials Southwest</t>
        </is>
      </c>
      <c r="C80" t="inlineStr">
        <is>
          <t>Heritage Pool Supply Group, Inc.</t>
        </is>
      </c>
      <c r="D80" t="inlineStr">
        <is>
          <t>linkedin</t>
        </is>
      </c>
      <c r="E80" t="inlineStr"/>
      <c r="F80" t="inlineStr"/>
      <c r="G80" t="inlineStr">
        <is>
          <t>Las Vegas, NV</t>
        </is>
      </c>
      <c r="H80" t="inlineStr"/>
      <c r="I80" t="inlineStr">
        <is>
          <t>**Job Description**
**Heritage Pool Supply** 
 is seeking an experienced self\-motivated Regional Product Specialist who is knowledgeable in POOL/AQUATICS industry. You can develop your territory, build lasting business relationship with local Pool supply retail stores. In our industry, we sell to repeat customers, which will allow you to use your relationship selling skills to build a large pipeline of business.
 Your primary role is to call upon new and existing customers and develop new business opportunities in the local pool industry market. You will also be responsible for increasing sales at our local branches by merchandising products and maximize sales to walk in customers.
**Qualifications**
* Prior success selling POOL/AQUATICS products in a B2B environment.   Prior success means managing a multi\-million\-dollar territory. You must be able to demonstrate how you increased your territory, year\-over\-year and will do the same here.
* Proven success in merchandising
* Have a passion for being a business partner to our customers and give them the tools and products needed to increase their sales and earnings.
* Requires a person who is a self\-starter and has great organization and communication skills.
* Embrace the mindset of the “Make Money and Have Fun!” culture.
* Able to pass criminal/driving background check/pre\-employment drug test
 Job Location:
 Heritage Pool Supply \- Las Vegas
 4680 W. Silverado Ranch Blvd Ste 110 Las Vegas, NV 89139
 As an Equal Employment Opportunity (EEO) employer SRS Distribution Inc., including all its subsidiaries, provides job opportunities to qualified individuals without regard to actual or perceived race, color, creed, religion, national origin, sex, gender, age, disability, gender identity, sexual orientation, citizenship status, uniform service, veteran status, marital status, genetic information, physical or mental disability, or any other characteristic in accordance with applicable federal, state, and local EEO laws. If you are an individual with a disability or a disabled veteran and require a reasonable accommodation in applying for any posted position, please contact Human Resources at US: 855\.556\.3221, or by email to: HR@Help.SRSDistribution.com with the nature of your accommodation request and include the Business name, location and title of the job opening. Please allow one (1\) business day for a reply. All employment offers are contingent upon successful completion of a background check and drug screen, as permitted by law.
 Competitive weekly/bi\-weekly pay, discretionary bonuses, 401(k) with company match, Employee Stock Purchase Plan, paid time off (vacation, sick, volunteer, holidays, birthday, floating), medical/dental/vision, flexible spending accounts, company\-paid life and short\-term disability, plus optional long\-term disability, and additional life insurance.</t>
        </is>
      </c>
    </row>
    <row r="81">
      <c r="A81" t="inlineStr">
        <is>
          <t>li-4342606980</t>
        </is>
      </c>
      <c r="B81" t="inlineStr">
        <is>
          <t>Senior Program Manager</t>
        </is>
      </c>
      <c r="C81" t="inlineStr">
        <is>
          <t>Raytheon</t>
        </is>
      </c>
      <c r="D81" t="inlineStr">
        <is>
          <t>linkedin</t>
        </is>
      </c>
      <c r="E81" t="inlineStr"/>
      <c r="F81" t="inlineStr"/>
      <c r="G81" t="inlineStr">
        <is>
          <t>El Segundo, CA</t>
        </is>
      </c>
      <c r="H81" t="inlineStr"/>
      <c r="I81" t="inlineStr">
        <is>
          <t>**Date Posted:**
 2025\-12\-08
**Country:**
 United States of America
**Location:**
 CA331: 1970 E Imperial Hwy Bldg R02 1970 East Imperial Highway Building R02, El Segundo, CA, 90245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Top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 Advanced Product \&amp; Solutions (APS) is seeking an experienced, highly motivated
 **Senior Program Manager (PM)** 
 to lead program oversight of cost, schedule, technical performance within
 **Advanced Open Integrated Solutions (AOIS).**
 This position will be responsible for managing multiple programs. The selected candidate will be responsible for cost, schedule, and technical performance of existing programs as well as leading development and submittal of proposals (sole\-source and competitive) for advanced radar modes and other activities in support of the enterprise.
 This role is onsite in El Segundo, CA.
**What You Will Do**
* Manage all aspects of program execution, including start\-up, Earned Value Management System (EVMS) implementation, change management, risk and opportunity management and Estimate at Completion (EAC) requirements
* Accountable for profit and loss, AOP development and implementation
* Set program priorities, resolve conflicts and barriers, implement gates and major reviews with customer, suppliers, and leadership
* Meet contractual commitments including the financial, quality, cost efficiency, technical and schedule performance
* Develop partnerships with cross functional teams (Engineering, Contracts, Finance, Operations \&amp; Supply Chain, Quality, etc)
* Collaborate with other program managers to resolve resource conflicts and optimize success across the family of open architecture radar programs
* Lead all aspects of the proposal process to include strategy, bidding, gating, and fact finding, and partner with contracts for proposal negotiation
* Develop strategy and growth plans and drive capture activities to achieve goals and commitments
* Execute within a closed environment
* Travel to participate in domestic business engagements
**Qualifications You Must Have**
* Typically requires a Bachelor’s degree or equivalent experience and minimum 10 years of prior relevant experience in program management or an Advanced degree in a related field and minimum 7 years experience
* Experience managing development programs
* Experience leading proposal activity
* Experience leading cross\-functional teams
* Experience with managing cost, schedule, and performance with use of program management tools such as Earned Value Management System (EVMS), Integrated Master Plan (IMP), Integrated Master Schedule (IMS), Risk and Opportunity Management, or similar business processes
* Active and transferable Top Secret U.S. government issued security clearance is required prior to start date with the ability to obtain program access after start
**Qualifications We Prefer**
* Program Management Level 4 Certification or ability to obtain within one year
* Experience engaging and reporting out to all levels of executive stakeholders
* Ability to focus, evaluate, motivate, and reward teams, enabling them to achieve desired results
* Experience leading capture activities and winning new business in a competitive environment
* Working knowledge of contract formation, execution, and management
**What We Offer**
* Our values drive our actions, behaviors, and performance with a vision for a safer, more connected world. At RTX we value: Safety, Trust, Respect, Accountability, Collaboration, and Innovation.
* Relocation assistance is not available for this position.
**Learn More \&amp; Apply Now!**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Location Info:
+ El Segundo, CA: https://careers.rtx.com/global/en/raytheon\-el\-segundo\-ca\-location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137,000 USD \- 275,000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82">
      <c r="A82" t="inlineStr">
        <is>
          <t>li-4364910270</t>
        </is>
      </c>
      <c r="B82" t="inlineStr">
        <is>
          <t>Program Manager, Strategic Partnerships and Development &amp;amp; Executive Office</t>
        </is>
      </c>
      <c r="C82" t="inlineStr">
        <is>
          <t>A Hiring Company</t>
        </is>
      </c>
      <c r="D82" t="inlineStr">
        <is>
          <t>linkedin</t>
        </is>
      </c>
      <c r="E82" t="inlineStr"/>
      <c r="F82" t="inlineStr"/>
      <c r="G82" t="inlineStr">
        <is>
          <t>Washington, DC</t>
        </is>
      </c>
      <c r="H82" t="inlineStr"/>
      <c r="I82" t="inlineStr">
        <is>
          <t>**ABOUT NAFSA: Association of International Educators** 
 With more than 10,000 members, NAFSA: Association of International Educators is the largest and most comprehensive association of professionals committed to advancing international higher education. Based in the United States, we provide programs, products, services, and a physical and virtual meeting space for the worldwide community of international educators. The association provides leadership to its varied constituencies through establishing principles of good practice and providing professional development opportunities. NAFSA encourages networking among professionals, convenes conferences and collaborative dialogues, and promotes research and knowledge creation to strengthen and serve the field. We lead the way in advocating for a better world through international education.
 NAFSA believes that international education advances learning and scholarship, fosters understanding and respect among people of diverse backgrounds and perspectives, is essential for developing globally competent individuals, and builds leadership for the global community. We believe that international education lies at the core of an interconnected world characterized by peace, security, and well\-being for all.
**POSITION SUMMARY** 
 The Program Manager, Strategic Partnerships and Development \&amp; Executive Office managers the operational, financial, and programmatic functions of the Strategic Partnerships and Development (SP\&amp;D) portfolio while also supporting the Executive Office with administrative and project management responsibilities.
 This cross\-functional role focuses on partnership tracking, donor engagement, conference logistics, and executive support to ensure seamless alignment between NAFSA’s fundraising, partnership, and organizational leadership priorities.
**ESSENTIAL FUNCTIONS** 
**Program \&amp; Partnership Operations (30%)** 
* Manage partnership logistics for the Annual Conference and year\-round engagement. This includes the Global Partnership Program (GPP) Annual Conference exhibitors, and sponsor and marketing deliverables
* Collaborate on partner communications, monthly newsletters, and stewardship materials.
* Oversee SP\&amp;D team operations, including shared drives, CRM updates, and dashboards
* Track partner benefits and ensure delivery of commitments across NAFSA programs.
**Financial \&amp; Administrative Coordination (15%)** 
* Process and reconcile invoices, deposits, and payments related to partnerships, sponsorships, and exhibits
* Maintain accurate financial and contractual records within NAFSA’s CRM and finance systems
* Generate regular reports and analytics to track revenue, partner activity, and engagement outcomes
* Support SP\&amp;D and Finance teams in ensuring data integrity and audit readiness.
**Donor Engagement \&amp; New Century Circle (NCC) Coordination (15%)** 
* Serve as the primary liaison for the NCC giving circle, managing renewals, acknowledgements, and member communications
* Lead NCC events and recognition activities, including conference receptions and donor briefings
* Oversee NCC’s annual giving calendar and help steward relationships with major donors and board\-affiliated contributors
* Maintain donor records and engagement tracking in the CRM
* Represent NAFSA at meetings and various events as needed
**Executive Office \&amp; Board Support (30%)** 
* Provide project management and administrative support to the Executive Office, including initiatives related to the CEO and Board of Directors
* Collaborate with Executive Office for board meetings and executive engagements through milestone tracking, deliverables coordination, logistics management, and day\-of execution support.
* Develop and maintain standard operating procedures for executive processes
* Conduct research and draft background materials for briefings, speeches and others as needed
* Support the integration of ex\-officio board members into NCC giving initiatives
* Uphold the highest level of discretion and confidentiality across all work products, assignments, communications and scheduling data.
* Provide back\-up support for the Executive Assistant as needed
**Cross\-Departmental Projects \&amp; Innovation (5%)** 
* Assist with implementation of key organizational initiatives such as OGSP 2\.0, and other strategic projects
* Explore and apply AI tools and digital systems to enhance workflow and scheduling efficiency
* Support organizational knowledge management and process improvement efforts
**Other duties as assigned (5%)**</t>
        </is>
      </c>
    </row>
    <row r="83">
      <c r="A83" t="inlineStr">
        <is>
          <t>li-4362050600</t>
        </is>
      </c>
      <c r="B83" t="inlineStr">
        <is>
          <t>Program Manager - Rome</t>
        </is>
      </c>
      <c r="C83" t="inlineStr">
        <is>
          <t>ResCare Community Living</t>
        </is>
      </c>
      <c r="D83" t="inlineStr">
        <is>
          <t>linkedin</t>
        </is>
      </c>
      <c r="E83" t="inlineStr"/>
      <c r="F83" t="inlineStr"/>
      <c r="G83" t="inlineStr">
        <is>
          <t>Fulton County, GA</t>
        </is>
      </c>
      <c r="H83" t="inlineStr"/>
      <c r="I83" t="inlineStr">
        <is>
          <t>**Our Company**
 ResCare Community Living
**Overview**
 Operations Management focuses on efficiently meeting the needs of our clients across various lines of business. If your passion is managing and developing staff to ensure quality care to help our clients live their best life, we encourage you to apply today!
**Responsibilities**
* Direct, manage and administer the coordination and service delivery components of programs that service individuals/consumers in a group home setting
* Supervise the delivery of service and ensure individuals and consumers are receiving the highest quality care.
* Routinely observe service delivery on\-site and monitor for demonstration of knowledge of individual/consumer health needs, behavior management techniques, and emergency procedures
* Serve as a liaison between the community and agencies in the service delivery system, family/guardians and the agency
* Ensure all homes under supervision are environmentally maintained, in strict compliance with all state/federal guidelines and licensure requirements and company policy at all times
* Coordinate investigations of serious incidents and alleged abuse allegations, including appropriate reports to required agencies
* Serve as on\-call support for group homes
* Ensure payroll and billing is completed accurately and timely
* Oversee the Accounts Payable for group homes
* Monitor and assure compliance with monthly, quarterly, and yearly financial goals to ensure services are provided as indicated in each person’s Individual Program Plan
* Coordinate Incident/Accident Review process, monitor for patterns, and provide feedback for action necessary to prevent incidents in future
* Serve as member of agency management team
* Hire, train, evaluate, and monitorany other assigned personnel complete timely Performance Reviews to ensure employees are productive, accountable, and successful in their positions
* Conduct and/or monitor training for all staff in least restrictive techniques, behavior management, active treatment, client rights, prevention of abuse/neglect, documentation/data collection, emergency procedures, and other areas as needed
* Other duties as assigned
**Qualifications**
* Degree in Human Services field or related field and minimum of two years working directly with Elderly and Developmentally Disabled required, or equivalent combination of education and experience
* Two years supervisory experience preferred
**About Our Line Of Business**
 ResCare Community Living, an affiliate of BrightSpring Health Services, has five decades of experience in the disability services field, providing support to individuals who need assistance with daily living due to an intellectual, developmental, or cognitive disability. We provide a comprehensive range of high\-quality services, including: community living, adult host homes for adults regardless of disability, behavioral/mental health support, in\-home pharmacy solutions, telecare and remote support, supported employment and training programs, and day programs. For more information, please visit www.rescarecommunityliving.com . Follow us on Facebook and LinkedIn .
**Salary Range**
 USD $23\.10 / Hour</t>
        </is>
      </c>
    </row>
    <row r="84">
      <c r="A84" t="inlineStr">
        <is>
          <t>li-4342557414</t>
        </is>
      </c>
      <c r="B84" t="inlineStr">
        <is>
          <t>Quality Assurance Program Manager</t>
        </is>
      </c>
      <c r="C84" t="inlineStr">
        <is>
          <t>SLAC National Accelerator Laboratory</t>
        </is>
      </c>
      <c r="D84" t="inlineStr">
        <is>
          <t>linkedin</t>
        </is>
      </c>
      <c r="E84" t="inlineStr"/>
      <c r="F84" t="inlineStr"/>
      <c r="G84" t="inlineStr">
        <is>
          <t>Menlo Park, CA</t>
        </is>
      </c>
      <c r="H84" t="inlineStr"/>
      <c r="I84" t="inlineStr">
        <is>
          <t>**SLAC Job Postings**
**Position Overview**
 The SLAC National Accelerator Laboratory¿s Office of Contactor Assurance Contract Management¿s Quality Assurance team has an exciting employment opportunity for a Quality Assurance Program Manager.
 As a member of our Quality Assurance Team, you will support the laboratory quality program on one of our Major Projects. This position is responsible for developing, implementing and executing effective quality assurance practices to mitigate quality risk and ensure compliance.You will also participate in the improvement of SLAC¿s quality management system.You will partner closely with other central laboratory functions and specific project management team(s) to provide Quality Assurance support and leadership. You will be responsible and accountable for ensuring the SLAC Quality Assurance Program requirements are appropriately applied to the project.
 You will assist in identifying and developing the necessary quality control practices to: design lifecycle, procurement, manufacturing and delivery of products, testing, and operations of the infrastructure/products/services of assigned projects. Job activities may include all of the following: project/program quality planning, cross\-functional business process and production process development, process implementation, assessing and implementation of corrective actions and improvements.
 The Quality Assurance Program Manager reports to the Director of Contractor Assurance and Contract Management.
**Your Specific Responsibilities Include But Not Limited To**
* Work closely with SLAC and Partner laboratory scientists, engineers, and technicians to implement quality assurance principles. The principles are applied to project planning, design life cycle, systems engineering, procurement, manufacturing, testing, receiving, inspections, construction, installation and commissioning processes.
* Function as the central contact for QA on assigned projects and provide appropriate support and coordination to complete mandated quality assurance deliverables on time and within budget.
* Communicate effectively across the SLAC organization¿s directorates and divisions to promote a risk based graded approach to QA.
* Review engineering documentation to determine quality requirements. Reviews supporting manufacturing documentation to ensure that it contains the necessary QA and QC criteria and provisions to permit effective inspection and/or testing of materials and assemblies.
* Participate in the review and disposition of non\-conformances. Initiate Corrective Action and Preventive Action processes and oversee the organization or project through completion of such actions.
* Perform assessments or audits at SLAC, Partner Laboratories, or suppliers in accordance with established quality plans and contractual requirements.
* Establish trend analysis of performance metrics, identifying appropriate actions to correct and drive needed quality improvements, establish commitments and follow\-up.
* Ensure project adherence to document control processes and methods related to systems engineering and design management, in addition to quality assurance.
* Provide quality\-related support and technical assistance to other groups within the laboratory as required.
* Participate in the SLAC initiative of the Quality Assurance Program improvement to include participation in cross\-lab assessment teams.
**To Be Successful In This Position**
* Bachelor¿s degree in physics, Engineering or related technical fields and a minimum of 2 years of experience including the following:
* Quality assurance and/or quality control in an engineering or manufacturing setting.
* Quality Management System or substantive business process improvement implementation consistent with commonly recognized ISO quality system standards or Six Sigma methodologies.
* Demonstrated expertise/capabilities in quality process improvement, 8D/RCA/CAPA analysis, and quality controls.
* Developing, implementing and maintaining quality management system or quality controls.
* Ability to work and communicate effectively with multi\-functional teams, and across multiple locations. Strong team collaboration skills are needed.
* Able to work independently.
* Experience in construction management and/or implementing construction quality control plans for green field, existing large\-scale facility upgrade or projects in support of infrastructure designed and built to deliver science and research facilities is a strong plus.
* Experience with Design Build, or Design, Bid Build contracts as the customer or the contractor is a plus.
* Expertise/certification in quality and Lean Manufacturing, is a plus.
* Certification in and experience as a Certified Quality Manager or Lead Auditor in ISO 9001 QMS or similar standards is a strong plus.
**SLAC Employee Competencies**
* Effective Decisions: Uses job knowledge and solid judgment to make quality decisions in a timely manner.
* Self\-Development: Pursues a variety of venues and opportunities to continue learning and developing.
* Dependability: Can be counted on to deliver results with a sense of personal responsibility for expected outcomes.
* Initiative: Pursues work and interactions proactively with optimism, positive energy, and motivation to move things forward.
* Adaptability: Flexes as needed when change occurs, maintains an open outlook while adjusting and accommodating changes.
* Communication: Ensures effective information flow to various audiences and creates and delivers clear, appropriate written, spoken, presented messages.
* Relationships: Builds relationships to foster trust, collaboration, and a positive climate to achieve common goals.
* to foster trust, collaboration, and a positive climate to achieve common goals.
**Physical Requirements And Working Conditions**
* Consistent with its obligations under the law, the University will provide reasonable accommodation to any employee with a disability who requires accommodation to perform the essential functions of the job.
* Must be able to physically conduct field inspections and participate in project walk\-downs which may require the following activities: walking in and around a construction site, climbing ladders, scaffolding, using fall protection and using other personal protective equipment (PPE), walking on elevated platforms, walking on uneven surfaces, and maneuvering around very small and/or confined spaces
* Ability and willingness to travel to partner laboratories as well as internationally to key suppliers up to one to two weeks at a time.
* Given the nature of this position, SLAC is open to on\-site and hybrid work options.
**Work Standards**
* Interpersonal Skills: Demonstrates the ability to work well with Stanford colleagues and clients and with external organizations.
* Promote Culture of Safety: Demonstrates commitment to personal responsibility and value for environment, safety and security; communicates related concerns; uses and promotes safe behaviors based on training and lessons learned. Meets the applicable roles and responsibilities as described in the ESH Manual, Chapter 1\-General Policy and Responsibilities:link https://policies.slac.stanford.edu/categories/environment\-health\-safety\-security/esh\-manual
* Subject to and expected to comply with all applicable University policies and procedures, including but not limited to the personnel policies and other policies found in the University's Administrative Guide, http://adminguide.stanford.edu
* Posting job title: Quality Assurance Manager
* Classification Title: Staff Engineer 2
* Job Code: 0132, Grade: K
* Duration: Regular Continuing
*The expected pay range for this position is $134,906 \- $164,965 per annum. SLAC National Accelerator Laboratory/Stanford University provides pay ranges representing its good faith estimate of the salary the university reasonably expects to pay for a position upon hire.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t>
        </is>
      </c>
    </row>
    <row r="85">
      <c r="A85" t="inlineStr">
        <is>
          <t>li-4342756943</t>
        </is>
      </c>
      <c r="B85" t="inlineStr">
        <is>
          <t>Global Signage &amp; Wayfinding Designer Program Manager, Workplace Design &amp; Construction (WD&amp;C)</t>
        </is>
      </c>
      <c r="C85" t="inlineStr">
        <is>
          <t>Amazon</t>
        </is>
      </c>
      <c r="D85" t="inlineStr">
        <is>
          <t>linkedin</t>
        </is>
      </c>
      <c r="E85" t="inlineStr"/>
      <c r="F85" t="inlineStr"/>
      <c r="G85" t="inlineStr">
        <is>
          <t>Arlington, VA</t>
        </is>
      </c>
      <c r="H85" t="inlineStr"/>
      <c r="I85" t="inlineStr">
        <is>
          <t>**Description**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
**Basic Qualifications**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A3139013</t>
        </is>
      </c>
    </row>
    <row r="86">
      <c r="A86" t="inlineStr">
        <is>
          <t>li-4346661564</t>
        </is>
      </c>
      <c r="B86" t="inlineStr">
        <is>
          <t>HR Product Manager-Human Capital Systems</t>
        </is>
      </c>
      <c r="C86" t="inlineStr">
        <is>
          <t>Truist</t>
        </is>
      </c>
      <c r="D86" t="inlineStr">
        <is>
          <t>linkedin</t>
        </is>
      </c>
      <c r="E86" t="inlineStr"/>
      <c r="F86" t="inlineStr"/>
      <c r="G86" t="inlineStr">
        <is>
          <t>Charlotte, NC</t>
        </is>
      </c>
      <c r="H86" t="inlineStr"/>
      <c r="I8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An experienced, dynamic business leader with a technologist background to take on a HR Technical Product Owner role supporting the creation of dynamic teammate experiences at Truist. This role is expected to optimize experiences/journeys, drive business results, and increase teammate engagement using knowledge and experience from HR operations and various platforms (ServiceNow, Workday, etc.). This role will be responsible for leading Enterprise projects and work\-streams through discovery, design, build, test, and deployment activities leveraging agile deployment methodology.
**Job Description**
**For this opportunity, Truist will not sponsor an applicant for work visa status or employment authorization, nor will we offer any immigration\-related support for this position (including, but not limited to H\-1B, F\-1 OPT, F\-1 STEM OPT, F\-1 CPT, J\-1, TN\-1 or TN\-2, E\-3, O\-1, or future sponsorship for U.S. lawful permanent residence status.)**
**This position is office\-centric 5 days a week in our Atlanta or Charlotte location**
**Essential Duties And Responsibilities**
 Following is a summary of the essential functions for this job. Other duties may be performed, both major and minor, which are not mentioned below. Specific activities may change from time to time.
 HR Technology Expert:
* Implement and configure ServiceNow solutions while designing and maintaining integrations to/from other platforms (including Workday, SAP SuccessFactors, etc.) .
* Conduct teammate life\-cycle and HR specific process workshops (e.g., onboarding/off\-boarding, Talent Acquisition, Payroll, Benefits) to obtain functional requirements.
* Establish user journeys and create user stories to support the design and configuration.
* Conduct requirements gathering and sprint design sessions, working with functional/center of expertise stakeholders to document baseline current state.
* Develop detailed implementation plans for deploying capabilities (ServiceNow HR), including establishing key milestones, points of value, and high\-level architecture.
* Monitor and identify project issues to mitigate any risk.
* Support and manage the configuration of the application, engage stakeholders to conduct reviews through the joint design sessions.
* Assist with executing system validation, preparing the organization for the transition, and ensuring readiness for deploying into production.
* Responsible for end\-to\-end vendor management, including maintaining the relationship, support model, roadmap/functional enhancements, and escalating system issues as needed.
 Trusted Technology Partner \&amp; Internal Consultant:
* Work with Human Capital Systems, Enterprise Technology and other functional leaders to set a strategy and a vision consistent with priorities for our teammate experiences and ServiceNow solution.
* Develop a product mindset that is focused on delivering the needs of the business, often identifying needs before they are asked, and looking for optimization improvements on already\-established processes.
* Develop and nurture relationships with COE Owners to understand their needs and prioritize capability enhancements.
* Stay up to date on new features and capabilities, advise partners in our centers of expertise on new and emerging capabilities.
* Define and document end\-to\-end system improvements based on analysis to increase the workforce and stakeholder satisfaction with the ServiceNow HR solution. Create and maintain business/technical documentation.
* Responsible for standing up and driving program governance structure and rhythms during the execution of roadmap items.
**Qualifications**
**Required Qualifications:**
 The requirements listed below are representative of the knowledge, skill and/or ability required. Reasonable accommodations may be made to enable individuals with disabilities to perform the essential functions.
* BS/BA in Business, Management Information Systems, Computer Science or similar area.
* 7\+ years in large\-scale technical business analysis and project management.
* Previous experience implementing ServiceNow \[HR] Enterprise.
* 3\+ years of experience hands on and managing ServiceNow HR configuration, implementation and integrations (including Workday).
* Proven experience in a dynamic product management role overseeing all elements of the product development lifecycle.
* Experience analyzing business/teammate needs and current market trends.
* Highly flexible, able to prioritize multiple projects and deadlines to execute well in a fast\-paced, rapidly evolving organization.
* Advanced desktop application skills (Excel, PowerPoint) and strong understanding of SaaS solution RFP, implementation, and ongoing management.
* Excellent interpersonal skills to communicate with colleagues and executives alike.
* Hard working, self\-motivated individuals who are comfortable handling ambiguity and able to successfully complete tasks within deadlines with limited supervision.
****Preferred Qualifications:****
* Relevant consulting experience with a technical background.
* Experience with mergers and acquisitions (M\&amp;A) analysis.
* Create and develop innovative solutions addressing client's business requirements in consideration of process design, ServiceNow technical best practice and standards.
* Experience in designing use cases, categorizing requirements, and creating functional and requirement specifications documents.
* Ability to create high\-quality presentations, models, and analyses, and other deliverables and present them to clients and upper management.
* Knowledge of Agile, Scrum, Kanban, and Critical Path development and implementation methodologies.
* Experience in Software Development Lifecycles and development languages such as Python and JavaScript.
* Ability to assist in proposal writing for business development opportunities.
* Ability to set, manage and meet expectations and deadlines.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87">
      <c r="A87" t="inlineStr">
        <is>
          <t>li-4365017503</t>
        </is>
      </c>
      <c r="B87" t="inlineStr">
        <is>
          <t>Product Manager, Catalog Quality</t>
        </is>
      </c>
      <c r="C87" t="inlineStr">
        <is>
          <t>Uber</t>
        </is>
      </c>
      <c r="D87" t="inlineStr">
        <is>
          <t>linkedin</t>
        </is>
      </c>
      <c r="E87">
        <f>HYPERLINK("https://www.linkedin.com/jobs/view/4365017503", "https://www.linkedin.com/jobs/view/4365017503")</f>
        <v/>
      </c>
      <c r="F87">
        <f>HYPERLINK("https://tnl2.jometer.com/v2/job?jz=5wqzs80ff52d44ad35a19b262ac306285854cLUAGUCAAAABQ&amp;iis=Job%20Board%20-%20Recruitment%20Marketing&amp;iisn=LinkedIn&amp;urlHash=jZns", "https://tnl2.jometer.com/v2/job?jz=5wqzs80ff52d44ad35a19b262ac306285854cLUAGUCAAAABQ&amp;iis=Job%20Board%20-%20Recruitment%20Marketing&amp;iisn=LinkedIn&amp;urlHash=jZns")</f>
        <v/>
      </c>
      <c r="G87" t="inlineStr">
        <is>
          <t>New York, NY</t>
        </is>
      </c>
      <c r="H87" t="inlineStr"/>
      <c r="I87" t="inlineStr">
        <is>
          <t>**About The Role**
 As Uber Eats expands deeper into grocery, retail, convenience, and packaged goods, the scale and complexity of our product catalog is growing exponentially. The Catalog Quality team ensures our catalog is complete, correct, and consistent so customers can trust what they see, shoppers can reliably pick the right items in stores, and merchants and CPGs can understand and improve their performance.
 As the Product Manager for Product Taxonomy \&amp; Relationships, you will own the strategy and technical foundation for how products are classified, structured, and related to one another in Uber's catalog. This includes defining category taxonomy, variant relationships, and brand hierarchies that reflect real\-world shopping behavior and scale across verticals.
**What The Candidate Will Do**
* Own the strategy and roadmap for core catalog foundations, defining how products are organized, structured, and related in ways that scale across categories, markets, and verticals.
* Establish clear principles for product structure and variation, ensuring products are grouped and differentiated in a way that aligns with real\-world shopping behavior while remaining technically scalable.
* Partner closely with Engineering and Data Science to design and evolve systems that improve catalog structure, consistency, and quality at scale, leveraging automation where appropriate.
* Use data and customer insights to identify gaps and inconsistencies in catalog structure, prioritize investments, and measure impact on customer and business outcomes.
* Design operational workflows to handle ambiguous or high\-judgment cases, balancing automation with targeted human review to maintain quality without sacrificing velocity.
* Collaborate with cross\-functional partners to ensure catalog foundations are predictable, well\-governed, and support a broad set of downstream experiences and teams.
**Basic Qualifications**
* 3\+ years of Product Management experience delivering technically complex platforms or data\-driven products
* Proven ability to translate ambiguous problem spaces into clear strategies and execution plans
* Strong technical intuition and the ability to ask the right questions, evaluate tradeoffs, and make solid decisions in complex, highly technical domains
* Ability to break down complex, ambiguous problem spaces into clear principles, frameworks, and actionable plans
* A rigorous, truth\-seeking mindset and the discipline to dig deep, validate assumptions, and ensure product decisions hold up across all edge cases
* Comfortable working with messy, real\-world operational data and using it to inform how we manage the catalog.
* Clear, structured communicator who can break down complex topics, explain the why, and build conviction across cross\-functional partners. Skilled at storytelling, influencing without authority, and collaborating closely with teams to move complex work forward together.a
**Preferred Qualifications**
* Strong systems thinking and technical intuition, with the ability to evaluate tradeoffs in complex data and platform domains
* Experience owning foundational platform or data model initiatives with broad downstream impact across multiple teams or products
* Background working in commerce, marketplaces, or large\-scale ecosystems, where product structure, consistency, or governance meaningfully affects user experience and business outcomes
* Experience collaborating closely with Engineering and Data Science teams on systems that operate under uncertainty, evolve over time, or require balancing precision, scale, and operational cost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88">
      <c r="A88" t="inlineStr">
        <is>
          <t>li-4365013217</t>
        </is>
      </c>
      <c r="B88" t="inlineStr">
        <is>
          <t>Senior Product Manager, Data &amp; AI</t>
        </is>
      </c>
      <c r="C88" t="inlineStr">
        <is>
          <t>Afresh</t>
        </is>
      </c>
      <c r="D88" t="inlineStr">
        <is>
          <t>linkedin</t>
        </is>
      </c>
      <c r="E88">
        <f>HYPERLINK("https://www.linkedin.com/jobs/view/4365013217", "https://www.linkedin.com/jobs/view/4365013217")</f>
        <v/>
      </c>
      <c r="F88" t="inlineStr"/>
      <c r="G88" t="inlineStr">
        <is>
          <t>San Francisco, CA</t>
        </is>
      </c>
      <c r="H88" t="inlineStr"/>
      <c r="I88" t="inlineStr">
        <is>
          <t>Afresh is the leading AI company in fresh food—partnering with grocers like Albertsons, Wakefern, Meijer, and Stater Bros to order billions of dollars of fresh food in over 12,000 grocery departments nationwide.
 Following record\-breaking 70% growth in 2025, we’ve expanded our platform to cover all fresh departments, launched our full store suite, and debuted DC Fresh Buying.
 We’re on a mission to eliminate food waste and make fresh food accessible to all. In 2025 alone our software helped save 200M lbs of food waste. If you're looking for a role where your work directly translates into massive scale and social good, and you want to be part of the team that defines the future of fresh, there is no better time to join us.
**About The Role**
 We're looking for a Senior Product Manager to lead our Data \&amp; AI product initiatives—the engine that powers Afresh's competitive advantage. Data is one of our key differentiators, directly impacting the success of our applied science and customer experience
 You'll lead 2\-3 active customer integrations end\-to\-end, working hands\-on with our data teams to identify bottlenecks, brainstorm solutions, and explore how AI tools can dramatically reduce integration time and improve our integration capabilities. These real\-world integration experiences will directly inform your product strategy and enable you to build solutions that matter.
 You'll have the opportunity to explore and build new products that further differentiate our data platform and integration ability. Specifically, you'll lead the 0 to 1 build out of two new data products that productize our data capabilities and unlock new value for customers. You'll leverage AI throughout—from AI\-powered debugging tools that help customers self\-resolve issues, to AI\-assisted integration development that accelerates our delivery, to intelligent data quality monitoring that proactively identifies and diagnoses problems.
 This role requires you to truly understand our data systems and the customer\-facing needs of the integration experience. You'll conduct user research and work with design to build out user\-facing data ingestion monitors, alerts, and debugging experiences. You'll be working with an incredibly hardworking team of engineers, designers, and product managers to define and own the product vision for how AI can help us move faster, work better, and solve one of the toughest product problems we have—one that is absolutely critical to unlocking accelerated growth at Afresh.
 What You'll Do
**Lead Customer Integrations**
* Own 2\-3 active integrations end\-to\-end as primary integration lead
* Bring structure and process optimizations to how the team runs integrations
* Use learnings as input to integration velocity initiatives—this is critical to learning how our system works end\-to\-end
**Drive Integration Velocity \&amp; Automation**
* Develop a roadmap for integration velocity, ambitiously aiming to cut our integration time by 60%
* Explore and test vendors that can enable AI integration development or velocity
* Identify and solution around bottlenecks in our system from both technical and operational perspectives
* Own AI\-powered initiatives to compress integration timelines, including Integration Assistant tooling and AI Integration Discovery projects
**Build Automated Data Quality Products**
* Build a vision and product for automated and customer\-facing data quality reporting and analytics
* Productize data quality monitoring as a customer\-facing feature with AI\-powered debugging capabilities
* Enable customers to have transparent visibility into their data health while leveraging AI to automatically diagnose issues and provide actionable insights
**Own Data Products Holistically**
* Ensure our data models are best in class for how they model fresh data and solve fresh data problems
* Understand how our data products are used by downstream teams (POP, SS, DC) and optimize for their needs
* Partner with Store Solutions \&amp; DC PMs to define data requirements and translate them into automated data contracts and quality checks
* Own the product strategy and execution of our data ingestion platform including our data model, data pipelines, relevant user interfaces, and data monitoring capabilities
**Strategic Product Initiatives**
* Lead the scoping, definition, and eventual execution of how we monetize our data assets in Logic as a Service
* Own product strategy and roadmap for Recipe Management
* Communicate both the business and technical rationale behind your decisions and evangelize your vision
**Cross\-functional Collaboration**
* Work cross\-functionally with our Deployment and Customer Success Teams, Engineering and Design to realize our product vision by taking products from conception to launch
* Through user research and data analysis, develop user stories and product requirements, engage in usability and prototype testing, and define and monitor success metrics for maximal impact
**Skills And Experience**
 The following represent the skills and experience our ideal candidate possesses.
 **We encourage all highly\-qualified candidates to apply, even if they do not fulfill all the listed criteria.**
* 4\+ years experience as a product manager in a fast paced environment
* Strong experience product managing or developing data\-centric products—you deeply understand data systems, pipelines, and quality challenges
* Experience with AI/ML products or platforms is a strong plus
* Technical fluency that enables you to creatively explore possibilities and challenge constraints with engineering, with demonstrated ability to earn the respect of talented engineers
* Strong analytical skills, with the ability to gather data, both qualitative and quantitative, emerge with insights, and make and communicate well\-reasoned decisions
* Excellent communication skills, logical reasoning, and storytelling, with proven ability to collaboratively work across a variety of stakeholders
* Experience creating product roadmap(s) from conception to launch, driving product vision, defining go\-to\-market strategy and leading design discussions
* Ability to thrive in ambiguity and build products from 0 to 1
* Experience working closely with customer\-facing teams and understanding customer pain points
* Prefer experience with SaaS companies or B2B enterprise products
**About Afresh**
 Founded in 2017, Afresh is working on the \#1 solution to curb climate change: reducing food waste. By combining human insight and transformative technology, we're helping grocers provide fresher food to customers at more affordable prices.
 Afresh sits at an incredible intersection of positive social impact, rocket ship financial growth, and cutting\-edge technology. Our best\-in\-class AI research has been published in top journals including ICML, and we've raised over $148 million in funding from investors including former co\-CEO of Whole Foods Market Walter Robb and Eric Schmidt's Innovation Endeavors.
 Fresh is the past, present, and future of our food system – the waste we create today will impact our planet for years to come. Join us as we continue to build a vibrant, diverse, and inclusive team that embodies our company’s values of proactivity, kindness, candor, and humility.
**Afresh provides equal employment opportunities (EEO) to all employees and applicants for employment without regard to race, color, religion, sex, national origin, age, disability, genetics, sexual orientation, gender identity/expression, marital status, pregnancy or related condition, or any other basis protected by law.**
**Here at Afresh, many of our employees work remotely provided that they reside in one of the following states: AL, AR, CA, CO, FL, GA, IL, KY, MA, MI, MT, MO, NV, NJ, NY, NC, OR, PA, TX, WA, UT, VA, WI** 
 .</t>
        </is>
      </c>
    </row>
    <row r="89">
      <c r="A89" t="inlineStr">
        <is>
          <t>li-4365015525</t>
        </is>
      </c>
      <c r="B89" t="inlineStr">
        <is>
          <t>Product Manager, Catalog Quality</t>
        </is>
      </c>
      <c r="C89" t="inlineStr">
        <is>
          <t>Uber</t>
        </is>
      </c>
      <c r="D89" t="inlineStr">
        <is>
          <t>linkedin</t>
        </is>
      </c>
      <c r="E89">
        <f>HYPERLINK("https://www.linkedin.com/jobs/view/4365015525", "https://www.linkedin.com/jobs/view/4365015525")</f>
        <v/>
      </c>
      <c r="F89">
        <f>HYPERLINK("https://tnl2.jometer.com/v2/job?jz=5wqzs7ad2de1049dcb312608839911613f331LUAGUCAAAABQ&amp;iis=Job%20Board%20-%20Recruitment%20Marketing&amp;iisn=LinkedIn&amp;urlHash=lw9a", "https://tnl2.jometer.com/v2/job?jz=5wqzs7ad2de1049dcb312608839911613f331LUAGUCAAAABQ&amp;iis=Job%20Board%20-%20Recruitment%20Marketing&amp;iisn=LinkedIn&amp;urlHash=lw9a")</f>
        <v/>
      </c>
      <c r="G89" t="inlineStr">
        <is>
          <t>San Francisco, CA</t>
        </is>
      </c>
      <c r="H89" t="inlineStr"/>
      <c r="I89" t="inlineStr">
        <is>
          <t>**About The Role**
 As Uber Eats expands deeper into grocery, retail, convenience, and packaged goods, the scale and complexity of our product catalog is growing exponentially. The Catalog Quality team ensures our catalog is complete, correct, and consistent so customers can trust what they see, shoppers can reliably pick the right items in stores, and merchants and CPGs can understand and improve their performance.
 As the Product Manager for Product Taxonomy \&amp; Relationships, you will own the strategy and technical foundation for how products are classified, structured, and related to one another in Uber's catalog. This includes defining category taxonomy, variant relationships, and brand hierarchies that reflect real\-world shopping behavior and scale across verticals.
**What The Candidate Will Do**
* Own the strategy and roadmap for core catalog foundations, defining how products are organized, structured, and related in ways that scale across categories, markets, and verticals.
* Establish clear principles for product structure and variation, ensuring products are grouped and differentiated in a way that aligns with real\-world shopping behavior while remaining technically scalable.
* Partner closely with Engineering and Data Science to design and evolve systems that improve catalog structure, consistency, and quality at scale, leveraging automation where appropriate.
* Use data and customer insights to identify gaps and inconsistencies in catalog structure, prioritize investments, and measure impact on customer and business outcomes.
* Design operational workflows to handle ambiguous or high\-judgment cases, balancing automation with targeted human review to maintain quality without sacrificing velocity.
* Collaborate with cross\-functional partners to ensure catalog foundations are predictable, well\-governed, and support a broad set of downstream experiences and teams.
**Basic Qualifications**
* 3\+ years of Product Management experience delivering technically complex platforms or data\-driven products
* Proven ability to translate ambiguous problem spaces into clear strategies and execution plans
* Strong technical intuition and the ability to ask the right questions, evaluate tradeoffs, and make solid decisions in complex, highly technical domains
* Ability to break down complex, ambiguous problem spaces into clear principles, frameworks, and actionable plans
* A rigorous, truth\-seeking mindset and the discipline to dig deep, validate assumptions, and ensure product decisions hold up across all edge cases
* Comfortable working with messy, real\-world operational data and using it to inform how we manage the catalog.
* Clear, structured communicator who can break down complex topics, explain the why, and build conviction across cross\-functional partners. Skilled at storytelling, influencing without authority, and collaborating closely with teams to move complex work forward together.a
**Preferred Qualifications**
* Strong systems thinking and technical intuition, with the ability to evaluate tradeoffs in complex data and platform domains
* Experience owning foundational platform or data model initiatives with broad downstream impact across multiple teams or products
* Background working in commerce, marketplaces, or large\-scale ecosystems, where product structure, consistency, or governance meaningfully affects user experience and business outcomes
* Experience collaborating closely with Engineering and Data Science teams on systems that operate under uncertainty, evolve over time, or require balancing precision, scale, and operational cost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90">
      <c r="A90" t="inlineStr">
        <is>
          <t>li-4365011085</t>
        </is>
      </c>
      <c r="B90" t="inlineStr">
        <is>
          <t>Senior Product Manager</t>
        </is>
      </c>
      <c r="C90" t="inlineStr">
        <is>
          <t>Cambio</t>
        </is>
      </c>
      <c r="D90" t="inlineStr">
        <is>
          <t>linkedin</t>
        </is>
      </c>
      <c r="E90">
        <f>HYPERLINK("https://www.linkedin.com/jobs/view/4365011085", "https://www.linkedin.com/jobs/view/4365011085")</f>
        <v/>
      </c>
      <c r="F90">
        <f>HYPERLINK("https://cambio.ai/careers?ashby_jid=bedd20f3-b486-426c-b8ee-d11b112ca903&amp;utm_source=wRy9W0WRaA&amp;urlHash=DOCe", "https://cambio.ai/careers?ashby_jid=bedd20f3-b486-426c-b8ee-d11b112ca903&amp;utm_source=wRy9W0WRaA&amp;urlHash=DOCe")</f>
        <v/>
      </c>
      <c r="G90" t="inlineStr">
        <is>
          <t>New York, NY</t>
        </is>
      </c>
      <c r="H90" t="inlineStr"/>
      <c r="I90" t="inlineStr">
        <is>
          <t>Cambio is looking for a Senior to Lead level Product Manager to lead the development of Cambio’s revenue and compliance product lines. This role is ideal for someone with a strong track record of launching compliance and/or ROI\-Tracking products, who thrives at the intersection of product strategy and customer value.
 This is a high\-impact role critical to driving our mission to decarbonize commercial real estate at scale.
**What You Will Be Doing**
* Translate real\-world decarbonization and building management challenges into scalable solutions that deliver measurable value.
* Prioritize ruthlessly to balance long\-term growth bets with near\-term product impact.
* Work collaboratively across customer success, sales, and partnerships to ensure roadmap alignment with customer and market needs.
* Customer\-Centric Product Design: Engage with customers to deeply understand their pain points and needs. Use this insight to inform product design and development, ensuring that our solutions are not only functional but also delightful to use.
* Data\-Driven Decision Making: Leverage data analytics to inform product decisions. Set and monitor KPIs to measure product success and drive continuous improvement.
* Go\-to\-Market Execution: Partner with GTM Teams to develop and execute go\-to\-market strategies, ensuring successful product launches that resonate with target customers.
* Stakeholder Management: Serve as the primary point of contact for product\-related inquiries, managing expectations and providing regular updates to stakeholders, including senior leadership and external partners.
**Qualifications**
* Experience: 5\+ years of product management experience in building web apps, ideally for Saas, B2B.
* Customer Focus: Proven track record of delivering customer\-centric products that solve real\-world problems. Experience engaging with customers and translating their needs into product features.
* Leadership: Strong leadership skills with the ability to influence and inspire cross\-functional teams. Experience leading product development in a fast\-paced, agile environment.
* Communication Skills: Excellent communication and presentation skills, with the ability to articulate complex ideas to both technical and non\-technical audiences.
* Analytical Skills: Data\-driven approach to decision\-making, with experience using analytics to inform product strategy and measure success.
* Team Player: Commitment to the team's success and collaborative working style.
**Logistics:**
* Work Authorization: Authorization to work in the United States.
* Location: Must be based in San Francisco or New York City/ We are a hybrid team with a 2\-3 days in office policy.
* Compensation: This role is currently set at a salary range of \~$175,000\-$190,000 plus equity.</t>
        </is>
      </c>
    </row>
    <row r="91">
      <c r="A91" t="inlineStr">
        <is>
          <t>li-4361955065</t>
        </is>
      </c>
      <c r="B91" t="inlineStr">
        <is>
          <t>Product Manager, OS Platform Technologies</t>
        </is>
      </c>
      <c r="C91" t="inlineStr">
        <is>
          <t>Apple</t>
        </is>
      </c>
      <c r="D91" t="inlineStr">
        <is>
          <t>linkedin</t>
        </is>
      </c>
      <c r="E91">
        <f>HYPERLINK("https://www.linkedin.com/jobs/view/4361955065", "https://www.linkedin.com/jobs/view/4361955065")</f>
        <v/>
      </c>
      <c r="F91" t="inlineStr"/>
      <c r="G91" t="inlineStr">
        <is>
          <t>Cupertino, CA</t>
        </is>
      </c>
      <c r="H91" t="inlineStr"/>
      <c r="I91" t="inlineStr">
        <is>
          <t>**Summary**
 At Apple, great ideas have a way of becoming outstanding products, services, and customer experiences very quickly. We believe that if you bring passion and dedication to your job, you can change the world.
 We are looking for a Product Manager to join the Worldwide Product Marketing team and help shape the foundational technologies that power every Apple device. You’ll be behind the invisible magic — the battery that lasts all day, the seamless network handoff, the emergency features that save lives. This is an opportunity to work on the building blocks that underpin our operating systems along with the entire software ecosystem.
 In this role, you'll collaborate with world\-class engineering teams to define the future of the essential subsystems that underpins Apple operating systems. These include power management, wired and wireless networking, sensors, storage and file system support, as well as virtualization and command\-line tooling. You’ll help bring life\-saving safety features to market: from advanced warnings of earthquakes or adverse weather events, to helping users share critical information with emergency providers at their times of greatest need. And you’ll launch these innovations to developers at WWDC and to customers worldwide!
 We believe that the best person to communicate why a product is meaningful is the same person who helped drive its creation. As a Product Manager at Apple, you will hold dual product management and product marketing responsibilities, and serve as a spokesperson to help explain to the world why your products matter.
 If you’re excited by the idea of working at the intersection of technology and liberal arts, combining deep technical understanding and human\-centered storytelling, we'd love to hear from you!
**Description**
 This role offers the opportunity to impact billions of users through technologies that power every Apple device. You'll gain exposure to an extraordinary range of technical domains — from power management to networking to life\-saving safety features — while collaborating with senior Apple leaders and some of the best marketing and engineering minds in the industry. It’s a role where you'll grow fast and develop expertise across the full product lifecycle.
**Responsibilities**
* Research and synthesize technology trends, competitive developments, and user feedback to identify product opportunities and inform roadmap decisions
* Collaborate with software engineering and product design teams to define product strategy and prioritize features across iOS, macOS, and other Apple platforms
* Navigate product trade\-offs involving schedule, technical complexity, and user experience to drive consumer differentiation
* Develop clear, compelling messaging that positions Apple's platform technologies for developers, press, and consumers
* Partner with regulatory teams to ensure features meet global requirements and certifications
* Launch new technologies in coordination with marketing communications, public relations, events, and technical documentation teams
* Serve as an ambassador for key platform technologies through press briefings, developer engagements, and customer interactions
* Build strong relationships with engineering leaders, VPs, and cross\-functional partners across Apple
**Minimum Qualifications**
* 4\+ years experience in product marketing and/or product management roles, including at least one entire product development cycle from concept to launch.
* Bachelor's degree in a related field or equivalent industry experience.
* Hands\-on experience formulating product messaging and creating outbound marketing for both technical and consumer audiences, and/or partnering with engineering during early research and development to define product strategy and roadmap, and with marketing and public relations to craft positioning, and define marketing activities.
* Recent technical domain expertise with one or more of the following operating system technologies: networking, virtualization, storage and file systems, power management.
* Ability to drive communication with key stakeholders, the media, and public, as demonstrated by exceptional presentation skills: developing keynote addresses in an area of deep subject matter expertise, synthesizing information, applying critical thinking and maintaining composure under pressure.
**Preferred Qualifications**
* Ability to quickly learn complex technical domains and translate them for diverse audiences — from engineers to executives to everyday users
* Excellent collaboration skills with evidence of building relationships across disciplines
* Strong oral and written communication skills, with the ability to craft compelling narratives
* Comfort leading through influence, even without direct authority
* Press and media experience preferred
* Willingness to travel for events like WWDC, product launches, and press briefings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2">
      <c r="A92" t="inlineStr">
        <is>
          <t>li-4364957692</t>
        </is>
      </c>
      <c r="B92" t="inlineStr">
        <is>
          <t>Senior Product Manager</t>
        </is>
      </c>
      <c r="C92" t="inlineStr">
        <is>
          <t>SurveyMonkey</t>
        </is>
      </c>
      <c r="D92" t="inlineStr">
        <is>
          <t>linkedin</t>
        </is>
      </c>
      <c r="E92">
        <f>HYPERLINK("https://www.linkedin.com/jobs/view/4364957692", "https://www.linkedin.com/jobs/view/4364957692")</f>
        <v/>
      </c>
      <c r="F92" t="inlineStr"/>
      <c r="G92" t="inlineStr"/>
      <c r="H92" t="inlineStr"/>
      <c r="I92" t="inlineStr">
        <is>
          <t>**SurveyMonkey is the world’s most popular platform for surveys and forms, built for business—loved by users.** 
 We combine powerful capabilities with intuitive design, effectively serving every use case, from customer experience to employee engagement, market research to payment and registration forms. With built\-in research expertise and AI\-powered technology, it’s like having a team of expert researchers at your fingertips.
 Trusted by millions—from startups to Fortune 500 companies—SurveyMonkey helps teams gather insights and information that inspire better decisions, create experiences people love, and drive business growth. Discover how at surveymonkey.com.
**What We’re Looking For**
 The SurveyMonkey Pricing and Packaging team is looking for an experienced Senior Product Manager to drive pricing and packaging for SurveyMonkey’s self\-service and product\-led growth (PLG) channels. This is a high\-impact, individual contributor role for someone with experience in SaaS monetization and a passion for using pricing as a strategic growth lever. You'll lead initiatives that shape how we deliver and capture value across multiple core plans and ancillary products, while owning the roadmap for all product developments to improve the user experience and optimize conversion on our plans and pricing pages. You'll partner closely with Engineering, Marketing, Data, Finance, and Sales to develop, test, and operationalize pricing strategies that accelerate adoption, conversion, and revenue growth.
**What You’ll Be Working On**
* Execute pricing and packaging strategy for self\-service and PLG channels
* Drive continuous improvement of our customer\-facing pricing and packaging pages to align with changing customer needs and industry developments
* Design and implement new pricing models for emerging AI\-based products and features
* Design and run experiments to test monetization hypotheses and improve conversion, ARPU, and retention
* Recommend and enact changes to product packaging in response to new feature development and changing market landscape; coordinate with other product teams to align on feature bundling within existing and emerging product plans
* Own international pricing optimization, including market\-specific sensitivity analysis, currency localization, and infrastructure requirements
* Collaborate with cross\-functional teams to model business impact, align on GTM plans, and implement pricing changes across the product and billing stack
**We’d love to hear from people with**
* 5 years of total experience in Product Management, with at least 2 years focused on B2B SaaS pricing and packaging
* Experience with pricing frameworks and methodologies (e.g., value\-based pricing, WTP analysis, segmentation strategies)
* Experience working in self\-service and PLG environments with a strong experimentation and data\-driven mindset
* Demonstrated ability to collaborate across Product, Marketing, Finance, and Engineering to deliver scalable pricing infrastructure and measurable impact
* Experience with international pricing best practices and implementation at scale
* Analytical fluency with tools such as SQL, Excel, and pricing research platforms
* Strategic thinker with strong business judgment, customer empathy, and product sensibility
 The base pay provided for this position ranges from $147,900\.00 / year \- $174,000\.00 / year depending on the geographic market and assuming a full\-time schedule. Actual base pay is based on a number of factors including market location, job\-related knowledge, education or training, skills, and experience.
 Bonuses and commissions may also be offered as part of the total compensation package, in addition to a competitive benefits package including medical, dental, vision, life, and disability insurance; 401(k) retirement plan; flexible spending \&amp; health savings account; paid holidays; paid time off; employee assistance program; and other company benefits.
 SurveyMonkey believes in\-person collaboration is valuable for building relationships, fostering community, and enhancing our speed and execution. While this role is remote, it may require in\-person participation. You will be encouraged to attend company events throughout the year. These events will take place at a designated SurveyMonkey office or location.
**Why SurveyMonkey? We’re glad you asked**
 At SurveyMonkey, curiosity powers everything we do. We’re a global company where people from all backgrounds can make an impact, build meaningful connections, and grow their careers. Our teams work in a flexible, hybrid environment with thoughtfully designed offices and programs like the CHOICE Fund to help employees thrive in work and life.
 We’ve been trusted by organizations for over 25 years, and we’re just getting started. Our milestones include celebrating a quarter\-century of curiosity with 25 acts of giving, opening new hubs in Costa Rica and India, crossing the threshold of 100 billion questions answered, and earning recognition as one of the Most Inspiring Workplaces across North America and Asia.
 We live our company values—like championing inclusion and making it happen—by embedding them into how we hire, collaborate, and grow. They help shape everything from our culture to our business decisions. Come join us and see where your curiosity can take you.
**Our commitment to an inclusive workplace**
 SurveyMonkey is an equal opportunity employer committed to providing a workplace free from harassment and discrimination.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Accommodations are available for applicants with disabilities.</t>
        </is>
      </c>
    </row>
    <row r="93">
      <c r="A93" t="inlineStr">
        <is>
          <t>li-4364978312</t>
        </is>
      </c>
      <c r="B93" t="inlineStr">
        <is>
          <t>Technical Product Manager - Platform &amp; Integrations</t>
        </is>
      </c>
      <c r="C93" t="inlineStr">
        <is>
          <t>Faro</t>
        </is>
      </c>
      <c r="D93" t="inlineStr">
        <is>
          <t>linkedin</t>
        </is>
      </c>
      <c r="E93">
        <f>HYPERLINK("https://www.linkedin.com/jobs/view/4364978312", "https://www.linkedin.com/jobs/view/4364978312")</f>
        <v/>
      </c>
      <c r="F93" t="inlineStr"/>
      <c r="G93" t="inlineStr">
        <is>
          <t>California, United States</t>
        </is>
      </c>
      <c r="H93" t="inlineStr"/>
      <c r="I93" t="inlineStr">
        <is>
          <t>**About Faro Health**
 Faro Health aims to improve lives by helping life sciences companies design optimal clinical trials. Our AI powered software platform optimizes and orchestrates complex clinical development by providing powerful insights about trial design and outcomes. Faro empowers researchers to design more intelligent trials, reducing development costs and reaching milestones faster with better patient experiences.
 Faro is a mission driven company seeking world class people who share our passion for improving drug availability and patient outcomes through better clinical trial design. We pride ourselves on our vibrant, inclusive, and growth mindset oriented culture. Faro offers competitive compensation and benefits, generous vacation and parental leave, and flexible working hours. We are a hybrid workplace where San Diego employees work from their homes as well as in our lovely main headquarters enjoying a gym with classes and (early next year) spa services, outdoor lawn work area, and steeply discounted food hall. Remote employees work from home and visit the main office for group events and in\-person collaboration.
 Open to current California residents ONLY.
* Note: Candidates and Recruiting Agencies, please do not contact our employees regarding the position or your application status. Doing so will automatically disqualify you from the position or working with us. Only applications submitted through the designated link will be considered. Please DO NOT SPAM our employees regarding the role or your application status
**Role Overview**
 As a
 **Technical Product Manager** 
 at Faro Health, you will serve as the bridge between our customers, partners, and engineering teams. You'll own Faro's platform and integration strategy, driving scalable architecture, reliable data exchange, and interoperable solutions that connect clinical systems and power intelligent trial design.
 You will translate complex customer and partner technical requirements into clear engineering deliverables, define integration roadmaps, and ensure that Faro's platform and data services enable seamless, secure, and compliant collaboration across the clinical trial ecosystem.
**Requirements**
**Key Responsibilities**
* Own Faro's platform and integration strategy: Define and execute a roadmap for integrations that strengthen the scalability and interoperability of the Faro platform
* Translate technical requirements: Work closely with customers, partners, and engineers to transform clinical and operational needs into detailed product and integration specifications
* Act as a solution consultant: Roll up your sleeves to design, prototype, and validate integration solutions—collaborating directly with engineering and customer teams to ensure successful technical implementation and data flow
* Drive end\-to\-end integration lifecycle: From discovery to design, testing, and launch, ensure integrations deliver measurable value, reliability, and compliance
* Collaborate cross\-functionally: Partner with data, engineering, product design, and customer strategy teams to build and execute end\-to\-end strategies for customers—ensuring alignment, scalability, and seamless integration across the Faro platform
* Platform enablement: Define standards and tools that make it easier for internal teams and external partners to build on Faro's platform
* Ecosystem development: Evaluate and prioritize integrations that enhance connectivity and data flow across clinical trial systems
* Measure success: Define KPIs for platform performance, integration uptime, adoption, and ecosystem growth
* Stay ahead of standards: Track industry interoperability standards (e.g., CDISC, HL7 FHIR, ODM) and ensure Faro's platform evolves accordingly
* Available to work East Coast hours occasionally to accommodate customers in Europe and Asia
**Qualifications**
* Bachelor's degree required in Computer Science, Engineering, Life Sciences, or a related technical field; Masters Degree preferred
* 5\+ years of product management experience, with at least 2 years focused on platforms, integrations, or technical products
* Experience managing external integrations or platform ecosystems in life sciences
* Strong technical foundation: understanding of data architecture, APIs, system integrations, and cloud platforms (AWS, Azure, GCP)
* Proficiency in at least one programming language, preferably Python
* SQL knowledge preferred
* Experience integrating a product using external API's to produce one\-off reports is a plus
* Excellent analytical and problem\-solving skills; ability to translate complex user needs into scalable technical solutions
* Strong communicator able to bridge business and engineering domains and present technical concepts clearly to non\-technical audiences
* Experience with regulated data environments (HIPAA, GxP) is a plus
**Benefits**
**Annual salary**
 The salary range for this position is $163,000 to $185,000\.
**Equity**
 In addition to this position's salary (listed above), equity will be a major component of the total compensation for this position. We aim to offer higher\-than\-average equity compensation for a company of our size, and communicate equity amounts at the time of offer issuance.
**US Benefits**
* Health care plan (Medical, Dental \&amp; Vision)
* Retirement plan (401k)
* Life insurance (Basic)
* Short term and long term disability
* Paid time off: flexible vacation policy; paid sick days \&amp; public holidays observed
* Continuous training \&amp; development with up to $1000/year reimbursed fees subject to manager approval</t>
        </is>
      </c>
    </row>
    <row r="94">
      <c r="A94" t="inlineStr">
        <is>
          <t>li-4364951860</t>
        </is>
      </c>
      <c r="B94" t="inlineStr">
        <is>
          <t>Senior Product Manager</t>
        </is>
      </c>
      <c r="C94" t="inlineStr">
        <is>
          <t>PlanHub</t>
        </is>
      </c>
      <c r="D94" t="inlineStr">
        <is>
          <t>linkedin</t>
        </is>
      </c>
      <c r="E94">
        <f>HYPERLINK("https://www.linkedin.com/jobs/view/4364951860", "https://www.linkedin.com/jobs/view/4364951860")</f>
        <v/>
      </c>
      <c r="F94" t="inlineStr"/>
      <c r="G94" t="inlineStr"/>
      <c r="H94" t="inlineStr"/>
      <c r="I94" t="inlineStr">
        <is>
          <t>**Senior Product Manager** 
 PlanHub is the leading pre\-construction SaaS platform and marketplace helping general contractors, subcontractors, and suppliers connect and grow their businesses. Built with tradespeople in mind, PlanHub is designed around the user workflow to help boost productivity, maintain deadlines, increase revenue, and create relationships. Easily post projects or submit bids with anytime\-anywhere collaboration for every commercial construction trade.
 As PlanHub continues to scale, we are seeking a Senior Product Manager to lead strategy and execution for our pre\-construction product domain. This role sits at the intersection of vision, delivery, and innovation—ensuring we build solutions that solve real customer problems, advance our business goals, and modernize operations through the effective use of AI.
 You will be responsible for shaping the product roadmap, prioritizing high\-value initiatives, and collaborating closely with engineering, design, data, and business stakeholders. This position requires a strong balance of strategic thinking, hands\-on product execution, and the ability to champion change in a fast\-moving environment.
 This is a high\-impact role for a product leader who is passionate about the construction industry, energized by customer\-centered problem solving, and motivated by delivering measurable outcomes for both the business and the professionals we serve.
**What you'll do to make an impact:** 
* Champion the product vision and long\-term strategy for PlanHub’s pre\-construction marketplace, ensuring strong alignment to company OKRs and growth objectives.
* Develop a balanced roadmap that delivers customer value, supports business outcomes, and accelerates internal efficiency—leveraging modern AI technologies wherever appropriate.
* Stay deeply connected to market trends, competitive dynamics, and customer workflows to inform forward\-thinking product decisions.
* Build and maintain a deep understanding of PlanHub’s customers, their challenges, and their pre\-construction needs through interviews, observations, data, and market research.
* Serve as the voice of the customer, championing long\-term value and ensuring product decisions reflect real\-world use cases and measurable impact.
* Define key product performance metrics, actively track them, and communicate progress and insights to executive and cross\-functional stakeholders.
* Deconstruct complex business and customer problems into actionable product requirements and epics for development teams.
* Prioritize development activities based on customer value, business impact, operational efficiency, and engineering capacity.
* Partner with Engineering and UX to deliver thoughtful, user\-centric solutions while incorporating AI where it provides measurable gains in productivity or automation.
* Work closely with business process owners to align on requirements, rollout plans, timelines, and go\-to\-market strategies.
* Facilitate user story workshops, mapping sessions, and backlog grooming to ensure clarity, sequencing, and shared understanding across teams.
* Collaborate with product designers, marketing, customer success, and sales to ensure new features launch successfully and adoption goals are met.
* Communicate ideas and product decisions clearly, concisely, and consistently across diverse audiences.
* Support Agile ceremonies and partner closely with the Scrum team to ensure timely and effective delivery of stories, epics, and features.
* Continuously look for opportunities to modernize product operations—especially through AI\-powered workflows, automation, and intelligent insights.
**What will make you stand out:** 
* Bachelor’s degree in business, computer science, engineering, or a related field.
* 10\+ years of Product Management experience, with a strong track record of delivering business and customer outcomes.
* 3\+ years applying AI tools, frameworks, or workflows to drive productivity, automation, or operational efficiency.
* Demonstrated success mentoring or managing junior Product Managers.
* Experience defining market trends, validating customer needs, and leading end\-to\-end product delivery cycles.
* Strong project management skills with exceptional attention to detail.
* Proven ability to manage complex priorities and collaborate within cross\-functional teams.
* Outstanding verbal and written communication skills.
* Technical competence working with modern SaaS tools, system architectures, and software development practices.
* Metrics\- and analytics\-oriented decision\-making approach.
* Expertise in product discovery and delivery techniques (e.g., user interviews, story mapping, MVP definition, process diagrams, wireframes, competitor analysis, and release planning).
* Deep familiarity with Agile methodologies; CSPO preferred.
* Ability to operate in a fast\-paced, high\-growth environment with minimal supervision.
**What's in it for you:** 
 The opportunity to join PlanHub, named to the 2025 Inc. 5000 list of America’s fastest\-growing private companies, marking our fifth consecutive year on the list—a testament to sustained growth and momentum. You can make an immediate impact as PlanHub moves to dominate the industry!
**PlanHub Offers:** 
* An awesome culture where you will be empowered, make an impact, and learn a ton.
* Open time\-off policy.
* An excellent benefit package, including medical, dental, vision and life insurance.
* 401(k)/RRSP plan with a company match
*This position will be a remote position within the United States or Canada. Applicants must be authorized to work for any employer within the United States or Canada. We are unable to sponsor or take over sponsorship of an employment Visa at this time.* 
*PlanHub is an equal opportunity employer. We are committed to providing equal employment opportunities to all employees and applicants for employment without regard to race, color, religion, sex (including pregnancy, sexual orientation, or gender identity), national origin, age, disability, genetic information, protected veteran status, or any other characteristic protected by applicable federal, state, or local laws.* 
*PlanHub complies with all applicable laws governing nondiscrimination in employment in every location in which the company operates. This policy applies to all terms and conditions of employment, including recruiting, hiring, placement, promotion, termination, layoff, recall, transfer, leaves of absence, compensation, benefits, training, and development.*</t>
        </is>
      </c>
    </row>
    <row r="95">
      <c r="A95" t="inlineStr">
        <is>
          <t>li-4364997889</t>
        </is>
      </c>
      <c r="B95" t="inlineStr">
        <is>
          <t>Senior Product Manager</t>
        </is>
      </c>
      <c r="C95" t="inlineStr">
        <is>
          <t>Cambio</t>
        </is>
      </c>
      <c r="D95" t="inlineStr">
        <is>
          <t>linkedin</t>
        </is>
      </c>
      <c r="E95">
        <f>HYPERLINK("https://www.linkedin.com/jobs/view/4364997889", "https://www.linkedin.com/jobs/view/4364997889")</f>
        <v/>
      </c>
      <c r="F95" t="inlineStr"/>
      <c r="G95" t="inlineStr">
        <is>
          <t>San Francisco, CA</t>
        </is>
      </c>
      <c r="H95" t="inlineStr"/>
      <c r="I95" t="inlineStr">
        <is>
          <t>Cambio is looking for a Senior to Lead level Product Manager to lead the development of Cambio’s revenue and compliance product lines. This role is ideal for someone with a strong track record of launching compliance and/or ROI\-Tracking products, who thrives at the intersection of product strategy and customer value.
 This is a high\-impact role critical to driving our mission to decarbonize commercial real estate at scale.
**What You Will Be Doing**
* Translate real\-world decarbonization and building management challenges into scalable solutions that deliver measurable value.
* Prioritize ruthlessly to balance long\-term growth bets with near\-term product impact.
* Work collaboratively across customer success, sales, and partnerships to ensure roadmap alignment with customer and market needs.
* Customer\-Centric Product Design: Engage with customers to deeply understand their pain points and needs. Use this insight to inform product design and development, ensuring that our solutions are not only functional but also delightful to use.
* Data\-Driven Decision Making: Leverage data analytics to inform product decisions. Set and monitor KPIs to measure product success and drive continuous improvement.
* Go\-to\-Market Execution: Partner with GTM Teams to develop and execute go\-to\-market strategies, ensuring successful product launches that resonate with target customers.
* Stakeholder Management: Serve as the primary point of contact for product\-related inquiries, managing expectations and providing regular updates to stakeholders, including senior leadership and external partners.
**Qualifications**
* Experience: 5\+ years of product management experience in building web apps, ideally for Saas, B2B.
* Customer Focus: Proven track record of delivering customer\-centric products that solve real\-world problems. Experience engaging with customers and translating their needs into product features.
* Leadership: Strong leadership skills with the ability to influence and inspire cross\-functional teams. Experience leading product development in a fast\-paced, agile environment.
* Communication Skills: Excellent communication and presentation skills, with the ability to articulate complex ideas to both technical and non\-technical audiences.
* Analytical Skills: Data\-driven approach to decision\-making, with experience using analytics to inform product strategy and measure success.
* Team Player: Commitment to the team's success and collaborative working style.
**Logistics:**
* Work Authorization: Authorization to work in the United States.
* Location: Must be based in San Francisco or New York City/ We are a hybrid team with a 2\-3 days in office policy.
* Compensation: This role is currently set at a salary range of \~$175,000\-$190,000 plus equity.</t>
        </is>
      </c>
    </row>
    <row r="96">
      <c r="A96" t="inlineStr">
        <is>
          <t>li-4360977829</t>
        </is>
      </c>
      <c r="B96" t="inlineStr">
        <is>
          <t>Product Manager, Regulatory Reporting</t>
        </is>
      </c>
      <c r="C96" t="inlineStr">
        <is>
          <t>Waymo</t>
        </is>
      </c>
      <c r="D96" t="inlineStr">
        <is>
          <t>linkedin</t>
        </is>
      </c>
      <c r="E96">
        <f>HYPERLINK("https://www.linkedin.com/jobs/view/4360977829", "https://www.linkedin.com/jobs/view/4360977829")</f>
        <v/>
      </c>
      <c r="F96">
        <f>HYPERLINK("https://careers.withwaymo.com/jobs?gh_jid=7543283&amp;gh_src=e2a2625d1us&amp;urlHash=Iu-v", "https://careers.withwaymo.com/jobs?gh_jid=7543283&amp;gh_src=e2a2625d1us&amp;urlHash=Iu-v")</f>
        <v/>
      </c>
      <c r="G96" t="inlineStr">
        <is>
          <t>Austin, TX</t>
        </is>
      </c>
      <c r="H96" t="inlineStr"/>
      <c r="I9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 a hybrid work schedule and reports to the Manager of Fleet \&amp; Event Response.*
**You Will**
* Develop a deep understanding of the Regulatory Reporting landscape affecting Waymo
* Determine what tools and process improvements are needed to efficiently meet all Regulatory Reporting requirements and operations needs
* Work with engineers, UX and DS to automate reporting as much as possible
* Understand the role of each cross\-functional team (operations, safety, on\-call, regulatory, and legal, TPM) in all events that are of interest to regulators
* Develop a clear point of view on goals and prioritization, including success metrics
**You Have**
* BS degree in Computer Science degree or related technical degree
* 5\+ years of product management experience at a highly technical, large scale organization
* Strong bias\-to\-action, independence, and ability to execute
* Demonstrated ability to develop a roadmap out of a large, unstructured space
* Strong written and verbal communication skills
**We Prefer**
* MBA degree and/or consulting experience
* Technically adjacent skills such as prior engineering or PM on technical product experience
* Experience working with legal and public policy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97">
      <c r="A97" t="inlineStr">
        <is>
          <t>li-4365015585</t>
        </is>
      </c>
      <c r="B97" t="inlineStr">
        <is>
          <t>Principal Product Manager - AI/API Experience</t>
        </is>
      </c>
      <c r="C97" t="inlineStr">
        <is>
          <t>Intuit</t>
        </is>
      </c>
      <c r="D97" t="inlineStr">
        <is>
          <t>linkedin</t>
        </is>
      </c>
      <c r="E97">
        <f>HYPERLINK("https://www.linkedin.com/jobs/view/4365015585", "https://www.linkedin.com/jobs/view/4365015585")</f>
        <v/>
      </c>
      <c r="F97">
        <f>HYPERLINK("https://dsp.prng.co/wNZLdUb&amp;urlHash=w5dO", "https://dsp.prng.co/wNZLdUb&amp;urlHash=w5dO")</f>
        <v/>
      </c>
      <c r="G97" t="inlineStr">
        <is>
          <t>Mountain View, CA</t>
        </is>
      </c>
      <c r="H97" t="inlineStr"/>
      <c r="I97" t="inlineStr">
        <is>
          <t>**Overview**
 Come join the Global Partner Ecosystem (GPE) team as a Principal Product Manager, where you will define and lead the strategy for AI\-powered platform capabilities and API experiences that enable our third\-party (3P) ecosystem to transform and create differentiated customer value.
 In this role, you will own the vision, roadmap, and execution of core AI and API externalization that power intelligent, agentic experiences across our ecosystem. You will work at the intersection of AI, developer platforms, and partner integrations to unlock new capabilities, accelerate innovation, and deliver differentiated customer and partner value.
 We are looking for a product leader with deep experience building AI\-powered, agentic experiences and scalable APIs. The ideal candidate brings strong technical fluency, customer empathy, and execution excellence, along with a proven track record of delivering AI\-driven platform solutions at scale with high business impact. Experience building platform capabilities for third\-party (3P) ecosystems and subject\-matter expertise in AI and API technologies is essential.
**Responsibilities**
* Define and lead a bold, long\-term vision and strategy for AI\-powered platform capabilities and API experiences for the third\-party (3P) ecosystem
* Provide product thought leadership by identifying partner and developer needs through deep customer insights, ecosystem feedback, and market research
* Identify and incubate new platform opportunities informed by customer and partner research, competitive analysis, and industry trends
* Leverage AI to enable personalized, proactive, contextually relevant experiences.
* Translate vision into strategy and an execution roadmap to deliver measurable outcomes aligned to objectives.
* Partner closely with design, engineering, and AI/ML teams to deliver scalable, high\-quality platform experiences
* Take a data driven approach in defining success metrics, prioritizing requirements, and communicating plan, progress and success.
* Influence senior executive stakeholders and help evolve the broader operating model to improve scale and executions.
**Qualifications**
* 8\+ years in product management experience with a track record of building platforms and APIs at scale
* Deep understanding of AI technologies (e.g., agentic systems, LLMs, ML platforms) and API / developer platform architectures
* Strong track record of delivering platform capabilities for external developers or partner ecosystems
* Strong architecture and system thinking and able to partner credibly with engineering teams
* Proven success driving cross org. initiatives and aligning multiple product teams towards shared outcomes
* Experience with AI\-driven platform, partner ecosystems, or API platforms is a strong plus
* Exceptional written and verbal comms skills
* Very comfortable navigating ambiguity and driving clarity across complex stakeholder environments.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98">
      <c r="A98" t="inlineStr">
        <is>
          <t>li-4365011600</t>
        </is>
      </c>
      <c r="B98" t="inlineStr">
        <is>
          <t>Product Manager, Ads Formats</t>
        </is>
      </c>
      <c r="C98" t="inlineStr">
        <is>
          <t>Uber</t>
        </is>
      </c>
      <c r="D98" t="inlineStr">
        <is>
          <t>linkedin</t>
        </is>
      </c>
      <c r="E98">
        <f>HYPERLINK("https://www.linkedin.com/jobs/view/4365011600", "https://www.linkedin.com/jobs/view/4365011600")</f>
        <v/>
      </c>
      <c r="F98" t="inlineStr"/>
      <c r="G98" t="inlineStr">
        <is>
          <t>New York, NY</t>
        </is>
      </c>
      <c r="H98" t="inlineStr"/>
      <c r="I98" t="inlineStr">
        <is>
          <t>**About The Role**
 Uber Ads is looking for a Product Manager to own and evolve our core display and video ad formats. You'll be responsible for some of our most engaging and visual ad products, including Journey Ads, Post\-Checkout, and Billboard placements. This is a high\-ownership IC role where you will lead end\-to\-end product development \- from identifying user and advertiser needs, to building features that improve engagement and monetization. You'll work closely with Design, Engineering, Data Science, and Business teams to ensure your formats strike the right balance between performance and end user experience.
**What The Candidate Will Do**
* Own the strategy, prioritization, and execution of the product roadmap for key ad formats
* Collaborate across functions to design visually compelling and contextually relevant ad formats
* Lead experiments to improve user engagement and advertiser outcomes
* Translate customer insights and business needs into scalable product features
* Own relevant OKRs and monitor performance metrics to continuously iterate on product performance
**Basic Qualifications**
* 3\+ years of product management experience, ideally with consumer\-facing products or advertising products
* Bachelor's degree or equivalent
* Experience working on visual UX, creative formats, or ad design
* Skilled at breaking down complex problems into simple solutions
* Comfort with using data to inform decision\-making and product iterations
* Ability to thrive in a fast\-paced, high\-growth environment
**Preferred Qualifications**
* Prior experience in Ads or digital media
* Strong design sensibility and experience working with creative partners
* Background in a technical or analytical field such as CS, engineering, or data science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99">
      <c r="A99" t="inlineStr">
        <is>
          <t>li-4365016106</t>
        </is>
      </c>
      <c r="B99" t="inlineStr">
        <is>
          <t>Principal Product Manager, Payments</t>
        </is>
      </c>
      <c r="C99" t="inlineStr">
        <is>
          <t>NVIDIA</t>
        </is>
      </c>
      <c r="D99" t="inlineStr">
        <is>
          <t>linkedin</t>
        </is>
      </c>
      <c r="E99">
        <f>HYPERLINK("https://www.linkedin.com/jobs/view/4365016106", "https://www.linkedin.com/jobs/view/4365016106")</f>
        <v/>
      </c>
      <c r="F99">
        <f>HYPERLINK("https://nvidia.wd5.myworkdayjobs.com/NVIDIAExternalCareerSite/job/US-CA-Santa-Clara/Principal-Product-Manager\u002d\u002dPayments_JR2011573?source=jobboardlinkedin&amp;urlHash=rHlq", "https://nvidia.wd5.myworkdayjobs.com/NVIDIAExternalCareerSite/job/US-CA-Santa-Clara/Principal-Product-Manager\u002d\u002dPayments_JR2011573?source=jobboardlinkedin&amp;urlHash=rHlq")</f>
        <v/>
      </c>
      <c r="G99" t="inlineStr">
        <is>
          <t>North Carolina, United States</t>
        </is>
      </c>
      <c r="H99" t="inlineStr"/>
      <c r="I99" t="inlineStr">
        <is>
          <t>The Financial and Cloud System Engineering (FCSE) team is responsible for the engine (Unified Commerce Platform) that powers our entire global commerce business, with a focus on NVIDIA marketplace(s), cloud\-based subscriptions and usage\-based products. We are seeking a visionary Principal Product Manager to guide the strategic direction of our payments architecture. This is a crucial leadership position for someone who is passionate about payments to assist in crafting an outstanding, scalable base that improves revenue and boosts growth!
**What You'll Be Doing**
* Owning the vision and strategic plan for our payments ecosystem, shaping what's next by analyzing market trends and presenting to leadership.
* Leading the product strategy for a sophisticated, AI\-based payments orchestration layer to optimize approval rates and reduce costs.
* Shaping the product vision for future foundational services, including our centralized token vault, network token lifecycle management, and PCI compliance strategy.
* Acting as a key advisor on payments, mentoring our product and engineering teams to ensure our technical decisions are sound, scalable, and commercially optimal.
* Informing the integration strategy with key payment partners and collaborating with our Fraud team to enhance their risk strategies through expert architectural guidance.
**What We Need To See**
* Bachelor's degree in Computer Science, Information Systems, a related technical field, or equivalent experience.
* Background in Product Management, typically 15\+ years, with a focus on high\-volume FinTech, eCommerce, or payments platforms.
* Familiarity with the global payments landscape, including experience with payment processing systems and subscription management.
* A history of building strategic roadmaps, defining product requirements for complex systems, and managing release cycles.
* Experience collaborating with engineering, data science, finance, legal, and operations teams to deliver exceptional user experiences.
**Ways To Stand Out From The Crowd**
* An MBA or a Master's degree in a relevant field.
* A background launching initiatives that created substantial revenue growth (e.g., \&gt;$150MM) or significant cost savings would be fantastic!
* Experience building a new product, platform, or operations team from the ground up.
* Direct experience with ML\-based payments orchestration products that include an A/B testing framework.
* A history of presenting to executive leadership on market trends and growth opportunities, or helping to manage partnerships with major payment networks like Visa or Mastercard.
 Your base salary will be determined based on your location, experience, and the pay of employees in similar positions. The base salary range is 240,000 USD \- 379,500 USD.
 You will also be eligible for equity and benefits .
 Applications for this job will be accepted at least until January 24,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JR2011573</t>
        </is>
      </c>
    </row>
    <row r="100">
      <c r="A100" t="inlineStr">
        <is>
          <t>li-4365008185</t>
        </is>
      </c>
      <c r="B100" t="inlineStr">
        <is>
          <t>Principal Product Manager, Payments</t>
        </is>
      </c>
      <c r="C100" t="inlineStr">
        <is>
          <t>NVIDIA</t>
        </is>
      </c>
      <c r="D100" t="inlineStr">
        <is>
          <t>linkedin</t>
        </is>
      </c>
      <c r="E100">
        <f>HYPERLINK("https://www.linkedin.com/jobs/view/4365008185", "https://www.linkedin.com/jobs/view/4365008185")</f>
        <v/>
      </c>
      <c r="F100">
        <f>HYPERLINK("https://nvidia.wd5.myworkdayjobs.com/NVIDIAExternalCareerSite/job/US-CA-Santa-Clara/Principal-Product-Manager\u002d\u002dPayments_JR2011573?source=jobboardlinkedin&amp;urlHash=rHlq", "https://nvidia.wd5.myworkdayjobs.com/NVIDIAExternalCareerSite/job/US-CA-Santa-Clara/Principal-Product-Manager\u002d\u002dPayments_JR2011573?source=jobboardlinkedin&amp;urlHash=rHlq")</f>
        <v/>
      </c>
      <c r="G100" t="inlineStr">
        <is>
          <t>California, United States</t>
        </is>
      </c>
      <c r="H100" t="inlineStr"/>
      <c r="I100" t="inlineStr">
        <is>
          <t>The Financial and Cloud System Engineering (FCSE) team is responsible for the engine (Unified Commerce Platform) that powers our entire global commerce business, with a focus on NVIDIA marketplace(s), cloud\-based subscriptions and usage\-based products. We are seeking a visionary Principal Product Manager to guide the strategic direction of our payments architecture. This is a crucial leadership position for someone who is passionate about payments to assist in crafting an outstanding, scalable base that improves revenue and boosts growth!
**What You'll Be Doing**
* Owning the vision and strategic plan for our payments ecosystem, shaping what's next by analyzing market trends and presenting to leadership.
* Leading the product strategy for a sophisticated, AI\-based payments orchestration layer to optimize approval rates and reduce costs.
* Shaping the product vision for future foundational services, including our centralized token vault, network token lifecycle management, and PCI compliance strategy.
* Acting as a key advisor on payments, mentoring our product and engineering teams to ensure our technical decisions are sound, scalable, and commercially optimal.
* Informing the integration strategy with key payment partners and collaborating with our Fraud team to enhance their risk strategies through expert architectural guidance.
**What We Need To See**
* Bachelor's degree in Computer Science, Information Systems, a related technical field, or equivalent experience.
* Background in Product Management, typically 15\+ years, with a focus on high\-volume FinTech, eCommerce, or payments platforms.
* Familiarity with the global payments landscape, including experience with payment processing systems and subscription management.
* A history of building strategic roadmaps, defining product requirements for complex systems, and managing release cycles.
* Experience collaborating with engineering, data science, finance, legal, and operations teams to deliver exceptional user experiences.
**Ways To Stand Out From The Crowd**
* An MBA or a Master's degree in a relevant field.
* A background launching initiatives that created substantial revenue growth (e.g., \&gt;$150MM) or significant cost savings would be fantastic!
* Experience building a new product, platform, or operations team from the ground up.
* Direct experience with ML\-based payments orchestration products that include an A/B testing framework.
* A history of presenting to executive leadership on market trends and growth opportunities, or helping to manage partnerships with major payment networks like Visa or Mastercard.
 Your base salary will be determined based on your location, experience, and the pay of employees in similar positions. The base salary range is 240,000 USD \- 379,500 USD.
 You will also be eligible for equity and benefits .
 Applications for this job will be accepted at least until January 24,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JR2011573</t>
        </is>
      </c>
    </row>
    <row r="101">
      <c r="A101" t="inlineStr">
        <is>
          <t>li-4362083031</t>
        </is>
      </c>
      <c r="B101" t="inlineStr">
        <is>
          <t>Product Manager, Regulatory Reporting</t>
        </is>
      </c>
      <c r="C101" t="inlineStr">
        <is>
          <t>Waymo</t>
        </is>
      </c>
      <c r="D101" t="inlineStr">
        <is>
          <t>linkedin</t>
        </is>
      </c>
      <c r="E101">
        <f>HYPERLINK("https://www.linkedin.com/jobs/view/4362083031", "https://www.linkedin.com/jobs/view/4362083031")</f>
        <v/>
      </c>
      <c r="F101" t="inlineStr"/>
      <c r="G101" t="inlineStr">
        <is>
          <t>Los Angeles, CA</t>
        </is>
      </c>
      <c r="H101" t="inlineStr"/>
      <c r="I10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 a hybrid work schedule and reports to the Manager of Fleet \&amp; Event Response.*
**You Will**
* Develop a deep understanding of the Regulatory Reporting landscape affecting Waymo
* Determine what tools and process improvements are needed to efficiently meet all Regulatory Reporting requirements and operations needs
* Work with engineers, UX and DS to automate reporting as much as possible
* Understand the role of each cross\-functional team (operations, safety, on\-call, regulatory, and legal, TPM) in all events that are of interest to regulators
* Develop a clear point of view on goals and prioritization, including success metrics
**You Have**
* BS degree in Computer Science degree or related technical degree
* 5\+ years of product management experience at a highly technical, large scale organization
* Strong bias\-to\-action, independence, and ability to execute
* Demonstrated ability to develop a roadmap out of a large, unstructured space
* Strong written and verbal communication skills
**We Prefer**
* MBA degree and/or consulting experience
* Technically adjacent skills such as prior engineering or PM on technical product experience
* Experience working with legal and public policy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02">
      <c r="A102" t="inlineStr">
        <is>
          <t>li-4362092999</t>
        </is>
      </c>
      <c r="B102" t="inlineStr">
        <is>
          <t>Product Manager, Regulatory Reporting</t>
        </is>
      </c>
      <c r="C102" t="inlineStr">
        <is>
          <t>Waymo</t>
        </is>
      </c>
      <c r="D102" t="inlineStr">
        <is>
          <t>linkedin</t>
        </is>
      </c>
      <c r="E102">
        <f>HYPERLINK("https://www.linkedin.com/jobs/view/4362092999", "https://www.linkedin.com/jobs/view/4362092999")</f>
        <v/>
      </c>
      <c r="F102" t="inlineStr"/>
      <c r="G102" t="inlineStr">
        <is>
          <t>San Francisco, CA</t>
        </is>
      </c>
      <c r="H102" t="inlineStr"/>
      <c r="I102"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 a hybrid work schedule and reports to the Manager of Fleet \&amp; Event Response.*
**You Will**
* Develop a deep understanding of the Regulatory Reporting landscape affecting Waymo
* Determine what tools and process improvements are needed to efficiently meet all Regulatory Reporting requirements and operations needs
* Work with engineers, UX and DS to automate reporting as much as possible
* Understand the role of each cross\-functional team (operations, safety, on\-call, regulatory, and legal, TPM) in all events that are of interest to regulators
* Develop a clear point of view on goals and prioritization, including success metrics
**You Have**
* BS degree in Computer Science degree or related technical degree
* 5\+ years of product management experience at a highly technical, large scale organization
* Strong bias\-to\-action, independence, and ability to execute
* Demonstrated ability to develop a roadmap out of a large, unstructured space
* Strong written and verbal communication skills
**We Prefer**
* MBA degree and/or consulting experience
* Technically adjacent skills such as prior engineering or PM on technical product experience
* Experience working with legal and public policy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03">
      <c r="A103" t="inlineStr">
        <is>
          <t>li-4365015113</t>
        </is>
      </c>
      <c r="B103" t="inlineStr">
        <is>
          <t>Principal Product Manager, Payments</t>
        </is>
      </c>
      <c r="C103" t="inlineStr">
        <is>
          <t>NVIDIA</t>
        </is>
      </c>
      <c r="D103" t="inlineStr">
        <is>
          <t>linkedin</t>
        </is>
      </c>
      <c r="E103">
        <f>HYPERLINK("https://www.linkedin.com/jobs/view/4365015113", "https://www.linkedin.com/jobs/view/4365015113")</f>
        <v/>
      </c>
      <c r="F103" t="inlineStr"/>
      <c r="G103" t="inlineStr">
        <is>
          <t>Santa Clara, CA</t>
        </is>
      </c>
      <c r="H103" t="inlineStr"/>
      <c r="I103" t="inlineStr">
        <is>
          <t>The Financial and Cloud System Engineering (FCSE) team is responsible for the engine (Unified Commerce Platform) that powers our entire global commerce business, with a focus on NVIDIA marketplace(s), cloud\-based subscriptions and usage\-based products. We are seeking a visionary Principal Product Manager to guide the strategic direction of our payments architecture. This is a crucial leadership position for someone who is passionate about payments to assist in crafting an outstanding, scalable base that improves revenue and boosts growth!
**What You'll Be Doing**
* Owning the vision and strategic plan for our payments ecosystem, shaping what's next by analyzing market trends and presenting to leadership.
* Leading the product strategy for a sophisticated, AI\-based payments orchestration layer to optimize approval rates and reduce costs.
* Shaping the product vision for future foundational services, including our centralized token vault, network token lifecycle management, and PCI compliance strategy.
* Acting as a key advisor on payments, mentoring our product and engineering teams to ensure our technical decisions are sound, scalable, and commercially optimal.
* Informing the integration strategy with key payment partners and collaborating with our Fraud team to enhance their risk strategies through expert architectural guidance.
**What We Need To See**
* Bachelor's degree in Computer Science, Information Systems, a related technical field, or equivalent experience.
* Background in Product Management, typically 15\+ years, with a focus on high\-volume FinTech, eCommerce, or payments platforms.
* Familiarity with the global payments landscape, including experience with payment processing systems and subscription management.
* A history of building strategic roadmaps, defining product requirements for complex systems, and managing release cycles.
* Experience collaborating with engineering, data science, finance, legal, and operations teams to deliver exceptional user experiences.
**Ways To Stand Out From The Crowd**
* An MBA or a Master's degree in a relevant field.
* A background launching initiatives that created substantial revenue growth (e.g., \&gt;$150MM) or significant cost savings would be fantastic!
* Experience building a new product, platform, or operations team from the ground up.
* Direct experience with ML\-based payments orchestration products that include an A/B testing framework.
* A history of presenting to executive leadership on market trends and growth opportunities, or helping to manage partnerships with major payment networks like Visa or Mastercard.
 Your base salary will be determined based on your location, experience, and the pay of employees in similar positions. The base salary range is 240,000 USD \- 379,500 USD.
 You will also be eligible for equity and benefits .
 Applications for this job will be accepted at least until January 24,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JR2011573</t>
        </is>
      </c>
    </row>
    <row r="104">
      <c r="A104" t="inlineStr">
        <is>
          <t>li-4365014117</t>
        </is>
      </c>
      <c r="B104" t="inlineStr">
        <is>
          <t>Principal Product Manager, Payments</t>
        </is>
      </c>
      <c r="C104" t="inlineStr">
        <is>
          <t>NVIDIA</t>
        </is>
      </c>
      <c r="D104" t="inlineStr">
        <is>
          <t>linkedin</t>
        </is>
      </c>
      <c r="E104">
        <f>HYPERLINK("https://www.linkedin.com/jobs/view/4365014117", "https://www.linkedin.com/jobs/view/4365014117")</f>
        <v/>
      </c>
      <c r="F104" t="inlineStr"/>
      <c r="G104" t="inlineStr">
        <is>
          <t>Santa Clara, CA</t>
        </is>
      </c>
      <c r="H104" t="inlineStr"/>
      <c r="I104" t="inlineStr">
        <is>
          <t>The Financial and Cloud System Engineering (FCSE) team is responsible for the engine (Unified Commerce Platform) that powers our entire global commerce business, with a focus on NVIDIA marketplace(s), cloud\-based subscriptions and usage\-based products. We are seeking a visionary Principal Product Manager to guide the strategic direction of our payments architecture. This is a crucial leadership position for someone who is passionate about payments to assist in crafting an outstanding, scalable base that improves revenue and boosts growth!
**What You'll Be Doing**
* Owning the vision and strategic plan for our payments ecosystem, shaping what's next by analyzing market trends and presenting to leadership.
* Leading the product strategy for a sophisticated, AI\-based payments orchestration layer to optimize approval rates and reduce costs.
* Shaping the product vision for future foundational services, including our centralized token vault, network token lifecycle management, and PCI compliance strategy.
* Acting as a key advisor on payments, mentoring our product and engineering teams to ensure our technical decisions are sound, scalable, and commercially optimal.
* Informing the integration strategy with key payment partners and collaborating with our Fraud team to enhance their risk strategies through expert architectural guidance.
**What We Need To See**
* Bachelor's degree in Computer Science, Information Systems, a related technical field, or equivalent experience.
* Background in Product Management, typically 15\+ years, with a focus on high\-volume FinTech, eCommerce, or payments platforms.
* Familiarity with the global payments landscape, including experience with payment processing systems and subscription management.
* A history of building strategic roadmaps, defining product requirements for complex systems, and managing release cycles.
* Experience collaborating with engineering, data science, finance, legal, and operations teams to deliver exceptional user experiences.
**Ways To Stand Out From The Crowd**
* An MBA or a Master's degree in a relevant field.
* A background launching initiatives that created substantial revenue growth (e.g., \&gt;$150MM) or significant cost savings would be fantastic!
* Experience building a new product, platform, or operations team from the ground up.
* Direct experience with ML\-based payments orchestration products that include an A/B testing framework.
* A history of presenting to executive leadership on market trends and growth opportunities, or helping to manage partnerships with major payment networks like Visa or Mastercard.
 Your base salary will be determined based on your location, experience, and the pay of employees in similar positions. The base salary range is 240,000 USD \- 379,500 USD.
 You will also be eligible for equity and benefits .
 Applications for this job will be accepted at least until January 24,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JR2011573</t>
        </is>
      </c>
    </row>
    <row r="105">
      <c r="A105" t="inlineStr">
        <is>
          <t>li-4361943639</t>
        </is>
      </c>
      <c r="B105" t="inlineStr">
        <is>
          <t>Product Manager, Meridian</t>
        </is>
      </c>
      <c r="C105" t="inlineStr">
        <is>
          <t>AngelList</t>
        </is>
      </c>
      <c r="D105" t="inlineStr">
        <is>
          <t>linkedin</t>
        </is>
      </c>
      <c r="E105">
        <f>HYPERLINK("https://www.linkedin.com/jobs/view/4361943639", "https://www.linkedin.com/jobs/view/4361943639")</f>
        <v/>
      </c>
      <c r="F105">
        <f>HYPERLINK("https://www.angellist.com/careers/94c31227-957f-4ade-9794-3b747a2c6c1c&amp;urlHash=uCp_", "https://www.angellist.com/careers/94c31227-957f-4ade-9794-3b747a2c6c1c&amp;urlHash=uCp_")</f>
        <v/>
      </c>
      <c r="G105" t="inlineStr"/>
      <c r="H105" t="inlineStr"/>
      <c r="I105" t="inlineStr">
        <is>
          <t>**Why Join AngelList** 
 We’re solving some of the hardest problems in venture capital and private markets. You’ll work with a team that values precision, urgency, and long\-term thinking. If you want to shape how startups are funded and built, this is the place.
**About AngelList** 
 We exist to accelerate innovation by increasing the number of successful startups in the world. We do this by building the financial infrastructure that makes it easier for more people to invest in world\-changing companies.
 AngelList is the nexus of venture capital and the startup community. We support $124B\+ in assets and have powered investments into over 12,000 startups—over 300 of which are unicorns. Today, 57% of top\-tier U.S. VC deals involve investors on AngelList. While our scale is large, our ambition is larger.
 If you're excited to build the future of private markets, come build with us.
**About the Role:** 
 Meridian is AngelList’s wealth platform for private markets. Meridian is building wealth products for the growing class of self\-directed investors who want unique and direct access to private markets. Built on more than a decade of AngelList innovation, Meridian extends the platform that already supports founders and fund managers to serve investors now. Meridian is early, and this role presents an opportunity to help shape the next generation of products for private market investing.
 As a Product Manager on Meridian, you’ll own core investor\-facing product areas—from onboarding and investing to portfolio insights and reporting. You’ll work from first principles to define the modern wealth platform for private markets. Your job is to turn customer insights, data, and regulatory constraints into elegant, performant experiences that deepen investor engagement and increase capital deployed.
 This is a hands\-on, early\-stage product role with meaningful scope. You’ll partner tightly with engineering, design, compliance, and the GM to ship high\-quality product in a fast\-moving, regulated environment.
**You will have the opportunity to:** 
* Own major product surfaces across investing and portfolio management, shaping what Meridian becomes
* Build new products on top of AngelList infra, with real distribution advantages
* Translate insights and data into sharp, opinionated product decisions
* Prioritize ruthlessly and drive clarity in ambiguous problem spaces
* Collaborate with engineering, design, legal, and operations to scope and sequence effectively
* Partner directly with the GM to influence product strategy and team direction
**What we’re looking for:** 
* 5\+ years of PM experience with full ownership across discovery, launch, and iteration
* Experience building fintech, private market, or regulated consumer products
* Strong product judgment and taste, you know what good looks like and push for it
* 0→1 product experience; comfort with ambiguity, tradeoffs, and limited resources
* Familiarity with working across legal, compliance, and operational teams
* High agency and urgency with a bias toward thoughtful execution
* Excitement about Meridian’s vision and the opportunity to help build a category\-defining wealth platform
**Working Here** 
 If you don’t meet every requirement above, we still encourage you to apply. We value complementary strengths and operators who learn by doing.
 We operate out of hubs in New York City and San Francisco. For most roles on those teams, we work from the office at least two days per week (Tuesdays and either Wednesday or Thursday). Exceptions may be made for exceptional individual contributor candidates in other locations.
**Compensation:** 
 The compensation for this role consists of a competitive base salary, benefits, and equity package. The base salary for this role is $200,000\+ annually but actual will vary based on a number of factors including a candidate’s professional background, experience, and location. Full details about our Total Rewards package will be provided during the recruitment process.
**Benefits:** 
 We support your life both in and outside of work.
 Explore our benefits
 Learn about Funders \&amp; Founders
**What Guides Us:** 
 At AngelList, we are united in our purpose to accelerate innovation and build the future of private markets. Our beliefs and values shape what we work on and how we create impact. If the below resonate, we’d love to have you with us.
 Our beliefs
 Our values \&amp; leadership expectations
*AngelList is an equal opportunity employer and we value diversity at our company. We do not discriminate on the basis of race, religion, color, national origin, gender, sexual orientation, age, marital status, veteran status, or disability status.*</t>
        </is>
      </c>
    </row>
    <row r="106">
      <c r="A106" t="inlineStr">
        <is>
          <t>li-4365003668</t>
        </is>
      </c>
      <c r="B106" t="inlineStr">
        <is>
          <t>Product Manager, Ads Formats</t>
        </is>
      </c>
      <c r="C106" t="inlineStr">
        <is>
          <t>Uber</t>
        </is>
      </c>
      <c r="D106" t="inlineStr">
        <is>
          <t>linkedin</t>
        </is>
      </c>
      <c r="E106">
        <f>HYPERLINK("https://www.linkedin.com/jobs/view/4365003668", "https://www.linkedin.com/jobs/view/4365003668")</f>
        <v/>
      </c>
      <c r="F106" t="inlineStr"/>
      <c r="G106" t="inlineStr">
        <is>
          <t>San Francisco, CA</t>
        </is>
      </c>
      <c r="H106" t="inlineStr"/>
      <c r="I106" t="inlineStr">
        <is>
          <t>**About The Role**
 Uber Ads is looking for a Product Manager to own and evolve our core display and video ad formats. You'll be responsible for some of our most engaging and visual ad products, including Journey Ads, Post\-Checkout, and Billboard placements. This is a high\-ownership IC role where you will lead end\-to\-end product development \- from identifying user and advertiser needs, to building features that improve engagement and monetization. You'll work closely with Design, Engineering, Data Science, and Business teams to ensure your formats strike the right balance between performance and end user experience.
**What The Candidate Will Do**
* Own the strategy, prioritization, and execution of the product roadmap for key ad formats
* Collaborate across functions to design visually compelling and contextually relevant ad formats
* Lead experiments to improve user engagement and advertiser outcomes
* Translate customer insights and business needs into scalable product features
* Own relevant OKRs and monitor performance metrics to continuously iterate on product performance
**Basic Qualifications**
* 3\+ years of product management experience, ideally with consumer\-facing products or advertising products
* Bachelor's degree or equivalent
* Experience working on visual UX, creative formats, or ad design
* Skilled at breaking down complex problems into simple solutions
* Comfort with using data to inform decision\-making and product iterations
* Ability to thrive in a fast\-paced, high\-growth environment
**Preferred Qualifications**
* Prior experience in Ads or digital media
* Strong design sensibility and experience working with creative partners
* Background in a technical or analytical field such as CS, engineering, or data science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07">
      <c r="A107" t="inlineStr">
        <is>
          <t>li-4364984768</t>
        </is>
      </c>
      <c r="B107" t="inlineStr">
        <is>
          <t>Senior Product Manager, Search Retrieval</t>
        </is>
      </c>
      <c r="C107" t="inlineStr">
        <is>
          <t>Etsy</t>
        </is>
      </c>
      <c r="D107" t="inlineStr">
        <is>
          <t>linkedin</t>
        </is>
      </c>
      <c r="E107">
        <f>HYPERLINK("https://www.linkedin.com/jobs/view/4364984768", "https://www.linkedin.com/jobs/view/4364984768")</f>
        <v/>
      </c>
      <c r="F107">
        <f>HYPERLINK("https://etsy.wd5.myworkdayjobs.com/Etsy_Careers/job/Brooklyn-New-York/Senior-Product-Manager\u002d\u002dSearch-Retrieval_JR5322-1?source=LinkedIn&amp;urlHash=wwO_", "https://etsy.wd5.myworkdayjobs.com/Etsy_Careers/job/Brooklyn-New-York/Senior-Product-Manager\u002d\u002dSearch-Retrieval_JR5322-1?source=LinkedIn&amp;urlHash=wwO_")</f>
        <v/>
      </c>
      <c r="G107" t="inlineStr">
        <is>
          <t>Brooklyn, NY</t>
        </is>
      </c>
      <c r="H107" t="inlineStr"/>
      <c r="I107"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$164,000\.00 \- $212,000\.00
****What’s the role?****
 We are looking for a Senior Product Manager to lead our Search Retrieval team.
 You’ll partner with a dedicated cross\-functional team including product, engineering, applied science, analytics, and research. You’ll develop and deliver a customer\-centric product strategy that ensures we deliver the best and relevant search experience for our buyers.
 Are you motivated by building products that align with broader business strategies, especially when tackling complex problems like optimizing retrieval models to balance relevance and engagement in listings? How do you approach improving listing retrieval to ensure that surfaced results meet both business goals and user intent? If so, this could be the perfect match.
 This is a full\-time position reporting to the Group Product Manager, Search Relevance. In addition to salary, you will also be eligible for an equity package, an annual performance bonus, and our competitive benefits that support you and your family as part of your total rewards package at Etsy. This role requires your presence in Etsy’s Brooklyn Office once or twice per week depending on your proximity to the office. Candidates living within commutable distance of Etsy’s Brooklyn Office Hub may be the first to be considered. Learn more details about our work modes and workplace safety policies here.
****What’s this team like at Etsy?****
 Search Retrieval Is a Machine Learning Team Under Search Relevance Sub\-initiative That Strives To Improve Relevancy Of Search Results For Etsy Buyers Across The Globe. We Apply The Latest Techniques From Machine Learning, Natural Language Processing (NLP), And Information Retrieval Research At Etsy’s Scale. Here Is a Taste Of Some Of The Problems We Are Solving
* Use hybrid, lexical, and neural retrieval models to improve search relevance while also considering cross\-border trades, nuances on different markets and query understanding.
* Power Etsy’s Visual Search experience and meet buyer experience through improvements in multi\-modal embeddings.
* Work closely with ML engineers, backend engineers, scientists, and product managers to develop \&amp; test large scale experiments to improve relevance.
* Ensure ML models meet buyer standards, latency SLAs at the scale of Etsy production traffic and launch live A/B experiments to test our hypotheses.
****What does the day\-to\-day look like?****
* Lead product execution and roadmap definition for the team. How can we ensure that we deliver the best candidate set out of billions of potential listing variations?
* Collaborate across functions (Analytics, Design, Engineering, Research) to identify, prioritize, define, and execute on the right areas that will improve outcomes for customers and drive business impact for Etsy.
* Contribute to team culture, health, and team success by identifying, advocating for, and taking action on areas of improvement.
* Analyze product performance metrics, gather user feedback, and champion improvements to enhance buyer experience and product effectiveness.
* Stay informed of groundbreaking ML techniques and opportunities to expand and grow Etsy's Search Retrieval business impact. Influence the development of a unified scalable platform to deliver consistent and compelling experiences.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ML expertise: Proven track record (3\+ years) of building and optimizing ML\-powered products, particularly in recommendations, search, or similar domains. Familiarity with retrieval systems, ranking algorithms and LLMs is a plus.
* Strong bias for action and impact: A proactive demeanor with a passion for creative problem solving. Comfortable navigating ambiguity while maintaining focus on delivering results.
* You are deeply customer focused and connect customer needs to business outcomes when finding opportunities for the team.
* Experimentation proficiency: Strong foundation in A/B testing, including hypothesis formulation, results analysis and iteration to achieve measurable outcomes.
* You have worked with Machine Learning engineers to prioritize, build, evaluate, and launch ML driven product solutions that address customer needs and deliver business impact.
* You are committed to learning and growing. You are curious, and are willing to give and be receptive to the gift of feedback.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108">
      <c r="A108" t="inlineStr">
        <is>
          <t>li-4364985763</t>
        </is>
      </c>
      <c r="B108" t="inlineStr">
        <is>
          <t>Product Manager – Card-Payments</t>
        </is>
      </c>
      <c r="C108" t="inlineStr">
        <is>
          <t>CSI</t>
        </is>
      </c>
      <c r="D108" t="inlineStr">
        <is>
          <t>linkedin</t>
        </is>
      </c>
      <c r="E108">
        <f>HYPERLINK("https://www.linkedin.com/jobs/view/4364985763", "https://www.linkedin.com/jobs/view/4364985763")</f>
        <v/>
      </c>
      <c r="F108">
        <f>HYPERLINK("https://csiweb.wd1.myworkdayjobs.com/CSI_Careers/job/Remote-USA/Product-Manager\u002d\u002d-Card-Payments_R-100442?source=LinkedIn&amp;urlHash=2VWL", "https://csiweb.wd1.myworkdayjobs.com/CSI_Careers/job/Remote-USA/Product-Manager\u002d\u002d-Card-Payments_R-100442?source=LinkedIn&amp;urlHash=2VWL")</f>
        <v/>
      </c>
      <c r="G108" t="inlineStr"/>
      <c r="H108" t="inlineStr"/>
      <c r="I108" t="inlineStr">
        <is>
          <t>**Job Description**
**In this role, you have the opportunity to** 
 play a pivotal role in go\-to\-market execution of CSI’s Payment Products. Executing product strategy, understanding market challenges and innovative solutions informed by thorough research and focused on
 **Card and/or Payment Networks.**
**You are responsible for** 
 : (but not limited to)
* Execute the go\-to\-market strategy for our card payment strategy, ensuring alignment with company goals and customer needs.
* Oversee the end\-to\-end product lifecycle, from concept to launch, including market research, product design, and implementation.
* Analyze market trends, customer feedback, and competitive landscape to identify opportunities for product enhancements and new features.
* Develop and maintain product roadmaps, prioritizing features and initiatives based on business value and customer impact.
* Ensure compliance with regulatory requirements and industry standards for payments products.
* Manage relationships with external vendors and partners, ensuring service level agreements are met.
* Monitor product performance, using data and analytics to drive continuous improvement and optimize user experience.
* Provide training and support for internal teams, including sales and customer service, to ensure successful product adoption and customer satisfaction.
**You are a part of** 
 a team of product managers focused on payments, you will also work cross functionally with Technical Product Owners and Development teams, Marketing, Sales, and Customer Support teams to drive remarkable marketplace results.
**To succeed in this role, you should have the following skills and experience**
* Depth of experience and knowledge in the card payments industry, networks, and the competitive landscape
* 2\+ years’ relevant work experience specifically in Product Management, with recent go\-to\-market execution and/or a background in system conversions.
* Strategic Product Management Experience – Demonstrated success in defining features, collaborating closely with product owners, and executing product strategies, roadmaps, and lifecycle management.
* Strong Market Research \&amp; Analytical Skills – Proven ability to gather, analyze, and apply market intelligence to define strategy and identify customer needs.
* Cross\-Functional Collaboration – Skilled in partnering with architecture, engineering, marketing, and leadership to deliver business\-aligned product outcomes.
* Financial Acumen – Experience developing business cases, pricing models, and ROI analyses to support strategic decisions and financial targets.
* Prefer candidates with Experience with Aha! or similar tools in an agile environment.
* Community Bank experience helpful
**In return, we offer you a** 
 high\-growth, high\-ownership role intentionally positioned for those seeking fast\-tracked career acceleration. Access to hands\-on mentorship from experienced Product Leaders, in a flexible remote/hybrid working environment.
**Why should you join CSI?**
 As a forward\-thinking software provider, Computer Services, Inc. (CSI) helps community and regional financial institutions solve their customers’ needs through open and flexible technologies. In addition to its award\-winning core banking platform, these include the latest in lending, digital banking, payments, financial crime prevention and cybersecurity. Building on its 60\-year track record of personalized service, CSI is shaping the future of banking and empowering its customers to rival their competition. For more information about CSI, visit www.csiweb.com
 CSI provides rewarding and challenging career opportunities for our employees. When determining your pay, we consider various factors such as your skills, qualifications, experience and location. Along with a competitive salary, this position includes eligibility for incentive awards based on both individual and business performance. We also offer a comprehensive range of benefits. To learn more about our benefits, visit: Benefits Summary
 CSI is an Equal Opportunity Employer. All qualified applicants will receive consideration for employment without regard to race, color, religion, sex, pregnancy, sexual orientation, gender identity, national origin, age, physical and mental disability, marital status, veteran status, or any other characteristic protected by applicable law. If you need an accommodation during the recruitment process, please email us at recruiter@csiweb.com and we will work with you to meet your accessibility needs.
 For applicants residing in California, please read Privacy Notice for California Residents \| CSI (csiweb.com)
 Visa Sponsorship: We are unable to offer visa sponsorship for this position. Applicants must be authorized to work in the United States without the need for sponsorship now or in the future.</t>
        </is>
      </c>
    </row>
    <row r="109">
      <c r="A109" t="inlineStr">
        <is>
          <t>li-4364990623</t>
        </is>
      </c>
      <c r="B109" t="inlineStr">
        <is>
          <t>Product Owner</t>
        </is>
      </c>
      <c r="C109" t="inlineStr">
        <is>
          <t>Lensa</t>
        </is>
      </c>
      <c r="D109" t="inlineStr">
        <is>
          <t>linkedin</t>
        </is>
      </c>
      <c r="E109">
        <f>HYPERLINK("https://www.linkedin.com/jobs/view/4364990623", "https://www.linkedin.com/jobs/view/4364990623")</f>
        <v/>
      </c>
      <c r="F109" t="inlineStr"/>
      <c r="G109" t="inlineStr">
        <is>
          <t>Atlanta, GA</t>
        </is>
      </c>
      <c r="H109" t="inlineStr"/>
      <c r="I10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Unum Group. Clicking "Apply Now" or "Read more" on Lensa redirects you to the job board/employer site. Any information collected there is subject to their terms and privacy notice.
 When you join the team at Unum, you become part of an organization committed to helping you thrive.
**Benefits**
 Here, we work to provide the employee benefits and service solutions that enable employees at our client companies to thrive throughout life’s moments. And this starts with ensuring that every one of our team members enjoys opportunities to succeed both professionally and personally. To enable this, we provide:
* Award\-winning culture
* Inclusion and diversity as a priority
* Performance Based Incentive Plans
* Competitive benefits package that includes: Health, Vision, Dental, Short \&amp; Long\-Term Disability
* Generous PTO (including paid time to volunteer!)
* Up to 9\.5% 401(k) employer contribution
* Mental health support
* Career advancement opportunities
* Student loan repayment options
* Tuition reimbursement
* Flexible work environments
* All the benefits listed above are subject to the terms of their individual Plans .
 And that’s just the beginning…
 With 10,000 employees helping more than 39 million people worldwide, every role at Unum is meaningful and impacts the lives of our customers. Whether you’re directly supporting a growing family, or developing online tools to help navigate a difficult loss, customers are counting on the combined talents of our entire team. Help us help others, and join Team Unum today!
**General Summary**
 We’re seeking an Agile Product Owner to join our team!
 This role blends strategy and delivery, partnering with IT and business stakeholders to define the roadmap, drive feature development, and ensure operational readiness for new capabilities.
 You’ll work closely with development teams during PI planning, remove roadblocks, and keep the team focused on delivering what matters most.
 The ideal candidate brings product management or ownership experience, strong knowledge of Scaled Agile, and the ability to influence stakeholders while maintaining executive presence. Experience building digital, mobile first consumer\-facing portals is highly valued.
**Specifications**
* Bachelor’s degree preferred, or equivalent combination of education and experience
* Strong verbal, written communication and presentation skills, including the ability to translate technical subject matter to nontechnical audiences
* Demonstrated success in progressive delivery of technical projects
* Proven ability to lead a team, influence with and without authority, challenge the status quo, and create a competitive advantage for the organization
* Product Owner certification preferred (PSPO and/or CSPO)
* Proven understanding of product management lifecycle and agile methodologies
* IT technical acumen to effectively collaborate with architects, designers and all DevOps team members
* Experience developing and understanding digital technology roadmaps, including identification and understanding of technical requirements
* Strong interpersonal skills and track record of engaging with customers and cross\-functional stakeholders at all levels; demonstrated ability to listen, influence, and relate to stakeholders in their own language
* Ability to help inform leaders in making difficult decisions
* Creative thinker and problem solver who can confidently express complex ideas in an articulate, concise manner
* Experience in negotiation and persuasion skills
* High levels of ownership and accountability; self\-starter able to navigate ambiguity and chart a path forward
* Ability to champion change and support teams through change
* Able to coach, mentor, and identify and address skill gaps for continuous improvement of self and team
* Demonstrated results aligned with Our Value principles
* Some travel may be required
**Responsibilities**
* Develop business cases and cost\-benefit analyses within product scope.
* Align IT delivery roadmap with the strategic annual product roadmap.
* Identify business opportunities and execute on the product roadmap.
* Define product and adoption KPIs with business partners and cascade metrics through development and delivery activities.
* Maintain a holistic understanding of client personas; engage internal and external clients to validate assumptions and articulate needs to the Agile team.
* Translate client needs from discovery into prioritized product backlog items, including acceptance criteria (features, user stories).
* Ensure client feedback informs prioritization, trade\-offs, and roadmap decisions.
* Build and maintain an updated, prioritized product backlog that includes technical work for long\-term integrity.
* Apply Agile methodologies and frameworks (e.g., Customer Journey, Program Ways of Working) throughout delivery.
* Use tools and techniques (focus groups, surveys, usability sessions, prototyping) to gather client insights and feedback.
* Apply tactical Agile practices for work decomposition, planning, estimation, backlog management, and status reporting.
* Maintain internal business expertise and monitor industry trends, technology, and market advancements.
* Share best practices and actively participate in Product Owner forums.
* Ensure operational readiness for new capabilities moving to production.
* Partner with operational leaders to design digital adoption strategies.
* Track benefit realization and monitor KPIs for deployed solutions; incorporate feedback into future backlog enhancements.
* Use backlog management tools to report metrics, status, and progress toward deployment.
* Monitor delivery progress against timelines and communicate adjustments as needed.
 \~IN1
 Unum and Colonial Life are part of Unum Group, a Fortune 500 company and leading provider of employee benefits to companies worldwide. Headquartered in Chattanooga, TN, with international offices in Ireland, Poland and the UK, Unum also has significant operations in Portland, ME, and Baton Rouge, LA \- plus over 35 US field offices. Colonial Life is headquartered in Columbia, SC, with over 40 field offices nationwide.
 Unum is an equal opportunity employer, considering all qualified applicants and employees for hiring, placement, and advancement, without regard to a person's race, color, religion, national origin, age, genetic information, military status, gender, sexual orientation, gender identity or expression, disability, or protected veteran status.
 The base salary range for applicants for this position is listed below. Unless actual salary is indicated above in the job description, actual pay will be based on skill, geographical location and experience.
 $89,400\.00\-$183,500\.00
 Additionally, Unum offers a portfolio of benefits and rewards that are competitive and comprehensive including healthcare benefits (health, vision, dental), insurance benefits (short \&amp; long\-term disability), performance\-based incentive plans, paid time off, and a 401(k) retirement plan with an employer match up to 5% and an additional 4\.5% contribution whether you contribute to the plan or not. All benefits are subject to the terms and conditions of individual Plans.
**Company**
 Unum
 If you have questions about this posting, please contact support@lensa.com</t>
        </is>
      </c>
    </row>
    <row r="110">
      <c r="A110" t="inlineStr">
        <is>
          <t>li-4364983748</t>
        </is>
      </c>
      <c r="B110" t="inlineStr">
        <is>
          <t>PRODUCT MANAGER, Data Platform</t>
        </is>
      </c>
      <c r="C110" t="inlineStr">
        <is>
          <t>Zelis</t>
        </is>
      </c>
      <c r="D110" t="inlineStr">
        <is>
          <t>linkedin</t>
        </is>
      </c>
      <c r="E110">
        <f>HYPERLINK("https://www.linkedin.com/jobs/view/4364983748", "https://www.linkedin.com/jobs/view/4364983748")</f>
        <v/>
      </c>
      <c r="F110">
        <f>HYPERLINK("https://zelis.wd1.myworkdayjobs.com/ZelisCareers/job/US-NJ-Morristown/Product-Manager\u002d\u002dBI_JR109758?source=LinkedIn&amp;urlHash=gnge", "https://zelis.wd1.myworkdayjobs.com/ZelisCareers/job/US-NJ-Morristown/Product-Manager\u002d\u002dBI_JR109758?source=LinkedIn&amp;urlHash=gnge")</f>
        <v/>
      </c>
      <c r="G110" t="inlineStr">
        <is>
          <t>New Jersey, United States</t>
        </is>
      </c>
      <c r="H110" t="inlineStr"/>
      <c r="I110"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**PRODUCT MANAGER, Data Platform**
 Our enterprise Data and Technology team at Zelis is seeking a driven and analytical Product Manager, Data Platform to join our technical product team. As a Product Manager, you will orchestrate the product lifecycle of an internal data platform in close collaboration with engineering leads through definition of business requirements, coordination with various technical and non\-technical teams, and facilitation of a robust pipeline for internal use cases. Together with other product managers, you’ll be responsible for delivering on our product roadmap to support the current and future needs of the business.
 We are looking for someone passionate about data management, engineering, and analytics with strong product management experience to join our growing technical product team.
**Responsibilities**
* Become an expert in your product areas, acting as the go to person for other stakeholders before speaking to the technical data and software engineering teams
* Collaborate with software engineers, data engineers and other product teams to scope new or refine existing platform features and data capabilities that increase business value, adoption, and user engagement
* Draft clear and concise business requirements and technical product documentation
* Interface with internal to Zelis engineering and product teams to manage the intake process for new requests
* Understand how your product areas link into the wider roadmap and be able to highlight both dependencies and opportunities for growth
* Define key performance indicators to evaluate products
* Be the voice of the customer in technical discussions and facilitate the relationship between the application teams and technical data teams for your product areas
* Work with cross\-functional teams and various stakeholders, including engineering, architecture, operations, product, marketing, partnerships, and customer success
* Collaborate with technical product analysts to support engineering teams through the delivery lifecycle
**Experience**
* 3\+ years of technical product management experience with demonstrated ability to define product scope and deliver alongside technical teams
* An ability to listen to diverse audiences, identify requirements, gaps and barriers, and translate needs into product features
* Technical depth that enables you to collaborate with software engineers and data engineers to drive technical discussions about design of data visualizations, data models, ETLs, deployment of data infrastructure
* Possess strong communication skills, with clear verbal communication as well as explicit and mindful written communication skills
* Strong understanding of Data Management, Data Engineering, ETLs, Cloud Engineering, and Product Analytics concepts and other data tools such as SQL, Python, R, Spark, AWS, Azure, Airflow, Snowflake, and PowerBI
* Understanding of concepts related to Data Privacy, Data Governance, Data Masking, Roles Based Access Controls
* Well\-versed in Agile frameworks and product tools such as Jira and Confluence
* Experience collecting and collating use cases and managing intake processes for new features
* Open to candidates with either B2B or B2C experience and outside the healthcare industry; critical to success in this role is being intellectually curious, a self\-starter, and experience building data products
**EOE Committed to Diversity**
***Please note at this time we are unable to proceed with candidates who require visa sponsorship now or in the future.***
**Location and Workplace Flexibility**
 We have offices in Atlanta GA, Boston MA, Morristown NJ, Plano TX, St. Louis MO, St. Petersburg FL, and Hyderabad, India. We foster a hybrid and remote friendly culture, and all our employee's work locations are based on the needs of the position and determined by the Leadership team. In\-office work and activities, if applicable, vary based on the work and team objectives in accordance with Company policies.
**Base Salary Range**
 $105,000\.00 \- $133,000\.00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row>
    <row r="111">
      <c r="A111" t="inlineStr">
        <is>
          <t>li-4362004265</t>
        </is>
      </c>
      <c r="B111" t="inlineStr">
        <is>
          <t>Principal Product Manager - Financial Apps - CH</t>
        </is>
      </c>
      <c r="C111" t="inlineStr">
        <is>
          <t>Digital Asset</t>
        </is>
      </c>
      <c r="D111" t="inlineStr">
        <is>
          <t>linkedin</t>
        </is>
      </c>
      <c r="E111">
        <f>HYPERLINK("https://www.linkedin.com/jobs/view/4362004265", "https://www.linkedin.com/jobs/view/4362004265")</f>
        <v/>
      </c>
      <c r="F111" t="inlineStr"/>
      <c r="G111" t="inlineStr"/>
      <c r="H111" t="inlineStr"/>
      <c r="I111" t="inlineStr">
        <is>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 6\+ years of end\-to\-end Product Management experience, with a proven track record of shipping successful products in Fintech or Web3\.
* Proven experience managing the full product lifecycle, from product discovery (0 to 1\) to delivery and scaling operations (1 to N).
* You have either built and scaled dApps in the DeFi ecosystem (AMMs, Lending protocols, Perps, Stablecoins) OR managed high\-volume (SaaS) applications in the payment/TradFi space.
* Understanding of Distributed Ledger technology and familiarity with popular layer 1/2 ecosystems is required.
* BIG BONUS: You have a demonstrable understanding of how apps on the Canton Network are built and operated.
* You are comfortable discussing business models, pricing strategies and tokenomics.
* Experience building products for institutional clients, understanding regulatory constraints and compliance needs across jurisdictions.
* While not a developer, you can confidently discuss application architecture, smart contract logic, and settlement workflows with engineers.
* Excellent communication skills in English.
* Be willing to work at least 3 days per week from one of our offices (New York, Zürich, London or Budapest).
**Job Responsibilities**
**Opportunity**
 Canton Network is delivering what others promised but couldn’t: a blockchain for finance that actually works. As the only open layer 1 blockchain network with configurable privacy and controls sufficient for regulatory compliance, it is the venue where DeFi and TradFi are converging.
 As this convergence accelerates, we need holistic product leaders who can bridge the gap between complex blockchain capabilities and real\-world business value. We are looking for a product manager who has been in the trenches, having built high\-volume applications in traditional payments or successfully launched dApps in the DeFi space.
 In this role, you will own the end\-to\-end lifecycle of mission\-critical B2B(2C/2B) Financial Apps built by Digital Asset on the Canton Network. You will move beyond feature delivery to define business models, commercial strategies and operational excellence. You will engage directly with major financial institutions and ecosystem partners to uncover their deepest pain points, translating them into scalable solutions that drive network volume. You will be the pivot point between our product development teams and our commercial success, ensuring that we build products that generate sustainable value for our clients and the network.
* Discover, deliver and operate the product strategy, ensuring alignment with Financial Apps unit goals and the commercial viability of the product by defining clear business models and go\-to\-market strategies.
* Create and maintain the product roadmap in consultation with unit leadership, prioritizing features that drive adoption among institutional partners and ecosystem developers.
* Handle the end\-to\-end release of products and features in coordination with your engineering colleagues and other stakeholders, from initial concept to post\-release operations.
* Conduct rapid experimentation to validate value and feasibility before full\-scale development begins, mitigating risk and ensuring we build what the market truly needs.
* Actively capture and channel market/user insights back into your product to adapt the development of it going forth.
* Create and maintain reporting on Key Value Indicators (KVIs) specific to your product, i.e. you will track success metrics regarding volume, adoption and revenue to drive data\-informed decision\-making.
* Create and keep up\-to\-date all internal and external product\-related documentation, ensuring that sales, marketing and support teams are aligned on the product’s capabilities and value proposition.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$180,000 to $220,000\.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t>
        </is>
      </c>
    </row>
    <row r="112">
      <c r="A112" t="inlineStr">
        <is>
          <t>li-4361954693</t>
        </is>
      </c>
      <c r="B112" t="inlineStr">
        <is>
          <t>Associate Product Owner - Provider Services (open to hiring at the Product Owner level)</t>
        </is>
      </c>
      <c r="C112" t="inlineStr">
        <is>
          <t>Wellmark Blue Cross and Blue Shield</t>
        </is>
      </c>
      <c r="D112" t="inlineStr">
        <is>
          <t>linkedin</t>
        </is>
      </c>
      <c r="E112">
        <f>HYPERLINK("https://www.linkedin.com/jobs/view/4361954693", "https://www.linkedin.com/jobs/view/4361954693")</f>
        <v/>
      </c>
      <c r="F112" t="inlineStr"/>
      <c r="G112" t="inlineStr">
        <is>
          <t>Des Moines, IA</t>
        </is>
      </c>
      <c r="H112" t="inlineStr"/>
      <c r="I112" t="inlineStr">
        <is>
          <t>**Job Description**
 The Associate Product Owner is responsible for maximizing the product's value and the agile team's work by ensuring the team’s backlog is prioritized and aligned with customer needs and approved business cases. Builds strong partnerships with stakeholders through continuous communication and feedback to ensure their needs are represented, and the product outcomes are achieved. Develops and conveys the product’s vision to the agile team, outlining and prioritizing work based on business value realization metrics.
 This opportunity has one opening and will support the Provider Services product team. This includes complex systems and business processes used by providers and customer service agents to ensure all value streams are able to run effectively and efficiently. Success in this role will require strong cross\-functional collaboration and strategic partnerships across the organization. The role will work closely with various business and agile teams and will need to effectively collaborate, build consensus, and drive initiatives with key support teams across multiple departments, including Operations and Technology as well as partner with various Product teams and ARTs. The ideal candidate will prioritize high\-value work and align with our program's performance objectives to maximize impact and efficiency.
 Job Leveling Note: This role can be filled at an Associate Product Owner or Product Owner level depending on work experience, skills, and demonstrated ability. We invite you to apply whether you have the minimum experience required described below or if you have much more experience!</t>
        </is>
      </c>
    </row>
    <row r="113">
      <c r="A113" t="inlineStr">
        <is>
          <t>li-4364989579</t>
        </is>
      </c>
      <c r="B113" t="inlineStr">
        <is>
          <t>Lead Product Owner</t>
        </is>
      </c>
      <c r="C113" t="inlineStr">
        <is>
          <t>Lensa</t>
        </is>
      </c>
      <c r="D113" t="inlineStr">
        <is>
          <t>linkedin</t>
        </is>
      </c>
      <c r="E113">
        <f>HYPERLINK("https://www.linkedin.com/jobs/view/4364989579", "https://www.linkedin.com/jobs/view/4364989579")</f>
        <v/>
      </c>
      <c r="F113" t="inlineStr"/>
      <c r="G113" t="inlineStr">
        <is>
          <t>Denver, CO</t>
        </is>
      </c>
      <c r="H113" t="inlineStr"/>
      <c r="I11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Marathon Petroleum Corporation. Clicking "Apply Now" or "Read more" on Lensa redirects you to the job board/employer site. Any information collected there is subject to their terms and privacy notice.
 An exciting career awaits you
 At MPC, we’re committed to being a great place to work – one that welcomes new ideas, encourages diverse perspectives, develops our people, and fosters a collaborative team environment.
 Position Summary
 The Lead Product Owner will join the Measurement, Accounting, \&amp; Scheduling Product Team within the Midstream IT Natural Gas \&amp; NGL Digital Products Line. As a Lead Product Owner, you will play a pivotal role in driving the strategic direction and delivery of innovative IT and OT solutions driving the evolution and reimagining of the measurement, accounting, and scheduling capabilities for NG\&amp;NGL and adjacent Midstream business segments. This role will be expected to identify, collect, and evaluate new technology ideas, strategic extensions, or enhancements to existing products and/or services to determine their potential to address customer needs and to achieve goals in revenue growth and market share. The product owner manages product lifecycles, including intent, definition, design, planning, development, prototyping and testing. Applies design thinking techniques (e.g. user stories, wireframing, prototyping) to define product features. Will work with internal and external partners, vendors, and supplies to select and customize technology products and/or services.
 Key Responsibilities
* Responsible for continuous delivery of value to the customer through compelling and empowering customer experiences, accountable for a complex/ critical product, or multiple related products (within a product family/portfolio).
* Has accountability for leading the development of product roadmaps, prioritizing feature releases, and aligning them with business objectives. Drives cross\-functional collaboration to gather insights, prioritize initiatives, and plan releases effectively.
* Collaborates closely with Agile teams, stakeholders, and business representatives to proactively identify and address challenges that arise during product development, ensuring successful execution of the product strategy.
* Engages senior cross\-functional leaders and proactively addresses and resolves issues, fostering effective communication, and promoting alignment between business and operations teams, UX design, product, engineering, analytics, and customer support teams.
* Organizes stakeholder priorities and works with teams in order to align needs with resources ensuring cadence with customer value, business value, and strategic fit. Consults with the team during planning and grooming sessions and signs off on solutions.
* Prioritizes product backlog, processes, and release plan (for multiple features for a complex or higher profile product) and plans the coordination of interdependencies with scrum team, across other lines of business.
* Works with other teams, ensures team is aligned around similar goals and objectives / cross\-team prioritization. Carries out ongoing analysis of product capability themes in order to support product direction.
* Delivers product innovation, definition, deliverables planning (roadmap), and design of entirely new products to deliver against team and company goals.
* Interprets and communicates product development builds on cross\-departmental knowledge and puts the customer at the heart of all product changes.
* Identifies common client pain points and opportunities and defines right solutions to address; captures stakeholder concerns and implements refinements; serves as the voice of the client, bringing that perspective back to internal stakeholders; serves as an Agile product develop champion across department and/or company.
 Education and Experience
* Bachelor’s Degree in Information Systems or equivalent work experience
* Product Owner certification required; Product Management certification preferred.
* 7\+ years of relevant product owner experience required.
* Experience in Natural Gas and NGL Measurements, Operations Accounting, or Scheduling preferred
* Experience leading deployment and enhancement of Quorum Software Products such as FLOWCAL, TIPS, and TESTit is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QUALIFICATIONS:Bachelor’s Degree in Information Technology, related field or equivalent experience.7\+ years of relevant experience
 As an energy industry leader, our career opportunities fuel personal and professional growth.
 Location:
 Findlay, Ohio
**Job Requisition ID**
 00019774
**Pay Min/Max**
 $119,900\.00 \- $179,800\.00 Salary
**Grade**
 12
 Location Address:
 539 S Main St
 Additional locations:
 Denver, Colorado, San Antonio, Texas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(https://marathonpetroleum.brandextract.com/staged/marathonpetroleum.com/content/documents/Jobs\_/Department\_of\_Labor\_EEOC\_.pdf) . If you need a reasonable accommodation for any part of the application process at Marathon Petroleum LP, please contact our Human Resources Department at talentacquisition@marathonpetroleum.com .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
**About Marathon Petroleum Corporation**
 Marathon Petroleum Corporation (MPC) is a leading, integrated, downstream energy company headquartered in Findlay, Ohio. The company operates the nation's largest refining system. MPC's marketing system includes branded locations across the United States, including Marathon brand retail outlets. MPC also owns the general partner and majority limited partner interest in MPLX LP, a midstream company that owns and operates gathering, processing, and fractionation assets, as well as crude oil and light product transportation and logistics infrastructure.
 If you have questions about this posting, please contact support@lensa.com</t>
        </is>
      </c>
    </row>
    <row r="114">
      <c r="A114" t="inlineStr">
        <is>
          <t>li-4364960879</t>
        </is>
      </c>
      <c r="B114" t="inlineStr">
        <is>
          <t>Product Manager, Ads Formats</t>
        </is>
      </c>
      <c r="C114" t="inlineStr">
        <is>
          <t>Uber Advertising</t>
        </is>
      </c>
      <c r="D114" t="inlineStr">
        <is>
          <t>linkedin</t>
        </is>
      </c>
      <c r="E114">
        <f>HYPERLINK("https://www.linkedin.com/jobs/view/4364960879", "https://www.linkedin.com/jobs/view/4364960879")</f>
        <v/>
      </c>
      <c r="F114">
        <f>HYPERLINK("https://tnl2.jometer.com/v2/job?jz=5wqzse94b8f6bc04ab2c14c7fe5007e92109cLUALBBQAAADQ&amp;iis=Job%20Board%20-%20Recruitment%20Marketing&amp;iisn=LinkedIn&amp;urlHash=2G7E", "https://tnl2.jometer.com/v2/job?jz=5wqzse94b8f6bc04ab2c14c7fe5007e92109cLUALBBQAAADQ&amp;iis=Job%20Board%20-%20Recruitment%20Marketing&amp;iisn=LinkedIn&amp;urlHash=2G7E")</f>
        <v/>
      </c>
      <c r="G114" t="inlineStr">
        <is>
          <t>New York, NY</t>
        </is>
      </c>
      <c r="H114" t="inlineStr"/>
      <c r="I114" t="inlineStr">
        <is>
          <t>**About The Role**
 Uber Ads is looking for a Product Manager to own and evolve our core display and video ad formats. You'll be responsible for some of our most engaging and visual ad products, including Journey Ads, Post\-Checkout, and Billboard placements. This is a high\-ownership IC role where you will lead end\-to\-end product development \- from identifying user and advertiser needs, to building features that improve engagement and monetization. You'll work closely with Design, Engineering, Data Science, and Business teams to ensure your formats strike the right balance between performance and end user experience.
**What The Candidate Will Do**
* Own the strategy, prioritization, and execution of the product roadmap for key ad formats
* Collaborate across functions to design visually compelling and contextually relevant ad formats
* Lead experiments to improve user engagement and advertiser outcomes
* Translate customer insights and business needs into scalable product features
* Own relevant OKRs and monitor performance metrics to continuously iterate on product performance
**Basic Qualifications**
* 3\+ years of product management experience, ideally with consumer\-facing products or advertising products
* Bachelor's degree or equivalent
* Experience working on visual UX, creative formats, or ad design
* Skilled at breaking down complex problems into simple solutions
* Comfort with using data to inform decision\-making and product iterations
* Ability to thrive in a fast\-paced, high\-growth environment
**Preferred Qualifications**
* Prior experience in Ads or digital media
* Strong design sensibility and experience working with creative partners
* Background in a technical or analytical field such as CS, engineering, or data science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15">
      <c r="A115" t="inlineStr">
        <is>
          <t>li-4364991485</t>
        </is>
      </c>
      <c r="B115" t="inlineStr">
        <is>
          <t>Associate Product Manager</t>
        </is>
      </c>
      <c r="C115" t="inlineStr">
        <is>
          <t>Lensa</t>
        </is>
      </c>
      <c r="D115" t="inlineStr">
        <is>
          <t>linkedin</t>
        </is>
      </c>
      <c r="E115">
        <f>HYPERLINK("https://www.linkedin.com/jobs/view/4364991485", "https://www.linkedin.com/jobs/view/4364991485")</f>
        <v/>
      </c>
      <c r="F115" t="inlineStr"/>
      <c r="G115" t="inlineStr">
        <is>
          <t>Jackson, TN</t>
        </is>
      </c>
      <c r="H115" t="inlineStr"/>
      <c r="I11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MAT Holdings. Clicking "Apply Now" or "Read more" on Lensa redirects you to the job board/employer site. Any information collected there is subject to their terms and privacy notice.
 Join our vertically integrated team at MAT Holdings, Inc., a leading global manufacturer with a 40\-year history. We're proud to provide employment opportunities for more than 14,000 employees across 12 countries. Headquartered in Long Grove, Illinois, we have over 40 factories on three continents, including 2\.1 million square feet of U.S. distribution and manufacturing space.
 You will find our products in home improvement centers, big box retailers, hardware stores and automotive chains. They're in the cars you drive, the trailers you tow, and the heavy\-duty machinery you operate.
 MAT can maintain consistent expertise and solutions across the entire supply chain. We’re experts in engineering, manufacturing, quality assurance, logistics and distribution, marketing, design, and customer service — we don't just make it happen, we ensure it happens with excellence.
 We’re more than manufacturing, we’re MAT.
**Benefits**
* MAT Holdings Inc. and its subsidiaries offer a complete benefits package that includes medical, dental, vision, and disability insurance after 60 days of employment
* Paid Time Off (PTO), including paid vacation, sick days, and paid holidays
* 401k Retirement Plan \+ Company Match
* Career Advancement Program, training and development
* Wellness Programs, including fitness reimbursements and mental health support
* Health Savings Account (HSA) and Flexible Spending Accounts (FSA)
* Voluntary Life / AD\&amp;D , Employer Provided Life/AD\&amp;D
* and More
 A member of MAT Holdings Inc., MAT Industries, LLC, engineers and manufactures a broad line of air compressors sold under theCampbell Hausfeld®, Powermate® (http://www.powermateair.com/) , PROFORCE®,Industrial Air® (http://www.industrialairusa.com/aircompressors.php) , andIndustrial Air Contractor® (http://www.industrialaircontractor.com/) brands as well as established private label names sold at home centers, hardware, farm co\-ops, and industrial distributors across North America. With in\-house product development, engineering, marketing services, and complete vertical integration in the manufacturing process, the company is uniquely positioned to meet the application requirements of both consumers and contractors. We also provide on\-line tools to help consumers and contractors choose the right compressor for the job.
 This is a dynamic position reporting to the VP of Marketing. The ideal Associate Product Manager candidate needs to be a motivated, organized and self\-starter. This position will be required to be on\-site in our Manufacturing Facility, located in Jackson.
 The Associate Product Manager will manage several SKU intensive categories and be adept in launching products from conception to production. Effectively manage and communicate the strategic category plan and annual planning horizons to cross\-functional teams. Work with third party vendors to ensure a competitive cost, high quality and timely completion of projects.
* Work closely with key Marketing, Engineering, and Supply Chain resources focused on creating, qualifying and positioning direct import and domestic manufactured products
* Conduct strategic analysis to effectively communicate annual planning horizons for import \&amp; domestic products
* Evaluate market trends and competitive analysis to support marketing objectives
* Work with cross\-functional teams to ensure project objectives and timely completion of projects
* Work with third\-party domestic and international vendors to ensure cost targets and active project management
**Qualifications**
* Require a Bachelor’s degree or equivalent work experience
* Prefer 1\+ years of experience in launching products from conception, production, and distribution within consumer retail, independent dealers, and rental markets
* Effective communicator and strong project management skills
* Proven team player, customer\-oriented (both internal and external)
* Must be willing to be on\-site in our Manufacturing Facilities, located in Jackson, TN
* Able to interface with all levels of management and across functional groups
* Great problem\-solving skills
* Solid Microsoft Office skills (PowerPoint, Excel \&amp; Word)
* Ability to write clearly and to conduct data analysis
 All your information will be kept confidential according to EEO guidelines. This is a full\-time, direct\-hire position.
 If you have questions about this posting, please contact support@lensa.com</t>
        </is>
      </c>
    </row>
    <row r="116">
      <c r="A116" t="inlineStr">
        <is>
          <t>li-4365006077</t>
        </is>
      </c>
      <c r="B116" t="inlineStr">
        <is>
          <t>Product Manager - REMOTE</t>
        </is>
      </c>
      <c r="C116" t="inlineStr">
        <is>
          <t>Jobgether</t>
        </is>
      </c>
      <c r="D116" t="inlineStr">
        <is>
          <t>linkedin</t>
        </is>
      </c>
      <c r="E116">
        <f>HYPERLINK("https://www.linkedin.com/jobs/view/4365006077", "https://www.linkedin.com/jobs/view/4365006077")</f>
        <v/>
      </c>
      <c r="F116" t="inlineStr"/>
      <c r="G116" t="inlineStr">
        <is>
          <t>Arizona, United States</t>
        </is>
      </c>
      <c r="H116" t="inlineStr"/>
      <c r="I116" t="inlineStr">
        <is>
          <t>This position is posted by Jobgether on behalf of a partner company. We are currently looking for a Product Manager \- REMOTE. In this role, you will drive the product vision and roadmap for a Client Portal, ensuring it aligns with key strategic objectives while catering to the unique needs of clients in various regions. You will engage with stakeholders, prioritize features, and collaborate with cross\-functional teams to enhance client satisfaction. Your strategic mindset and insurance knowledge will be essential for navigating competitive priorities and creating a product that effectively serves the needs of small and mid\-sized businesses.
**Accountabilities**
* Establish a clear product vision for the Client Portal that aligns with the company's mission.
* Develop a product roadmap prioritizing features based on client needs and business objectives.
* Collaborate with regional stakeholders and various lines of business.
* Engage with senior stakeholders to gather insights and understand regional priorities.
* Work closely with the delivery team to provide essential features and direction.
* Balance competing priorities while ensuring alignment with business strategy.
* Analyze product performance metrics and user feedback for informed decision\-making.
**Requirements**
* 8\+ years of experience in product management, preferably in insurance or financial services.
* Bachelor’s degree in Business, Computer Science, or related field; MBA preferred.
* Previous insurance agency/brokerage experience is essential.
* Proven track record in delivering successful digital products.
* Strong analytical and problem\-solving skills.
* Excellent communication and interpersonal skills.
* Familiarity with Agile methodologies and project management tools.
* Understanding of web development technologies and frameworks.
* Experience with data analytics tools.
**Benefits**
* Generous time off, including personal and volunteering days.
* Tuition reimbursement and professional development opportunities.
* Remote work flexibility.
* Charitable contribution match programs.
* Stock purchase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7">
      <c r="A117" t="inlineStr">
        <is>
          <t>li-4360959323</t>
        </is>
      </c>
      <c r="B117" t="inlineStr">
        <is>
          <t>Senior Technical Product Manager</t>
        </is>
      </c>
      <c r="C117" t="inlineStr">
        <is>
          <t>Unison</t>
        </is>
      </c>
      <c r="D117" t="inlineStr">
        <is>
          <t>linkedin</t>
        </is>
      </c>
      <c r="E117">
        <f>HYPERLINK("https://www.linkedin.com/jobs/view/4360959323", "https://www.linkedin.com/jobs/view/4360959323")</f>
        <v/>
      </c>
      <c r="F117" t="inlineStr"/>
      <c r="G117" t="inlineStr">
        <is>
          <t>Omaha, NE</t>
        </is>
      </c>
      <c r="H117" t="inlineStr"/>
      <c r="I117" t="inlineStr">
        <is>
          <t>**About the role:**
 Unison is seeking a Senior Technical Product Manager to own and evolve the core platform that powers our proprietary origination and servicing systems. This is a highly visible, high\-impact role at the center of Unison’s technology ecosystem, responsible for defining and executing the product strategy for shared services, internal APIs, and critical third\-party integrations.
 As a senior leader within Product, you will operate at the intersection of engineering, business operations, compliance, and customer experience. You will translate complex business needs into scalable technical solutions, ensure our platform is built for reliability and long\-term growth, and enable product teams across the organization to move faster with confidence. You will partner closely with Engineering leadership, act as the voice of internal platform consumers, and help set the technical product standards that underpin Unison’s future.
 This role is ideal for a strategic, technically fluent product manager who thrives in complex environments and enjoys building the foundational systems that power differentiated financial products.
*This is a hybrid position with the requirement of 3 full days (Tues\-Thurs) in our Omaha, NE office.*
**Responsibilities:**
* Define, own, and execute the product vision, strategy, and roadmap for Unison’s core platform services, internal APIs, and third\-party integrations.
* Serve as the primary product owner for platform capabilities, translating complex business, operational, and regulatory needs into clear, prioritized epics, features, and technical requirements.
* Partner closely with Engineering to shape architectural decisions, evaluate trade\-offs, and ensure solutions are scalable, secure, resilient, and maintainable.
* Establish and reinforce platform product principles that emphasize modularity, reusability, observability, and developer experience across all product teams.
* Own the end\-to\-end lifecycle for vendor and partner integrations, including discovery, implementation, performance monitoring, and ongoing optimization.
* Collaborate with stakeholders across Product, Operations, Risk, Legal, Compliance, and Finance to ensure platform capabilities align with business objectives and regulatory requirements.
* Define and track platform success metrics and KPIs, such as system reliability, developer velocity, integration performance, time\-to\-market, and operational efficiency.
* Drive data\-informed product decisions, using qualitative feedback and quantitative insights to prioritize investments and continuously improve platform capabilities.
* Facilitate backlog refinement, sprint planning, and roadmap reviews, ensuring engineering teams are set up for clarity, focus, and sustained delivery.
* Identify technical and operational risks early and proactively develop mitigation strategies.
* Contribute to the evolution of Unison’s product management practices, mentoring junior product managers and raising the bar for technical product excellence.
**About you:**
* 6–9\+ years of product management experience, including significant experience as a Technical Product Manager owning platform, infrastructure, or internal\-facing products.
* Strong preference for experience within financial services, fintech, mortgage, real estate, or other regulated industries.
* Proven ability to own complex, cross\-functional products end to end, from discovery and strategy through delivery, launch, and iteration.
* Deep technical fluency with modern software architectures, including APIs, microservices, cloud\-native infrastructure, data pipelines, and system integrations.
* Demonstrated success translating ambiguous business and operational needs into clear, prioritized technical backlogs.
* Strong stakeholder management skills, with the ability to influence without authority and align diverse teams around a shared vision.
* Comfort operating in a highly regulated environment, with a working understanding of compliance, data security, and privacy considerations.
* Experience working closely with engineering teams using Agile and Lean methodologies (Scrum, Kanban, or hybrid models).
* Familiarity with CRM and workflow platforms (e.g., Salesforce) and enterprise integration patterns is a plus.
* Experience optimizing internal developer experience (DX) or platform usability for internal consumers is a strong plus.
* Excellent written and verbal communication skills, with the ability to clearly articulate technical concepts to non\-technical audiences.
 We recognize that people come with experience and talent beyond just the technical requirements of a job. If your experience is close to what you see listed here, please still consider applying. Diversity of experience and skills combined with passion is a key to innovation and excellence. Therefore, we encourage people from all backgrounds to apply to our positions. Please let us know if you require accommodations during the interview process.
**Why join us?**
 The Unison team draws on a deep and wide range of talent across several disciplines. Visionaries in investment management, product development, and financial technology are joined by innovative real estate and consumer finance experts creating a unique culture.
 Perks of the Unison employee include: competitive salaries, 100% paid medical and dental benefits, generous PTO policy, paid parental leave program, and fantastic downtown SF and Omaha locations, as well as being an integral part of a well\-funded market leader with incredible momentum.
**About us:**
 Unison is a San Francisco\-based company that is pioneering a smarter, better way to own your home. Until now, the only way to finance a home was by taking on debt. Through the Unison Agreement, we help homeowners access their equity flexibly with no monthly payments or interest. We enhance home affordability, reduce debt, and deliver a less risky way for homeowners, investors, and society to think about their most important asset \- the home. For additional information, visit www.unison.com or follow us on Facebook, Instagram, LinkedIn, Twitter and YouTube.
 The last few years have been record breaking for Unison. We expanded our offering to 30 states, surpassed the $5B mark in real estate investments and partnered with over 7K customers through our HomeBuyer and HomeOwner programs. This tremendous growth was recognized by the Deloitte Technology Fast500 awards two years in a row as well as being included in the most recent Forbes Fintech50\.
 Unison provides equal employment opportunity to all individuals regardless of their race, age, creed, color, religion, national origin or ancestry, sex, gender, disability, veteran status, genetic information, sexual orientation, gender identity or expression, pregnancy, or any other characteristic protected by state, federal, or local law.</t>
        </is>
      </c>
    </row>
    <row r="118">
      <c r="A118" t="inlineStr">
        <is>
          <t>li-4364994529</t>
        </is>
      </c>
      <c r="B118" t="inlineStr">
        <is>
          <t>Senior Principal Product Manager/Strategy</t>
        </is>
      </c>
      <c r="C118" t="inlineStr">
        <is>
          <t>Lensa</t>
        </is>
      </c>
      <c r="D118" t="inlineStr">
        <is>
          <t>linkedin</t>
        </is>
      </c>
      <c r="E118">
        <f>HYPERLINK("https://www.linkedin.com/jobs/view/4364994529", "https://www.linkedin.com/jobs/view/4364994529")</f>
        <v/>
      </c>
      <c r="F118" t="inlineStr"/>
      <c r="G118" t="inlineStr">
        <is>
          <t>Atlanta, GA</t>
        </is>
      </c>
      <c r="H118" t="inlineStr"/>
      <c r="I11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Defunct. Clicking "Apply Now" or "Read more" on Lensa redirects you to the job board/employer site. Any information collected there is subject to their terms and privacy notice.
**Job Description**
**Drive What's Next in People Leadership**
 At Oracle, we're helping global organizations lead with confidence\-through data, intelligence, and speed. The
 **People Leader Workbench** 
 is our premier platform for executive and manager decision\-making, delivering trusted insights across People, financial, business \&amp; operational data. Be it to improve performance, increase retention, manage compensation, or optimize workforce skills and manage effectiveness.
 Now, we're taking it further\-with
 **AI\-driven, agentic experiences** 
 that inform leaders, while also
 **guiding them to execution and action** 
 .
 We're looking for a
 **Principal Product Manager** 
 to lead this next chapter\-embedding
 **AI, machine learning, and intelligent agents** 
 into the Workbench, helping leaders not just understand what's happening, but know what to do next.
**What You'll Lead**
* Agentic Intelligence at Scale \- Collaborate with the PM team to define and deliver decision flows that are fast, contextual, and actionable\-from insight to outcome\- in an AI first approach.
* AI in the Workflow \- Embed intelligent agents that help leaders ask smarter questions, evaluate risks, and respond in real time.
* Predictive \+ Prescriptive \- Partner with data science teams to turn models into business value\-powering scenario planning, retention forecasting, pay equity detection, and more.
* AI That Builds Trust \- Ensure explainability, data privacy, and regulatory alignment across global markets.
* Design for Impact \- Collaborate across UX, engineering, and compliance to deliver intuitive, outcome\-focused experiences that scale.
**What We Expect**
* A product leader with 7\+ years in enterprise AI, analytics, or data\-driven software.
* Translate complex People Intelligence and workforce problems into PRDs that define clear agentic use cases, required capabilities, and measurable success metrics.
* Design goal\-driven, multi\-step AI agents that can:
* Reason over structured and unstructured workforce data
* Design and orchestrate Agentic tools that can recommend next\-best actions and decisions
* Partner with engineering and data science to align on LLM usage, prompt strategies, RAG architectures, and evaluation frameworks
* Define agent behaviors including memory, context awareness, explainability, confidence, and enterprise guardrails
**Bonus If You Bring**
* Familiarity with Oracle HCM, Fusion Analytics, or other workforce platforms.
* Experience building tools for CHROs, COOs, or people managers.
* A strong foundation in responsible AI, agent frameworks, or decision intelligence systems.
**Why This Role, Why Now**
 Businesses are demanding more from their leaders\-and Oracle is delivering the technology to match. In this role, you'll define how our customers lead\-
 **with clarity, foresight, and precision** 
 .
 Join us to build the future of leadership decision\-making.
**Apply now and lead where it matters most.**
**Responsibilities**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$115,400 to $251,600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19">
      <c r="A119" t="inlineStr">
        <is>
          <t>li-4365000697</t>
        </is>
      </c>
      <c r="B119" t="inlineStr">
        <is>
          <t>Associate Product Manager -Pricing Data</t>
        </is>
      </c>
      <c r="C119" t="inlineStr">
        <is>
          <t>Curinos</t>
        </is>
      </c>
      <c r="D119" t="inlineStr">
        <is>
          <t>linkedin</t>
        </is>
      </c>
      <c r="E119">
        <f>HYPERLINK("https://www.linkedin.com/jobs/view/4365000697", "https://www.linkedin.com/jobs/view/4365000697")</f>
        <v/>
      </c>
      <c r="F119">
        <f>HYPERLINK("https://workforcenow.adp.com/mascsr/default/mdf/recruitment/recruitment.html?cid=4d6d36b1-bedf-4c57-88e7-3817e50bbf21&amp;ccId=19000101_000001&amp;lang=en_US&amp;jobId=606704&amp;source=LI&amp;urlHash=pK-x", "https://workforcenow.adp.com/mascsr/default/mdf/recruitment/recruitment.html?cid=4d6d36b1-bedf-4c57-88e7-3817e50bbf21&amp;ccId=19000101_000001&amp;lang=en_US&amp;jobId=606704&amp;source=LI&amp;urlHash=pK-x")</f>
        <v/>
      </c>
      <c r="G119" t="inlineStr">
        <is>
          <t>Georgia, United States</t>
        </is>
      </c>
      <c r="H119" t="inlineStr"/>
      <c r="I119" t="inlineStr">
        <is>
          <t>**Company Description**
 Curinos empowers financial institutions to make better, faster and more profitable decisions through industry\-leading proprietary data, technologies and insights. With decades\-long expertise in the financial services industry and a relentless focus on the future, Curinos technology and analytics ecosystem allows clients to anticipate customer needs and optimize their go\-to market decisions in an increasingly competitive market.
**Job Description**
 Curinos is seeking an Associate Product Manager to support and grow within our Pricing Data product portfolio. This is a developmental, pre\-Product Manager role designed for someone who has worked closely with Product Managers, contributed to value\-driving outcomes, and is ready to take the next step toward a Product Manager career.
 This role has real ownership. You will own a dedicated product pod partnering closely with Engineering and User Experience (UX) while working under close mentorship from a Director of Product Management. High\-performing individuals have a clear, supported path to becoming a Product Manager, including coaching, training, and certification opportunities.
 This role is open to candidates based in the US. It can be performed fully remotely. However, if you are located within commuting distance of our New York City, Boston, Seattle, we encourage a hybrid schedule with in\-office presence two days per week.
**Responsibilities**
**What You’ll Work On**
 Phase 1: Internal Product Enablement
* Support internal Pricing Data tools used to source, ingest, and manage pricing data
* Partner with Product, Engineering,User Experience,Data Operations, and AIPlatformteams to improve efficiency, accuracy, and scalability
* Translate workflows and requirements into user stories, analysis, and delivery plans
 Phase 2: Strategic \&amp; Revenue Impact
* Support Pricing Data offerings that drive client and revenue impact
* Drive market research, client feedback synthesis, and go\-to\-market readiness
* Ensure products align toCurinos’ mission of turning insight into measurable outcomes
 What You’ll Do
* Own and evolvethe product roadmap forCurinosPricing Data,withstrong supportand oversight from senior product leadership \-balancing near\-term execution excellence with longer\-term growth opportunities.
* Partner with Engineering, User Experience, Data Operations, and AI Platformteams to improve delivery scale and execution.
* Activelycontributeto Agile ceremonies, ensuring clear priorities anddelivery impact.
* Conduct client interviews and synthesize feedback to deeply understand pricing\-related jobs to be done.
* Track product and delivery metrics, using data to guide prioritization and iteration.
* Contribute to product strategy and vision across short\- and long\-term horizons.
* Collaborate with Sales and Marketing on product positioning, messaging, and enablement.
* Partner with Data Operations and Client Success to ensure customers realize ongoing value from Pricing Data product
**Salary Range: $120,000 \-$130,000 (plus bonus)**
**Desired Skills \&amp; Expertise**
* 2–4 years of experience in a product analyst, business analyst, data analyst, or similar role
* Experience supporting Product Managers and contributing to shipped outcomes
* Clear interest in growing into a Product Manager role
* Highlycollaborative\&amp; empatheticcandidates that partner wellwith others to help meet and exceed objectives
* Strongownership of project/work and independently drives to completion
* Strong analytical skills and comfort working in data\-rich environments
* Strong communicationskills with the ability to explain complex ideas to varied audiences.
* Experience withAgile delivery
* Proficiencyin Microsoft Office (Excel and PowerPoint) and Jira
* Nice\-to\-have: Experience with Figma (including Figma Make) and SQL.
* Nice\-to\-have: Experience in financial services, pricing, benchmarking, or adjacent domains.
 Growth \&amp; Development
 This role is intentionally designed as a pathway to Product Management, offering:
* Direct mentorship from senior product leaders
* Ownership of a product pod with guided decision\-making
* Access to product training, certifications, and professional development
* Exposure to strategy, discovery, and go\-to\-market work
**Why work at Curinos?**
* Competitive benefits, including a range of Financial, Health and Lifestyle benefits to choose from
* Flexible working options, including home working, flexible hours and part time options, depending on the role requirements – please ask!
* Unlimited PTO policy, floating holidays, volunteering days and a day off for your birthday!
* Learning and development tools to assist with your career development
* Work with industry leading Subject Matter Experts and specialist products
* Regular social events and networking opportunities
* Collaborative, supportive culture, including an active DE\&amp;I program
* Employee Assistance Program which provides expert third\-party advice on wellbeing, relationships, legal and financial matters, as well as access to counselling services
**Applying**
 We know that sometimes the 'perfect candidate' doesn't exist, and that people can be put off applying for a job if they don't meet all the requirements. If you're excited about working for us and have relevant skills or experience, please go ahead and apply. You could be just what we need!
 If you need any adjustments to support your application, such as information in alternative formats, special requirements to access our buildings or adjusted interview formats please contact us at careers@curinos.com and we’ll do everything we can to help.
**Inclusivity At Curinos**
 We believe strongly in the value of diversity and creating supportive, inclusive environments where our colleagues can succeed.  As such, Curinos is proud to be an Equal Opportunity Employer. We do not discriminate on the basis of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citizenship, or other protected characteristics.</t>
        </is>
      </c>
    </row>
    <row r="120">
      <c r="A120" t="inlineStr">
        <is>
          <t>li-4364983572</t>
        </is>
      </c>
      <c r="B120" t="inlineStr">
        <is>
          <t>Product Manager</t>
        </is>
      </c>
      <c r="C120" t="inlineStr">
        <is>
          <t>Lensa</t>
        </is>
      </c>
      <c r="D120" t="inlineStr">
        <is>
          <t>linkedin</t>
        </is>
      </c>
      <c r="E120">
        <f>HYPERLINK("https://www.linkedin.com/jobs/view/4364983572", "https://www.linkedin.com/jobs/view/4364983572")</f>
        <v/>
      </c>
      <c r="F120" t="inlineStr"/>
      <c r="G120" t="inlineStr">
        <is>
          <t>Coraopolis, PA</t>
        </is>
      </c>
      <c r="H120" t="inlineStr"/>
      <c r="I12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Eaton. Clicking "Apply Now" or "Read more" on Lensa redirects you to the job board/employer site. Any information collected there is subject to their terms and privacy notice.
 Eaton’s Power Components Division is currently seeking a Product Manager. This is a hybrid position (3 days on\-site, 2 days remote per week) based at our Moon Township, PA location. Relocation assistance will be provided to candidates currently residing within the US/PR.
 The expected annual salary range for this role is $108749\.97 \- $159499\.96 a year.
 Please note the salary information shown above is a general guideline only. Salaries are based upon candidate skills, experience, and qualifications, as well as market and business considerations.
**What You’ll Do**
 Eaton’s Power Components Division seeks a Product Manager to lead new product development and support global sales for medium voltage circuit breakers (MVCB). Key responsibilities include product lifecycle management, customer engagement, strategic planning, pricing, marketing, and training. The role involves close collaboration with internal teams, OEMs, and supply chain partners to drive growth and profitability. Approximately 10\-20% travel may be required.
**Key Responsibilities**
* Achieve strategic and financial goals for MVCB product line
* Lead product development and commercialization efforts
* Gather customer insights and market intelligence
* Conduct competitive analysis and pricing strategy
* Develop marketing materials and training programs
* Align manufacturing and supply chain with product strategy
* Track product performance and forecast accuracy
**Qualifications**
 Required (Basic) Qualifications:
* Bachelor’s degree from an accredited institution
* Minimum of 5 years of experience in marketing, engineering and/or sales
* Eaton will not consider applicants for employment immigration sponsorship or support for this position. This means that Eaton will not support any CPT, OPT, or STEM OPT plans, F\-1 to H\-1B, H\-1B cap registration, O\-1, E\-3, TN status, I\-485 job portability, etc.
**Preferred Qualifications**
* Bachelor’s degree in Engineering or Business from an accredited institution
* Experience with the application of MV/LV breakers and/or switchgear
**Skills**
* Excellent communication, organizational and interpersonal skills
* Strategic planning ability
* Demonstrated problem\-solving ability
* Ability to learn market influences
* Ability to work effectively in team environment and independently
* Manufacturing/operations awareness, understanding, and financial impact to product line performance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(https://www.youreatonbenefits.com/candidates) for more detail: Eaton Benefits Overview. Please note that specific programs and options available to an employee may depend on eligibility factors such as geographic location, date of hire, and the applicability of collective bargaining agreements.
 If you have questions about this posting, please contact support@lensa.com</t>
        </is>
      </c>
    </row>
    <row r="121">
      <c r="A121" t="inlineStr">
        <is>
          <t>li-4364991124</t>
        </is>
      </c>
      <c r="B121" t="inlineStr">
        <is>
          <t>Product Owner (Data Analytics)</t>
        </is>
      </c>
      <c r="C121" t="inlineStr">
        <is>
          <t>Akkodis Group Nordics</t>
        </is>
      </c>
      <c r="D121" t="inlineStr">
        <is>
          <t>linkedin</t>
        </is>
      </c>
      <c r="E121">
        <f>HYPERLINK("https://www.linkedin.com/jobs/view/4364991124", "https://www.linkedin.com/jobs/view/4364991124")</f>
        <v/>
      </c>
      <c r="F121">
        <f>HYPERLINK("https://www.akkodis.com/en-us/careers/jobs/product-owner-data-analytics-san-antonio/US_EN_6_971574_1612463&amp;urlHash=Q4bq", "https://www.akkodis.com/en-us/careers/jobs/product-owner-data-analytics-san-antonio/US_EN_6_971574_1612463&amp;urlHash=Q4bq")</f>
        <v/>
      </c>
      <c r="G121" t="inlineStr">
        <is>
          <t>San Antonio, TX</t>
        </is>
      </c>
      <c r="H121" t="inlineStr"/>
      <c r="I121" t="inlineStr">
        <is>
          <t>Akkodis is seeking a
 **Product Owner (Data Analytics)** 
 for a
 **Contract** 
 job with a client in
 **San Antonio, TX** 
 . The ideal candidate must have strong experience in data analytics product ownership, Snowflake, and data‑driven solution delivery.
**Rate Range:** 
**$45\.45/hour to $49\.24/hour** 
 ; The rate may be negotiable based on experience, education, geographic location, and other factors.
**Product Owner (Data Analytics) Job Responsibilities Include**
* Define the product vision, roadmap, and feature prioritization for analytics initiatives, ensuring alignment with business goals.
* Partner with data engineering and analytics teams to deliver scalable solutions leveraging Snowflake, Python, and channel analytics.
* Translate business requirements into clear user stories, acceptance criteria, and backlog items.
* Lead Agile ceremonies, collaborate closely with stakeholders, and ensure timely delivery of high‑value analytics features.
* Evaluate performance metrics, gather feedback, and drive continuous improvements across analytics products.
**Desired Qualifications**
* 6–8 years of experience as a Product Owner with strong exposure to data analytics and data‑driven product delivery.
* Hands‑on experience with Snowflake, analytics workflows, data platforms, or cloud data ecosystems.
* Strong understanding of channel analytics, KPIs, data modeling concepts, and Python‑based analytics.
* Experience working in Agile environments, managing backlogs, user stories, and cross‑functional collaboration.
* Excellent communication, problem‑solving, and stakeholder‑management skills.
 If you are interested in this role, then please click APPLY NOW. For other opportunities available at Akkodis, or any questions, feel free to contact me at
 **Gopal.Gupta@** 
**akkodisgroup.com.**
**Pay Details:** 
 $53\.03 to $68\.18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22">
      <c r="A122" t="inlineStr">
        <is>
          <t>li-4364953933</t>
        </is>
      </c>
      <c r="B122" t="inlineStr">
        <is>
          <t>Senior Product Manager - Generative AI</t>
        </is>
      </c>
      <c r="C122" t="inlineStr">
        <is>
          <t>Uber</t>
        </is>
      </c>
      <c r="D122" t="inlineStr">
        <is>
          <t>linkedin</t>
        </is>
      </c>
      <c r="E122">
        <f>HYPERLINK("https://www.linkedin.com/jobs/view/4364953933", "https://www.linkedin.com/jobs/view/4364953933")</f>
        <v/>
      </c>
      <c r="F122" t="inlineStr"/>
      <c r="G122" t="inlineStr">
        <is>
          <t>San Francisco, CA</t>
        </is>
      </c>
      <c r="H122" t="inlineStr"/>
      <c r="I122" t="inlineStr">
        <is>
          <t>**About The Role**
 Are you an AI/ML enthusiast? Does working on Agentic AI excite you? Are you thrilled about building great user experiences? If yes, read on!
 At Uber, Generative AI is becoming a foundational technology across a diverse range of product lines. It powers increasingly intelligent and personalized user experiences in areas such as product discovery \&amp; recommendations, customer support, document processing, merchant assistance, and internal developer productivity tools like coding copilots and on\-call assistants.
 The Applied AI team at Uber is a multidisciplinary team of ML Engineers, Applied Scientists, Backend Engineers, Mobile Engineers and AI Product Managers responsible for developing compelling AI\-driven user\-facing experiences, and leading innovation in Computer Vision, Natural Language Processing, Personalization \&amp; Recommendations, and Generative AI Applications\-at global scale. We need a vision\-driven PM to turn Gen AI breakthroughs into daily delight.
**What The Candidate Will Do**
* Craft and execute bold Gen\-AI products for Riders, Eaters or Drivers.
* Translate fuzzy user pain into lovable, metric\-moving features.
* Partner with Eng/DS/Design to launch fast and iterate faster.
* Understand emerging AI trends and inject the best ideas into the roadmap.
**Basic Qualifications**
* 5\+ years of Product Management experience delivering highly technical ML products.
* Experience launching Gen AI applications or agentic systems, from initial conception to launch.
* Bachelors degree in CS/Eng. This person must be able to spar technically without blinking.
**Preferred Qualifications**
* Former experience as a ML Engineer or Data Scientist
* Data\-driven, driving clarity, collaboration, and ruthless prioritization.
* Elite written \&amp; verbal comms; mjust be mission\-aligned.
 For San Francisco, CA\-based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23">
      <c r="A123" t="inlineStr">
        <is>
          <t>li-4360986353</t>
        </is>
      </c>
      <c r="B123" t="inlineStr">
        <is>
          <t>Product Manager</t>
        </is>
      </c>
      <c r="C123" t="inlineStr">
        <is>
          <t>Cognizant</t>
        </is>
      </c>
      <c r="D123" t="inlineStr">
        <is>
          <t>linkedin</t>
        </is>
      </c>
      <c r="E123">
        <f>HYPERLINK("https://www.linkedin.com/jobs/view/4360986353", "https://www.linkedin.com/jobs/view/4360986353")</f>
        <v/>
      </c>
      <c r="F123" t="inlineStr"/>
      <c r="G123" t="inlineStr"/>
      <c r="H123" t="inlineStr"/>
      <c r="I123" t="inlineStr">
        <is>
          <t>Cognizant’s Engineering practice is seeking a highly skilled
 **Product Manager** 
 to lead the end\-to\-end product strategy, execution, and delivery of the migration from the legacy authorization system to the new enterprise authorization platform. This role is responsible for defining product requirements, aligning cross\-functional stakeholders, and ensuring successful transition of risk\-related functions—including rules, models, controls, and decisioning workflows—to network\-based or platform\-native capabilities.
**Work Model**
 We value flexibility and support a healthy work‑life balance through various well‑being programs.
 This position follows a work Hybrid model and requires
 **3 days per week onsite** 
 at a Cognizant or client office in
 **Phoenix AZ**
**Cognizant will not sponsor H‑1B or other U.S. work authorization for this role.**
 Please note:
 *A few of our roles may require in\-person interviews at Cognizant offices or client locations, depending on project or client needs*
**In This Role, You Will**
 Define the product vision, strategy, and multi\-phase roadmap for migrating risk functionality from the legacy authorization platform to the new authorization system and/or network layers.
 Identify modernization opportunities, including simplification, consolidation, performance improvements, and enhanced network\-based risk decisioning.
 Partner with Risk Technology, Network teams, Enterprise Architecture, and Data Strategy to shape long\-term platform capabilities.
 Develop detailed product requirements, user stories, acceptance criteria, and success metrics for authorization and risk features.
 Map current legacy workflows and translate them into target\-state capabilities on the new authorization system or network.
 Lead migration planning including dependency assessment, sequencing, change\-management strategy, and operational readiness.
 Drive execution through agile ceremonies, backlog prioritization, and release planning. Support the team through the various migration phases (build, parallel test, ramp up, cutover, fallback and decommission)
 Partner closely with engineering leaders to ensure timely delivery, high quality, and adherence to architectural standards.
 Coordinate functional tests, performance validation, and end\-to\-end readiness assessments.
 Facilitate alignment across domains on migration strategy, risk controls, customer impact, and timeline.
 Communicate progress, risks, and mitigation plans to senior leadership.
**What You Need To Have To Be Considered**
 5–8 years of Product Management experience, ideally in payments, risk systems, platform modernization, or large\-scale technology transformation.
 Proven experience driving cross\-functional programs with complex dependencies.
 Ability to translate technical concepts into clear business requirements and communicate with both engineering and leadership stakeholders.
 Experience working in Agile development environments.
 Data\-oriented mindset with ability to define KPIs and use analytics to drive decision\-making.
**Salary And Other Compensation**
 The annual salary for this position is between $65,000\- $130,000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124">
      <c r="A124" t="inlineStr">
        <is>
          <t>li-4354016967</t>
        </is>
      </c>
      <c r="B124" t="inlineStr">
        <is>
          <t>Principal Product Manager</t>
        </is>
      </c>
      <c r="C124" t="inlineStr">
        <is>
          <t>Oracle</t>
        </is>
      </c>
      <c r="D124" t="inlineStr">
        <is>
          <t>linkedin</t>
        </is>
      </c>
      <c r="E124">
        <f>HYPERLINK("https://www.linkedin.com/jobs/view/4354016967", "https://www.linkedin.com/jobs/view/4354016967")</f>
        <v/>
      </c>
      <c r="F124">
        <f>HYPERLINK("https://eeho.fa.us2.oraclecloud.com/hcmUI/CandidateExperience/en/job/323295/?utm_medium=jobboard&amp;utm_source=LinkedIn&amp;urlHash=hD-r", "https://eeho.fa.us2.oraclecloud.com/hcmUI/CandidateExperience/en/job/323295/?utm_medium=jobboard&amp;utm_source=LinkedIn&amp;urlHash=hD-r")</f>
        <v/>
      </c>
      <c r="G124" t="inlineStr">
        <is>
          <t>Seattle, WA</t>
        </is>
      </c>
      <c r="H124" t="inlineStr"/>
      <c r="I124" t="inlineStr">
        <is>
          <t>**Job Description**
 In this role you will work with a set of ML engineers, Developers, cross functional marketing and partnership teams to launch new product MVP and iterate quickly to find a product market fit. You will be a vocal advocate for our customers within and outside OCI, defining requirements, making feature prioritization trade\-offs, collaborating with engineering teams. This role will be visible at the highest levels of the company and requires coordination across many internal and external teams and regular presentations to leadership teams. Good writing skills, and a good understanding of Generative AI landscape, current trends in the market and basic understanding of GPU compute and cloud computing is helpful.
 Who we’re looking for: an experienced PM leader with a proven ability to operate effectively at a strategic and tactical level; a self\-starter with bias to action who can lead new, highly visible projects with full autonomy. You will have a solid technical background – either gained through formal education or experience – and superlative communication skills. You will also have a demonstrable history of product development in the distributed systems and cloud technology domains. Past experience working with containers, Kubernetes, applied Gen AI applications, cloud computing and GPUs will help excel.
**Responsibilities**
**What you'll do**
 Identify feature gaps and innovation opportunities by establishing by understating current sales process. Friction to scaled adoption of OCI offerings and working with customers.
 Put ideas on the paper, present to leadership teams to take the product to market and find a product\-market\-fit.
 Define the vision, strategy and roadmap for existing offerings from OCI AI Incubations portfolio of products,
 Work with partners managing partner relationships, growing adoption of partner offerings in OCI.
 Manage the product feature backlog and drive the technical teams to quality execution of deliverables.
 Evangelize our product by building a GTM strategy and working with Marketing, Architects, and field teams are set up for success.
**What You'll Bring**
 6\+ years in product management with at least 2\+ years of PM experience in cloud computing
 Experience with full product lifecycle, from conception to go\-to\-market
 Bachelor’s degree in computer science, engineering, analytics, mathematics, or statistics
 4\+ years of experience working with engineering teams (technical product or program management or software engineering)
**Preferred Qualifications**
 Hands\-on experience with containers, Kubernetes, and basic experience with Generative AI applications.
 Master's degree in computer science, information systems or business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25">
      <c r="A125" t="inlineStr">
        <is>
          <t>li-4365017105</t>
        </is>
      </c>
      <c r="B125" t="inlineStr">
        <is>
          <t>Senior Product Manager, Growth &amp; Expansion, Amazon Flex</t>
        </is>
      </c>
      <c r="C125" t="inlineStr">
        <is>
          <t>Amazon</t>
        </is>
      </c>
      <c r="D125" t="inlineStr">
        <is>
          <t>linkedin</t>
        </is>
      </c>
      <c r="E125">
        <f>HYPERLINK("https://www.linkedin.com/jobs/view/4365017105", "https://www.linkedin.com/jobs/view/4365017105")</f>
        <v/>
      </c>
      <c r="F125" t="inlineStr"/>
      <c r="G125" t="inlineStr">
        <is>
          <t>Bellevue, WA</t>
        </is>
      </c>
      <c r="H125" t="inlineStr"/>
      <c r="I125" t="inlineStr">
        <is>
          <t>**Description**
 At Amazon, we're working to be the most customer\-centric company on earth. One customer experience that we’re constantly looking to take to a new level is how we fulfill and deliver their orders. Our goal is to exceed the expectations of all our customers by ensuring that their orders, no matter how large or small are delivered where and when they need them, as quickly, accurately, and cost effectively as possible. To meet this goal, Amazon is continually striving to innovate and provide best\-in\-class service levels by pioneering new products and services in the last mile delivery space. We are doing this by building a world class last mile operation, significantly complimented by Amazon Flex. Amazon Flex works directly with independent contractors – called Delivery Partners – to make deliveries to our customers. With Amazon Flex, individuals can now be their own boss by delivering Amazon packages.
 As a Sr Product Manager, you will be responsible for developing and launching new offers/iterations of the Amazon Flex product in different regions, as well as own the product strategy and roadmap for your workstream. You will start by interacting with business teams in NA, APAC, and EU, to understand their most pressing challenges and work backwards to identify growth and improvement opportunities. You will write 'white papers', design robust solutions for complex problems, make optimal trade off decisions for every milestone, and be accountable for the successful launch and scale of your product. Your solutions will deliver high caliber experiences for our Delivery Partners as well as solve for business needs. You will partner with a wide range of stakeholders including our Last Mile technology, operations, marketing, legal and policy teams to develop products, and will partner with regional Amazon Flex and business teams to execute your vision.
 The ideal candidate has a track record of success in project and stakeholder management, is a strong writer and communicator, and is resourceful. You are a ‘hands\-on’ person with high level of autonomy and you are not afraid to drive results from the front. This will be a high\-visibility role, meaning you are comfortable with driving critical business decisions in a fast\-paced and ambiguous environment, and interacting with all levels of the organization.
**Basic Qualifications**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**Preferred Qualifications**
* Experience in influencing senior leadership through data driven insights
* Experience working across functional teams and senior stakeholders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A3162641</t>
        </is>
      </c>
    </row>
    <row r="126">
      <c r="A126" t="inlineStr">
        <is>
          <t>li-4344114704</t>
        </is>
      </c>
      <c r="B126" t="inlineStr">
        <is>
          <t>Sr Product Manager - Enterprise Delivery Experience</t>
        </is>
      </c>
      <c r="C126" t="inlineStr">
        <is>
          <t>The Home Depot</t>
        </is>
      </c>
      <c r="D126" t="inlineStr">
        <is>
          <t>linkedin</t>
        </is>
      </c>
      <c r="E126">
        <f>HYPERLINK("https://www.linkedin.com/jobs/view/4344114704", "https://www.linkedin.com/jobs/view/4344114704")</f>
        <v/>
      </c>
      <c r="F126" t="inlineStr"/>
      <c r="G126" t="inlineStr">
        <is>
          <t>Atlanta, GA</t>
        </is>
      </c>
      <c r="H126" t="inlineStr"/>
      <c r="I126" t="inlineStr">
        <is>
          <t>Req161119
**Position Purpose**
 The EDX team is searching for a Senior Product Manager to lead our
 **Order Intelligence** 
 work stream. This is a critical role focused on anticipating and mitigating delivery issues
 *before* 
 they impact the customer.
 Your mission will be to utilize cutting\-edge AI to create predictive insights that turn potential problems into seamless experiences.
**About Order Intelligence**
* Solve Complex Problems: Our Order Intelligence solution analyzes over 78 different order and delivery site factors to score the riskiness of a delivery and generate insights.
* Generate Actionable Insights: You will drive the creation of AI\-generated insights to get ahead of possible delivery issues, such as:
+ Unknown or unclear site instructions.
+ Hard\-to\-navigate or complex job sites.
+ Impacts from inclement weather and other external factors.
* Improve the Customer Experience: Ultimately, your work will directly lead to better, more reliable delivery experiences for every customer.
**Key Responsibilities**
* 50% Strategy \&amp; Planning:
* Seeks to empathize with and understand the end user deeply and use that knowledge to determine the fastest path to deliver value
* Translates business goals and end user needs into product strategy; communicates direction and product priorities to the development team, other matrixed teams, and third\-party partners
* Identifies goals, metrics and analytics to determine product value; continually makes recommendations and refinements to the product backlog based on learnings
* Manages and grooms the product backlog; makes future decisions based on the value that will be delivered
* Partners with Finance to understand financial needs and assist in the creation of business plans for new opportunities
* Monitors research as well as the competitive landscape to recommend the best solutions and ensure that products remain or become best in class
* Ensures that product directions balance both the user needs and business goals of driving sales, improving efficiency and enhancing customer satisfaction
* 20% Delivery \&amp; Execution:
* Formulates, tests and refines assumptions and hypotheses through user research and testing
* Documents, reviews and ensures that all quality and change control standards are met
* Creates, prioritizes and accepts user stories; incorporate them into release planning
* Makes product decisions that drive value on a daily basis
* Identifies and considers pros, cons, issues, obstacles, dependencies and value associated with features and enhancements
* Participates in standups, iteration planning sessions, product demo, and retrospectives
* Condenses complex technical concepts into non\-technical language for stakeholders
* 30% People:
* Fosters collaboration with team members (Engineering, UX, etc.) to drive value and identify and resolve impediments
* Acts as a proponent of modern software development practices
* Advocates for the end user and stakeholder by becoming associated with the product, empathizing with and understanding user needs
* Works with the product team to continuously assess progress, disseminate lessons learned, and understand next steps
* Manages cross functional team and stakeholder expectations to execute on product strategy and provides education to requestors to determine prioritization based on tangible benefits and/or user experience
* Guides more junior team members in strategy, alignment, analysis and execution tasks
* Participates in and contributes to learning activities around modern software design and development core practices (communities of practice)
* Participates in talent acquisition, development and retention activities in support of team
**Direct Manager/Direct Reports**
* Typically reports to the Product Management Manager or Sr. Manager.
**Travel Requirements**
* Typically requires overnight travel less than 10%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3\-6 years of relevant work experience
* Proven AI Product Leadership: You have a track record of leading AI\-driven initiatives where the core objective was using AI as a means to improve the customer experience (CX).
* Technical Product Ownership: Experience in owning and building backend systems and leveraging AI/ML to automate complex processes end\-to\-end.
* Cross\-Functional Mastery: You have successfully led large, cross\-functional initiatives involving numerous dependent teams (engineering, data science, operations, etc.).
* Supply Chain Acumen: A solid understanding of the complexities of supply chain and logistics is highly desirable, allowing you to quickly grasp the nuances of our delivery network.
* Experience working as a Product Manager in a modern software development based enterprise environment
* Experience with modern software development product management practices and agile methodologies, specifically the extreme programming (XP) principles of paired programming, test driven development, and continuous deployment
* Proficiency in working in a fast paced, fluid environment where priorities shift on a regular basis
* Proficiency in communicating with and influencing functional and technical team members at all levels in the organization
* Proficiency in working as part of a collaborative, cross\-functional, modern software design and development team
* Proficiency in creating, prioritizing and accepting user stories
* Proficiency in conducting user research and testing to understand needs
* Proficiency in identifying goals, metrics and analytics to measure product value
* Proficiency in conducting competitive research and analysis
* Experience guiding more junior team members through Product Management fundamentals in a professional setting
**Minimum Education**
* The knowledge, skills and abilities typically acquired through the completion of a bachelor's degree program or equivalent degree in a field of study related to the job.
**Preferred Education**
* No additional education
**Minimum Years Of Work Experience**
* 3
**Preferred Years Of Work Experience**
* No additional years of experience
**Minimum Leadership Experience**
* None
**Preferred Leadership Experience**
* None
**Certifications**
* None
**Competencies**
* Balances Stakeholders: Anticipating and balancing the needs of multiple stakeholders
* Business Insight: Applying knowledge of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Cultivates Innovation: Creating new and better ways for the organization to be successful
* Customer Focus: Building strong customer relationships and delivering customer\-centric solutions
* Drives Vision and Purpose: Painting a compelling picture of the vision and strategy that motivates others to action
* Interpersonal Savvy: Relating openly and comfortably with diverse groups of people
* Manages Complexity: Making sense of complex, high quantity and sometimes contradictory information to effectively solve problems
* Nimble Learning: Actively learning through experimentation when tackling new problems, using both successes and failures as learning fodder
* Organizational Savvy: Maneuvering comfortably through complex policy, process and people\-related organizational dynamics
* Situational Adaptability: Adapting approach and demeanor in real time to match the shifting demands of different situations
* Empathy: Understands the needs of multiple stakeholders and is responsive in meeting their needs with the most optimal resolution</t>
        </is>
      </c>
    </row>
    <row r="127">
      <c r="A127" t="inlineStr">
        <is>
          <t>li-4354087049</t>
        </is>
      </c>
      <c r="B127" t="inlineStr">
        <is>
          <t>Lead Product Manager - Adobe Experience Platform</t>
        </is>
      </c>
      <c r="C127" t="inlineStr">
        <is>
          <t>Humana</t>
        </is>
      </c>
      <c r="D127" t="inlineStr">
        <is>
          <t>linkedin</t>
        </is>
      </c>
      <c r="E127">
        <f>HYPERLINK("https://www.linkedin.com/jobs/view/4354087049", "https://www.linkedin.com/jobs/view/4354087049")</f>
        <v/>
      </c>
      <c r="F127" t="inlineStr"/>
      <c r="G127" t="inlineStr"/>
      <c r="H127" t="inlineStr"/>
      <c r="I127" t="inlineStr">
        <is>
          <t>**Become a part of our caring community and help us put health first**
 Become a part of our caring community and help us put health first
 Humana’s Product organization is seeking a Lead Product Manager to drive the strategy, development, and optimization of the Adobe Experience Platform (AEP). In this role, you will serve as a key product leader responsible for translating business needs into platform capabilities that enable personalized, data\-driven customer experiences. You’ll work closely with cross\-functional teams to deliver scalable solutions across Real\-Time CDP, Journey Optimizer, and Customer Journey Analytics.
 This role is focused on growing adoption and usage of Adobe Experience Platform as an enterprise platform. Success in this role means partnering with key lines of business to translate requirements into detailed product features for engineering teams to enable. Your ability to collaborate with engineering and other platform teams to solve challenges will be key to your success. Your work will scale AEP as an enterprise platform and provide stakeholders with clear visibility into AEP’s performance and value.
**Key Responsibilities**
**Cross\-Functional Collaboration**
* Partner with marketing, engineering, data, and customer experience teams to ensure seamless implementation and adoption of AEP features
* Translate business requirements into detailed product features and user stories, prioritizing based on impact and feasibility
* Collaborate with Adobe account teams and solution architects to optimize platform usage and stay ahead of product innovations
**Product Strategy \&amp; Execution**
* Assist in maintaining the product roadmap for AEP capabilities, aligned with enterprise goals and customer experience strategies
* Lead agile product development cycles, ensuring timely delivery and high\-quality outcomes
**Customer\-Centric Design**
* Advocate for customer needs by leveraging data, feedback, and research to inform product decisions
* Ensure AEP capabilities support personalized, omnichannel experiences that drive engagement and satisfaction
**Governance \&amp; Compliance**
* Engage legal, privacy, and data governance teams to ensure platform features comply with HIPAA, GDPR, TCPA, and other relevant regulations when applicable
* Embed consent and preference management into AEP workflows and data models
**Measurement \&amp; Optimization**
* Define success metrics and KPIs for AEP initiatives, tracking performance and identifying areas for improvement
* Conduct platform audits and usage reviews to ensure data quality, scalability, and business value
**Required Qualifications**
**Use your skills to make an impact**
* Bachelor’s Degree in Business, Marketing, Computer Science, or related field
* 5\+ years of product management experience, with at least 2 years focused on enterprise Martech platforms
* Hands\-on experience with Adobe Experience Platform, including Real\-Time CDP, Journey Optimizer, and Adobe Analytics
* Strong understanding of customer data architecture, identity resolution, and personalization strategies
* Proven ability to lead cross\-functional teams and manage complex product initiatives
* Excellent communication, analytical, and stakeholder management skills
**Preferred Qualifications**
* Experience in healthcare, insurance, or other regulated industries
* Familiarity with agile methodologies and tools (e.g., Jira, Confluence)
* Knowledge of data governance frameworks and consent management best practices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$126,300 \- $173,700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01\-29\-2026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28">
      <c r="A128" t="inlineStr">
        <is>
          <t>li-4365007145</t>
        </is>
      </c>
      <c r="B128" t="inlineStr">
        <is>
          <t>Principal Product Manager - Tech, Ring</t>
        </is>
      </c>
      <c r="C128" t="inlineStr">
        <is>
          <t>Amazon</t>
        </is>
      </c>
      <c r="D128" t="inlineStr">
        <is>
          <t>linkedin</t>
        </is>
      </c>
      <c r="E128">
        <f>HYPERLINK("https://www.linkedin.com/jobs/view/4365007145", "https://www.linkedin.com/jobs/view/4365007145")</f>
        <v/>
      </c>
      <c r="F128">
        <f>HYPERLINK("https://www.amazon.jobs/jobs/3093734/principal-product-manager\u002d\u002dtech-ring?cmpid=SPLICX0248M&amp;utm_source=linkedin.com&amp;utm_campaign=cxro&amp;utm_medium=social_media&amp;utm_content=job_posting&amp;ss=paid&amp;urlHash=MXe6", "https://www.amazon.jobs/jobs/3093734/principal-product-manager\u002d\u002dtech-ring?cmpid=SPLICX0248M&amp;utm_source=linkedin.com&amp;utm_campaign=cxro&amp;utm_medium=social_media&amp;utm_content=job_posting&amp;ss=paid&amp;urlHash=MXe6")</f>
        <v/>
      </c>
      <c r="G128" t="inlineStr">
        <is>
          <t>Bellevue, WA</t>
        </is>
      </c>
      <c r="H128" t="inlineStr"/>
      <c r="I128" t="inlineStr">
        <is>
          <t>**Description**
 As a Principal Product Manager at RBKS (Ring, Blink, Key, Sidewalk) AI, you will work with a focused team of product managers, engineers, and scientists building and releasing new AI products and features with state of the art models. You will have an enormous opportunity to impact the customer experience, design, architecture, and implementation of high visibility products that will be used every day.
 We are looking for entrepreneurial, innovative individuals who thrive on solving challenging problems. Maturity, high judgment, negotiation skills, ability to influence, analytical talent, and leadership are essential to success in this role.
 You will anticipate bottlenecks, provide escalation management, anticipate and make tradeoffs, and balance customer and business needs versus technical constraints. An ability to take large, complex projects and break them down into manageable pieces, develop functional specifications, then deliver them in a successful and timely manner is expected.
 Key job responsibilities
* Lead the definition, design, development and launch of AI features that delight customers
* Lead the development of the product strategy and vision supported by internal and external analysis
* Create buy\-in for the product vision both internally and with key external partners
* Define creative, high quality, simple product roadmaps based on product strategy and vision
* Work closely and collaboratively with design and product teams from partner organizations
* Develop detailed, crisp business requirements and user stories that can be used to create product specifications and architecture for each product and application
* Manage backlog prioritization and trade\-offs among customer feedback, performance, and operational support load
* Work closely with software engineering teams to deliver features to market
* Launch products to market by working with Marketing, public relations team, Sales, Finance and Operation teams
* Proactively identify and resolve strategic issues that may impair the team’s ability to meet strategic, financial, and technical goals
**Basic Qualifications**
* 10\+ years of end to end product delivery experience
* Bachelor's degree
* Experience owning/driving roadmap strategy and definition
* Experience with feature delivery and tradeoffs of a product
* Experience technical product management
* Experience as a strong leader who can prioritize well, communicate clearly and effectively influence across cross\-functional teams
**Preferred Qualifications**
* Experience in project management methodologies, business analysis, or process improvement
* Experience working directly with Engineers on product enhancements
* Experience working with Applied Science teams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A3093734</t>
        </is>
      </c>
    </row>
    <row r="129">
      <c r="A129" t="inlineStr">
        <is>
          <t>li-4354006940</t>
        </is>
      </c>
      <c r="B129" t="inlineStr">
        <is>
          <t>Principal Product Manager</t>
        </is>
      </c>
      <c r="C129" t="inlineStr">
        <is>
          <t>Oracle</t>
        </is>
      </c>
      <c r="D129" t="inlineStr">
        <is>
          <t>linkedin</t>
        </is>
      </c>
      <c r="E129">
        <f>HYPERLINK("https://www.linkedin.com/jobs/view/4354006940", "https://www.linkedin.com/jobs/view/4354006940")</f>
        <v/>
      </c>
      <c r="F129">
        <f>HYPERLINK("https://eeho.fa.us2.oraclecloud.com/hcmUI/CandidateExperience/en/job/323295/?utm_medium=jobboard&amp;utm_source=LinkedIn&amp;urlHash=hD-r", "https://eeho.fa.us2.oraclecloud.com/hcmUI/CandidateExperience/en/job/323295/?utm_medium=jobboard&amp;utm_source=LinkedIn&amp;urlHash=hD-r")</f>
        <v/>
      </c>
      <c r="G129" t="inlineStr">
        <is>
          <t>Nashville, TN</t>
        </is>
      </c>
      <c r="H129" t="inlineStr"/>
      <c r="I129" t="inlineStr">
        <is>
          <t>**Job Description**
 In this role you will work with a set of ML engineers, Developers, cross functional marketing and partnership teams to launch new product MVP and iterate quickly to find a product market fit. You will be a vocal advocate for our customers within and outside OCI, defining requirements, making feature prioritization trade\-offs, collaborating with engineering teams. This role will be visible at the highest levels of the company and requires coordination across many internal and external teams and regular presentations to leadership teams. Good writing skills, and a good understanding of Generative AI landscape, current trends in the market and basic understanding of GPU compute and cloud computing is helpful.
 Who we’re looking for: an experienced PM leader with a proven ability to operate effectively at a strategic and tactical level; a self\-starter with bias to action who can lead new, highly visible projects with full autonomy. You will have a solid technical background – either gained through formal education or experience – and superlative communication skills. You will also have a demonstrable history of product development in the distributed systems and cloud technology domains. Past experience working with containers, Kubernetes, applied Gen AI applications, cloud computing and GPUs will help excel.
**Responsibilities**
**What you'll do**
 Identify feature gaps and innovation opportunities by establishing by understating current sales process. Friction to scaled adoption of OCI offerings and working with customers.
 Put ideas on the paper, present to leadership teams to take the product to market and find a product\-market\-fit.
 Define the vision, strategy and roadmap for existing offerings from OCI AI Incubations portfolio of products,
 Work with partners managing partner relationships, growing adoption of partner offerings in OCI.
 Manage the product feature backlog and drive the technical teams to quality execution of deliverables.
 Evangelize our product by building a GTM strategy and working with Marketing, Architects, and field teams are set up for success.
**What You'll Bring**
 6\+ years in product management with at least 2\+ years of PM experience in cloud computing
 Experience with full product lifecycle, from conception to go\-to\-market
 Bachelor’s degree in computer science, engineering, analytics, mathematics, or statistics
 4\+ years of experience working with engineering teams (technical product or program management or software engineering)
**Preferred Qualifications**
 Hands\-on experience with containers, Kubernetes, and basic experience with Generative AI applications.
 Master's degree in computer science, information systems or business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30">
      <c r="A130" t="inlineStr">
        <is>
          <t>li-4364993135</t>
        </is>
      </c>
      <c r="B130" t="inlineStr">
        <is>
          <t>Sr Product Manager - FMS</t>
        </is>
      </c>
      <c r="C130" t="inlineStr">
        <is>
          <t>GE Aerospace</t>
        </is>
      </c>
      <c r="D130" t="inlineStr">
        <is>
          <t>linkedin</t>
        </is>
      </c>
      <c r="E130">
        <f>HYPERLINK("https://www.linkedin.com/jobs/view/4364993135", "https://www.linkedin.com/jobs/view/4364993135")</f>
        <v/>
      </c>
      <c r="F130" t="inlineStr"/>
      <c r="G130" t="inlineStr">
        <is>
          <t>Grand Rapids, MI</t>
        </is>
      </c>
      <c r="H130" t="inlineStr"/>
      <c r="I130" t="inlineStr">
        <is>
          <t>**Job Description Summary**
 The Connected Aircraft Navigation Systems Product Manager will be responsible for the Flight Management Systems (FMS) Product Line. You will partner with sales, engineering, contracts, finance, marketing and program management to build and manage product and investment strategy for your assigned products, collect voice of the customer, identify product differentiation, build roadmaps, capture internal \&amp; external funding, capture new development programs, manage product development, deliver financial results and identify and develop product offerings for the business.
 You will partner with your fellow product managers to support the entire Connected Aircraft portfolio. This will include sharing workload as proposal and program activity drives peaks and valleys across the portfolio. One program that you will be responsible for immediately is the Boeing 737 FMS update.
 Note: The preferred location for this role is at the Grand Rapids, Michigan or Clearwater, FL, but remote work within the United States may be considered based on candidate qualifications.
**Job Description**
**Roles and Responsibilities**
* Develop, maintain, and update product line strategy and roadmaps using the “What Game are you Playing / How do you Win” and Multi\-Generational Product Plan models, present at regularly scheduled reviews and own / delegate assigned action items
* Partner with Sales and Customer Account Managers to engage with customers ahead of potential opportunities to influence solicitations in our favor through industry events, technical interchange meetings, presentations and demonstrations
* Partner with sales to seek out new opportunities for the product line, identifying proposed solutions that solves customer problems, develop win strategy and price to win utilizing industry knowledge and competitive intelligence, and supporting Gate Reviews
* Lead cross\-functional team to deliver assigned proposals, working with engineering to develop a job analysis, review proposal responses and support reviews, provide direction to pricing, review Ts\&amp;Cs with contracts, capture CAPEX needs, and collaborating with Comm Ops on the overall schedule
* Lead cross\-functional team to execute assigned programs, acting as customer interface for the business and leading the Integrated Product Team
* Own the investment planning for the product line and manage IR\&amp;D projects, partnering with engineering to identify development needs, prioritizing based on product strategy, roadmap, and near\-term opportunities, holding regular reviews and supporting leadership reviews
* Seek out external investments in the product line through Science \&amp; Technology and early customer engagement for proof of concept and product validation opportunities
* Develop and maintain external partnerships and enrich relationships to fill gaps in product line and technologies and lead make/buy decisions
* Be the premier knowledge source for market intelligence for your product area by regularly reviewing industry news and collecting information on the market and competition, conducting regular comprehensive assessments of the industry and competition
* Coordinate with programs and sales to review, maintain and validate the product pipeline
* Ownership of product line marketing collateral including presentation material, website, and standard presentation material
* Partner with application engineering to develop and maintain IP strategy for product line and conduct IP strategy reviews for patents in key technologies
* Manage financials for the product line, including validation of actuals and future forecasting
* Provide regular weekly and monthly updates to leadership on activity progress
* Execute responsibilities using standard work
* Be a FLIGHT DECK practitioner
**Required Qualifications**
* Bachelor’s degree from an accredited university in Engineering, Business, Finance or equivalent
* Minimum 7\+ years of relevant experience in avionics in roles such as product, program, systems, or engineering
* Ability to travel up to 25% as needed
* This role requires use of technical data subject to U.S. Government contract restrictions and this posting is only for U.S. Citizens. GE will require proof of status
**Desired Characteristics**
* Typically, 7–10\+ years of relevant experience or equivalent combinations of skills, impact, and potential.
* Strong knowledge of systems, hardware and/or software design
* Prior experience with Flight Management Systems or aircraft systems
* Strong interpersonal and leadership skills
* Demonstrated ability to analyze and solve problems
* Proven ability to lead programs/projects/teams
* Established program/product management skills
* Sound decision\-making and people management skills
* Ability to document, plan, market, and execute programs
* Strong customer focus mindset
* Strong oral and written communication skills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No
* This is a remote position</t>
        </is>
      </c>
    </row>
    <row r="131">
      <c r="A131" t="inlineStr">
        <is>
          <t>li-4365017154</t>
        </is>
      </c>
      <c r="B131" t="inlineStr">
        <is>
          <t>Services and Software Senior Product Manager</t>
        </is>
      </c>
      <c r="C131" t="inlineStr">
        <is>
          <t>Honeywell</t>
        </is>
      </c>
      <c r="D131" t="inlineStr">
        <is>
          <t>linkedin</t>
        </is>
      </c>
      <c r="E131">
        <f>HYPERLINK("https://www.linkedin.com/jobs/view/4365017154", "https://www.linkedin.com/jobs/view/4365017154")</f>
        <v/>
      </c>
      <c r="F131" t="inlineStr"/>
      <c r="G131" t="inlineStr">
        <is>
          <t>Atlanta, GA</t>
        </is>
      </c>
      <c r="H131" t="inlineStr"/>
      <c r="I131" t="inlineStr">
        <is>
          <t>**Job Description**
 Honeywell Building Solutions (HBS) is dedicated to delivering innovative and sustainable building technology and solutions that enhance the efficiency, safety, and comfort of facilities worldwide. We provide comprehensive building management systems, advanced fire safety, security technologies, and energy\-efficient solutions that optimize the performance of commercial buildings, industrial facilities, and residential spaces.
 As part of our team, you will contribute to creating safer, smarter, and more efficient environments that meet the needs of our customers. You will be part of a diverse group of professionals committed to excellence, collaboration, and continuous improvement, driving meaningful change in how buildings are managed and experienced.
 We are seeking an experienced and strategic Senior Lead Offering Manager to oversee our New Product Introductions (NPI) and Services initiatives. In this role, you will be responsible for driving the successful launch of new services offerings, products and features, from concept to market delivery. The ideal candidate will have a proven track record of leading NPI programs, exceptional leadership skills, and the ability to thrive in a fast\-paced environment.
**Location:** 
 Atlanta, GA
**Travel/Territory:** 
 25%
**Ideal Candidate Experience**
* 10 years of experience in services and product management, with a focus on leading NPI initiatives.
* Strong leadership and team management skills, with the ability to inspire and motivate others to achieve results.
* Excellent strategic thinking and problem\-solving abilities, with a track record of driving innovation and growth through NPI initiatives.
* Exceptional communication and interpersonal skills, with the ability to build relationships and influence Customers and stakeholders at all levels of the organization.
* Experience working in a fast\-paced, agile environment and familiarity with agile methodologies is a plus
**Responsibilities**
* Market Analysis and Opportunity Identification: Conduct market research and analysis to identify emerging trends, customer needs, and competitive threats. Identify new opportunities for services expansion or innovation through NPI initiatives.
* Cross\-functional Collaboration: Lead and collaborate with cross\-functional teams, including product management, engineering, design, marketing, and sales, to drive NPI initiatives forward. Facilitate communication and coordination between teams to ensure successful product launches and adoption.
* Stakeholder Engagement: Build and maintain strong relationships with key stakeholders, including executives, customers, partners, and industry influencers. Serve as the primary point of contact for NPI\-related matters and ensure stakeholders are informed and engaged.
* Performance Monitoring and Optimization: Monitor key performance metrics for NPI initiatives, including revenue, market share, and customer satisfaction. Analyze performance data to identify areas for improvement and drive continuous optimization.
* NPI Strategy Development: Develop and execute a comprehensive NPI strategy aligned with business objectives and market opportunities. Define the vision, goals, and priorities for NPI initiatives and ensure alignment with broader company strategies.
* Services \&amp; Product Roadmap Development: Lead the development of services \&amp; product roadmaps for NPI initiatives, outlining key milestones, features, and enhancements to be delivered over time. Prioritize initiatives based on market trends, customer needs, and business priorities.
* Innovation and Future Planning: Drive innovation within the NPI process by identifying new market opportunities, emerging technologies, and customer needs. Work closely with R\&amp;D and innovation teams to develop and test new product concepts.
**Qualifications**
**YOU MUST HAVE** 
 :
* Minimum of 10 years of expertise in managing a portfolio of services offerings, products, projects, and investments.
* Proven track record in portfolio performance management and lifecycle management.
* Strong understanding of services and software solutions value selling.
**We Value**
* Bachelor's degree in Business, Engineering, or related field
* Experience in a global and matrixed organization
* Experience in market research and analysis
* Strong leadership and project management skills
* Ability to adapt to a fast\-paced and changing environment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32">
      <c r="A132" t="inlineStr">
        <is>
          <t>li-4364951940</t>
        </is>
      </c>
      <c r="B132" t="inlineStr">
        <is>
          <t>Senior Product Manager, Payroll Systems</t>
        </is>
      </c>
      <c r="C132" t="inlineStr">
        <is>
          <t>Justworks</t>
        </is>
      </c>
      <c r="D132" t="inlineStr">
        <is>
          <t>linkedin</t>
        </is>
      </c>
      <c r="E132">
        <f>HYPERLINK("https://www.linkedin.com/jobs/view/4364951940", "https://www.linkedin.com/jobs/view/4364951940")</f>
        <v/>
      </c>
      <c r="F132" t="inlineStr"/>
      <c r="G132" t="inlineStr">
        <is>
          <t>New York, NY</t>
        </is>
      </c>
      <c r="H132" t="inlineStr"/>
      <c r="I132" t="inlineStr">
        <is>
          <t>**Who We Are**
 At Justworks, you’ll enjoy a welcoming and casual environment, great benefits, wellness program offerings, company retreats, and the ability to interact with and learn from leaders in the startup community. We work hard and care about our most prized asset \- our people.
 We’re helping businesses get off the ground by enabling them to focus on running their business. We solve HR issues. We’re data\-driven and never stop iterating. If you’d like to work in a supportive, entrepreneurial environment, are interested in building something meaningful and having fun while doing it, we’d love to hear from you.
 We're united by shared goals and shared motivations at Justworks. These are best summed up in our company values, which are reflected in our product and in our team.
 Our Values
 If this sounds like you, you’ll fit right in.
**About Justworks**
 Justworks is leveling the playing field for all small businesses. We handle the nitty\-gritty of payroll, benefits, compliance, and HR, so our customers have more time to learn, grow, and seek something worthwhile. Today, Justworks offices in New York, Toronto, London, Tampa and Mexico City serve more than 12,000 businesses and 200,000 workers around the globe. Our mission is to help entrepreneurs and businesses grow with confidence. This means our customers are at the center of everything we do, and working at Justworks is an opportunity to obsess over creating and delivering value that helps millions achieve their dreams. We’re united by shared goals and motivations, best summed up in our company values, which are reflected in our products and our team.
**About The Team / Product At Justworks**
 The Justworks Product team advances our mission by building products that extend levels of personal care and deep expertise that our customers have never experienced before. They craft innovative solutions that guide users through the most complicated challenges of running (and working for) a small business, with ease. They deeply understand complex regulatory spaces like FinTech, Healthcare, and HRTech, and have a keen intuition for how to connect threads across our customers’ needs and our business’ risk management and commercialization strategy. Our Product Managers lead highly collaborative creative endeavors, bringing together stakeholders across engineering, design, data services, operations, and customer\-facing teams to deliver tangible value.
 By joining us, you’ll be part of an experienced team of Product Managers who have a proven track record of building large\-scale software products that impact small businesses worldwide.
 We’re looking for teammates who will help shape Justworks’ future and make a profound impact on our business. As a Product Manager, you’ll be working across complex spaces (Fintech, Healthcare, HR Tech \- all with serious policy/regulatory environments). That will require you to have a keen intuition for customer needs, risk management, and commercialization. Care is at the center of everything we do, and you’ll need to love talking with customers and engaging with our Customer Success, Sales and Marketing teams to make sure that care is coming through in every part of our customers’ experience. You’ll be joining a diverse community of craftspeople who are passionate about learning, uphold exceptionally high standards of quality, and foster an environment of strategic thinking where product people can reach new heights.
**About The Role**
 The Payroll and Tax team mission is three\-fold: 1\) to efficiently and accurately run payroll, deposit and file taxes, and manage relevant compliance and credits for customers; 2\) to serve more small businesses and delight existing customers by giving customers a streamlined pay/tax setup process and more options for how and when they pay their teams; and 3\) to empower our internal Pay/Tax operational teams to have outsized impact by building tooling and reporting to enable them to efficiently scale.
 As a Senior Product Manager at Justworks, you’ll play a high\-impact role by driving the roadmap of one or more pods focused on Payroll and Tax. You’ll focus on scoping and prioritizing new initiatives with research\-backed case development and work through the complete product development lifecycle to successful delivery. Across your initiatives, you’ll balance both product (customer\-facing) and platform (internal\-facing) concerns, optimizing all aspects to meet our high standards.
 As a champion for your team’s focus and productivity, you’ll remove obstacles and develop team camaraderie to ensure maximum, high\-quality output that aligns with Justworks’ business objectives. Though not yet actively teaching product management, you’ll operate independently within your scope and clearly articulate the reasoning behind your decisions to your peers and cross\-functional stakeholders.
**Responsibilities**
* Conduct interviews with customers and end users to understand their pain around tax filing, reporting, and communications, especially in areas where regulatory language creates confusion
* Conduct high\-quality research to inform case development and product decisions.
* Demonstrate expertise in the PDLC and effectively tie insights to roadmap outcomes.
* Scope, prioritize, and execute projects to deliver measurable business impact while ensuring clarity on objectives, leverage, and accountability for outcomes.
* Partner deeply with Design and Engineering peers and organize and lead effective team processes and routines.
* Demonstrate a rich understanding of engineering concepts, concerns and tradeoffs, and effectively communicate them to manage stakeholder expectations around deadlines and scope.
* Drive camaraderie with your team while demonstrating effective collaboration with PMs across other pods/teams.
**What You’ll Need**
* Minimum of 5 years of product management experience in a modern technology business.
* A comprehensive understanding of the craft of Product Management and demonstrated success mastering the PDLC.
* Experience leading complex, cross\-team initiatives from ideation to execution.
* Experience leading technical products and/or have a background in computer science (or similar).
* Track record of shipping continuous product improvements to an existing product portfolio at\-scale.
* Proven ability to manage high\-stakes delivery cycles and execute effectively under tight timelines
* Experience owning internal tooling or backend\-heavy product areas, especially those powering mission\-critical operations with limited margin for error
* Strong problem\-solving skills, capable of breaking down complex problems for team execution against business needs.
* Deep user empathy and a high bar for user experience.
* Strong communication skills for effectively conveying product\-related matters, including changes in scope or strategic direction.
* Experience at high\-growth companies is preferred, in a founder or GM capacity is a plus.
* Experience building products in a highly regulated domain (e.g. payroll, tax, fintech or healthcare) is a plus.
 The base wage range for this position based in our New York City Office is targeted at $165,000\.00 \- $202,500\.00 per year.
 Actual compensation is based on multiple factors that are unique to each candidate, including and not limited to skill set, level of relevant experience, and specific work location. Salary ranges for positions based in other locations may differ based on the cost of labor in that location.
 For more information about Justworks’ Total Reward Philosophy, including all of the perks and benefits we are proud to offer our team members, please visit Total Rewards @ Justworks.
**Diversity At Justworks**
 Justworks is committed to maintaining a workplace where diversity of identity, culture, and life experience is the norm and is celebrated authentically and respected consistently. Diversity in our work, our people, and our product drives creativity and innovation, entrepreneurial leadership and integrity, competitiveness, and collaboration throughout our business and in the market. We depend on our differences to make our team stronger, our workplace more dynamic, and our product accessible to all of our customers.
 We’re proud to be an equal opportunity employer open to all qualified applicants regardless of race, color, ancestry, religion, sex, national origin, sexual orientation, age, citizenship, marital or familial status, disability, pregnancy, gender identity or expression, veteran status, genetic information, or any other legally protected status. Justworks is fully dedicated to providing necessary support to candidates with disabilities who may require reasonable accommodations. We also provide reasonable accommodations to employees based on their sincerely held religious beliefs, as well as for other covered reasons consistent with applicable federal, state, and local laws. If you're in need of a reasonable accommodation, please reach out to us at accommodations@justworks.com. Your comfort and success matter to us, and we're here to ensure an inclusive experience.
 Our DEIB Report</t>
        </is>
      </c>
    </row>
    <row r="133">
      <c r="A133" t="inlineStr">
        <is>
          <t>li-4365017097</t>
        </is>
      </c>
      <c r="B133" t="inlineStr">
        <is>
          <t>Senior Product Manager - Tech, Creators and Social</t>
        </is>
      </c>
      <c r="C133" t="inlineStr">
        <is>
          <t>Amazon</t>
        </is>
      </c>
      <c r="D133" t="inlineStr">
        <is>
          <t>linkedin</t>
        </is>
      </c>
      <c r="E133">
        <f>HYPERLINK("https://www.linkedin.com/jobs/view/4365017097", "https://www.linkedin.com/jobs/view/4365017097")</f>
        <v/>
      </c>
      <c r="F133">
        <f>HYPERLINK("https://www.amazon.jobs/jobs/3162451/senior-product-manager\u002d\u002dtech-creators-and-social?cmpid=SPLICX0248M&amp;utm_source=linkedin.com&amp;utm_campaign=cxro&amp;utm_medium=social_media&amp;utm_content=job_posting&amp;ss=paid&amp;urlHash=45T3", "https://www.amazon.jobs/jobs/3162451/senior-product-manager\u002d\u002dtech-creators-and-social?cmpid=SPLICX0248M&amp;utm_source=linkedin.com&amp;utm_campaign=cxro&amp;utm_medium=social_media&amp;utm_content=job_posting&amp;ss=paid&amp;urlHash=45T3")</f>
        <v/>
      </c>
      <c r="G133" t="inlineStr">
        <is>
          <t>Seattle, WA</t>
        </is>
      </c>
      <c r="H133" t="inlineStr"/>
      <c r="I133" t="inlineStr">
        <is>
          <t>**Description**
 We are seeking a technical, experienced, results\-oriented leader to oversee the strategy and product vision for our Creators team. This position requires a candidate with the proven ability to insist on the highest standards”, be customer obsessed, and think big by owning third parity integrations, creator discovery, and developing our creator loyalty program.
 This leader will also work across functional domains, geographies, business lines, and partners to innovate for customers. Successful candidates are leaders who can prioritize well, are technically excellent, communicate clearly, and have a consistent track record of innovating and delivering results. You should have strong ability to dive deep, strong data/analytical skills, a self\-starter spirit, and experience convincing senior leadership to invest in big ideas and new ways of connecting with customers. You must be a strong owner and influencer, as well as someone who can think beyond the way things have always been done.
 Key job responsibilities
* Monitor industry changes, technologies, and trends, determining when they should or shouldn't drive strategic, tactical, or roadmap shifts.
* Lead for a suite of products and systems across 20\+ countries, determining which creator\-obsessed features and net new ideas to prioritize, build, and how/when/where to launch.
* Constantly experiment, developing data\-backed solutions for problems on behalf of customers and creators. Work in close partnership with our science team to test and learn iteratively. You will be responsible for setting experimentation priorities, guardrails, success metrics, and gaining approvals to execute innovative tests.
* Own performance metrics and success criteria for your products during business\-as\-usual times as well as during critical high\-velocity events, key levers for success of the channel.
* Work with WW business development leads to navigate existing business logic and feature sets. Define requirements for new products and features leading Amazon to innovate in how we work with creators and help them reach current and future customers.
* Create sustainable cross\-functional and cross\-product mechanisms to drive expansion and innovation while monitoring product and business health.
* Reduce defects and improve business performance through innovation and automation. Tirelessly improve products that will benefit creators and Amazon while owning the tools automating compensation changes.
* Conduct complex business analyses that identify opportunities to drive growth in our general creator population by extending learnings from BD teams within and across countries, in addition to deep dives.
* Develop and maintain relationships with key stakeholders inside and outside of the Amazon Creators team.
**About The Team**
 The Creators and Social team’s vision is to become Earth's most desired destination for creators and customers to engage in commerce content and discover relevant products through social experiences. We connect creators, customers, and brands through engaging social experiences that make shopping seamless and inspiring. By combining creator content with social reach, we meet customers wherever they are in their shopping journey while enabling creators to build successful businesses on Amazon.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WA, Seattle \- 151,200\.00 \- 204,600\.00 USD annually
**Company** 
 \- Amazon.com Services LLC
 Job ID: A3162451</t>
        </is>
      </c>
    </row>
    <row r="134">
      <c r="A134" t="inlineStr">
        <is>
          <t>li-4361953906</t>
        </is>
      </c>
      <c r="B134" t="inlineStr">
        <is>
          <t>Senior Product Manager, Xfinity Mobile</t>
        </is>
      </c>
      <c r="C134" t="inlineStr">
        <is>
          <t>Comcast</t>
        </is>
      </c>
      <c r="D134" t="inlineStr">
        <is>
          <t>linkedin</t>
        </is>
      </c>
      <c r="E134">
        <f>HYPERLINK("https://www.linkedin.com/jobs/view/4361953906", "https://www.linkedin.com/jobs/view/4361953906")</f>
        <v/>
      </c>
      <c r="F134">
        <f>HYPERLINK("https://dsp.prng.co/YYImUGb&amp;urlHash=0oIE", "https://dsp.prng.co/YYImUGb&amp;urlHash=0oIE")</f>
        <v/>
      </c>
      <c r="G134" t="inlineStr">
        <is>
          <t>Philadelphia, PA</t>
        </is>
      </c>
      <c r="H134" t="inlineStr"/>
      <c r="I134"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 brings together the best in media and technology. We drive innovation to create the world’s best entertainment and connectivity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They bring cutting\-edge products and services to life for millions of customers every day. Within our T\&amp;P (Technology and Product) organization, we are seeking a highly motivated and results\-oriented Senior Product Manager to lead the development and execution of innovative product strategies within the Connected Living organization. This critical role will focus on enhancing the customer experience for our Xfinity Mobile product, across key areas including billing transparency, payment flexibility, service lifecycle management, and promotion lifecycle management experiences. This is a highly strategic role within a rapidly growing business. You will play a pivotal role in shaping the future of the Xfinity Mobile customer experience by defining and delivering best\-in\-class solutions that are engaging and reduce customer churn.
**Job Description**
***This position is ineligible for visa sponsorship. To be considered for this role, you must be legally authorized to work in the United States and not require sponsorship for employment now or in the future.***
 As the Senior Product Manager, Xfinity Mobile, you will lead the development and execution of innovative product strategies focused on enhancing the customer experience for Xfinity Mobile customers in the Xfinity app. This role will be accountable to deliver outcomes against our strategic business priorities of reducing XM customer churn and improving product NPS. The focus of this role includes, but is not limited to, promoting billing transparency, introducing payment flexibility, and proactively guiding customers throughout the Xfinity Mobile service and promotion lifecycle.
 Collaborating with cross\-functional teams, you will ensure that the Xfinity Mobile experience is both simple and user\-centric, aligning with our strategic objectives and enhancing overall customer satisfaction. This will require significant collaboration and stakeholder management across many teams within the organization.
**Core Responsibilities**
* Develop and execute an XM\-centric product strategy: Craft a comprehensive strategy and roadmap focused on enhancing the XM experience within the app, ensuring alignment with Comcast's goals and the needs of our XM customers.
* Champion the user journey: Design and optimize XM experiences that resonate with users, ensuring that every touchpoint reflects our commitment to seamless, user\-centric interactions.
* Act as a product owner in agile teams: Lead the scrum team with a focus on delivering XM\-related features. Write clear user stories and acceptance criteria that drive development, ensuring alignment with the overall XM experience vision.
* Collaborate across teams: Work closely with engineering, design, program management, and other key stakeholders across the organization to ensure timely, high\-quality delivery of XM enhancements that meet both internal and external expectations. This requires strong cross\-functional collaboration and stakeholder management skills.
* Ensure XM quality and reliability: Maintain a relentless focus on XM quality, addressing user needs effectively while driving continuous improvement and innovation within the XM experience.
* Drive customer engagement: Develop strategies to increase awareness, adoption, and creation of identity, fostering deeper user engagement and loyalty.
* Measure and optimize: Define, track, and analyze key XM metrics to measure impact and success. Use these insights to inform ongoing enhancements and ensure the XM experience consistently exceeds customer expectations.
**Preferred Qualifications**
 Below is our list of preferred qualifications. We know that people with different skills and experiences can also be successful in this role. For that reason, it is not necessary that you possess all these traits. If you are missing a few, please apply anyway.
* A product pro. You excel at identifying customer needs, determining problems to solve, and translating them into experience requirements that become user stories in a prioritized product backlog. You collaborate cross\-functionally with design and engineering partners, providing clear direction on the “what” and “why” while giving them a strong voice to define the “how.”
* Action\- and execution\-oriented. You’re not afraid to ask questions to get the information you need. You can negotiate constraints, guidelines, and business rules without sacrificing what’s right for the customers. You adapt to changing landscapes, communicate clearly, and bring all partners along with you.
* A relationship builder. You understand that strong relationships drive success. You value listening first, then talking, and you know that consistent giving and occasional receiving foster strong collaboration and partnership across teams.
* A customer\-centric, data\-driven strategist. You keep the customer at the center of everything you do. You dig into data, user research, and direct customer interactions to define core needs, problems, and solutions. You measure the impact and success of new features, using data to inform future development.
* Experience in Services: Proven experience in managing service\-related features, ensuring a user\-centric approach to service interactions and value articulation.
* Analytical Skills: Strong analytical abilities to use data\-driven insights for optimizing service experiences and addressing user needs.
* Troubleshooting and Support Knowledge: Experience with app\-based troubleshooting and support features to assist users with service\-related issues.
* Effective Communication: Excellent communication skills to articulate complex value propositions clearly and effectively to both technical and non\-technical stakeholders.
* Bachelor’s Degree or equivalent business experience.
* Experience. 3\+ years of experience in Product Management; a blend of design and/or engineering experience is also a plus. We would also love to hear your explanation as to why your unique experience would make the team more successful; if you don’t quite fit the mold, apply anyway.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Customer Experience (CX); Identifying Customer Needs; Collaboration; Product Management; Communication; Mobile Products; Product Backlog Management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10 Years \+</t>
        </is>
      </c>
    </row>
    <row r="135">
      <c r="A135" t="inlineStr">
        <is>
          <t>li-4364987756</t>
        </is>
      </c>
      <c r="B135" t="inlineStr">
        <is>
          <t>Associate Auto Loan and Lease Product Manager</t>
        </is>
      </c>
      <c r="C135" t="inlineStr">
        <is>
          <t>JPMorganChase</t>
        </is>
      </c>
      <c r="D135" t="inlineStr">
        <is>
          <t>linkedin</t>
        </is>
      </c>
      <c r="E135">
        <f>HYPERLINK("https://www.linkedin.com/jobs/view/4364987756", "https://www.linkedin.com/jobs/view/4364987756")</f>
        <v/>
      </c>
      <c r="F135">
        <f>HYPERLINK("https://JPMorganChase.contacthr.com/150668403&amp;urlHash=z8qP", "https://JPMorganChase.contacthr.com/150668403&amp;urlHash=z8qP")</f>
        <v/>
      </c>
      <c r="G135" t="inlineStr">
        <is>
          <t>New York, NY</t>
        </is>
      </c>
      <c r="H135" t="inlineStr"/>
      <c r="I135" t="inlineStr">
        <is>
          <t>**Job Description**
 Join our collaborative environment, where you'll contribute to our strategy and make an impact on product success. Grow your skills, participate in product planning, and define user workflows while working alongside experienced product managers. Don't miss this opportunity to be part of a dynamic team and promote innovation in customer experiences.
 As a Product Associate in Pay Auto Loan and Lease team, you play a crucial role in supporting the product development process and contributing to the discovery of innovative solutions that address customer needs. Working closely with the product management team and cross\-functional partners, you contribute your skills and insights to help ensure the success of our product offerings. As a valued member of the team, you have the opportunity to learn and grow in a dynamic and fast\-paced environment, making a tangible impact on our products and customer experiences.
**Job Responsibilities**
* Supports the development of our product strategy and roadmap
* Collects and analyzes metrics on product performance to inform decision\-making
* Contributes to solution discovery through collaboration with cross\-functional teams to identify potential solutions that address user needs and align with business goals
* Participates in product planning sessions, contributes ideas and insights, and assists in the execution of product initiatives, ensuring timely and successful product launches
* Collaborates with the product manager to engage stakeholders and define user workflows, requirements, stories, and customer value
**Required Qualifications, Capabilities, And Skills**
* 2\+ years of experience or equivalent expertise in business analysis, product management, project management, or a relevant domain area
* Developing knowledge level of the product development life cycle
* Exposure to product life cycle activities including discovery and requirements definition
* Emerging knowledge of data analytics and data literacy
**Preferred Qualifications, Capabilities, And Skills**
* Experience in Payments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136">
      <c r="A136" t="inlineStr">
        <is>
          <t>li-4334921147</t>
        </is>
      </c>
      <c r="B136" t="inlineStr">
        <is>
          <t>Product Manager, Education</t>
        </is>
      </c>
      <c r="C136" t="inlineStr">
        <is>
          <t>National Association of REALTORS®</t>
        </is>
      </c>
      <c r="D136" t="inlineStr">
        <is>
          <t>linkedin</t>
        </is>
      </c>
      <c r="E136">
        <f>HYPERLINK("https://www.linkedin.com/jobs/view/4334921147", "https://www.linkedin.com/jobs/view/4334921147")</f>
        <v/>
      </c>
      <c r="F136" t="inlineStr"/>
      <c r="G136" t="inlineStr">
        <is>
          <t>Chicago, IL</t>
        </is>
      </c>
      <c r="H136" t="inlineStr"/>
      <c r="I136" t="inlineStr">
        <is>
          <t>**Position Summary**
 Drive the development and execution of our education product initiatives as we transform professional learning through innovative technology solutions. This individual contributor role focuses on hands\-on product management with opportunities for project leadership and delivering a measurable impact for our members while contributing to scalable educational experiences.
**Duties And Responsibilities**
**Product Management**
* Product Development: Contribute to product strategy and roadmap development for education portfolio initiatives, ensuring alignment with organizational objectives and NAR member professional development needs
* Market Research: Conduct market analysis, competitive research, and member feedback analysis to inform product specifications and identify innovative use cases
* Cross\-Functional Collaboration: Partner with marketing, sales, and stakeholder success teams to deliver high\-quality educational products that achieve strong member adoption rates
* Performance Tracking: Monitor and report on KPIs and success metrics to support data\-informed product decisions and demonstrate business value
**Product Operations \&amp; Growth**
* Project Coordination: Support budget planning and resource allocation for education product initiatives within defined parameters
* Analytics Implementation: Utilize analytics tools and support A/B testing processes to drive product iteration and measurable improvements
* Initiative Prioritization: Evaluate and recommend product initiatives based on member impact, business value, technical feasibility, and available resources
* Growth Support: Contribute to revenue generation initiatives and business model optimization for education products
**Product Excellence \&amp; Innovation**
* Optimization: Implement post\-launch optimization processes that leverage stakeholder feedback, behavioral data, and performance analytics to drive product enhancement
* Quality Assurance: Support testing frameworks and user research protocols to ensure products meet high standards of user experience and educational effectiveness
* Innovation Research: Research and recommend emerging technologies and methodologies in adult education and learning technology
**Project Leadership**
* Cross\-Functional Leadership: Lead specific product initiatives and projects, coordinating with diverse stakeholder groups to ensure successful delivery
* Process Improvement: Contribute to product discovery and delivery methodologies, ensuring thorough validation of product opportunities
* Stakeholder Management: Manage relationships with internal stakeholders and external partners related to education product initiatives
**Required Qualifications**
**Experience \&amp; Expertise**
* Product Experience: Minimum 5 years of product management experience with exposure to adult education, data analytics, and SaaS\-based learning technology (edtech)
* Collaboration Skills: 3\+ years of demonstrated success working in complex, collaborative environments with ability to influence and work across diverse stakeholder groups
* Business Experience: 2\+ years of for\-profit business experience in product management roles with understanding of revenue generation and business models
**Technical \&amp; Analytical Skills**
* Data Analysis: Strong ability to analyze datasets and research findings, translating insights into product recommendations and enhancements
* Technical Understanding: Good understanding of agile development methodologies, software engineering principles, user experience design, and user research practices
* Research \&amp; Testing: Experience with product testing, user research methodologies, and leveraging both quantitative and qualitative data to inform product decisions
* Project Management: Ability to manage multiple concurrent product initiatives with effective execution and delivery
**Communication \&amp; Leadership**
* Communication Skills: Strong oral and written communication skills with ability to present to senior stakeholders and manage diverse relationships
* Adaptability: Ability to work effectively in ambiguous environments, demonstrate intellectual curiosity and growth mindset, and respond constructively to feedback
* Technical Proficiency: Proficiency in PowerPoint and Excel, with experience in analytics and visualization tools
* Initiative: Self\-starter with ability to work independently while contributing effectively to team objectives
**Preferred Qualifications**
* Bachelor's degree in related field
* Experience with AI/ML applications in educational technology
* Background in professional certification or continuing education markets
* Familiarity with regulatory requirements in professional education
* Experience with agile development methodologies and product management tools
* Previous experience in membership organizations or professional associations
 Compensation: $100,000 \- $120,000 depending on office location
 NAR provides comprehensive benefits including health/dental/vision insurance.
 NAR is on a hybrid schedule and in the office 3 days a week.
**Organizational Overview**
 The National Association of REALTORS® (NAR) is a team of professionals dedicated to providing world\-class service to approximately 1\.5 million REALTORS® working in the United States and around the world. The real estate industry is fast\-paced and fast\-changing\-\-each year, our members participate in the sale, lease, and management of real estate. As in every industry, our members’ value proposition is constantly being challenged by innovation.
 It is our mission to empower REALTORS® as they preserve, protect and advance the right to real property for all. We cannot do that without the ideas, passion, and commitment from our talented employees. As our greatest assets, employees are offered their pick of competitive benefits/perks and flexible work options.
 Alternatively, you can apply to this job using your profile from Indeed by clicking the button below:</t>
        </is>
      </c>
    </row>
    <row r="137">
      <c r="A137" t="inlineStr">
        <is>
          <t>li-4365004882</t>
        </is>
      </c>
      <c r="B137" t="inlineStr">
        <is>
          <t>Senior Staff Outbound Product Manager, ITSM</t>
        </is>
      </c>
      <c r="C137" t="inlineStr">
        <is>
          <t>ServiceNow</t>
        </is>
      </c>
      <c r="D137" t="inlineStr">
        <is>
          <t>linkedin</t>
        </is>
      </c>
      <c r="E137">
        <f>HYPERLINK("https://www.linkedin.com/jobs/view/4365004882", "https://www.linkedin.com/jobs/view/4365004882")</f>
        <v/>
      </c>
      <c r="F137" t="inlineStr"/>
      <c r="G137" t="inlineStr">
        <is>
          <t>San Diego, CA</t>
        </is>
      </c>
      <c r="H137" t="inlineStr"/>
      <c r="I137"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Outbound Product Managers bring product capabilities to market, enable field and partner teams, and capture customer insight to drive adoption. This role partners closely with inbound PM, design, engineering, sales, marketing, and customer success to turn releases into customer outcomes.
 What you will do
* Own release‑to‑adoption motions for a core area of ITSM, including value narrative, positioning, and enablement content, so sellers, Solution Consultants, partners, and customers can understand, demo, and deploy successfully.
* Build and maintain demo and proof assets that show product value, including scripts, scenarios, environments, and POC guidance for field teams and partners.
* Lead customer programs that generate high‑quality feedback and references, for example advisory councils, partner design programs, lighthouse and spotlight initiatives, and reference development.
* Partner with inbound PMs to capture customer problems, validate designs, and prepare technical enablement materials such as TOIs, solution briefs, and competitive guidance.
* Drive data‑informed decisions, instrument adoption funnels, and report insights that shape roadmap and GTM priorities.
* Orchestrate cross‑functional execution across Sales, SC, Marketing, Customer Success, Alliances, and Support to remove blockers and accelerate use cases.
* Coach and mentor junior OPMs and field champions, and contribute templates, playbooks, and best practices to scale the discipline.
**Qualifications**
**Required**
* Proven success in product management or solution consulting, typically 8 to 12 years, including ownership of GTM enablement and customer programs for B2B SaaS. Scope should align to Staff level responsibilities and independence.
* Deep familiarity with ServiceNow and the ITSM domain, including incident, problem, change, request, knowledge, and service catalog, with ability to translate workflows into outcome‑driven demos and plays.
* Strong facilitation and communication skills, able to lead customer workshops, webinars, and design‑partnership sessions, and to tailor narratives to executives, practitioners, and technical audiences.
* Data‑driven mindset, comfortable with instrumentation, funnel analytics, and deriving insights to shape roadmap and GTM priorities.
* Cross‑functional leadership, effective at aligning Sales, SC, Marketing, CS, Alliances, and Support, and removing execution blockers without formal authority.
* Working knowledge of cloud and enterprise architecture concepts, Agile release practices, and the ServiceNow product ecosystem.
**Preferred**
* ServiceNow Certified System Administrator, ITIL 4 certification, or equivalent enterprise IT credentials.
* Experience with demo environment management, content systems, and scaling enablement through partners and communities.
* Track record of mentoring PMs and field teams, and contributing reusable frameworks, training, and documentation.
 For positions in this location, we offer a base pay of $168,900 \- $295,600,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38">
      <c r="A138" t="inlineStr">
        <is>
          <t>li-4353956843</t>
        </is>
      </c>
      <c r="B138" t="inlineStr">
        <is>
          <t>Product Manager, Antibody Detection</t>
        </is>
      </c>
      <c r="C138" t="inlineStr">
        <is>
          <t>Thermo Fisher Scientific</t>
        </is>
      </c>
      <c r="D138" t="inlineStr">
        <is>
          <t>linkedin</t>
        </is>
      </c>
      <c r="E138">
        <f>HYPERLINK("https://www.linkedin.com/jobs/view/4353956843", "https://www.linkedin.com/jobs/view/4353956843")</f>
        <v/>
      </c>
      <c r="F138" t="inlineStr"/>
      <c r="G138" t="inlineStr">
        <is>
          <t>Georgia, United States</t>
        </is>
      </c>
      <c r="H138" t="inlineStr"/>
      <c r="I138"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39">
      <c r="A139" t="inlineStr">
        <is>
          <t>li-4361954351</t>
        </is>
      </c>
      <c r="B139" t="inlineStr">
        <is>
          <t>Product Owner with Portfolio Accounting</t>
        </is>
      </c>
      <c r="C139" t="inlineStr">
        <is>
          <t>Jobs via Dice</t>
        </is>
      </c>
      <c r="D139" t="inlineStr">
        <is>
          <t>linkedin</t>
        </is>
      </c>
      <c r="E139">
        <f>HYPERLINK("https://www.linkedin.com/jobs/view/4361954351", "https://www.linkedin.com/jobs/view/4361954351")</f>
        <v/>
      </c>
      <c r="F139" t="inlineStr"/>
      <c r="G139" t="inlineStr">
        <is>
          <t>Fort Mill, SC</t>
        </is>
      </c>
      <c r="H139" t="inlineStr"/>
      <c r="I139" t="inlineStr">
        <is>
          <t>Dice is the leading career destination for tech experts at every stage of their careers. Our client, TekShapers, is seeking the following. Apply via Dice today!
**Product Owner with Portfolio Accounting**
**Location: Fort Mill, SC / New York, NY**
**Experience: 10\+ years**
**Responsibilities:**
 Work closely with business and technical partners to align goals and priorities, including providing vision for the team as well as creating and prioritizing the roadmap and backlog.
 Own and manage the product backlog, ensuring alignment with business goals and client needs.
 Partner with Product Manager and Business Owner on product discovery for Features/Stories in the backlog.
 Create, prioritize, and clarify Epics and Features in the backlog based on product roadmap, and resolve conflicts with priority using AHA and Jira
 Translate business requirements into clear user stories and acceptance criteria.
 Primary story writer who facilitates user story refinement and provides support to the team and articulates what needs to be accomplished
 Prioritize, thoroughly test and accept the work developed by team(s)
 Be a conduit between the Team and the Business to eliminate interruption
 Meet with Stakeholders to understand the strategic vision for the Product
 Communicate with stakeholders, end users, business and tech and manage results to meet their expectations
 Define and track KPIs to measure product performance, client satisfaction, and operational efficiency.
**Requirements:**
 5\+ years of experience in
 **product management** 
 , product ownership, or project management.
 5\+ years of experience in the
 **financial services** 
 industry, specifically with
 **Portfolio Accounting**
 Proven ability to manage complex products with multiple stakeholders and dependencies.
**Strong Analytical, Communication, And Organizational Skills Required.**
 Experience with
 **Agile methodologies** 
 and tools such as
 **Jira** 
 .
**Preferences:**
 Background in user experience design or client journey mapping.
 Experience in leveraging AI to improve outcomes and increase efficiency.
 "Tekshapers is an equal opportunity employer and will consider all applications without regards to race, sex, age, color, religion, national origin, veteran status, disability, sexual orientation, gender identity, genetic information or any characteristic protected by law."</t>
        </is>
      </c>
    </row>
    <row r="140">
      <c r="A140" t="inlineStr">
        <is>
          <t>li-4365017044</t>
        </is>
      </c>
      <c r="B140" t="inlineStr">
        <is>
          <t>Science Program Manager, Data Collection Excellence</t>
        </is>
      </c>
      <c r="C140" t="inlineStr">
        <is>
          <t>Amazon Web Services (AWS)</t>
        </is>
      </c>
      <c r="D140" t="inlineStr">
        <is>
          <t>linkedin</t>
        </is>
      </c>
      <c r="E140">
        <f>HYPERLINK("https://www.linkedin.com/jobs/view/4365017044", "https://www.linkedin.com/jobs/view/4365017044")</f>
        <v/>
      </c>
      <c r="F140" t="inlineStr"/>
      <c r="G140" t="inlineStr">
        <is>
          <t>Sunnyvale, CA</t>
        </is>
      </c>
      <c r="H140" t="inlineStr"/>
      <c r="I140" t="inlineStr">
        <is>
          <t>**Description**
 As a Science Program Manager, you'll be a trusted advisor for Senior AGI\-DS scientists and Customers, providing expert consultation on ML/Gen AI data collections and managing director level customer relationships. You will be an expert at looking round corners and partnering with our customers to identify trends and translating this into actionable change within our business.
 You'll drive business value through technical advisory and partnership building, with oversight across a customers account and workstreams ensuring we delight our customers and deliver meaningful change for their models.
 Key job responsibilities
**In This Role You Will**
* Be the first point of contact and the account owner for our key science customers
* Build and execute plans for fulfilling the customer's mid\-term and long\-term data needs across diverse domains, novel data formats, and multiple fulfillment channels
* Find the opportunities for multiplying innovation across different data workstreams, leading advances into science and complex data representations
* Work across teams, with a wide range of stakeholders, and elbow\-to\-elbow with our scientists and Language Engineers as well as with partner product teams.
**Basic Qualifications**
* 7\+ years of working directly with engineering teams experience
* 5\+ years of technical product or program management experience
* Experience managing programs across cross functional teams, building processes and coordinating release schedules
* 3\+ years experience in complex data creation for AI models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\- 148,700\.00 \- 201,200\.00 USD annually
**Company** 
 \- Amazon Data Services, Inc.
 Job ID: A3160674</t>
        </is>
      </c>
    </row>
    <row r="141">
      <c r="A141" t="inlineStr">
        <is>
          <t>li-4364977684</t>
        </is>
      </c>
      <c r="B141" t="inlineStr">
        <is>
          <t>Program Manager</t>
        </is>
      </c>
      <c r="C141" t="inlineStr">
        <is>
          <t>Lensa</t>
        </is>
      </c>
      <c r="D141" t="inlineStr">
        <is>
          <t>linkedin</t>
        </is>
      </c>
      <c r="E141">
        <f>HYPERLINK("https://www.linkedin.com/jobs/view/4364977684", "https://www.linkedin.com/jobs/view/4364977684")</f>
        <v/>
      </c>
      <c r="F141" t="inlineStr"/>
      <c r="G141" t="inlineStr">
        <is>
          <t>Alpharetta, GA</t>
        </is>
      </c>
      <c r="H141" t="inlineStr"/>
      <c r="I14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Fiserv. Clicking "Apply Now" or "Read more" on Lensa redirects you to the job board/employer site. Any information collected there is subject to their terms and privacy notice.
**Calling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Program Manager
**What Does a Successful Program Manager Do At Fiserv**
 As a successful Program Manager, you will deliver enterprise payments and financial services solutions to banks, merchants and fintech partners. You will oversee multiple, interdependent programs and align on delivery for government business. You will focus on driving portfolio outcomes, operational scalability and regulatory/compliance adherence while partnering with product, engineering and business stakeholders.
**What You Will Do**
* Define and oversee program governance, roadmaps, milestones, and success criteria for multi\-team initiatives.
* Drive coordination across engineering, product, security, operations, QA, and third\-party vendors to remove impediments and manage cross\-program dependencies.
* Establish and manage program\-level risk, issue, and change\-control processes; implement mitigation and escalation strategies.
* Lead program financials including budgeting, forecasting, variance analysis, and portfolio reporting to senior leadership.
* Facilitate scaled\-Agile practices and Program Increment planning; align teams on delivery cadence and release strategies.
* Ensure program deliverables meet security, regulatory, and testing requirements for payments and financial services.
* Develop vendor management and contract oversight practices, including SLAs and integration governance.
* Responsibilities listed are not intended to be all\-inclusive and may be modified as necessary.
**What You Will Need To Have**
* 10\+ years of experience in leading large\-scale, complex enterprise programs and program governance, including scaled\-Agile/SAFe implementations.
* 8\+ years of experience in cloud strategy and enterprise cloud delivery (AWS, Azure) and cloud migration planning.
* 8\+ years of experience implementing security and regulatory compliance frameworks for financial services (PCI DSS, SOC 2, SOX).
* 6\+ years of experience in program financial management, budgeting, forecasting, and portfolio reporting (Excel, Adaptive Insights, Workday Planning).
* 6\+ years of experience managing vendor relationships, contracts, SLAs, and third\-party integrations.
* 6\+ years of experience with Agile tooling and delivery platforms (Jira, Confluence, Azure DevOps) and release coordination.
* 6\+ years of equivalent combination of educational background, related experience, and/or military experience.
**What Would Be Great To Have**
* PgMP, PMP, or other program/project management certification.
* SAFe Program Consultant (SPC) or SAFe Agilist certification and hands\-on PI planning experience.
* Direct experience with payments protocols and standards (NACHA, ISO 20022, card processing).
* Experience with enterprise integration platforms, APIs, and middleware used in payments ecosystems.
* Experience leading transformation, consolidation, or post\-merger integration programs in financial services.
 You must currently possess valid and unrestricted U.S. work authorization to be considered for this role. Individuals with temporary visas including, but not limited to, F\-1 (OPT, CPT, STEM), H\-1B, H\-2, or TN, or any candidate requiring sponsorship, now or in the future, will not be considered for this role.
**Salary Range**
 $150,000\.00 \- $240,000\.00
*These pay ranges apply to employees in Massachusetts, California (excluding Sunnyvale) and District of Columbia.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
 If you have questions about this posting, please contact support@lensa.com</t>
        </is>
      </c>
    </row>
    <row r="142">
      <c r="A142" t="inlineStr">
        <is>
          <t>li-4364996426</t>
        </is>
      </c>
      <c r="B142" t="inlineStr">
        <is>
          <t>Technology Project &amp; Program Manager</t>
        </is>
      </c>
      <c r="C142" t="inlineStr">
        <is>
          <t>Lensa</t>
        </is>
      </c>
      <c r="D142" t="inlineStr">
        <is>
          <t>linkedin</t>
        </is>
      </c>
      <c r="E142">
        <f>HYPERLINK("https://www.linkedin.com/jobs/view/4364996426", "https://www.linkedin.com/jobs/view/4364996426")</f>
        <v/>
      </c>
      <c r="F142" t="inlineStr"/>
      <c r="G142" t="inlineStr">
        <is>
          <t>Cary, NC</t>
        </is>
      </c>
      <c r="H142" t="inlineStr"/>
      <c r="I14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Wolters Kluwer. Clicking "Apply Now" or "Read more" on Lensa redirects you to the job board/employer site. Any information collected there is subject to their terms and privacy notice.
 If you are a problem\-solver who is passionate about ensuring customers are delighted by how products look/feel/work and are looking for a new challenge (as well as an opportunity to make a real difference in how nursing students use our products to become ready for practice), we want to hear from you!
 We are looking for a Product Owner to help us in our mission to ensure that the students and faculty who use our Nursing Education digital products/platforms at our most strategic accounts realize the full value of our digital solutions by proactively managing relationships, resolving issues, and championing customer needs in product development. The Product Owner acts as both an advocate and advisor by aligning customer outcomes to business goals.
 This Product Owner will have responsibility for implementing best practices in coordinating the investigation and resolution of common customer issues/requests for key accounts. The Product Owner will develop a first\-hand, in\-depth knowledge of what these users value and what helps customers in their workflows, to ensure nursing students and instructors have what they need to ensure the best educational experience. The Product Owner will work directly with key customers to troubleshoot problems and manage internal and external communications. In addition, for a limited number of customers, this Product Owner will provide project management oversite of implementation of digital products.
 The Product Owner manages the customer relationship for identified accounts on their assigned digital products/platforms. While the Product Owner is not expected to make technology decisions or understand the detail of the coding, they must have sufficient understanding of technology issues as well as an in\-depth understanding of the value each release brings to customers and how the release will work. This position will be closely aligned with the Product Management leadership in the ongoing development of our Enterprise Account strategy and will report to the Director of Product Development, Nursing.
**The Product Owner’s Primary Responsibilities Include**
* Developing a deep understanding of Nursing Education customers and their needs, particularly their day\-to\-day interactions with our digital products/solutions
* Coordinating with Product Management on customer interactions to ensure a shared, thorough understanding of customer needs and how they align to short\- and long\-term strategic goals
* Delivering clear, empathetic, and professional communication tailored to each key account, ensuring complex issues are explained effectively
* Tracking and reporting on customer satisfaction metrics at key partnership accounts
* Developing best product implementation strategies with for key customers, ensuring timely delivery and alignment with business objectives, including coordination with Digital Implementation Specialist and Integration Nurse team members for seamless onboarding to our products/platforms through structured planning, relationship management, stakeholder coordination, and proactive risk management
* Bringing excellent organizational skills and a laser\-focus on customer service/insights to translate what customers have reported/requested into actionable/prioritized work for Agile/Scrum teams
* Owning the product development lifecycle/schedule by working with various Agile/Scrum teams to ensure that prioritized items are consumed/deployed in support of customer needs on the assigned products/platforms
* Being the “glue” in the product team who acts as a product’s “subject matter expert” for coordinating the investigation and resolution of customer issues across cross\-functional internal teams (including, but not limited to, Product Management, Technology, Content, Sales, Sales Enablement, and Customer Success/Support)
**Other Duties**
 Performs other duties as assigned by supervisor.
**Job Qualifications**
 Education: College degree (BA/BS) or equivalent experience required.
 Experience: At least 1\-year experience in customer service/support, with exposure to digital product development (particularly with Agile/Scrum teams) or equivalent experience in working on products/solutions for educational/academic markets
**Required**
**Other Knowledge, Skills, Abilities, or Certifications:**
* Superior communication and relationship management skills, including ability to facilitate customer communications (internal and external) and triage/troubleshoot customer escalations
* Demonstrated ability to remain professional and solution\-oriented when managing time\-sensitive or emotionally charged customer interactions, with a history of turning challenging situations into positive outcomes
* Strong project management skills, including ability to develop schedules, oversee work\-in\-progress, and implement risk mitigation strategies for efficient/effective solutions
* Ability to prioritize and act as a structured thinker who is able to see “the wood from the trees”
* Demonstrated experience coordinating cross\-functional teams to reach/exceed goals
* Experience in implementing best practice/standards in support of customer issues
**Preferred**
* General knowledge of the Nursing Education market
* Experience with understanding Technology opportunities, constraints, and choices, and ability to articulate associated risks (and possible mitigation plans)
* Familiarity with Agile/Scrum principles and practices for Product Owners
* Exposure to digital products/solutions in the educational space (including testing/assessment products)
* Exposure to backlog software (e.g., Jira, VSO, Trello, Wrike) and communication applications (Slack, MS Teams, Salesforce, etc.)
 Travel Requirements
* Up to 10% travel required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$74,000\.00 \- $126,800\.00 USD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
 EQUAL EMPLOYMENT OPPORTUNITY Wolters Kluwer U. S. Corporation and all of its subsidiaries, divisions and customer/business units is an Equal Opportunity / Affirmative Action employer. All qualified applicants will receive consideration for employment without regard to race, color, religion, sex, sexual orientation, gender identity, national origin, disability, or protected veteran status.
 If you have questions about this posting, please contact support@lensa.com</t>
        </is>
      </c>
    </row>
    <row r="143">
      <c r="A143" t="inlineStr">
        <is>
          <t>li-4364994147</t>
        </is>
      </c>
      <c r="B143" t="inlineStr">
        <is>
          <t>Technical Program Manager</t>
        </is>
      </c>
      <c r="C143" t="inlineStr">
        <is>
          <t>LMI</t>
        </is>
      </c>
      <c r="D143" t="inlineStr">
        <is>
          <t>linkedin</t>
        </is>
      </c>
      <c r="E143">
        <f>HYPERLINK("https://www.linkedin.com/jobs/view/4364994147", "https://www.linkedin.com/jobs/view/4364994147")</f>
        <v/>
      </c>
      <c r="F143">
        <f>HYPERLINK("https://careers-lmi.icims.com/jobs/13534/technical-program-manager/job?in_iframe=1&amp;mode=apply&amp;iis=LinkedIn&amp;urlHash=ESf-", "https://careers-lmi.icims.com/jobs/13534/technical-program-manager/job?in_iframe=1&amp;mode=apply&amp;iis=LinkedIn&amp;urlHash=ESf-")</f>
        <v/>
      </c>
      <c r="G143" t="inlineStr">
        <is>
          <t>Fort Liberty, NC</t>
        </is>
      </c>
      <c r="H143" t="inlineStr"/>
      <c r="I143" t="inlineStr">
        <is>
          <t>**Overview**
 LMI is seeking a
 **Technical Program Manager (TPM)** 
 to lead a program supporting US Special Operations Command (USSOCOM)
 **. This position requires an active Top Secret clearance.**
 A successful Technical Program Manager will be highly skilled in project management, agile software delivery, communication, project planning, and financial management. The ideal candidate will be detail\-oriented, possess the management skills to hold team members accountable to quality expectations and timelines, and respond swiftly to evolving client needs.
 The successful candidate must demonstrate competency in leadership, strategic thinking, relationship management, multitasking, schedule management, and delivery excellence, while upholding the highest standard of ethical behavior
 LMI brings together mission\-ready technology, federal deployment expertise, and a culture that thrives on solving complex challenges. We support defense, space, homeland, healthcare, and intel missions with teams who understand the stakes and work in true partnership with our customers. Headquartered in Tysons, Virginia, we deliver solutions that strengthen federal operations and create lasting impact.
**Responsibilities**
 The Technical Program Manager is a leader on a team focused on supporting our mission partner. This leader is responsible for critical processes and providing overarching oversite and coordination to include acquisition, logistics, program management, task/workstream governance, change management, strategic communications, stakeholder support, and the budgeting processes.
* Prepare a Program Management Plan (PMP) to document and establish specific program and project management methodologies and processes.
* Create the work breakdown structure (WBS), schedules, and activity plans across all stated Tasks Areas, documents and deliverables, resource utilization, program risks and mitigation, and resourcing.
* Identify program control and contract reporting requirements to manage and track the team’s program performance, schedule, cost, and other deliverables.
* Conduct corporate back\-office operations to include contract oversite, cost accounting and financial management, subcontractor invoicing, purchasing, subcontractor management, time reporting, and Government payment receipts.
* Management of complex projects ensuring that client goals, requirements, and outcomes are defined and that the appropriate resources are allocated.
* Monitor team performance to ensure that projects are implemented, supported, and closed accurately and in accordance with key milestones.
* Ensures established project standards are upheld and clearly defined throughout project development and execution.
* Foster positive working relationships with team and client staff/leadership
* Prioritize tasks, set deadlines and assign resources to each project.
* Track cost, schedule and performance, as well as prepare documents and develop project specific policy, procedures and report status to all levels.
* Manage staffing requirements, including recruiting, hiring, onboarding, and execution.
* Manage task assignments and personnel oversight to enable services delivery excellence.
* Prepare monthly reports and ensure such deliverables are submitted in a timely fashion and of high quality/accuracy.
* Prepare briefing charts, schedule meetings, keep records and record minutes, prepare after\-action reports in support of technical reviews.
* Ensure program compliance with government and corporate policies and mandates, and adherence to directives from governing entities.
**Qualifications**
* Top\-Secret security clearance
* Demonstrated verbal and written communication skills
* Strong experience in the use of Microsoft Office Suite, specifically Word, Excel, and PowerPoint.
* Strong problem solving and analytical skills.
* Previous experience supporting USSOCOM.
* Experience leading a technical team in the GovTech arena.
**Preferred**
* Bachelor's degree (Masters Preferred)
* Project Management Professional (PMP) certification
* PMI\-Agile Certified Practitioner (ACP) or similar
* Relevant lean/process improvement or Agile certification/training (i.e., SAFe, Six Sigma)
* Experience with Agile development methodologies and working with Agile teams.</t>
        </is>
      </c>
    </row>
    <row r="144">
      <c r="A144" t="inlineStr">
        <is>
          <t>li-4309662756</t>
        </is>
      </c>
      <c r="B144" t="inlineStr">
        <is>
          <t>Technical Program Manager</t>
        </is>
      </c>
      <c r="C144" t="inlineStr">
        <is>
          <t>LMI</t>
        </is>
      </c>
      <c r="D144" t="inlineStr">
        <is>
          <t>linkedin</t>
        </is>
      </c>
      <c r="E144">
        <f>HYPERLINK("https://www.linkedin.com/jobs/view/4309662756", "https://www.linkedin.com/jobs/view/4309662756")</f>
        <v/>
      </c>
      <c r="F144" t="inlineStr"/>
      <c r="G144" t="inlineStr">
        <is>
          <t>Washington, DC</t>
        </is>
      </c>
      <c r="H144" t="inlineStr"/>
      <c r="I144" t="inlineStr">
        <is>
          <t>**Overview**
 LMI is seeking an experienced Technical Program Manager to oversee multiple software platform integration teams, drive program schedules, manage project financials, and ensure the high\-quality delivery of LMI contracts.
 A successful Technical Program Manager will be highly skilled in project management, agile software delivery, communication, project planning, and financial management. The ideal candidate will be detail\-oriented, possess the management skills to hold team members accountable to quality expectations and timelines, and respond swiftly to evolving client needs. The successful candidate must demonstrate competency in leadership, strategic thinking, relationship management, multitasking, schedule management, and delivery excellence, while upholding the highest standard of ethical behavior.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**Responsibilities**
* Management of complex Agile software programs ensuring that goals, requirements, and outcomes are defined and that the appropriate resources are allocated
* Monitor team performance to ensure that projects are implemented, supported, and closed accurately and in accordance with key milestones and established project standards are upheld and clearly defined throughout the entire process of each project’s development and execution
* Foster positive working relationships with team members, client personnel, and leadership counterparts
* Prioritize tasks, set deadlines, and assign resources to each project
* Track cost, schedule, and performance, as well as prepare documents and develop project\-specific policy, procedures, and report status to all levels
* Manage staffing requirements, including recruiting, hiring, onboarding, and execution
* Manage task assignments and oversight of personnel to ensure excellence in service delivery
* Prepare monthly cost reports and ensure such deliverables are submitted in a timely fashion and of high quality/accuracy. When appropriate, propose a plan to correct any cost variances or projected rate adjustments
* Ensure program compliance with government and corporate policies and mandates, and adherence to directives from governing entities
* Ensure a smooth deployment of artificial intelligence technology into secure environments, adhering to DevSecOps and Cybersecurity practices.
* Work closely with Cybersecurity resources to document controls, support accreditation processes, and provide metrics to comply with audits, including IATT and ATO documentation.
* Anticipate and resolve procurement challenges and problems, such as small business set\-aside goals, certification requirements, and acquisition strategy
* Work with LMI and LMI business partners to pursue new business opportunities
* Support business development and bid and proposal efforts for opportunities, bringing together capabilities across LMI to define a solution that meets and exceeds client expectations
**Qualifications**
* Bachelor’s Degree or higher
* Minimum of 5 years consulting experience
* Minimum 5 years project management and/or task leadership experience
* Experience in the areas of SDLC and Agile software development methodologies
* Demonstrated experience in deploying software systems adhering to DevSecOps principles and cybersecurity best practices.
* Experience with documenting security controls, supporting accreditation processes, and providing metrics for audits, including IATT and ATO documentation.
* Technically adept and business\-focused to interface across technical disciplines and senior leadership
* Product management or related product lifecycle experience
* Superior communication skills, both oral and written
* Strong problem\-solving and analytical skills with a “client first” attitude
* Demonstrated ability to lead teams to successful outcomes
* Exceptional organizational skills and a deep understanding of project management best practices
* Demonstrated ability to balance competing priorities and exhibit flexibility based on changing client needs
* High level of business acumen, ability to develop and implement strategy
* Strong connector – make insightful connections to bring the right people together to solve problems and grow the business
**Desired Skills**
* Master’s degree or higher (MBA, Masters in Data Science, Engineering, Computer Science or a related field)
* Proven experience managing and deploying software into government environments, ensuring compliance with security rules and documentation.
* Experience with cloud technology deployment models (AWS preferred)
* Ability to design, develop, and deploy applications in microservice architectures
* In\-depth experience with containerization (e.g., Docker) and container orchestration engines (e.g., Kubernetes)
 Target salary range: $150,986 \- $205,154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t>
        </is>
      </c>
    </row>
    <row r="145">
      <c r="A145" t="inlineStr">
        <is>
          <t>li-4354065508</t>
        </is>
      </c>
      <c r="B145" t="inlineStr">
        <is>
          <t>Technical Program Manager III - Developer Connections</t>
        </is>
      </c>
      <c r="C145" t="inlineStr">
        <is>
          <t>Riot Games</t>
        </is>
      </c>
      <c r="D145" t="inlineStr">
        <is>
          <t>linkedin</t>
        </is>
      </c>
      <c r="E145">
        <f>HYPERLINK("https://www.linkedin.com/jobs/view/4354065508", "https://www.linkedin.com/jobs/view/4354065508")</f>
        <v/>
      </c>
      <c r="F145" t="inlineStr"/>
      <c r="G145" t="inlineStr">
        <is>
          <t>Los Angeles, CA</t>
        </is>
      </c>
      <c r="H145" t="inlineStr"/>
      <c r="I145" t="inlineStr">
        <is>
          <t>Technical Program Managers at Riot lead passionate, cross\-functional teams to achieve player value through the delivery of large programs that are aligned with Riot's strategic priorities. Our commitment is to empower our game teams to focus on creating and operating unique, secure, and scalable services from inception to global deployment
 **.**
 As a
 **Technical Program Manager III** 
 on
 **Developer Connections (DevCon)** 
 you will coordinate important development projects and lead the integration of Riot's games with the DevCon suite of products. You will begin working with cross\-functional Scrum teams and will be responsible for implementing and upholding standards for our delivery framework, as well as coach your team members on best practices for program delivery. You will report to the Senior Manager, Technical Program Management on DevCon.
**Responsibilities**
* Align autonomous teams towards complex cross\-business unit programs centered around Riot's strategic technology priorities.
* Create program plans with cross functional teams such as, creative, architecture, operations, technical teams, and leadership.
* Evangelize processes and delivery methodologies to ensure we accomplish our program goals.
* Facilitate and manage Agile project management events and processes for medium to large project teams.
* Report on program performance, ensuring each program achieves milestones against its objective.
* Organize program\-level planning, communication, and team member rituals.
* Manage risks and issues across programs and within teams.
* Foster transparency and predictability by building and maintaining roadmaps for assigned programs.
* Maintain partner relationships, providing visibility into workstreams and maintaining partner satisfaction.
* Assist in the creation of product release and go\-to\-market plans.
* Understand fiscal practices and controls, recording, and reporting on program expenditures \&amp; ROI.
**Required Qualifications**
* 6\+ years of relevant industry experience
* Excellent teamwork, team leadership, communication, and stakeholder management
* Experience with iterative development methodologies like Scrum \&amp; Agile
* Expert level experience as a Jira power user
* Experience with CI/CD tooling and DevOps practices
* Experience in software development, infrastructure, or live operations management
**Desired Qualifications**
* Previous program experience in a large distributed organization.
* Experience managing hardware/software/video game products through the entire life cycle – from conception, development and launch to maintaining and operating a live service.
* Agile certifications (e.g. PSM, PSPO, CSM, CSPO)
* Atlassian certifications
*For this role, you'll find success through craft expertise and collaboration that prioritizes your fellow Rioters, who are the customers of your work. Being a dedicated fan of games is not necessary for this position!*
**Our Perks**
 Riot focuses on work/life balance, shown by our open paid time off policy and other perks such as flexible work schedules. We offer medical, dental, and life insurance, parental leave for you, your spouse/domestic partner, and children, and a 401k with company match. Check out our
 **benefits pages** 
 for more information.
 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
*It’s our policy to provide equal employment opportunity for all applicants and members of Riot Games, Inc. Riot Games makes reasonable accommodations for handicapped and disabled Rioters and does not unlawfully discriminate on the basis of race, color, religion, sex, sexual orientation, gender identity or expression, national origin, age, handicap, veteran status, marital status, criminal history, or any other category protected by applicable federal and state law. We consider for employment all qualified applicants, including those with criminal histories, in a manner consistent with applicable federal, state and local law, including the California Fair Chance Act, the City of Los Angeles Fair Chance Initiative for Hiring Ordinance, the Los Angeles County Fair Chance Ordinance for Employers, the San Francisco Fair Chance Ordinance, and the Washington Fair Chance Act.*
**Duties**
*Per the Los Angeles County Fair Chance Ordinance, the following core duties may create a basis for disqualifying candidates with relevant criminal histories:*
* Safeguarding confidential and sensitive Company data
* Communication with others, including Rioters and third parties such as vendors, and/or players, including minors
* Accessing Company assets, secure digital systems, and networks
* Ensuring a safe interactive environment for players and other Rioters
*These duties are directly related to essential operations, safety, trust, and compliance obligations within our organization. Please note that job duties may evolve based on business needs and additional responsibilities may be assigned as necessary to maintain operational efficiency and security.*</t>
        </is>
      </c>
    </row>
    <row r="146">
      <c r="A146" t="inlineStr">
        <is>
          <t>li-4364990150</t>
        </is>
      </c>
      <c r="B146" t="inlineStr">
        <is>
          <t>Program Manager</t>
        </is>
      </c>
      <c r="C146" t="inlineStr">
        <is>
          <t>Akkodis Group Nordics</t>
        </is>
      </c>
      <c r="D146" t="inlineStr">
        <is>
          <t>linkedin</t>
        </is>
      </c>
      <c r="E146">
        <f>HYPERLINK("https://www.linkedin.com/jobs/view/4364990150", "https://www.linkedin.com/jobs/view/4364990150")</f>
        <v/>
      </c>
      <c r="F146" t="inlineStr"/>
      <c r="G146" t="inlineStr">
        <is>
          <t>Atlanta, GA</t>
        </is>
      </c>
      <c r="H146" t="inlineStr"/>
      <c r="I146" t="inlineStr">
        <is>
          <t>Akkodis is seeking a
 **Program Manager** 
 for a
 **Contract** 
 job with a client in
 **Atlanta, GA** 
 . The ideal candidate will lead enterprise\-level Governance, Risk \&amp; Compliance initiatives and drive risk, compliance, and security programs aligned with regulatory and organizational requirements.
**Rate Range:** 
**$49\.24/hour to $** 
**64\.39/hour** 
 ; The rate may be negotiable based on experience, education, geographic location, and other factors.
**Program Manager Job Responsibilities Include**
* Lead enterprise programs across risk assessments, control assurance, compliance initiatives, and audit preparedness.
* Define program scope, deliverables, governance structures, and success metrics aligned with regulatory and security objectives.
* Partner with the CISO, risk owners, and auditors to support enterprise\-wide risk reduction, regulatory alignment, and policy governance.
* Drive implementation and optimization of platforms (e.g., ServiceNow, Archer) including tool deployments and process enhancements.
* Provide strategic reporting to leadership, ensuring transparency, alignment, and actionable insights on cybersecurity and compliance risks.
**Desired Qualifications**
* 10\+ years of experience in Program Management with a strong background in Governance, Risk \&amp; Compliance.
* Deep knowledge of cybersecurity frameworks and regulatory standards including NIST, ISO 27001, SOC 2, SOX, and GDPR.
* Strong communication and stakeholder‑management skills with experience collaborating across CISO teams, business units, and audit groups.
* Experience with tools such as ServiceNow, Archer, and other enterprise compliance or risk management platforms.
 If you are interested in this role, then please click APPLY NOW. For other opportunities available at Akkodis, or any questions, feel free to contact me at
 **Gopal.Gupta@** 
**akkodisgroup.com.**
**Pay Details:** 
 $53\.03 to $68\.18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47">
      <c r="A147" t="inlineStr">
        <is>
          <t>li-4364974432</t>
        </is>
      </c>
      <c r="B147" t="inlineStr">
        <is>
          <t>Program Manager - DOL</t>
        </is>
      </c>
      <c r="C147" t="inlineStr">
        <is>
          <t>W3Global</t>
        </is>
      </c>
      <c r="D147" t="inlineStr">
        <is>
          <t>linkedin</t>
        </is>
      </c>
      <c r="E147">
        <f>HYPERLINK("https://www.linkedin.com/jobs/view/4364974432", "https://www.linkedin.com/jobs/view/4364974432")</f>
        <v/>
      </c>
      <c r="F147">
        <f>HYPERLINK("https://www.w3global.com/candidate-apply.php/PROGRAM+MANAGER+-+DOL-WASHINGTON-DC-US?id=W3GEXT-53175&amp;source=LinkedIn&amp;urlHash=U1ME", "https://www.w3global.com/candidate-apply.php/PROGRAM+MANAGER+-+DOL-WASHINGTON-DC-US?id=W3GEXT-53175&amp;source=LinkedIn&amp;urlHash=U1ME")</f>
        <v/>
      </c>
      <c r="G147" t="inlineStr">
        <is>
          <t>Washington, DC</t>
        </is>
      </c>
      <c r="H147" t="inlineStr"/>
      <c r="I147" t="inlineStr">
        <is>
          <t>We are seeking an experienced Program Manager to lead a large\-scale federal IT initiative supporting the U.S. Department of Labor. This program delivers and operates identity verification services used by states nationwide and supports a claimant\-facing UI portal, APIs, and supporting infrastructure.
 The Program Manager will have full responsibility for contract execution, technical delivery, operations and maintenance (O\&amp;M), Agile delivery governance, and stakeholder management. This role
 **requires a strong blend of federal IT program leadership, Agile/SAFe execution, DevSecOps awareness, and operational excellence.**
**Work Description**
* Provide program management managing an agile development program with multiple tasks/work streams.
* Provide overall direction of program activities.
* Manage and maintain contractor interfaces with the senior levels of the customer's organization.
* Consult with customer and contractor personnel to formulate and review task plans and deliverables, ensuring conformance with program and project task schedules and costs and contractual obligations.
* Establish and maintain technical reports to show progress of projects to management and customers, organize and assign responsibilities to subordinates, and oversee the successful completion of all assigned tasks.
* Lead the analysis, design, development and testing of applications to include integration of legacy clients and new clients to application.
* Review and verify implementation of states according to design best practices, performance, and security.
* Review and assist in planning and execution of data integration and migration activities.
* Create and implement technical process modeling, user interface designs, and data modeling.
**Responsibilities**
**Strategy \&amp; Planning**
* Meet with decision makers, systems owners, and end users to define business and operations requirements, systems goals, and identify and resolve systems issues.
* Lead design sessions in prototyping new systems for the purpose of enhancing business processes, operations, and information process flow.
* Review and analyze the effectiveness and efficiency of existing systems and develop strategies for improving or further leveraging these systems.
* Identify and establish scope and parameters of systems analysis to define outcome criteria and measure\-taking actions.
**Acquisition \&amp; Deployment**
* Collaborate in the planning, design, development, and deployment of new applications, and enhancements to existing applications.
* Coordinate across Agile teams, DevSecOps, security, help desk, and infrastructure teams.
* Proficiency working in AWS, Windows, Linux environments.
* A deep knowledge of API integration capabilities and deployment options.
**Operational Management**
* Lead delivery using a DOL\-customized Agile framework based on Agile, Lean, and SAFe principles
* Prepare and deliver reports, recommendations, or alternatives that address existing and potential trouble areas in operating systems across the organization.
* Create system design proposals.
* Perform cost\-benefit and return on investment analyses for proposed systems to aid management in making implementation decisions.
* Ensure compatibility and interoperability in\-house computing systems.
* Create systems models, specifications, diagrams, and charts to provide direction to system programmers and customer decision makers.
* Coordinate in\-depth tests, including end\-user reviews, for the modernized systems, and other post\-implementation support.
* Provide guidance and/or instruction to junior staff members.
* Document the project effort using Jira and Confluence.
**Required Experience**
* 7\+ years' experience using Agile development methodologies organizing, directing, and managing teams conducting operation support functions for multiple, complex, and inter\-related IT programs and projects.
* 7\+ years' demonstrated experience leading Agile or SAFe\-based delivery teams
* Experience managing operations and maintenance (O\&amp;M) for mission\-critical systems
* Strong understanding of cloud\-hosted and enterprise IT environments
* Experience managing software development teams supporting federal government technology projects to include compliance with FISMA standards.
* 7\+ years' experience maintaining and managing internal and external client interface at senior levels of the client organization.
**Required Education And Certifications**
* Preferred Master's degree in Computer Science, Information Systems, Business, or other relevant discipline. A minimum of 7 years of work experience may be substituted for Master's degree requirements.
* Must have a current Project Management Professional certification (e.g., Project Management Professional (PMP); Required and Agile Safe (SAFe) Practitioner (SP), Certified Scrum Master (CSM), or comparable).</t>
        </is>
      </c>
    </row>
    <row r="148">
      <c r="A148" t="inlineStr">
        <is>
          <t>li-4365003719</t>
        </is>
      </c>
      <c r="B148" t="inlineStr">
        <is>
          <t>Principal Technical Program Manager</t>
        </is>
      </c>
      <c r="C148" t="inlineStr">
        <is>
          <t>Intuit</t>
        </is>
      </c>
      <c r="D148" t="inlineStr">
        <is>
          <t>linkedin</t>
        </is>
      </c>
      <c r="E148">
        <f>HYPERLINK("https://www.linkedin.com/jobs/view/4365003719", "https://www.linkedin.com/jobs/view/4365003719")</f>
        <v/>
      </c>
      <c r="F148" t="inlineStr"/>
      <c r="G148" t="inlineStr">
        <is>
          <t>Mountain View, CA</t>
        </is>
      </c>
      <c r="H148" t="inlineStr"/>
      <c r="I148" t="inlineStr">
        <is>
          <t>**Overview**
 About the t4i Team (Tech 4 Intuit)
 The Intuit t4i (Tech for Intuit) organization is the technology engine that powers how Intuit runs, grows, and takes care of its people. We build and scale the core enterprise platforms that enable Intuit’s Workforce, People, and Places — from HR to Facilities, Events, Critical Infrastructure and Workforce Tech Care.
 We are the team behind the systems that keep Intuit connected, secure, and productive every single day. Our technology powers every employee experience, every expert interaction, and every workspace around the world — helping Intuit’s people do the best work of their careers.
 Our stakeholders span HR, Facilities, business unit leaders, and Intuit’s global workforce, including our expert community. Together, we deliver the digital foundation that fuels innovation, supports growth, and creates a world\-class employee and expert experience — one that defines what it means to work at Intuit.
 Simply put: t4i is how Intuit works. We connect people, technology, and purpose — building the systems that make Intuit’s mission possible.
**About The Role**
 We are seeking a Principal Technical Program Manager (TPM) to lead the delivery of t4i’s most critical, complex, and high\-impact technical initiatives. This role operates at the intersection of technology, strategy, and execution and requires deep program management expertise, strong technical acumen, and the ability to drive clarity and momentum across highly ambiguous problem spaces.
 As a Principal TPM, you will steward enterprise\-wide programs that span multiple platforms, organizations, and stakeholders. Partnering closely with t4i Product Management, Engineering, Segment Business Units, and Corporate Functions, you will bring focus, discipline, and speed to execution while influencing senior leaders, aligning cross\-functional teams, and ensuring consistent delivery of high\-quality outcomes. You will define and deliver programs that are foundational to how Intuit delivers, scales, and transforms its internal platforms at the enterprise level.
**Responsibilities**
* Lead Enterprise Programs: Drive delivery of t4i’s most critical, cross\-organizational technical programs, partnering with executive leaders, product management, and engineering teams.
* Shape Direction and Outcomes: Influence technical priorities and investment decisions across multiple domains, ensuring alignment with enterprise strategy.
* Drive Transformation: Lead large\-scale, transformational initiatives across complex ecosystems, navigating ambiguity, interdependencies, and organizational change.
* Deliver with Rigor: Define and execute high\-quality program plans, leveraging data to track progress, manage risks, and communicate clearly with stakeholders.
* Apply Technical Judgment: Bring deep understanding of software development and platform technologies to guide execution, trade\-offs, and decision\-making.
* Build Capability: Establish and evolve technical program management best practices, tools, and frameworks; coach and mentor other TPMs and contribute to the growth of the TPM discipline.
* Trusted Advisor: Act as a strategic partner to senior leadership, providing clarity, execution leadership, and insight across t4i’s most complex initiatives.
**How You Will Grow**
 You will be part of a strong, cross\-organizational Intuit Program Management community that collaborates to solve complex problems and advance the craft of program management. You will partner closely with experienced program leadership who will help remove barriers, expand your influence, and accelerate your impact.
 In this role, you will continue to grow as an enterprise leader—deepening your technical and strategic expertise, increasing your contribution to Intuit’s most critical initiatives, and mentoring others to raise the bar across the organization.
**Qualifications**
* Proven Program Leadership: 12\+ years of experience leading and delivering complex, large\-scale technical programs within highly matrixed organizations.
* Technical Depth: Strong understanding of software architecture, development lifecycles, and modern engineering practices, including Agile and iterative delivery models.
* Strategic Orientation: Ability to translate business and technology strategy into executable programs, analyze industry trends, and make data\-driven decisions that accelerate outcomes.
* Executive Communication: Exceptional written and verbal communication skills, with demonstrated ability to influence and align stakeholders at all levels, including senior executives.
* Data\-Driven Mindset: Experience using data to assess program health, identify risks, and drive decision\-making; familiarity with analytics and emerging technologies is expected.
* Education: Bachelor’s degree in Computer Science, Engineering, or a related field, or equivalent practical experience. PMP, Agile certifications, or equivalent demonstrated program leadership experience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$ 230,000\- 311,000
 Southern California $ 214,000\- 289,500</t>
        </is>
      </c>
    </row>
    <row r="149">
      <c r="A149" t="inlineStr">
        <is>
          <t>li-4354056509</t>
        </is>
      </c>
      <c r="B149" t="inlineStr">
        <is>
          <t>Senior Program Manager</t>
        </is>
      </c>
      <c r="C149" t="inlineStr">
        <is>
          <t>Q2</t>
        </is>
      </c>
      <c r="D149" t="inlineStr">
        <is>
          <t>linkedin</t>
        </is>
      </c>
      <c r="E149">
        <f>HYPERLINK("https://www.linkedin.com/jobs/view/4354056509", "https://www.linkedin.com/jobs/view/4354056509")</f>
        <v/>
      </c>
      <c r="F149" t="inlineStr"/>
      <c r="G149" t="inlineStr">
        <is>
          <t>Charlotte, NC</t>
        </is>
      </c>
      <c r="H149" t="inlineStr"/>
      <c r="I149"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**Summary**
 The Senior Program Manager will oversee and manage large\-scale high\-complexity software implementation, conversion and integration programs from inception to completion for clients within the financial services industry. This role requires a strategic thinker with extensive experience in program management, excellent leadership and negotiation skills, strong executive presence, and the ability to drive cross\-functional teams towards successful project delivery.
 teams towards successful project delivery.
**Key Responsibilities**
* Lead and manage large\-scale programs, ensuring timely and successful delivery.
* Develop and implement program plans, including scope, schedule, budget, and resource allocation.
* Collaborate with stakeholders to define program objectives, requirements, and deliverables.
* Identify and mitigate risks, ensuring program goals are achieved within constraints.
* Coordinate and lead cross\-functional teams, including technical, operations, and business stakeholders.
* Monitor program progress, track milestones, and provide regular status updates to senior management.
* Regularly interact with internal and external leadership, including executives, acting as the primary escalation point.
* Create and maintain program documentation, including standard artifacts and reporting dashboards.
* Define and manage program governance (controls). Actively manage risks and issues, taking appropriate corrective measures.
* Maintain a forward\-looking view of assigned programs, anticipating issues before they arise.
* Ensure compliance with industry standards, regulations, and best practices.
* Foster a culture of continuous improvement and innovation within the program team.
* Interpret contract terms and manage program scope and deliverables accordingly.
* Provide mentorship and guidance to junior team members.
**RESPONSIBILITIES:**
* Data Analysis and Reporting: Collect, analyze, and interpret operational data to identify trends and areas for improvement. Develop and maintain reports and dashboards to track key performance indicators (KPIs). Present findings and recommendations to management through clear and concise reports. Should be able to understand and design What\-if models for project P\&amp;L and resource allocations
* Process Improvement: Evaluate existing operational processes and identify opportunities for improvement. Develop and implement process improvement strategies to increase efficiency and reduce costs. Collaborate with cross\-functional teams to implement changes and monitor their impact.
* Project Management: Assist in planning and executing operational projects. Track project progress, identify potential issues, and ensure timely completion of milestones. Coordinate with stakeholders to ensure project objectives are met. Coordinating any major transitions within the company, such as financial, technological, operational, and governance changes. Generate reports \&amp; dashboard related to Program health considering cost, efficiency, timelines etc. EXPERIENCE AND KNOWLEDGE:
* Typically requires a Bachelor’s degree in (relevant degree) and a minimum of 12\+ years of related experience; or an advanced degree with 8 years of experience; or equivalent related work experience.
* Project Management Methodology exposure preferred (PMP or PMI)
* Strong analytical and problem\-solving skills
* Experience building documentation and project plans using MS Project, Excel, Word, and PowerPoint
* Good hands\-on experience of MS Visio, Lucid charts etc.
* Exposure to Jira, Salesforce, Qualtrics, PowerBI etc
* Experience managing expectations and providing creative solutions to priority conflicts for high\-profile clients.
* Ability to develop new initiatives and processes that produce higher levels of customer satisfaction while reducing expenses and shortening project durations.
* Capable of assessing project risks and related mitigation steps.
* Client first attitude and commitment to satisfaction
* Strong written and verbal communication skills
* Excellent people and teamwork skills.
* Attention to detail, exceptional follow\-through, the ability to prioritize, stay organized, and multi\-task in a fast\-paced environment.
* Prior experience with Salesforce (or other CRM tools) and SharePoint preferred.
* Financial Services and enterprise software experience preferred.
*This position requires fluent written and oral communication in English.*
*Applicants must be authorized to work for any employer in the U.S. We are unable to sponsor or take over sponsorship of an employment Visa at this time.*
 Q2’s compensation reflects the cost of labor across a variety of U.S. geographic markets, and we pay based upon the applicant’s geographic location as well as job\-related knowledge, skills and experience.
 This position is an exempt position and the range for this position for New York City, Seattle and the San Francisco Bay Area\-based roles is $158,000\.00\-$207,000\.00
 For New York state (outside New York City), Washington state (outside Seattle), California (outside the San Francisco Bay Area), and Colorado\-based roles, the anticipated base salary range for this position is $147,000\.00\-$196,000\.00
 Your recruiter can share more about the specific salary range for the applicant’s actual geographic location during the hiring process. Salary ranges for Sales positions are expressed as total target compensation (TTC \= base \+ commission). A variable bonus and/or restricted stock unit grant may be provided as part of the compensation package in addition to a range of medical, financial, and/or other benefits, dependent on the position offered.
**Health \&amp; Wellness**
*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**Our Culture \&amp; Commitment**
 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
 We are an Equal Opportunity Employer. All qualified applicants will receive consideration for employment without regard to race, color, religion, sex, sexual orientation, gender identity, national origin, age, disability, genetic information, or veteran status.
*Applicants in California or Washington State may not be exempt from federal and state overtime requirements*</t>
        </is>
      </c>
    </row>
    <row r="150">
      <c r="A150" t="inlineStr">
        <is>
          <t>li-4353945954</t>
        </is>
      </c>
      <c r="B150" t="inlineStr">
        <is>
          <t>Senior Program Manager</t>
        </is>
      </c>
      <c r="C150" t="inlineStr">
        <is>
          <t>Q2</t>
        </is>
      </c>
      <c r="D150" t="inlineStr">
        <is>
          <t>linkedin</t>
        </is>
      </c>
      <c r="E150">
        <f>HYPERLINK("https://www.linkedin.com/jobs/view/4353945954", "https://www.linkedin.com/jobs/view/4353945954")</f>
        <v/>
      </c>
      <c r="F150" t="inlineStr"/>
      <c r="G150" t="inlineStr">
        <is>
          <t>Austin, TX</t>
        </is>
      </c>
      <c r="H150" t="inlineStr"/>
      <c r="I150"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**Summary**
 The Senior Program Manager will oversee and manage large\-scale high\-complexity software implementation, conversion and integration programs from inception to completion for clients within the financial services industry. This role requires a strategic thinker with extensive experience in program management, excellent leadership and negotiation skills, strong executive presence, and the ability to drive cross\-functional teams towards successful project delivery.
 teams towards successful project delivery.
**Key Responsibilities**
* Lead and manage large\-scale programs, ensuring timely and successful delivery.
* Develop and implement program plans, including scope, schedule, budget, and resource allocation.
* Collaborate with stakeholders to define program objectives, requirements, and deliverables.
* Identify and mitigate risks, ensuring program goals are achieved within constraints.
* Coordinate and lead cross\-functional teams, including technical, operations, and business stakeholders.
* Monitor program progress, track milestones, and provide regular status updates to senior management.
* Regularly interact with internal and external leadership, including executives, acting as the primary escalation point.
* Create and maintain program documentation, including standard artifacts and reporting dashboards.
* Define and manage program governance (controls). Actively manage risks and issues, taking appropriate corrective measures.
* Maintain a forward\-looking view of assigned programs, anticipating issues before they arise.
* Ensure compliance with industry standards, regulations, and best practices.
* Foster a culture of continuous improvement and innovation within the program team.
* Interpret contract terms and manage program scope and deliverables accordingly.
* Provide mentorship and guidance to junior team members.
**RESPONSIBILITIES:**
* Data Analysis and Reporting: Collect, analyze, and interpret operational data to identify trends and areas for improvement. Develop and maintain reports and dashboards to track key performance indicators (KPIs). Present findings and recommendations to management through clear and concise reports. Should be able to understand and design What\-if models for project P\&amp;L and resource allocations
* Process Improvement: Evaluate existing operational processes and identify opportunities for improvement. Develop and implement process improvement strategies to increase efficiency and reduce costs. Collaborate with cross\-functional teams to implement changes and monitor their impact.
* Project Management: Assist in planning and executing operational projects. Track project progress, identify potential issues, and ensure timely completion of milestones. Coordinate with stakeholders to ensure project objectives are met. Coordinating any major transitions within the company, such as financial, technological, operational, and governance changes. Generate reports \&amp; dashboard related to Program health considering cost, efficiency, timelines etc. EXPERIENCE AND KNOWLEDGE:
* Typically requires a Bachelor’s degree in (relevant degree) and a minimum of 12\+ years of related experience; or an advanced degree with 8 years of experience; or equivalent related work experience.
* Project Management Methodology exposure preferred (PMP or PMI)
* Strong analytical and problem\-solving skills
* Experience building documentation and project plans using MS Project, Excel, Word, and PowerPoint
* Good hands\-on experience of MS Visio, Lucid charts etc.
* Exposure to Jira, Salesforce, Qualtrics, PowerBI etc
* Experience managing expectations and providing creative solutions to priority conflicts for high\-profile clients.
* Ability to develop new initiatives and processes that produce higher levels of customer satisfaction while reducing expenses and shortening project durations.
* Capable of assessing project risks and related mitigation steps.
* Client first attitude and commitment to satisfaction
* Strong written and verbal communication skills
* Excellent people and teamwork skills.
* Attention to detail, exceptional follow\-through, the ability to prioritize, stay organized, and multi\-task in a fast\-paced environment.
* Prior experience with Salesforce (or other CRM tools) and SharePoint preferred.
* Financial Services and enterprise software experience preferred.
*This position requires fluent written and oral communication in English.*
*Applicants must be authorized to work for any employer in the U.S. We are unable to sponsor or take over sponsorship of an employment Visa at this time.*
 Q2’s compensation reflects the cost of labor across a variety of U.S. geographic markets, and we pay based upon the applicant’s geographic location as well as job\-related knowledge, skills and experience.
 This position is an exempt position and the range for this position for New York City, Seattle and the San Francisco Bay Area\-based roles is $158,000\.00\-$207,000\.00
 For New York state (outside New York City), Washington state (outside Seattle), California (outside the San Francisco Bay Area), and Colorado\-based roles, the anticipated base salary range for this position is $147,000\.00\-$196,000\.00
 Your recruiter can share more about the specific salary range for the applicant’s actual geographic location during the hiring process. Salary ranges for Sales positions are expressed as total target compensation (TTC \= base \+ commission). A variable bonus and/or restricted stock unit grant may be provided as part of the compensation package in addition to a range of medical, financial, and/or other benefits, dependent on the position offered.
**Health \&amp; Wellness**
*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**Our Culture \&amp; Commitment**
 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
 We are an Equal Opportunity Employer. All qualified applicants will receive consideration for employment without regard to race, color, religion, sex, sexual orientation, gender identity, national origin, age, disability, genetic information, or veteran status.
*Applicants in California or Washington State may not be exempt from federal and state overtime requirements*</t>
        </is>
      </c>
    </row>
    <row r="151">
      <c r="A151" t="inlineStr">
        <is>
          <t>li-4365018716</t>
        </is>
      </c>
      <c r="B151" t="inlineStr">
        <is>
          <t>Senior Program Manager</t>
        </is>
      </c>
      <c r="C151" t="inlineStr">
        <is>
          <t>QuidelOrtho</t>
        </is>
      </c>
      <c r="D151" t="inlineStr">
        <is>
          <t>linkedin</t>
        </is>
      </c>
      <c r="E151">
        <f>HYPERLINK("https://www.linkedin.com/jobs/view/4365018716", "https://www.linkedin.com/jobs/view/4365018716")</f>
        <v/>
      </c>
      <c r="F151" t="inlineStr"/>
      <c r="G151" t="inlineStr">
        <is>
          <t>Rochester, NY</t>
        </is>
      </c>
      <c r="H151" t="inlineStr"/>
      <c r="I151" t="inlineStr">
        <is>
          <t>The Opportunity
 QuidelOrtho unites the strengths of Quidel Corporation and Ortho Clinical Diagnostics, creating a world\-leading in vitro diagnostics company with award\-winning expertise in immunoassay and molecular testing, clinical chemistry and transfusion medicine. We are more than 6,000 strong and do business in over 130 countries, providing answers with fast, accurate and consistent testing where and when they are needed most – home to hospital, lab to clinic.
 Our culture puts our team members first and prioritizes actions that support happiness, inspiration and engagement. We strive to build meaningful connections with each other as we believe that employee happiness and business success are linked. Join us in our mission to transform the power of diagnostics into a healthier future for all.
**The Role**
 At QuidelOrtho, we’re advancing the power of diagnostics for a healthier future for all. Join our mission as our next Senior Program Manager. The Senior Program Manager is responsible for managing complex programs and projects that span multiple functions within the medical diagnostics portfolio. This role drives execution ensures alignment with business priorities and delivers high\-impact results in a regulated environment. The Senior Program Manager leads cross\-functional teams through influence and subject matter expertise.
 This position will be located in Rochester, NY onsite.
**The Responsibilities**
* Leads the planning, execution, and delivery of medium to large\-scale, complex programs, ensuring scope, schedule, and budget adherence.
* Coordinates efforts across R\&amp;D, Regulatory, Clinical Affairs, Quality, Operations, Finance \&amp; Marketing to ensure program success.
* Develops detailed project plans, timelines, and resource allocations.
* Monitors progress and proactively address issues and risks.
* Facilitates regular communication with internal stakeholders, providing updates, resolving conflicts, and ensuring alignment.
* Ensures all program activities comply with relevant regulatory standards (e.g., FDA, ISO, etc.). Maintains accurate documentation and audit readiness.
* Translates business strategy into actionable program plans.
* Develops roadmaps, defines milestones, and manages interdependence across functions including R\&amp;D, Regulatory, Clinical Affairs, Quality, Operations, Finance, and Marketing.
* Serves as the primary liaison between executive leadership and program teams. Facilitates communication, manages expectations, and ensures transparency across all levels of the organization.
* Identifies potential risks and implements mitigation strategies. Leads change management efforts to ensure successful adoption of program outcomes.
* Establishes program governance structures. Provides regular updates to senior leadership, including dashboards, KPIs, and executive summaries.
* Champions best practices in program management. Drives process improvements and contributes to the evolution of the business portfolio.
* Perform other work\-related duties as assigned.
**The Individual**
**Required**
* This position is not currently eligible for visa sponsorship.
* Bachelor’s degree in engineering, Life Sciences, Business, or related field; advanced degree preferred.
* PMP, PgMP or similar certification required.
* 10\+ years of experience in program/project management, preferably in medical devices, diagnostics, biotech, or healthcare technology.
* Proficiency in project management tools (e.g., MS Project, Smartsheet, Jira).
* Proven track record of leading extraordinarily complex programs with cross\-functional teams in a regulated environment (e.g., FDA, ISO, etc.).
* Strong business acumen, highly analytical, and strategic thinking.
* Exceptional communication (verbal \&amp; written), negotiation, and influencing skills.
* Ability to summarize complex project and technical subject matter into concise oral and written communications to Executive
* Management and C\-Suite Leadership.
* Knowledge of timeline and budget management, manufacturing design transfer, Risk Management \&amp; Design Control.
* General knowledge of R\&amp;D, Regulatory, Clinical Affairs, Quality and
* Operations activities as they relate to the development of a medical device or product.
* Demonstrates the ability to lead the program team from inception to product launch using corporate design control processes and procedures. Is able to tailor the design control processes \&amp; procedures to fit the specific project needs and circumstances.
* Ability to work cohesively with multi\-disciplinary scientific working groups.
* Must be able to lead, manage, and communicate action items and results from and in meetings in a logical fashion.
* Excellent prioritization, organization, and the ability to multitask.
* Develop project execution strategy with the ability to independently manage ambiguity.
* Experience in QSR (Quality System Regulations) and ISO medical device standards as well as a working knowledge of current FDA, IVDD, and other regulations.
* Recognized as a subject matter expert coupled with broad and deep knowledge of program management practices.
* Works independently with minimal guidance; influences across functions and levels.
* Leads initiatives with significant business impact.
* Solves complex problems requiring innovative thinking and cross\-functional collaboration.
**The Key Working Relationships**
**Internal Partners**
* Finance on budgeting and resource planning.
* Clinical Affairs for project deliverables.
* Quality Assurance for project activities, design transfer and risk management.
* Senior Management on project reporting and planning.
* Interacts with Marketing on project deliverables.
* Regulatory and Clinical Affairs on project deliverables and planning.
* Operations and R\&amp;D
**External Partners**
* Third\-party vendors and suppliers
* Project\-specific development partners
**The Work Environment**
 The work environment is a combination of laboratory, manufacturing, office, and remote home office. 60% of time in meetings, working with team, or talking on the phone, 40% of the time at the desk on computer, doing analytical work. Occasional domestic and international travel required. Travel includes airplane, automobile travel and overnight hotel.
**Physical Demands**
 No strenuous physical activity, though occasional light lifting of files and related materials is required.
**Salary Transparency**
 The salary range for this position takes into account a wide range of factors including education, experience, knowledge, skills, geography, and abilities of the candidate, in addition to internal equity and alignment with market data. At QuidelOrtho, it is not typical for an individual to be hired at or near the top range for their role and compensation decisions are dependent on the facts and circumstances of each case. The salary range for this position is $150,000 to $175,000 and is bonus eligible. QuidelOrtho offers a comprehensive benefits package including medical, dental, vision, life, and disability insurance, along with a 401(k) plan, employee assistance program, Employee Stock Purchase Plan, paid time off (including sick time), and paid Holidays. All benefits are non\-contractual, and QuidelOrtho may amend, terminate, or enhance the benefits provided, as it deems appropriate.
**Equal Opportunity**
 QuidelOrtho believes in Equal Opportunity for all and is committed to ensuring all individuals, including individuals with disabilities, have an opportunity to apply for those positions that they are interested in and qualify for without regard to race, religion, color, national origin, citizenship, sex, sexual orientation, gender identity, age, veteran status, disability, genetic information, or any other protected characteristic. QuidelOrtho is also committed to providing reasonable accommodations to qualified individuals so that an individual can perform the duties. If you are interested in applying for an employment opportunity and require special assistance or an accommodation to apply due to a disability, please contact us at recruiting@quidelortho.com.</t>
        </is>
      </c>
    </row>
    <row r="152">
      <c r="A152" t="inlineStr">
        <is>
          <t>li-4364951768</t>
        </is>
      </c>
      <c r="B152" t="inlineStr">
        <is>
          <t>Senior Program Manager</t>
        </is>
      </c>
      <c r="C152" t="inlineStr">
        <is>
          <t>Real</t>
        </is>
      </c>
      <c r="D152" t="inlineStr">
        <is>
          <t>linkedin</t>
        </is>
      </c>
      <c r="E152">
        <f>HYPERLINK("https://www.linkedin.com/jobs/view/4364951768", "https://www.linkedin.com/jobs/view/4364951768")</f>
        <v/>
      </c>
      <c r="F152" t="inlineStr"/>
      <c r="G152" t="inlineStr">
        <is>
          <t>Irvine, CA</t>
        </is>
      </c>
      <c r="H152" t="inlineStr"/>
      <c r="I152" t="inlineStr">
        <is>
          <t>We have a current opportunity for a Senior Project Manager on a temporary basis. The position will be based in Irvine. Please apply if you are able to:
 \- juggle multiple responsibilities
 \- have a good understanding of medical device design/engineering
 \- experience working with sustaining projects or clinical trials is a plus
 \- hands on program management skills
 Company \&amp; Job Overview:
 We are currently seeking a Senior Program Manager who will be responsible for the coordination, implementation, execution, control, and completion of our machine development projects ensuring consistency with company strategy, quality, commitments, and goals.
 Responsibilities:
 \*Lead the planning and implementation of projects by working closely with the project sponsor and cross functional teams.
 \*Hold functional team members accountable to maintaining milestones and deliverable commitments.
 \*Facilitate and control the definition of project plan, project scope, project schedule, project budget, milestones goals and deliverables.
 \*Define project tasks and resource requirements.
 \*Collaborate closely with engineering, operations, quality, regulatory, clinical, and commercial functions.
 \*Monitor and report project staff, budget, and resources allocation.
 \*Plan and schedule project timelines
 \*Track project deliverables using appropriate tools and metrics.
 \*Provide leadership, direction, and support to project team.
 \*Constantly monitor and report on progress of the project to management
 \*Present reports defining project progress, problems, and solutions.
 \*Document, implement and manage project changes and interventions to achieve project outputs
 \*Provides solutions to various issues in creative and effective ways.
 \*Directs the application of existing principles and guides development of new policies and ideas within the function.
 \*Understands and works on complex issues where analysis of situations or data requires an in\-depth evaluation of variable factors.
 \*Exhibits advanced wide\-ranging experience, using in\-depth professional knowledge, acumen, concepts, and company objectives to develop, resolve complex models and procedures.
 Required Skills \&amp; Abilities
 \*Proficient at using project management tools such as MS Project
 \*Proficient at using computer\-based software for managing Agile (Scrum) projects (Jira or similar)
 \*Ability to operate autonomously while running one to multiple new product development projects
 \*Familiarity with hybrid Scrum/Waterfall Project Execution
 \*Excellent written and verbal communication and presentation skills with the ability to articulate ideas and concepts into practical solutions.
 \*Highly organized/detail oriented, excellent follow through and follow up skills, results, and delivery oriented.
 \*Able to multi\-task a variety of duties and work requests
 \*Self\-motivated and works well under pressure with changing priorities and a workload.
 \*Team player with very good collaboration skills, fostering knowledge sharing with team members.
 \*Demonstrated positive interpersonal skills with the flexibility and adaptability to relate to and collaborate with people at all levels of organization and work well with a diverse employee group.
 \*Positive attitude and desire to succeed.
 Education \&amp; Experience
 \*Bachelor's degree in Engineering or Science related field
 \*Minimum 8 years' of related experience or 6 years and a Master's degree
 \*5\+ years of program management experience in the life sciences industry with specific experience in medical device
 highly desired.
 \*Proven experience taking a project through scoping and requirements identification through production release.
 \*Proven experience in stakeholder management and setting expectations.
 \*Proven experience managing complex technical projects in a medical device space
 \*Experience in engaging cross functional leadership in engineering, manufacturing, regulatory affairs, finance, commercial.
 \*PMP and/or CSM preferred
 Travel
 \*Willingness to travel domestically as needed (up to 10%) primarily to visit vendors and attendance at select conferences.
 Physical Requirements
 \*Sustained periods of time standing and sitting in a laboratory
 \*Sitting at a desk utilizing a computer
 \*Some lifting of\&lt;25 pounds
**EOE Statement:** 
 Specialist Staffing Group is an equal opportunity employer. All qualified applicants will receive consideration for employment without regard to race, color, religion, sex, sexual orientation, gender identity, national origin, disability, or veteran status.
 In addition to base pay, employees may be eligible for benefits such as health insurance, health savings accounts, retirement savings plans, life and disability insurance, and paid leave where required by applicable law. Eligibility may vary based on factors such as location and hire date and is subject to change.
***To find out more about Real, please visit www.realstaffing.com***</t>
        </is>
      </c>
    </row>
    <row r="153">
      <c r="A153" t="inlineStr">
        <is>
          <t>li-4364986566</t>
        </is>
      </c>
      <c r="B153" t="inlineStr">
        <is>
          <t>Material Program Manager</t>
        </is>
      </c>
      <c r="C153" t="inlineStr">
        <is>
          <t>Lensa</t>
        </is>
      </c>
      <c r="D153" t="inlineStr">
        <is>
          <t>linkedin</t>
        </is>
      </c>
      <c r="E153">
        <f>HYPERLINK("https://www.linkedin.com/jobs/view/4364986566", "https://www.linkedin.com/jobs/view/4364986566")</f>
        <v/>
      </c>
      <c r="F153">
        <f>HYPERLINK("https://lensa.com/cgw/8df886109cd14f42ae4280cecb618c25tjo1?jpsi=directemployers&amp;publisher_preference=easier_apply&amp;utm_campaign=Other%20Management%20Occupations&amp;utm_medium=slot&amp;utm_source=linkedin&amp;utm_term=jse&amp;urlHash=eYTb", "https://lensa.com/cgw/8df886109cd14f42ae4280cecb618c25tjo1?jpsi=directemployers&amp;publisher_preference=easier_apply&amp;utm_campaign=Other%20Management%20Occupations&amp;utm_medium=slot&amp;utm_source=linkedin&amp;utm_term=jse&amp;urlHash=eYTb")</f>
        <v/>
      </c>
      <c r="G153" t="inlineStr">
        <is>
          <t>Tucson, AZ</t>
        </is>
      </c>
      <c r="H153" t="inlineStr"/>
      <c r="I15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RTX. Clicking "Apply Now" or "Read more" on Lensa redirects you to the job board/employer site. Any information collected there is subject to their terms and privacy notice.
**Date Posted**
 2026\-01\-14
**Country**
 United States of America
**Location:**
 AZ807: RMS AP Bldg 807 1151 East Hermans Road Building 807, Tucson, AZ, 85756 USA
**Position Role Type**
 Onsite
**U.S. Citizen, U.S. Person, Or Immigration Status Requirements**
 The ability to obtain and maintain a U.S. government issued security clearance is required.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Company is looking for an experienced Material Program Manager to join the Advanced Technology (AT) Team. The successful candidate will be a highly motivated, self\-starter capable of developing and achieving program objectives in a matrix environment and successfully interface with functional and program leadership. In this highly visible role, you’ll be the liaison between Supply Chain and Program teams.
 You’ll create and execute Material Program Strategies and Plans to ensure flawless execution from the front end of the business through contract closure. This position supports a product development effort that requires the ability to operate in a challenging and constantly changing environment. In this role you will be taking a proactive stance in making informed SCM recommendations to Program Management on risk mitigation, methods of procurement, material strategies, and supplier management.
*This position is an onsite role in Tucson, AZ.*
**What You Will Do**
* Developing and executing Material Program Plans and Supplier Management Plans.
* Planning and executing sourcing decisions and support the Make/Buy/Where process.
* Identifying Customer Prime Contract Flow\-Downs and obtaining any required Terms Attachments (Flow Down Attachment) and/or Modifications (TCMs).
* Assisting with the generation of Supplier Statements of Work (SSOWs).
* Generating Supplier Request for Information/Proposals/Quotes (RFIs/RFPs/RFQs) and obtaining and understanding supplier proposals/quotes.
* Active engagement and taking the lead on proposal activities and BOM approvals.
* Driving Purchase Requisition generation \&amp; Purchase Order placement/management.
* Participating in supplier engagements and reviews to ensure supplier performance.
* Being familiar with and reference applicable policies and procedures to perform MPM tasks.
* Ability to travel up to 10% domestically and internationally as required
**Qualifications You Must Have**
* Typically requires: A University Degree or equivalent experience and minimum 8 years prior relevant experience, or An Advanced Degree in a related field and minimum 5 years experience
* Experience in Program Management, Material Program Management, Procurement, Contracts, Finance, Operations, and/or Strategic Sourcing.
* The ability to obtain and maintain a U.S. government issued security clearance is required.
* U.S. citizenship is required, as only U.S. citizens are eligible for a security clearance.
**Qualifications We Prefer**
* Master’s Degree in Business Administration, Finance, Supply Chain Management or related.
* Experience with Prime Contract Requirements and Statements of Work (SSOWs).
* Experience with Supply Chain, Production Control, and/or Procurement processes and requirements.
* Experience in Microsoft Office (Word, Excel, Power Point).
* Ability to support complex product development efforts.
* Excellent reporting/communication skills and ability to demonstrate RTX Leadership Behaviors.
* Experience in a matrixed organizational structure.
* Experience in material requirements planning (MRP).
* MPM level 3 or 4 certification/or PM certification.
* Experience in executing program financials, risk \&amp; opportunity, RLPM gates, and creating an MPP.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(http://www.rtx.com/privacy/Job\-Applicant\-Privacy\-Notice) to read the Policy and Terms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If you have questions about this posting, please contact support@lensa.com</t>
        </is>
      </c>
    </row>
    <row r="154">
      <c r="A154" t="inlineStr">
        <is>
          <t>li-4364992222</t>
        </is>
      </c>
      <c r="B154" t="inlineStr">
        <is>
          <t>Senior Program Manager</t>
        </is>
      </c>
      <c r="C154" t="inlineStr">
        <is>
          <t>GSK</t>
        </is>
      </c>
      <c r="D154" t="inlineStr">
        <is>
          <t>linkedin</t>
        </is>
      </c>
      <c r="E154">
        <f>HYPERLINK("https://www.linkedin.com/jobs/view/4364992222", "https://www.linkedin.com/jobs/view/4364992222")</f>
        <v/>
      </c>
      <c r="F154">
        <f>HYPERLINK("https://jobs.gsk.com/jobs/431247?lang=en-us&amp;source=LinkedIn&amp;urlHash=p25z", "https://jobs.gsk.com/jobs/431247?lang=en-us&amp;source=LinkedIn&amp;urlHash=p25z")</f>
        <v/>
      </c>
      <c r="G154" t="inlineStr">
        <is>
          <t>Collegeville, PA</t>
        </is>
      </c>
      <c r="H154" t="inlineStr"/>
      <c r="I154" t="inlineStr">
        <is>
          <t>**Site Name:** 
 Upper Providence, Cambridge 300 Technology Square, London The Stanley Building
**Posted Date:** 
 Jan 20 2026
 The Onyx Research Data Tech organization is GSK’s Research data ecosystem which has the capability to bring together, analyze, and power
 the exploration of data at scale. We partner with scientists across GSK to define and understand their challenges and develop tailored solutions
 that meet their needs. The goal is to ensure scientists have the right data and insights when they need it to give them a better starting point for
 and accelerate medical discovery. Ultimately, this helps us get ahead of disease in more predictive and powerful ways.
 Onyx is a full\-stack shop consisting of product and portfolio leadership, data engineering, infrastructure and DevOps, data / metadata / knowledge
 platforms, and AI/ML and analysis platforms, all geared toward:
* Building a next\-generation, metadata\- and automation\-driven data experience for GSK’s scientists, engineers, and decision\-makers,
* increasing productivity and reducing time spent on “data mechanics”
* Providing best\-in\-class AI/ML and data analysis environments to accelerate our predictive capabilities and attract top\-tier talent
* Aggressively engineering our data at scale, as one unified asset, to unlock the value of our unique collection of data and predictions inreal\-time
 Oversight of the program of work is key to successful execution of this mission. The Onyx Tech Delivery \&amp; Assurance team is accountable for
 defining, building, and executing on our internal processes for agile planning and delivery across our entire portfolio. They ensure that the
 leadership of the Onyx organization and key partners / stakeholders have a transparent view into our overall progress, and that issues / blockers /
 misalignments are raised early before they become major problems. They partner with our product and engineering leadership to ensure our
 overall ways of working, including software delivery, are best\-in\-class and set us up for success.
 The Senior Program Manager is accountable for supporting Onyx Application Engineering with program and project management needs, ensuring
 quality in standard ways of working including appropriate documentation, resource tracking and capacity planning to ensure successful
 program/project delivery. Partner with Product Managers to devise and execute realistic, achievable and high‑quality plans that describe tasks
 required to deliver Onyx products across multiple engineering teams. A Senior Program Manager is expected to take a poorly defined problem
 with a large degree of ambiguity, work it to a well‑defined problem/specification, and execute on it at a high level.
 This role will lead large‑scale, multi‑track programs that include multiple dependencies across engineering, data, cloud and external partners.
 Practical experience configuring, governing and using Atlassian toolsets (Jira, Confluence, Advanced Roadmaps/Portfolio and related
 automation/plugins) to support agile delivery, traceability and reporting is essential to succeed in this role. The successful candidate will have a
 strong drive to deliver projects quickly without sacrificing high quality, embedding effective controls and practices that enable safe, repeatable and
 auditable delivery.
 Key Responsibilities include\-
* Define and manage overall program governance and delivery model for complex technical initiatives, including program level milestones, success criteria, decision rights, and the running of program boards and steering committees. Act as the primary escalation point for cross functional delivery issues; coordinate rapid remediation plans, conduct root cause analysis for major incidents or delivery failures, and drive corrective actions to closure.
* Develop and manage project and program plans; drive execution within scope, time and budget which may dynamically evolve to reflect changes in customer needs or business constraints.
* Lead large scale, multi\-track programs with cross functional dependencies and external partners.
* Lead Shiprooms and agile sprint ceremonies, project tracking/reporting and backlog management with product managers. Provide a single view of each project within the portfolio and their interdependencies, establishing effective OKRs, robust documentation and project value/financial tracking.
* Partner with Onyx engineering leads, Quality team and product managers to validate technical designs and ensure delivery approaches are scalable, secure, cost effective and aligned to Onyx platform and cloud architecture standards.
* Implement and govern program level project management discipline (tools and process) across product deliverables. Provide hands on leadership in designing, configuring and maintaining Atlassian based delivery processes including board and workflow design, issue type schemes, custom fields, permissions, automation rules, release pipelines, Advanced Roadmaps/Portfolio configuration, and dashboarding to ensure consistent practices, traceability and high\-quality reporting across teams.
* Leverage Atlassian and AI enabled reporting capabilities, including agentic models where appropriate, to align with Onyx Jira/Confluence configurations and common plugins/automation; support governance implementation by configuring integrations between Atlassian tooling and reporting/BI systems to help provide a single source of truth.
* Manage third party and vendor engagements for program components: define statements of work (SOWs), review vendor delivery
* plans, measure supplier performance and ensure contractual and compliance requirements are met.
* Establish and track program KPIs and health metrics (delivery cadence, predictability, cycle time, MTTR, scope variance, OKR progress); present these regularly to leadership and make data driven recommendations to improve delivery.
* Define appropriate tracking measures and build automated, meaningful reports and dashboards; synthesize data and insights from across projects or programs to support teams in making informed tactical and strategic decisions.
* Lead change control and release coordination across multiple teams and environments; ensure release readiness, run release gates, and coordinate rollback/contingency planning where required.
* Ensure that robust risk management practice is embedded within Onyx projects and that risks and opportunities are identified and addressed, or that risks requiring collective senior discussion are escalated to the Onyx leadership team.
* Drive continuous improvement across delivery practices: run retrospectives at program scale, capture lessons learned, update processes and templates, and embed improvements into team practices and Atlassian tooling/templates.
* Mentor and coach program and delivery leads; build delivery capability by defining clear roles and responsibilities, career development pathways and by running enablement sessions on program practices, dependency and risk management, and effective Atlassian tooling usage.
 Why You?
**Basic Qualifications**
*We are looking for professionals with these required skills to achieve our goals:*
* Bachelor’s degree in IT Program Management, Data Engineering, Computer science, Software Engineering
* 6\+ years job\-related experience with an established track record of Program delivery for software applications.
* 4\+ years’ experience in Agile program/project management, including the use of associated tools such as Jira and Confluence.
**Preferred Experience**
*If you have the following characteristics, it would be a plus:*
* Masters Degree
* Demonstrated comfort operating and leading across organizational boundaries a matrixed team
* Metrics\-first mindset
 \#GSK\-LI
 \#R\&amp;DTechProject
 \#GSKOnyx
* If you are based in Cambridge, MA; Waltham, MA; Rockville, MD; or San Francisco, CA, the annual base salary for new hires in this position ranges $127,050 to $211,750\.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155">
      <c r="A155" t="inlineStr">
        <is>
          <t>li-4361943778</t>
        </is>
      </c>
      <c r="B155" t="inlineStr">
        <is>
          <t>Technical Program Manager, HPC, Research Computing, SLED, Google Public Sector</t>
        </is>
      </c>
      <c r="C155" t="inlineStr">
        <is>
          <t>Google</t>
        </is>
      </c>
      <c r="D155" t="inlineStr">
        <is>
          <t>linkedin</t>
        </is>
      </c>
      <c r="E155">
        <f>HYPERLINK("https://www.linkedin.com/jobs/view/4361943778", "https://www.linkedin.com/jobs/view/4361943778")</f>
        <v/>
      </c>
      <c r="F155">
        <f>HYPERLINK("https://careers.google.com/jobs/results/80794257282998982-technical-program-manager/?src=Online/LinkedIn/linkedin_us&amp;utm_source=linkedin&amp;utm_medium=jobposting&amp;utm_campaign=contract&amp;urlHash=Pmke", "https://careers.google.com/jobs/results/80794257282998982-technical-program-manager/?src=Online/LinkedIn/linkedin_us&amp;utm_source=linkedin&amp;utm_medium=jobposting&amp;utm_campaign=contract&amp;urlHash=Pmke")</f>
        <v/>
      </c>
      <c r="G155" t="inlineStr">
        <is>
          <t>New York, NY</t>
        </is>
      </c>
      <c r="H155" t="inlineStr"/>
      <c r="I155" t="inlineStr">
        <is>
          <t>Note: By applying to this position you will have an opportunity to share your preferred working location from the following:
 **Cambridge, MA, USA; New York, NY, USA** 
 .
 **Minimum qualifications:**
* Bachelor's degree in Computer Science, Engineering, Physics, Computational Science or a related field, or equivalent practical experience.
* 5 years of experience in technical program or project management, with 3 years of experience in HPC, scientific computing, or research IT environments.
* Experience with HPC hardware (e.g., CPUs, GPUs, interconnects), software stacks, and cluster management.
* Experience with new and emerging technologies, methodologies, and solutions in the cloud space.
* Experience with cloud computing platforms (GCP) and their application to HPC workloads, and distributed computing frameworks and HPC Schedulers.
* Ability to travel up to 20% of the time domestically as needed.
**Preferred qualifications:**
* PMP, Agile project management certification, or similar.
* Experience leading the full end\-to\-end business cycle for complex professional services engagements.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State Local and Education East team is a high\-performing, integrated team within GPS Services, focused on delivering comprehensive, security\-centric solutions to our SLED public sector customers in the East. You will take on a pivotal role in transforming how our critical public sector customers leverage Google Cloud solutions.
 As a Technical Program Manager, you will be at the forefront of orchestrating and optimizing a portfolio of large\-scale, multi\-year technical transformation engagements that drive significant value and improve constituent experience. You will provide thought leadership, technical goal, and delivery management expertise, collaborating extensively with cross\-functional Google executives, sales teams, and key technical leaders including Architects, Engineers, and stakeholders like Chief Technical Officers (CTOs) and Chief Information Officers (CIOs). You will be a leader who operates with a high degree of autonomy and trust, taking ownership and driving outcomes through clear strategic intent.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strategy, planning, and successful delivery of a portfolio of large, multi\-year technical transformation engagements for Google's Education customers.
* Lead cross\-functional project teams, including system administrators, Central IT, and researchers.
* Oversee project schedules, budgets, scope, and resource utilization, proactively identifying and mitigating risks.
* Foster a collaborative environment between research, engineering, and operations teams.
* Define, plan, and execute High Performance Computing (HPC) and Research Computing transformation programs from scoping to delivery, aligning with customer goals and research priorities.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6">
      <c r="A156" t="inlineStr">
        <is>
          <t>li-4364977596</t>
        </is>
      </c>
      <c r="B156" t="inlineStr">
        <is>
          <t>Sr Finance Program Manager</t>
        </is>
      </c>
      <c r="C156" t="inlineStr">
        <is>
          <t>Lensa</t>
        </is>
      </c>
      <c r="D156" t="inlineStr">
        <is>
          <t>linkedin</t>
        </is>
      </c>
      <c r="E156">
        <f>HYPERLINK("https://www.linkedin.com/jobs/view/4364977596", "https://www.linkedin.com/jobs/view/4364977596")</f>
        <v/>
      </c>
      <c r="F156" t="inlineStr"/>
      <c r="G156" t="inlineStr">
        <is>
          <t>Los Angeles, CA</t>
        </is>
      </c>
      <c r="H156" t="inlineStr"/>
      <c r="I15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Medtronic. Clicking "Apply Now" or "Read more" on Lensa redirects you to the job board/employer site. Any information collected there is subject to their terms and privacy notice.
 We anticipate the application window for this opening will close on \- 26 Jan 2026
 At Medtronic you can begin a life\-long career of exploration and innovation, while helping champion healthcare access and equity for all. You'll lead with purpose, breaking down barriers to innovation in a more connected, compassionate world.
**A Day in the Life**
 As a Senior Finance Program Manager within Operations, you'll be the finance lead for a designated set of insulin technology, pump, CGM, software programs and owning OPEX, CAPEX, and full\-lifecycle business cases from concept through post\-launch. Aligned to these high\-priority initiatives, you'll collaborate with R\&amp;D, Marketing, Operations, and Supply Chain to optimize capital allocation, safeguard margins, and ensure every invested dollar delivers maximum value to the business and our patients.
 This position is an exciting opportunity to work with Medtronic's Diabetes business. Medtronic has announced its intention to separate the Diabetes division to promote future growth and innovation within the business and reallocate investments and resources across Medtronic, subject to applicable information and consultation requirements. This separation provides our team with a bold opportunity to unleash our potential, enabling us to operate with greater speed and agility. As a separate entity, we anticipate leveraging increased investments to drive meaningful innovation and enhance our impact on patient care.
 This role requires you to work on\-site at our Northridge, CA office at least 3 days per week. This on\-site presence is vital for collaboration and maintaining strong team connections.
**Key Responsibilities**
**Program\-Level Financial Ownership**
* Own the full financial picture\-OPEX, CAPEX, lifetime P\&amp;L, NPV/IRR, and unit economics\-for each of your programs, with a focus on operational and manufacturing impacts.
* Build, manage, and analyze program\-level business case financials to support operational decision\-making, including cost optimization and scaling strategies.
* Support the annual budget, long\-range plan, rolling forecasts and lead risk / opportunity assessments.
* Track, monitor, and manage product financials, provide real\-time variance analysis, and drive corrective\-action planning with project managers.
* Perform ad\-hoc financial analyses and special projects as assigned.
**Strategic Partnership \&amp; Decision Support**
* Collaborate with Operations, Supply Chain, Sourcing, and Manufacturing teams to optimize cost structures, safeguard margins, and ensure supply chain efficiency and resilience.
* Lead cost\-reduction and value\-engineering initiatives, such as should\-costing, design\-to\-value, make\-vs\-buy, and manufacturing\-footprint.
* Provide financial insights and scenario modeling for key operational decisions, including capacity planning, sourcing strategies, and production scaling.
* Translate technical milestones and program risks into clear financial insights for executive management reviews and updates.
* Partner with cross\-functional teams to evaluate and implement process improvements that enhance operational performance and financial outcomes.
**Governance \&amp; Continuous Improvement**
* Ensure adherence to Medtronic accounting policies, SOX requirements, and external audit requests.
* Conduct post\-implementation financial reviews to capture lessons learned and drive operational improvements.
* Modernize finance processes with digital dashboards, earned\-value metrics, and automation tools.
* Support Operations leadership in identifying and implementing continuous improvement opportunities across manufacturing, sourcing, and supply chain processes.
**Must\-Have Qualifications**
* Bachelor's degree in Finance, Accounting, Business Administration, Engineering, or a related field.
* 7\+ years of progressive FP\&amp;A / program\-finance experience, including \= 3 years directly supporting product\-development or Operations teams.
* Or, advanced degree and 5\+ years of progressive FP\&amp;A / program\-finance experience, including \= 3 years directly supporting product\-development or Operations teams.
**Nice\-to\-Have**
* Advanced financial\-modeling skills (Excel, Anaplan or equivalent)
* Proven ability to translate technical and operations details into clear financial insights and influence cross\-functional teams up to VP / Board level.
* Strong analytical skills and high attention to detail.
* MBA, PMP, Agile, Lean/Six Sigma, or other equivalent Finance or project\-management credentials.
* Demonstrated ownership of P\&amp;L management, program\-level budgets (OPEX \&amp; CAPEX) and full\-lifecycle business cases.
* Medical\-device, biotech, or other regulated hardware / software industry experience.
* Direct finance support for manufacturing or supply\-chain operations (plant\-level cost accounting, standard\-cost builds, or transfer\-price modeling).
* Proficiency with SAP, Power BI, and automated dashboarding tools.
* Hands\-on exposure to should\-costing, value engineering, or design\-to\-value initiatives.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(USD):$144,000\.00 \- $216,000\.00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(https://www3\.benefitsolver.com/benefits/BenefitSolverView?page\_name\=signon\&amp;co\_num\=30601\&amp;co\_affid\=medtronic)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(http://www.medtronic.com) .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(https://www.medtronic.com/content/dam/medtronic\-wide/public/united\-states/employee\-support\-services/careers/la\-county\-legal\-notice.pdf)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 By bringing your ambitious ideas, unique perspective and contributions, you will...
* Build a better future, amplifying your impact on the causes that matter to you and the world
* Grow a career reflective of your passion and abilities
* Connect to a dynamic and inclusive culture that welcomes the challenge of life\-long learning
**These Commitments Set Our Team Apart From The Rest**
**Experiences that put people first** 
 .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 No matter your role, you contribute to technologies that transform lives. What we build empowers patients to live life on their terms.
**Better outcomes for our world** 
 . Here, it's about more than the bottom line. Our Mission to improve human welfare drives us. We advance healthcare, society, and equity with every design, inside and outside our walls.
**Insight\-driven care** 
 .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(https://www.e\-verify.gov/employees) .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If you have questions about this posting, please contact support@lensa.com</t>
        </is>
      </c>
    </row>
    <row r="157">
      <c r="A157" t="inlineStr">
        <is>
          <t>li-4364992534</t>
        </is>
      </c>
      <c r="B157" t="inlineStr">
        <is>
          <t>IT Program Manager</t>
        </is>
      </c>
      <c r="C157" t="inlineStr">
        <is>
          <t>Lensa</t>
        </is>
      </c>
      <c r="D157" t="inlineStr">
        <is>
          <t>linkedin</t>
        </is>
      </c>
      <c r="E157">
        <f>HYPERLINK("https://www.linkedin.com/jobs/view/4364992534", "https://www.linkedin.com/jobs/view/4364992534")</f>
        <v/>
      </c>
      <c r="F157" t="inlineStr"/>
      <c r="G157" t="inlineStr">
        <is>
          <t>Columbus, OH</t>
        </is>
      </c>
      <c r="H157" t="inlineStr"/>
      <c r="I15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Insight Global is looking for a Technical Program Manager who will lead multiple projects from start to finish. You'll work with stakeholders to plan requirements, identify risks, manage project schedules, and communicate clearly with cross\-functional partners across the company. In this role, you will provide a hands\-on strategic approach to ensure all initiatives and projects are aligned with business priorities and follow the system of delivery process.
**Responsibilities**
 This role will require a highly experienced and motivated Technical Program Manager with a proven track record of delivering projects in an agile organization.
 Establish project plans that set the goal and roadmap for projects by outlining goals and objectives, evaluating and running multiple projects, organizing cross\-dependent work, and ensuring the system of delivery controls/governance/standards is followed.
 Drive consistency between Cybersecurity, Technology, and Business Units for initiatives and projects.
 Engage with leaders in Cybersecurity, Technology, and Business Units to streamline processes, simplify execution, manage Objectives and Key Results (OKRs), and release on time.
 Track and report project progress against key milestones and metrics to ensure transparency and accountability.
 Create and drive total cost of delivery and total cost of ownership reporting.
 Manage meetings effectively and drive detailed discussions to ensure alignment across key stakeholders.
 Own and drive improvement for various metrics, including but not limited to: productivity, budget, and schedule variances, return on investments, and business investment.
 Collaborate frequently between Finance and Procurement to ensure accurate information is being provided for business cases, budgeting, and forecasting, and help execute the success of our vendor strategy.
 Pay: 50\-65/hr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Minimum 4\-6 years of experience in Technical Program Management or related experience
 Proficient in multiple IT Disciplines (cyber security, App dev, UI/UX, etc.)
 Proficient in Microsoft Office, including Word, PowerPoint, Outlook, and Excel PMP, AWS Certified Cloud Practitioner certification, or related certifications
**Working Knowledge Of Agile Preferred Qualification**
 If you have questions about this posting, please contact support@lensa.com</t>
        </is>
      </c>
    </row>
    <row r="158">
      <c r="A158" t="inlineStr">
        <is>
          <t>li-4364979980</t>
        </is>
      </c>
      <c r="B158" t="inlineStr">
        <is>
          <t>Digital Supply Chain Program Manager</t>
        </is>
      </c>
      <c r="C158" t="inlineStr">
        <is>
          <t>Philip Morris International U.S.</t>
        </is>
      </c>
      <c r="D158" t="inlineStr">
        <is>
          <t>linkedin</t>
        </is>
      </c>
      <c r="E158">
        <f>HYPERLINK("https://www.linkedin.com/jobs/view/4364979980", "https://www.linkedin.com/jobs/view/4364979980")</f>
        <v/>
      </c>
      <c r="F158" t="inlineStr"/>
      <c r="G158" t="inlineStr">
        <is>
          <t>Owensboro, KY</t>
        </is>
      </c>
      <c r="H158" t="inlineStr"/>
      <c r="I158" t="inlineStr">
        <is>
          <t>Be a part of a revolutionary change!
 At Philip Morris International (PMI), we’ve chosen to do something incredible. We’re totally transforming our business and building our future on one clear purpose – to deliver a smoke\-free future.
 With huge change, comes huge opportunity. So, if you join us, you’ll enjoy the freedom to dream up and deliver better, brighter solutions and the space to move your career forward in endlessly different directions. Our success depends on people who are committed to our purpose and have an appetite for progress.
 The key accountability is to drive digital agenda for the Supply Chain and commercial operations area, integrating partners to PMI digital ecosystem, and maximizing digital investment ROI, while ensuring the right digital tools are in place to support business ambitions. Budget definition and control are key for success. Knowledge to proactively address digital needs across all channels and SC area.
**Your Day To Day**
* Define digital roadmap according to business priorities, business opportunities and gaps (proactive) and collect from business owners and process owners inputs and business priorities (reactive)
* Translate business needs in digital capabilities to be developed by IT and be the SPOC for IT for backlog management – define sequence and priority according to agreed budget and IT capacity
* Integrate LSP and B2B partners into PMI digital ecosystem
* Test and validate IT solutions
* Facilitate solution adoptions by business owners
* Facilitate change management
* Manage solution lifecycle, identifying end of life of ensure business continuity
* Lead change management \&amp; drive adoption
* Governance of function/category specific adoption and lead change management and business benefit realization
* Control budget expenditure and maximize ROI for the company within given budget
* Act as SPOC for central functions and market stakeholders for all relevant digital topics
**Who We’re Looking For**
* At least 5 years’ experience in management of Digital Systems, Supply Chain, Logistics, Automation and Industrial Internet of Things solutions, preferably in a Product Owner role.
* PMI processes and digital ecosystem knowledge strongly advised
* Bachelor’s Degree in Supply Chain, Field or Computer sciences
* Automation or equivalent skills through proven experience
* Legally authorized to work in the U.S.
 Annual Base Salary Range: $127,500 \- $170,000
 What we offer
* We offer a competitive base salary, annual bonus (applicable based on level of position), great medical, dental and vision coverage, 401k with a generous company match, incredible wellness benefits, commuter benefits, pet insurance, generous PTO, and much more!
* We have implemented Smart Work, a hybrid model of working that promotes flexibility in the workplace.
* Seize the freedom to define your future and ours. We’ll empower you to take risks, experiment and explore.
* Be part of an inclusive, diverse culture where everyone’s contribution is respected; Collaborate with some of the world’s best people and feel like you belong.
* Pursue your ambitions and develop your skills with a global business – our staggering size and scale provides endless opportunities to progress.
* Take pride in delivering our promise to society: To improve the lives of millions of smokers.
 PMI is an Equal Opportunity Employer.
 PMI is headquartered in Stamford, Conn., and its U.S. affiliates have more than 2,300 employees.
 PMI has been an entirely separate company from Altria and Philip Morris USA since 2008\. PMI’s affiliates first entered the U.S. market following the company’s acquisition of Swedish Match in late 2022\.
 Philip Morris International and its U.S. affiliates are working to deliver a smoke\-free future. Since 2008, PMI has invested $12\.5 billion globally to develop, scientifically substantiate and commercialize innovative smoke\-free products for adults who would otherwise continue to smoke with the goal of transitioning legal\-age consumers who smoke to better alternatives. In 2022, PMI acquired Swedish Match – a leader in oral nicotine delivery – creating a global smoke\-free champion led by the IQOS and ZYN brands. The U.S. Food and Drug Administration has authorized versions of PMI’s IQOS electronically heated tobacco devices and Swedish Match’s General snus as Modified Risk Tobacco Products and renewal applications for these products are presently pending before the FDA. For more information, please visit www.pmi.com/us and www.pmiscience.com
 \#PMIUS
**11587**</t>
        </is>
      </c>
    </row>
    <row r="159">
      <c r="A159" t="inlineStr">
        <is>
          <t>li-4354107029</t>
        </is>
      </c>
      <c r="B159" t="inlineStr">
        <is>
          <t>Program Manager III - Integrated Survivability Solutions (ISS)</t>
        </is>
      </c>
      <c r="C159" t="inlineStr">
        <is>
          <t>BAE Systems, Inc.</t>
        </is>
      </c>
      <c r="D159" t="inlineStr">
        <is>
          <t>linkedin</t>
        </is>
      </c>
      <c r="E159">
        <f>HYPERLINK("https://www.linkedin.com/jobs/view/4354107029", "https://www.linkedin.com/jobs/view/4354107029")</f>
        <v/>
      </c>
      <c r="F159">
        <f>HYPERLINK("https://jobs.baesystems.com/global/en/job/BAE1US120073BREXTERNAL/Program-Manager-III-Integrated-Survivability-Solutions-ISS?utm_source=linkedin&amp;utm_medium=phenom-feeds&amp;urlHash=1vmy", "https://jobs.baesystems.com/global/en/job/BAE1US120073BREXTERNAL/Program-Manager-III-Integrated-Survivability-Solutions-ISS?utm_source=linkedin&amp;utm_medium=phenom-feeds&amp;urlHash=1vmy")</f>
        <v/>
      </c>
      <c r="G159" t="inlineStr">
        <is>
          <t>Merrimack, NH</t>
        </is>
      </c>
      <c r="H159" t="inlineStr"/>
      <c r="I159" t="inlineStr">
        <is>
          <t>**Job Description**
 Are you an experienced Program Manager, looking for a challenging and dynamic role? BAE Systems’ Countermeasures \&amp; Electromagnetic Attack Solutions (CEMA) Business Area has an immediate opening for a highly motivated Program Manager in the Integrated Survivability Solutions (ISS) Product Line. This role is to manage the development of a laser based pointing system over a number of contracts. This Program Manger role will be focused on both execution and capture of follow\-on efforts.
 Our employees work on the world’s most advanced electronics, you’ll be among the brightest minds, working on the aerospace and defense industry’s most difficult problems. We welcome all those who have big ideas, crave innovation, want to drive fielding velocity and have the passion to bring the warfighter home safe.
 With a 9/80 schedule, and every other Friday off, our flexible work environment provides you a chance to change the world without giving up your personal life. We put our customers first – exemplified by our mission: “We Protect Those Who Protect Us®.” This is a dynamic program manager opportunity reporting directly to the Program Area Director.
**Required Education, Experience, \&amp; Skills**
 To be considered for this Program Manager position, candidates should possess the following qualifications:
* Education: Bachelor’s Degree in a technical or business\-related discipline.
* Experience: A minimum of 12 years of experience leading technical and program teams through all phases of the lifecycle.
**Key Skills And Abilities**
* Program Management: Demonstrated program management skills in complex development programs, with the ability to tailor processes to accelerate delivery.
* Leadership and Team Management: Proven experience leading cross\-functional teams, with strong leadership, coaching, and mentoring skills to achieve results through others.
* Organizational Skills: Strong organizational skills to manage interdependent contracts and ensure projects stay on track and aligned with goals.
* Communication: Ability to effectively communicate and execute a strategic vision, as well as convey complex program information to both program teams and executive leadership.
* Financial Acumen: Strong financial acumen with the ability to analyze and manage budgets effectively.
* Subcontractor Management: Extensive experience in managing and overseeing subcontractor relationships.
* Risk Management: In\-depth experience in identifying and mitigating Risks and Opportunities (R\&amp;O) to drive project success.
* Strategic Planning: Ability to develop a 5\-year vision for the product and drive project success through dynamic scope management.
* Active secret clearance
**Preferred Education, Experience, \&amp; Skills**
* Experience with laser\-based pointing systems or similar technical domains.
* Familiarity with defense or aerospace industry standards and regulations.
* Program Management Professional (PMP) Certification
* Demonstrated mastery of Program Management, Life\-Cycle Management and Risk \&amp; Opportunity Management
* Master’s degree
 Ideal Candidate
 The ideal candidate will be a seasoned program manager with a proven track record of delivering complex projects on time and within budget. They will possess excellent leadership, communication, and organizational skills, with the ability to manage cross\-functional teams and drive project success through strategic planning and risk management.
**Pay Information**
 Full\-Time Salary Range: $153377 \- $260743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60">
      <c r="A160" t="inlineStr">
        <is>
          <t>li-4362024093</t>
        </is>
      </c>
      <c r="B160" t="inlineStr">
        <is>
          <t>Program Manager Ecommerce Logistics</t>
        </is>
      </c>
      <c r="C160" t="inlineStr">
        <is>
          <t>Jobs via Dice</t>
        </is>
      </c>
      <c r="D160" t="inlineStr">
        <is>
          <t>linkedin</t>
        </is>
      </c>
      <c r="E160">
        <f>HYPERLINK("https://www.linkedin.com/jobs/view/4362024093", "https://www.linkedin.com/jobs/view/4362024093")</f>
        <v/>
      </c>
      <c r="F160">
        <f>HYPERLINK("https://click.appcast.io/t/za4Xxah8M6IWiB2EgTiz7g0rT8bQwTEmJJ1RondF5FQ=&amp;urlHash=fp3c", "https://click.appcast.io/t/za4Xxah8M6IWiB2EgTiz7g0rT8bQwTEmJJ1RondF5FQ=&amp;urlHash=fp3c")</f>
        <v/>
      </c>
      <c r="G160" t="inlineStr">
        <is>
          <t>Rocklin, CA</t>
        </is>
      </c>
      <c r="H160" t="inlineStr"/>
      <c r="I160" t="inlineStr">
        <is>
          <t>Dice is the leading career destination for tech experts at every stage of their careers. Our client, MASH Pro Tech, is seeking the following. Apply via Dice today!
 Job Details
**Skills**
 Program Management
 Project Management
 Project Scoping
 Electronic Commerce
 IT Management
 Retail
 Manufacturing
 Logistics
 Leadership
 Risk Assessment
 Budget
 Business Process
 Evaluation
 Functional Requirements
 Articulate
 Analysis Of Variance
 Accountability
 Internal Communications
 Team Building
 Presentations
 Training
 Agile
**Summary**
 Program Manager Ecommerce Logistics
 Locations: SFO, CA / Rocklin, CA / San Jose, CA / Memphis, TN
 Requirements:
* Recent retail experience is a must.
* Prefer candidates with deep experience in Logistics, Manufacturing, Final mile and related technologies
* Strong Planning skills and not just technical experience in these areas
 Detailed JD:
 Uses established project management methodologies/tools to develop and execute Technology project plans.
 Specific Responsibilities
 Performs all of the senior project manager duties plus:
 Using established project management methodology/tools, develops project plans for highly complex projects of strategic importance which include work plans, schedules, budgets, needed skills and resources, project scope and deliverable/responsibility matrices
 Performs variance analysis (including schedule, costs vs. budgets, resources and changes to scope). Makes trade\-offs with sponsor, as necessary
 Performs project risk assessment quantification, response planning and control
 Communicates risks to clients and/or IT management, project sponsors \&amp; vendors
 Develops and executes mitigation strategies
 Validates client and functional requirements for sponsor
 Determines the impact on current/existing technologies and communicates impact to clients, sponsor, IT management and vendor
 Makes recommendations on existing application products that could address client requirements
 Evaluates alternative operational efficiencies /business process change
 Makes presentations to IT management, sponsors, and/or vendors
 Accountable for pre and post implementation plans
 Provides work direction to project managers
 Works on complex issues where analysis of situations or data requires an in\-depth evaluation of variable factors
 Exercises strong judgment in selecting methods, techniques and evaluation criteria for obtaining results
 Orchestrates and recommends Program strategy
 Able to discern and clearly articulate how program decisions impact the big picture and vice versa
 Frequently interacts with customers, and/or functional peer group IC'S/managers, normally involving matters between functional areas or internal customers
 May interact with business leadership at all levels
 Networks with key contacts outside own area of expertise
 Coaches, mentors, and trains as appropriate
 Contributes to performance appraisals for team members
 Assists in conducting team building/development activities
 Receives limited instruction in determining methods and procedures on new assignments, and coordinates activities of other associates in group</t>
        </is>
      </c>
    </row>
    <row r="161">
      <c r="A161" t="inlineStr">
        <is>
          <t>li-4364986614</t>
        </is>
      </c>
      <c r="B161" t="inlineStr">
        <is>
          <t>Senior Clinical Program Manager</t>
        </is>
      </c>
      <c r="C161" t="inlineStr">
        <is>
          <t>Lensa</t>
        </is>
      </c>
      <c r="D161" t="inlineStr">
        <is>
          <t>linkedin</t>
        </is>
      </c>
      <c r="E161">
        <f>HYPERLINK("https://www.linkedin.com/jobs/view/4364986614", "https://www.linkedin.com/jobs/view/4364986614")</f>
        <v/>
      </c>
      <c r="F161" t="inlineStr"/>
      <c r="G161" t="inlineStr">
        <is>
          <t>Chicago, IL</t>
        </is>
      </c>
      <c r="H161" t="inlineStr"/>
      <c r="I16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AMOpportunities. Clicking "Apply Now" or "Read more" on Lensa redirects you to the job board/employer site. Any information collected there is subject to their terms and privacy notice.
 Senior Clinical Program Manager
**Who We Are**
 AMOpportunitiesis the category leader in tech\-enabled clinical training placements and workforce solutions. We equip universities and healthcare providers with the infrastructure needed to expand clinical education across all healthcare disciplines. With partnerships spanning 100\+ allopathic (MD), osteopathic (DO), nursing(NP and pre\-licensure), PA, and allied health degree programs at 650\+ healthcare institutions nationwide and internationally, AMO is solving the healthcare training shortage by enabling quality clinical education at scale.
 Sinceexpanding to domestic B2B solutions in 2020,we'vesecured 75\+ partnerships with U.S. academic institutions and placed students innearly 6,000clinical rotations. Our proprietary SaaS platform and comprehensive service solutions help schools expand enrollment, open new clinical campuses, and prepare for accreditation visits.
 Frequently cited statistics show that women and underrepresented groups apply to jobs only if they meet 100% of the qualifications. AMOpportunities encourages you to apply even if you do not meet all listed qualifications. We look forward to your application.
**About The Position**
 The SeniorClinicalProgramManagerleads theday\-to\-dayoperationsof remote clinical education campuses, or Clinical Hubs,to deliver high\-quality clinical education and rotationsforouracademic partnersand their students. Acting as the operational liaison and facilitator, theProgram Managerensures programcoordination,quality, compliance, and smooth collaboration between academic institutionsandtheirstudents,clinicalsitesandtheirpreceptors, andAMO companydepartments. Reporting to the Vice President of Fulfillment, this strategic position fosters partnerships, managesday\-to\-daysite relationships, and oversees administrative functions to uphold clinical standardsand support long\-term partner success.
 While this position can be fully remote,we are looking for candidates to be residents ofAlabama, Florida, Illinois, Indiana, Kansas, Michigan, New York, Ohio, or Texas.
**Essential Functions**
* Serve as the primaryday\-to\-dayoperational contact foreducation programs atone or moreClinical Hubs within a geographic region, supporting clinical outreach,operations, and business development teams with coordination and ongoing management of clinical rotations
* In collaborationwith internal stakeholders, develop, improve,andmaintainstandardized operating procedures (SOPs) forClinical Hubday\-to\-dayoperationsand clinical managementprocesses forAMOand external partners
* Serve as front\-line support for, andas a liaison between,clinical sites, preceptors, academic institutions,students,and internal teams to ensurehigh standardsin clinical education and adherence to accreditation, regulatory, and institutionalrequirements.Promptly and correctlyidentifycritical issues and feedback from students and preceptors requiring escalation internally or externally to school/clinical site stakeholders
* Assistin setting up,coordinatingand confirming clinical rotation schedules; inform students and instructors of site\-specific policies, requirements, and procedures
* Coordinate and implement academic partner requirements for evaluation and examination, including collection of rotation evaluations andifrequired,shelf exam proctoring
* Coordinate training resources, onboarding materials, and ongoing support for preceptorsand studentsto promote teaching excellence,program alignment, and student satisfaction
* Review, organize, and verify all student and site documentation for accuracy, compliance, and readiness before rotationscommence. In collaboration with clinical site administration, ensure students are correctly andtimelyonboarded at each clinical site
* Evaluate current clinical site inventories and preceptor capacity; proactively manage account health,identifyrisks of churn, and implement strategies for ongoing success
* Support, incollaboration withotherfunctions,recruitment, onboarding, and retention efforts for preceptors and clinical sites; organize engagement activities and interdisciplinary learningopportunities forstudents and preceptorsto strengthen partnerships
* Monitor and analyze data related to site quality, preceptor evaluations, and compliance metrics; generate reports to inform continuous improvement initiatives
* Track compliance deadlines,requiredattestations, and site approvals; escalate risks or gaps to leadership with recommended mitigation strategies
* Support preparation for accreditation reviews, site audits, and partner evaluations by organizing documentation and coordinating site readiness efforts
* Anticipate operational challenges across remote sites and implement proactive solutions to minimize disruption to learners and partners
* Coordinate site visits, conduct evaluations, and address any quality or compliance issues proactively
* Contribute to process improvement projects, stakeholder engagement initiatives, and the development of KPIs to enhance clinical education delivery
* Identifyopportunities to expand preceptor capacity and diversify clinical experiences across sites
* Support long\-term partnership sustainability byidentifyinggrowth opportunities and collaborating with leadership on expansion strategies
* Collaborate with internal departments to streamline workflows, improve communication protocols, and support overall program excellence
**Skills**
* Tech native/fluency on common productivity tools: Outlook, Excel, Word, AdobeAcrobat
* CRM/ERP software experiencea plus
* Robust knowledge of healthcare education and typical entity relationships, responsibilities, schedules, etc
* Basic analytics/statistics knowledge (ex:creatingpivot tables in spreadsheets to develop insights)
* Familiarity with program/project budgeting, particularly foreducational institutions or clinical sites
* Project management experience; ability to work and balance multiple priorities and stakeholders
* Conflict resolution and mediation, particularly in an educational or healthcare setting
**Education/Experience**
* Multiple years in Clinical Education administration/coordination/managementforeither1\) hospital GME/UME programs,or 2\)Medical, PA, or Nursing Schoolsstrongly preferred
* Bachelor's Degree ormore
**What You Gain**
* Competitive salary of $60,000 to $80,000 annually
* Comprehensive Benefits Program: Medical, Dental, Vision, 401k, Tax Exempt Student Loan Repayment,and Commuter Benefits
* A mission\-driven work environment committed to a spirit of support, growth, and achievement
* Performance\-based career growth opportunities
* A front\-row seat for the exponential growth of a booming education tech company
* Work/life balance
 Equal Opportunity Employer
 AtAMOpportunities we champion the reality of diversity and the necessity of inclusion and accessibility. We are deeply committed to the principle of equal employment opportunity for all employees, and to providing our employees with a work environment free of discrimination and harassment. We strictly prohibit discrimination and harassment based on disability, gender identity, gender expression, pregnancy status (including childbirth and related states), sexual orientation, race, color, social or ethnic origin, religion, age, HIV status, past/present military service, or any other status protected by federal, state, or local law.
 Due to the unprecedented situation of COVID\-19,AMOpportunitieshas decided to protect our current and future employees by managing our business remotely. This is inclusive of interviewing, onboarding, and each role day to day. Please consider that our roles are hybrid with options to work remotely or in\-office following the guidance of local health authorities and the CDC.
 Powered by JazzHR
 If you have questions about this posting, please contact support@lensa.com</t>
        </is>
      </c>
    </row>
    <row r="162">
      <c r="A162" t="inlineStr">
        <is>
          <t>li-4365018021</t>
        </is>
      </c>
      <c r="B162" t="inlineStr">
        <is>
          <t>Principal Site Launch &amp; Operations Implementation Program Manager</t>
        </is>
      </c>
      <c r="C162" t="inlineStr">
        <is>
          <t>Amazon</t>
        </is>
      </c>
      <c r="D162" t="inlineStr">
        <is>
          <t>linkedin</t>
        </is>
      </c>
      <c r="E162">
        <f>HYPERLINK("https://www.linkedin.com/jobs/view/4365018021", "https://www.linkedin.com/jobs/view/4365018021")</f>
        <v/>
      </c>
      <c r="F162">
        <f>HYPERLINK("https://www.amazon.jobs/jobs/3162335/principal-site-launch\u002d\u002doperations-implementation-program-manager-?cmpid=SPLICX0248M&amp;utm_source=linkedin.com&amp;utm_campaign=cxro&amp;utm_medium=social_media&amp;utm_content=job_posting&amp;ss=paid&amp;urlHash=N8fQ", "https://www.amazon.jobs/jobs/3162335/principal-site-launch\u002d\u002doperations-implementation-program-manager-?cmpid=SPLICX0248M&amp;utm_source=linkedin.com&amp;utm_campaign=cxro&amp;utm_medium=social_media&amp;utm_content=job_posting&amp;ss=paid&amp;urlHash=N8fQ")</f>
        <v/>
      </c>
      <c r="G162" t="inlineStr">
        <is>
          <t>Austin, TX</t>
        </is>
      </c>
      <c r="H162" t="inlineStr"/>
      <c r="I162" t="inlineStr">
        <is>
          <t>**Description**
 Amazon is seeking an experienced Principal Site Launch \&amp; Operations Implementation Program Manager to lead complex, cross\-functional programs that drive successful launches and operational excellence across our food production sites worldwide. This individual contributor role combines deep expertise in site launches, item launches, process implementation, and operational readiness with strategic program management and leadership influence to deliver transformative solutions across our global food manufacturing network. This role includes stretch leadership opportunities through mentoring, influencing cross\-functional teams, and driving strategic initiatives.
 Key job responsibilities
 Program Leadership \&amp; Strategic Influence
* Own end\-to\-end program strategy and execution for site launches, item launches, and process implementations across multiple food production sites globally
* Define and drive program vision, mission, tenets, and objectives for launch excellence and operational readiness initiatives
* Lead large\-scale, complex initiatives spanning multiple organizations, geographies, and business units with significant business impact
* Influence strategic direction and decision\-making at the director and VP level through data\-driven recommendations and thought leadership
* Build consensus across diverse stakeholder groups including senior leadership, field operations, engineering, commercialization, quality, and food safety teams
* Serve as a subject matter expert and thought leader in site launch methodologies, operational readiness, and manufacturing excellence
* Drive organizational change and process improvements that have measurable impact across the entire food production network
* 
* Contribute to OP1/OP2 narratives and own organizational goals related to manufacturing excellence
 Site Launch \&amp; Ramp\-Up Management
* Lead comprehensive site launch programs from planning through stabilization, ensuring successful first production and operational readiness
* Develop and execute launch plans that address all critical workstreams including equipment commissioning, process validation, team readiness, and supply chain integration
* Create and implement ramp\-up strategies that achieve productivity, quality, and safety targets within defined timelines
* Establish and monitor key performance indicators (KPIs) for launch success including production throughput, quality metrics, safety performance, and cost targets
* Coordinate cross\-functional launch teams including operations, engineering, quality, food safety, supply chain, and commercialization
* Develop contingency plans and risk mitigation strategies to address potential launch blockers and operational challenges
* Lead post\-launch reviews and capture lessons learned to continuously improve launch methodologies and playbooks
 Item Launch \&amp; Commercialization
* Own item launch programs across food production sites, coordinating with commercialization teams, process engineers, and quality teams
* Develop and execute launch readiness plans for new product introductions including scale\-up trials, production qualifications, and first production runs
* Partner with commercialization teams to translate product requirements into manufacturing specifications and operational procedures
* Lead cross\-functional teams through stage\-gate processes ensuring all technical, quality, and regulatory requirements are met
* Coordinate with process engineers to validate manufacturing processes, equipment capabilities, and production parameters
* Ensure seamless handoff from development to production including documentation, training, and standard operating procedures
* Monitor item launch performance and drive corrective actions to achieve quality, cost, and throughput targets
 Process \&amp; Program Implementation
* Design and implement scalable processes, programs, and mechanisms that drive operational excellence across all food production sites
* Create standardized launch playbooks, templates, and tools that can be leveraged across multiple sites and regions
* Develop and deploy training programs and change management strategies to ensure successful adoption of new processes and systems
* Lead process improvement initiatives that eliminate waste, reduce complexity, and improve operational efficiency
* Build mechanisms to capture and share best practices across the global manufacturing network
* Establish governance frameworks and decision\-making processes for launch and implementation programs
* Work with the analytics team to design dashboards and reporting mechanisms to provide visibility into program status, risks, and performance
 Cross\-Functional Collaboration \&amp; Stakeholder Management
* Partner with field operations teams across regions to understand site\-specific needs and ensure launch plans are tailored appropriately
* Work closely with process engineers to ensure manufacturing processes are optimized, validated, and ready for production
* Collaborate with commercialization teams to align product development timelines with manufacturing readiness
* Engage with quality teams to ensure all quality systems, testing protocols, and documentation are in place prior to launch
* Partner with food safety teams to validate HACCP plans, food safety controls, and regulatory compliance
* Coordinate with supply chain teams to ensure material availability, vendor readiness, and logistics support
* Build strong relationships with leadership at all levels to drive alignment, remove barriers, and accelerate decision\-making
 Leadership \&amp; Mentorship (Stretch Responsibilities)
* Serve as a mentor and coach to program managers, operations leaders, and cross\-functional team members
* Lead knowledge\-sharing sessions and training initiatives to build launch and implementation capabilities across the organization
* Guide and develop others on complex program management scenarios, stakeholder management, and problem\-solving approaches
* Act as a thought leader in operational excellence, sharing insights and innovations with broader teams
* Take ownership of cross\-functional initiatives that require influencing stakeholders without direct authority
* Represent launch and implementation expertise in strategic discussions with senior leadership
* Identify and develop talent within the organization by providing constructive feedback and growth opportunities
 Ramp\-Down \&amp; Transition Management
* Develop and execute ramp\-down strategies for product discontinuations, site closures, or production transfers
* Create transition plans that minimize disruption to supply chain, customers, and operations
* Coordinate with all stakeholders to ensure orderly wind\-down of operations including inventory management, equipment disposition, and documentation archival
* Manage communication strategies for internal and external stakeholders during ramp\-down activities
* Capture lessons learned and ensure knowledge transfer for future ramp\-down scenarios
 A day in the life
 Work Environment
* Position may require up to 10% travel to food manufacturing sites globally
* Flexibility to work across time zones to support global operations and launch activities
* Significant time on manufacturing floor observing processes, engaging with teams, and validating readiness
* Ability to work in food manufacturing environments (temperature\-controlled, production areas)
* Occasional evening or weekend work during critical launch phases or production ramp\-ups
**Basic Qualifications**
* Experience influencing senior leaders/stakeholders
* Experience in written and oral communication, including the ability to communicate with all levels in the organization (technical, business, executive)
* Experience in written and verbal communication with the ability to present complex technical information in a clear and concise manner to executives and non\-technical leaders
* 
* Bachelor's degree in Engineering, Operations Management, Food Science, Supply Chain Management, or related technical field
* 
* 10\+ years of program management or operations experience in food manufacturing, CPG, or related industries
* 
* 7\+ years of experience leading complex, cross\-functional programs across multiple sites or regions
* 
* Demonstrated experience leading site launches, production ramp\-ups, or large\-scale operational implementations
* 
* Strong expertise in food manufacturing processes including production operations, quality systems, and food safety requirements
* 
* Experience working with process engineers, commercialization teams, and technical development organizations
* 
* Demonstrated ability to operate with high autonomy in ambiguous environments and drive clarity through complex problems
* 
* Excellent analytical skills with experience using data to drive decisions and measure program success
* 
* Strong project management skills with ability to manage multiple complex programs simultaneously
**Preferred Qualifications**
* 
* Master's degree in Engineering, Operations Management, Food Science, or MBA
* 
* Professional certifications such as PMP, Six Sigma Black Belt, or Lean Manufacturing
* 
* Experience specifically in food manufacturing including fresh prepared foods, dairy, meat processing, or similar categories
* 
* Knowledge of food safety regulations including HACCP, FSSC22000, GMP, and FDA requirements
* 
* Experience with stage\-gate product development processes and commercialization methodologies
* 
* Track record of delivering measurable business impact through operational excellence initiatives
* 
* Experience managing programs across multiple countries and regions with diverse regulatory requirements
* 
* Demonstrated thought leadership through publications, presentations, or industry recognition
* 
* Experience with manufacturing automation, Industry 4\.0 technologies, and digital transformation initiatives
* 
* Strong technical depth in process engineering, equipment validation, and production optimization
* 
* Experience developing and deploying training programs and change management initiatives
* 
* Proven ability to build and scale operational capabilities across large organizations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\- 137,600\.00 \- 186,200\.00 USD annually
**Company** 
 \- Amazon.com Services LLC
 Job ID: A3162335</t>
        </is>
      </c>
    </row>
    <row r="163">
      <c r="A163" t="inlineStr">
        <is>
          <t>li-4364997418</t>
        </is>
      </c>
      <c r="B163" t="inlineStr">
        <is>
          <t>Supply Chain Program Manager 4</t>
        </is>
      </c>
      <c r="C163" t="inlineStr">
        <is>
          <t>Lensa</t>
        </is>
      </c>
      <c r="D163" t="inlineStr">
        <is>
          <t>linkedin</t>
        </is>
      </c>
      <c r="E163">
        <f>HYPERLINK("https://www.linkedin.com/jobs/view/4364997418", "https://www.linkedin.com/jobs/view/4364997418")</f>
        <v/>
      </c>
      <c r="F163" t="inlineStr"/>
      <c r="G163" t="inlineStr">
        <is>
          <t>Albany, NY</t>
        </is>
      </c>
      <c r="H163" t="inlineStr"/>
      <c r="I16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Oracle Cloud Infrastructure’s (OCI) architecture development engineering team is seeking a highly skilled and self\-driven Principal Program Manager to manage GPU Platform and Infrastructure projects by aligning priorities from various teams, collaborating with cross\-functional stakeholders, and driving end\-to\-end execution of complex products. We are at the forefront of AI innovation working on the next generation of GPU data centers.
 Oracle Cloud Infrastructure’s (OCI) architecture development engineering team is seeking a highly skilled and self\-driven Principal Program Manager to manage GPU Platform and Infrastructure projects by aligning priorities from various teams, collaborating with cross\-functional stakeholders, and driving end\-to\-end execution of complex products. We are at the forefront of AI innovation working on the next generation of GPU data centers.
 In this Principal Technical Program Management role, you will be working on GPU infrastructure, Data Center enablement, supply optimization and other distributed computing, highly available cloud services and virtualized infrastructure.
 You will be closely collaborating with a multi\-functional team including vendors and partners for provisioning, deploying, configuring, and maintaining GPU servers in our datacenters to support our customers run AI/ML workloads, and cloud\-scale applications. This role bridges hardware and networking operations to ensure reliable and scalable GPU\-based infrastructure.
 You will define project scopes, plan and direct schedules while focusing on regular and timely delivery of value; organize and lead project status and working meetings; prepare and distribute progress reports; manage risks and issues; correct deviations from plans; and perform delivery planning for assigned projects.
 You should possess exceptional problem\-solving skills, strong business judgment, and notable experience collaborating with hybrid teams. You are a self\-starter technical leader with demonstrated ability to execute both strategically and tactically, and someone who is excited to take on new projects.
**Responsibilities**
**Job Requirements** 
 :
* Demonstrated experience supply chain design and operations.
* Excellent oral and written communications skills and experience interacting with both business and Engineering staff at all levels including the executive level.
* Experience with technical design discussions and ability to summarize complex trade\-offs and options in presentation and technical documentation.
* Work with cross\-functional teams including datacenter operations to track and manage issues and resolve blockers on a timely manner.
* Ability to effectively represent engineering perspectives to partner organizations, product teams, and executive leadership.
* Aptitude to work across and engage individuals and teams located across multiple geographies and or cultures.
* Thrive and succeed in an innovative and fast\-paced environment and not be hindered by ambiguity or conflicting priorities.
**Minimum Qualifications**
* Bachelor's degree in computer sciences, software engineering, technology management, business management, or similar.
* 7\+ years of experience as hands\-on supply chain leader; preferably in a related industry.
* Experience efficiently and effectively communicating findings/progress to cross\-functional teams, senior leadership, and the broader organizations, with both technical and non\-technical stakeholders.
* Self\-driven problem solver; able to adapt and thrive in a dynamic, ambiguous, and customer\-focused environment.
**Preferred Qualifications**
* 10\+ years of program/project management, product design or related experience
* Bachelor's degree in Computer Science or Business Management or equivalent work experience.
* Exposure to large scale datacenter and data center activities
* Strong understanding of GPU infrastructure services, and thorough knowledge of Cloud such as Compute, Storage, Identity and Networking
* Demonstrated knowledge of OCI, AWS, Azure or Google IaaS, SaaS and PaaS services.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64">
      <c r="A164" t="inlineStr">
        <is>
          <t>li-4360986045</t>
        </is>
      </c>
      <c r="B164" t="inlineStr">
        <is>
          <t>Project/Program Manager - Project/Program Manager IV</t>
        </is>
      </c>
      <c r="C164" t="inlineStr">
        <is>
          <t>Jobs via Dice</t>
        </is>
      </c>
      <c r="D164" t="inlineStr">
        <is>
          <t>linkedin</t>
        </is>
      </c>
      <c r="E164">
        <f>HYPERLINK("https://www.linkedin.com/jobs/view/4360986045", "https://www.linkedin.com/jobs/view/4360986045")</f>
        <v/>
      </c>
      <c r="F164" t="inlineStr"/>
      <c r="G164" t="inlineStr">
        <is>
          <t>Culver City, CA</t>
        </is>
      </c>
      <c r="H164" t="inlineStr"/>
      <c r="I164" t="inlineStr">
        <is>
          <t>Dice is the leading career destination for tech experts at every stage of their careers. Our client, Apex Systems, is seeking the following. Apply via Dice today!
**Job\#: 3018692**
**Job Description:**
 JOB TITLE: Project/Program Manager IV
 DURATION: 9 MONTHS
 LOCATION: ONSITE IN CULVER CITY, CA
 PAY RATE: $68 \- $78 HOURLY
**Job Description:** 
 Prime Video Experience Design is seeking a self\-motivated, ownership\-minded, and nimble Senior Design Program Manager for the Team. This role is a force\-multiplier across our studio, amplifying our efforts and impact.
 You will collaborate closely with the Business Manager, Studio Strategy team, UX leadership, Design Operations, and cross\-functional partners to execute the team's mission and vision.
 Your key responsibility will be to provide strategic and operational support to Studio\-wide programs and mechanisms. Come build the future of entertainment with us!
 Key responsibilities will include:
 Partner with Business Manager, Studio Strategy, UX leadership and Design Ops team to help oversee and manage the day\-to\-day operations of the Design Studio
 Drive planning and execution of Monthly Studio meetings, annual Studio summits and other Studio events.
 Create communications (e.g., monthly Studio newsletter) and upkeep on evergreen communications and Studio documents (e.g. wiki, org chart)
 Perpetuate Design in the Open program, effort to evangelize design company\-wide. Strategize, generate plans and execute Design Open House events. Evolve and expand the greater Design in the Open initiative to meet changing business needs.
 Oversee 3P budget (outsourcing, tooling and research). Create and track POs, track budget, and provide reporting to finance and leaders as needed.
 Drive planning and execution of special projects that support Executive goals and vision.
 Act as the POC liason to drive efforts across greater Video and Design Community. Active participant and contributor to multiple teams
 Initiate and project manage key efforts for the studio to foster community and culture: Studio Rituals, Series, On\-boarding, department health efforts, etc...
 Oversee Executive Visual design resource. Manage intake requests and facilitate sprint planning.
 Our mission at here is to create the number one streaming destination where customers go to fulfill all their entertainment needs. We thoughtfully oversee every moment across the holistic product experience for a customer. We build cohesive experiences that feel straightforward and intuitive. The opportunity is boundless: with ]scale, we provide meaningful experiences for people all over the earth.
**Basic Qualifications**
 6\+ years of design program management experience required
 Knowledge of project management tools and ability to adapt to new systems and technologies
 Specific experience with design operations or creative teams
 Budget management experience (given the 3P budget oversight responsibility)
 Event planning experience at scale
**Preferred Qualifications**
 Experience working and contributing to project playbooks, building schedules, managing issues/risks, establishing communication plans and stakeholder management
 Experience working with executive leadership
 Ability to learn, leverage and use new systems, tools, and technologies across Amazon.
 Background working in a collaborative multi\-disciplinary UX team
 Excellent communication, presentation, and storytelling skills
 Understanding of UX design and software development
 Experience working with distributed teams, across multiple time zones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165">
      <c r="A165" t="inlineStr">
        <is>
          <t>li-4364956884</t>
        </is>
      </c>
      <c r="B165" t="inlineStr">
        <is>
          <t>Federal Program Manager</t>
        </is>
      </c>
      <c r="C165" t="inlineStr">
        <is>
          <t>Axon</t>
        </is>
      </c>
      <c r="D165" t="inlineStr">
        <is>
          <t>linkedin</t>
        </is>
      </c>
      <c r="E165">
        <f>HYPERLINK("https://www.linkedin.com/jobs/view/4364956884", "https://www.linkedin.com/jobs/view/4364956884")</f>
        <v/>
      </c>
      <c r="F165" t="inlineStr"/>
      <c r="G165" t="inlineStr">
        <is>
          <t>Scottsdale, AZ</t>
        </is>
      </c>
      <c r="H165" t="inlineStr"/>
      <c r="I165"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Axon’s federal market team seeks a customer obsessed program manager who consistently overdelivers. Our federal public safety customers have challenging missions, and they need a motivated, intense, and talented individual who can ensure their programs are running effectively.
**What You’ll Do**
**Location:** 
 Remote, Scottsdale, AZ or Washington DC Area preferred
**Reports to:** 
 Vice President, Federal Programs
**Direct Reports:** 
 0
* You are a problem solver. Every day you will drive mission success for our customers by de\-risking the scope, schedule, and cost of your program portfolio.
* You are obsessed about delighting the customer. You will work with your Sales, Customer Success, and Deployment, and R\&amp;D partners to deliver a portfolio of software, sensors, and professional services capabilities faster and cheaper than your customer thinks is possible. “Exceptional” is your standard for your program CPARS.
* The misses keep you up at night. You immerse yourself in your customer’s problems so that you can drive continuous improvement initiatives.
* You know how every program decision you make impacts the business. You will work with your partner teams to grow and scale programs exponentially. You will drive the right choices on product scope, costing, scheduling, and contract structure to positively impact key company metrics such as revenue recognition and margin management.
* You set the bar and it’s a high one. You expect the best for yourself, and you will extend these expectations to the team you will work with and the subcontractors you will manage.
* You have a low ego, high impact attitude. You are excited by being an individual contributor because it gives you an opportunity to create something no one else has done before. All other duties as assigned are an opportunity, not a burden.
****What You Bring****
* 5\+ years managing federal programs – Direct experience in federal program management is essential.
* Brings clarity to complex program challenges – The ability to navigate open ended problems in unstructured environments is key.
* Expertise in federal contracting – Understanding and complying with federal RFx requirements and terms \&amp; conditions is crucial.
* Strong documentation and process management skills – Program managers must track progress, manage risk, and ensure compliance.
* Clear and direct communicator with executives and customers – Effective communication with stakeholders at all levels is vital.
* Strong customer\-facing experience – Managing relationships and ensuring customer success is a core function.
* Willingness to travel 50%\+ – Frequent travel is necessary to support federal programs and stakeholders.
****Benefits that Benefit You****
* Competitive salary and 401K with employer match
* Discretionary paid time off
* Robust parental leave policy
* An award\-winning office/working environment
* Ride along with real police officers in real life situations, see them use technology, get inspired
* And more...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166">
      <c r="A166" t="inlineStr">
        <is>
          <t>li-4361964696</t>
        </is>
      </c>
      <c r="B166" t="inlineStr">
        <is>
          <t>Quality Patient Safety Program Manager</t>
        </is>
      </c>
      <c r="C166" t="inlineStr">
        <is>
          <t>CommonSpirit Health</t>
        </is>
      </c>
      <c r="D166" t="inlineStr">
        <is>
          <t>linkedin</t>
        </is>
      </c>
      <c r="E166">
        <f>HYPERLINK("https://www.linkedin.com/jobs/view/4361964696", "https://www.linkedin.com/jobs/view/4361964696")</f>
        <v/>
      </c>
      <c r="F166">
        <f>HYPERLINK("https://jsv3.recruitics.com/redirect?rx_cid=3292&amp;rx_jobId=447934_rxr-1&amp;rx_url=https%3A%2F%2Fwww.commonspirit.careers%2Fjob%2F-%2F-%2F35300%2F88692042336%3Fiis%3DLinkedInOrganic%26iisn%3DLinkedInOrganic%26mode%3Djob%26rx_id%3D76a98551-f621-11f0-9091-9f6c382ec4d7%26rx_job%3D447934_rxr-1%26rx_medium%3Dpost%26rx_paid%3D0%26rx_r%3Dnone%26rx_source%3DLinkedIn%26rx_ts%3D20260121T001605Z&amp;urlHash=HzkV", "https://jsv3.recruitics.com/redirect?rx_cid=3292&amp;rx_jobId=447934_rxr-1&amp;rx_url=https%3A%2F%2Fwww.commonspirit.careers%2Fjob%2F-%2F-%2F35300%2F88692042336%3Fiis%3DLinkedInOrganic%26iisn%3DLinkedInOrganic%26mode%3Djob%26rx_id%3D76a98551-f621-11f0-9091-9f6c382ec4d7%26rx_job%3D447934_rxr-1%26rx_medium%3Dpost%26rx_paid%3D0%26rx_r%3Dnone%26rx_source%3DLinkedIn%26rx_ts%3D20260121T001605Z&amp;urlHash=HzkV")</f>
        <v/>
      </c>
      <c r="G166" t="inlineStr">
        <is>
          <t>Grass Valley, CA</t>
        </is>
      </c>
      <c r="H166" t="inlineStr"/>
      <c r="I166" t="inlineStr">
        <is>
          <t>\*Job Summary and Responsibilities\*
 The primary function of the Quality/Patient Safety Program Manager is to support, coordinate, and facilitate the quality management (QM), patient safety (PS) and regulatory performance improvement (PI) activities for the hospital and medical staff. This role also serves as a resource to employees, management, nursing directors, senior management, councils, physicians and teams on quality management activities and will handle patient sensitive and confidential hospital information.
* Assists in the design, planning, implementation and coordination of Quality Management, Patient Safety and Performance Improvement activities for assigned hospital and medical staff departments, committees, divisions, service lines and functions. Proactively coordinates and facilitates performance improvement teams to support key initiatives, including but not limited to, activities focused on clinical quality improvement, patient safety and risk reduction, patient experience, efficiency, FMEAS, root cause analyses and medical staff improvement (e.g. case review for peer review, OPPE, FPPE)
 \*Job Requirements\*
**Required**
* Licensed Registered Nurse, Licensed Clinical Pharmacist, or other Licensed Clinical Staff
* (3\) years clinical experience in an acute care setting
* Must be able to perform case reviews for medical staff peer review and medical and/or surgical Registry Abstraction
* One (1\) year healthcare\-related quality management/performance improvement experience (e.g., chart audit, PI team member, etc.)
* Certified Professional in Healthcare Quality (CPHQ), or Healthcare Quality and Management Certification (HCQM), or Certificate of Professional Healthcare Quality and Patient Safety (CPQPS) within 2 years of employment is required
 \*Where You'll Work\*
 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
 \[One Community. One Mission. One California ](https://youtu.be/RrPuiSnALJY?si\=pvQgPZ6ZWZM60TPV)
 \*Pay Range\*
 $57\.37 \- $85\.33 /hour</t>
        </is>
      </c>
    </row>
    <row r="167">
      <c r="A167" t="inlineStr">
        <is>
          <t>li-4362015185</t>
        </is>
      </c>
      <c r="B167" t="inlineStr">
        <is>
          <t>Marketing Operations Program Manager</t>
        </is>
      </c>
      <c r="C167" t="inlineStr">
        <is>
          <t>Schneider Electric</t>
        </is>
      </c>
      <c r="D167" t="inlineStr">
        <is>
          <t>linkedin</t>
        </is>
      </c>
      <c r="E167">
        <f>HYPERLINK("https://www.linkedin.com/jobs/view/4362015185", "https://www.linkedin.com/jobs/view/4362015185")</f>
        <v/>
      </c>
      <c r="F167" t="inlineStr"/>
      <c r="G167" t="inlineStr">
        <is>
          <t>Raleigh, NC</t>
        </is>
      </c>
      <c r="H167" t="inlineStr"/>
      <c r="I167" t="inlineStr">
        <is>
          <t>Drive innovation in product marketing and shape the future of our brand! We're seeking a dynamic Marketing Operations Program Manager in our Secure Power Division to lead strategic initiatives and create compelling market positioning that resonates with our target audience.
 The Marketing Operations Program Manager plays a critical role in how effectively our marketing strategy translates into measurable commercial impact. This role sits at the center of planning, performance, and financial governance for the Strategic and Portfolio Marketing organization.
**What will you do:** 
 Marketing Operations \&amp; Program Governance
  (
 25%)
* Own the end\-to\-end marketing operating cadence across strategic and portfolio marketing teams
* Establish and manage standardized processes for annual planning, quarterly execution, and monthly performance reviews
* Serve as the operational backbone for strategic marketing managers, enabling focus on strategy and storytelling while you ensure execution rigor
* Translate strategic priorities into executable programs, timelines, and dependencies
* Own marketing planning and execution tools such as Smartsheet, 
 Airtable
 , or similar platforms
* Design scalable project plans, workflows, and templates that reduce friction and improve visibility
* Continuously improve systems and processes to increase speed, accuracy, and accountability
* Develop and own a communications
  program to keep stakeholders informed of Marketing 
 priorities, and
  seek opportunities to collaborate across teams.
 Budget Management \&amp; Financial Discipline
  (10%)
* Own marketing budget management across portfolio and strategic campaigns, including planning, tracking, forecasting, and variance analysis
* Build and 
 maintain
  detailed budget models in Excel with clear rollups by portfolio, program, and initiative
* Partner with finance and marketing leadership to ensure spend aligns with business priorities and ROI expectations
* Introduce financial discipline by 
 identifying
  underperforming investments and reallocating budget accordingly
 Campaign \&amp; Performance Management
  (20%)
* Oversee campaign performance tracking across strategic marketing initiatives and portfolio programs
* Define and 
 maintain
  marketing performance dashboards, KPIs, and scorecards across funnel stages
* Ensure consistent measurement of pipeline contribution, engagement, and campaign effectiveness
* Identify
  performance gaps and work with marketing managers to course\-correct execution
 Portfolio Marketing Enablement
  (50%)
* Support portfolio marketing execution by coordinating campaign implementation, timelines, and cross\-functional dependencies
* Ensure portfolio programs are operationally sound, launch\-ready, and aligned to agreed success metrics
* Act as the connective tissue between portfolio strategy, campaign execution, and performance reporting
**What will make you successful:** 
 Core Capabilities
* Exceptional organizational discipline with the ability to manage complexity across multiple initiatives
* Strong analytical skills with high comfort in data, financial modeling, and performance analysis
* Ability to 
 operate
  with precision while influencing without authority
* Comfort challenging assumptions using data and facts
 Technical \&amp; Analytical Skills
* Excel 
 proficiency
  including budget models, pivot tables, and scenario analysis
* Hands\-on experience with marketing operations or project management platforms such as Smartsheet or 
 Airtable
* Ability to quickly learn new tools and systems
* Experience building dashboards and operational reporting
 Ways of Working
* Highly detail\-oriented with zero tolerance for ambiguity in execution
* Comfortable managing up, across, and through cross\-functional teams
* Able to balance strategic context with operational execution
* Bias toward simplification, clarity, and accountability
**What's
  in it for you?**
* Direct exposure to senior marketing leadership and strategic decision\-making
* Opportunity to shape how marketing 
 operates
  at scale within a global organization
* Ability to drive measurable impact across portfolio growth, pipeline performance, and ROI
* Competitive compensation, comprehensive benefits, and flexible work arrangements
* A purpose\-driven environment focused on Marketing excellence, innovation, and continuous improvement
**For this U.S. based position, the expected compensation range is $112,000\.00 \- $168,000\.00 per year, which includes base pay and short\-term incentive.**
 The compensation range for this full\-time position applies to candidates located within the United States.  Our salary ranges are determined by reviewing roles of similar responsibility and level.  Within the salary range, individual pay is determined by several factors including performance, knowledge, job\-related skills, experience, and relevant education or training.  Schneider Electric also offers a comprehensive benefits package to support our employees, inclusive of medical (with member reward points), dental, vision, and basic life insurance, Benefit Bucks (credits to apply towards your benefits) flexible work arrangements, paid family leaves, 401(k) \+ match, well\-being and recognition (including service anniversary) programs, 12 holidays per year,
 **15** 
 days of paid time off per year
 (pro\-rated in the first year of employment based on start date)
 , opportunity to purchase company stock (eligibility depends on start date), and military leave benefits.
 You must submit an online application to be considered for the position. The Company will accept applications on an ongoing basis until the position is filled.
*If you believe this job posting is not compliant with applicable state pay transparency laws in the U.S., please notify the Company as soon as possible upon discovery by completing this form* 
*Job Posting Compliance Form* 
*.* 
* 5\-8 years of experience in marketing operations, program management, or revenue operations
* Experience supporting B2B marketing organizations, preferably in complex, matrixed environments
* Exposure to portfolio marketing, integrated campaigns, or solution marketing strongly preferred
* Bachelor’s degree in marketing, business, finance, or a related field
**Let us learn about you! Apply today.**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row>
    <row r="168">
      <c r="A168" t="inlineStr">
        <is>
          <t>li-4364968891</t>
        </is>
      </c>
      <c r="B168" t="inlineStr">
        <is>
          <t>Senior Product Manager - Generative AI</t>
        </is>
      </c>
      <c r="C168" t="inlineStr">
        <is>
          <t>Uber</t>
        </is>
      </c>
      <c r="D168" t="inlineStr">
        <is>
          <t>linkedin</t>
        </is>
      </c>
      <c r="E168">
        <f>HYPERLINK("https://www.linkedin.com/jobs/view/4364968891", "https://www.linkedin.com/jobs/view/4364968891")</f>
        <v/>
      </c>
      <c r="F168">
        <f>HYPERLINK("https://tnl2.jometer.com/v2/job?jz=5wqzs275bd80b937a1a68e9ca2cabf0ee6cd0LUALBBQAAADQ&amp;iis=Job%20Board%20-%20Recruitment%20Marketing&amp;iisn=LinkedIn&amp;urlHash=l4LZ", "https://tnl2.jometer.com/v2/job?jz=5wqzs275bd80b937a1a68e9ca2cabf0ee6cd0LUALBBQAAADQ&amp;iis=Job%20Board%20-%20Recruitment%20Marketing&amp;iisn=LinkedIn&amp;urlHash=l4LZ")</f>
        <v/>
      </c>
      <c r="G168" t="inlineStr">
        <is>
          <t>Sunnyvale, CA</t>
        </is>
      </c>
      <c r="H168" t="inlineStr"/>
      <c r="I168" t="inlineStr">
        <is>
          <t>**About The Role**
 Are you an AI/ML enthusiast? Does working on Agentic AI excite you? Are you thrilled about building great user experiences? If yes, read on!
 At Uber, Generative AI is becoming a foundational technology across a diverse range of product lines. It powers increasingly intelligent and personalized user experiences in areas such as product discovery \&amp; recommendations, customer support, document processing, merchant assistance, and internal developer productivity tools like coding copilots and on\-call assistants.
 The Applied AI team at Uber is a multidisciplinary team of ML Engineers, Applied Scientists, Backend Engineers, Mobile Engineers and AI Product Managers responsible for developing compelling AI\-driven user\-facing experiences, and leading innovation in Computer Vision, Natural Language Processing, Personalization \&amp; Recommendations, and Generative AI Applications\-at global scale. We need a vision\-driven PM to turn Gen AI breakthroughs into daily delight.
**What The Candidate Will Do**
* Craft and execute bold Gen\-AI products for Riders, Eaters or Drivers.
* Translate fuzzy user pain into lovable, metric\-moving features.
* Partner with Eng/DS/Design to launch fast and iterate faster.
* Understand emerging AI trends and inject the best ideas into the roadmap.
**Basic Qualifications**
* 5\+ years of Product Management experience delivering highly technical ML products.
* Experience launching Gen AI applications or agentic systems, from initial conception to launch.
* Bachelors degree in CS/Eng. This person must be able to spar technically without blinking.
**Preferred Qualifications**
* Former experience as a ML Engineer or Data Scientist
* Data\-driven, driving clarity, collaboration, and ruthless prioritization.
* Elite written \&amp; verbal comms; mjust be mission\-aligned.
 For San Francisco, CA\-based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2026-01-21T05:43:12Z</dcterms:created>
  <dcterms:modified xsi:type="dcterms:W3CDTF">2026-01-21T05:43:12Z</dcterms:modified>
</cp:coreProperties>
</file>