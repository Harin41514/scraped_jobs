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in-e0973a346d2e995e</t>
        </is>
      </c>
      <c r="B2" t="inlineStr">
        <is>
          <t>Data Engineer</t>
        </is>
      </c>
      <c r="C2" t="inlineStr">
        <is>
          <t>Trivelta</t>
        </is>
      </c>
      <c r="D2" t="inlineStr">
        <is>
          <t>indeed</t>
        </is>
      </c>
      <c r="E2" t="inlineStr"/>
      <c r="F2" t="inlineStr"/>
      <c r="G2" t="inlineStr">
        <is>
          <t>Boston, MA, US</t>
        </is>
      </c>
      <c r="H2" s="2" t="n">
        <v>46041</v>
      </c>
      <c r="I2" t="inlineStr">
        <is>
          <t>Trivelta builds the technology that powers modern, social\-first gaming experiences. Through our proprietary sportsbook and casino engine, we enable partners to launch their own fully branded, legally compliant gaming products. We have a number of international partners already demonstrating the power of the Trivelta platform—combining real social interactions, predictive gameplay, and casino entertainment in one unified experience.
Headquartered in Boston with operations in Monterrey, Barcelona, and Atlanta, we're scaling rapidly and building a team passionate about redefining how people play, game, and connect online.
As a Data Engineer II, you will be instrumental in designing, developing, and maintaining the core data infrastructure of our platform. You will take ownership of high\-performance data pipelines, drive technical excellence in our data lake and warehouse architecture, and collaborate with cross\-functional teams to deliver scalable, secure, and reliable data solutions that support our growth and compliance needs.
Responsibilities:
* Design \&amp; Develop Data Systems — Build scalable, resilient data pipelines and downstream architectures supporting analytics, mobile, and third\-party B2B integrations.
* Optimize Performance, Security \&amp; Compliance — Enhance system performance, implement security best practices, and ensure adherence to AML, KYC, data privacy, and gaming regulations.
* Data Infrastructure \&amp; Analytics — Develop and maintain data pipelines for analytics, fraud detection, and regulatory reporting downstream of production data sources.
* Technical Ownership \&amp; Collaboration — Collaborate with stakeholders, analysts, product managers, software engineers, and DevOps teams to translate requirements into effective technical solutions.
* Operational Excellence — Participate in incident response, monitoring, and root cause analysis to ensure system stability and security.
* Mentorship \&amp; Innovation — Share knowledge with team members, promote best practices, and explore emerging technologies relevant to gaming analytics.
Qualifications:
* Proven experience in designing, building, and scaling high\-performance data systems.
* Strong expertise in Python for backend development, automation, and data processing.
* Proficiency in CI/CD processes and infrastructure automation within cloud environments.
* Experience in data pipeline architecture, analytics, and data warehouse/lake management.
* Ability to work independently on complex refactors and contribute to architectural decisions.
* Familiarity with cloud tooling (e.g., AWS), compliance (AML, KYC, data privacy), and system performance tuning.
* Excellent collaboration skills across cross\-functional teams.
This is a hybrid position with Monday through Thursday in our Boston office near South Station and the option of working remotely on Fridays.</t>
        </is>
      </c>
    </row>
    <row r="3">
      <c r="A3" t="inlineStr">
        <is>
          <t>in-7ed4d6d3ab664e16</t>
        </is>
      </c>
      <c r="B3" t="inlineStr">
        <is>
          <t>Senior Data Engineer</t>
        </is>
      </c>
      <c r="C3" t="inlineStr">
        <is>
          <t>Fetch</t>
        </is>
      </c>
      <c r="D3" t="inlineStr">
        <is>
          <t>indeed</t>
        </is>
      </c>
      <c r="E3" t="inlineStr"/>
      <c r="F3" t="inlineStr"/>
      <c r="G3" t="inlineStr">
        <is>
          <t>Madison, WI, US</t>
        </is>
      </c>
      <c r="H3" s="2" t="n">
        <v>46041</v>
      </c>
      <c r="I3" t="inlineStr">
        <is>
          <t>**What we're building and why we're building it.**
Every month, millions of people use Fetch earning rewards for buying brands they love, and a whole lot more. Whether shopping in the grocery aisle, grabbing a bite at the drive\-through or playing a favorite mobile game, Fetch empowers consumers to live rewarded throughout their day. To date, we've delivered more than $1 billion in rewards and earned more than 5 million five\-star reviews from happy users.
It's not just our users who believe in Fetch: with investments from SoftBank, Univision, and Hamilton Lane, and partnerships ranging from challenger brands to Fortune 500 companies, Fetch is reshaping how brands and consumers connect in the marketplace. When you work at Fetch, you play a vital role in a platform that drives brand loyalty and creates lifelong consumers with the power of Fetch points. User and partner success are at the heart of everything we do, and we extend that same commitment to our employees.
At Fetch, we value curiosity, adaptability, and the confidence to explore new tools, especially AI, to drive smarter, faster work. You don't need to be an expert, but you should be ready to learn quickly and think critically. We welcome learners who move fast, challenge the status quo, and shape what's next, with us. Ranked as one of America's Best Startup Employers by Forbes for two years in a row, Fetch fosters a people\-first culture rooted in trust, accountability, and innovation. We encourage our employees to challenge ideas, think bigger, and always bring the fun to Fetch.
*Fetch is an equal employment opportunity employer.*
### **Meet Fetch Engineering:**
At Fetch, our engineering philosophy emphasizes innovation, adaptability, and informed decision\-making. Our engineers thrive in complex environments, making decisions grounded in critical thinking and data, even in uncertain situations. We value proactive problem\-solving and focus on driving meaningful impact while maintaining high technical standards.
You will work alongside talented engineers across product, data, and machine learning disciplines who are dedicated to pushing the boundaries of technology and encouraging each other to grow. Fetch may not be the right fit for everyone, but if you are passionate about solving challenging problems, building scalable systems, and navigating complex data ecosystems, Fetch could be a great place for you.
### **About the Role:**
Fetch is looking for a Senior Data Engineer to join a cross\-functional product team, working closely with machine learning engineers, backend engineers, and product managers to build robust data infrastructure that powers Fetch's recommendation and audience targeting systems.
In this role, you will take ownership of critical data infrastructure components, including data transformation pipelines, real\-time event ingestion systems, and the data contracts that ensure reliability across our platforms. Your work will enable downstream services and applications to access high\-quality, low\-latency data at scale, processing terabytes of data daily.
This position requires deep technical expertise in building scalable, reliable data systems, along with strong collaboration skills to translate cross\-functional requirements into durable and well\-designed solutions.
### **What you'll do at Fetch (Role Responsibilities):**
* Design, build, and operate scalable data pipelines using batch and real\-time processing technologies such as Apache Spark, Kafka, Flink, or managed cloud streaming services to process terabytes of data daily
* Build data infrastructure that ingests real\-time events and stores them efficiently across databases, data warehouses, and data lakes within AWS
* Establish and enforce data contracts with backend engineering teams by implementing schema management, data quality checks, and monitoring to ensure pipeline reliability
* Make data accessible and consumable for operational services, analytics platforms, and data\-intensive product features, balancing latency, freshness, and accuracy requirements
* Collaborate closely with backend engineers, machine learning engineers, and product partners to understand data access patterns, system constraints, and quality expectations
* Take ownership of significant portions of the data platform architecture, driving design decisions and technical prioritization
* Develop tools, frameworks, and recommended patterns that enable rapid development of data products and consistent pipeline deployments
* Mentor engineers on data engineering best practices and raise the overall quality bar across the organization
* Stay current with emerging technologies in data processing and infrastructure, evaluating their applicability and impact on Fetch systems
### **Focus Areas by Team:**
### **Recommendation Systems Team**
In this role, you will focus on building data infrastructure that powers Fetch's recommendation systems. You will partner closely with machine learning engineers to design and implement the platforms and pipelines that enable personalized recommendations at scale.
Key areas of focus include:
* Building and maintaining feature store infrastructure to support efficient feature development, discovery, and reuse across recommendation models
* Designing and operating low\-latency feature serving systems that power real\-time recommendation APIs for both training and inference workloads
* Implementing monitoring and quality checks to ensure feature freshness, accuracy, and consistency
* Collaborating with ML engineers to understand feature access patterns, model requirements, and latency and throughput needs
### **Audiences Team**
In this role, you will focus on building data infrastructure that powers Fetch's advertising audience systems. You will work closely with backend engineers and data analysts to enable large\-scale audience analysis and export workflows.
Key areas of focus include:
* Designing, building, and maintaining stream\-processing pipelines in close collaboration with backend engineering teams
* Developing data models and storage structures that support efficient analysis and downstream exports
* Implementing monitoring, validation, and data quality controls across pipelines
* Defining and maintaining SLAs and SLOs for data availability and correctness
* Documenting data models, pipelines, and engineering conventions
* Partnering with data analysts to support analytical queries and business logic for specific audience use cases
### **In your Toolbox (Minimum Requirements):**
* 5\+ years of professional experience in data engineering, building and operating production data systems at scale
* Proven experience designing, building, and maintaining scalable batch and real\-time data pipelines capable of processing terabytes of data daily
* Hands\-on experience with modern data processing frameworks such as Apache Spark, Kafka, Flink, Open Table Formats, and modern OLAP databases
* Strong foundation in data architecture principles, including data modeling, schema design, and tradeoffs between latency, reliability, and cost
* Proficiency in at least one modern programming language such as Go, Python, Java, or Rust, along with strong SQL skills
* Experience with Infrastructure as Code tools such as Terraform or CloudFormation in a production environment
* Familiarity with CI/CD processes and modern software development lifecycle practices, with an emphasis on shipping incrementally and improving systems over time
* Experience implementing data quality controls, including validation, monitoring, and anomaly detection
* Ability to take ownership of projects with guidance, driving designs from initial architecture through implementation and adoption
* Comfort presenting technical designs, participating in peer reviews, and constructively challenging decisions
* Strong collaboration skills with experience working closely with software engineers, machine learning engineers, data analysts, and product partners
* Undergraduate or graduate degree in Computer Science, Data Science, Engineering, Mathematics, Statistics, or a related quantitative field, or equivalent practical experience
**At Fetch, we'll give you the tools to feel healthy, happy and secure through:**
* **Equity:** We offer employees equity in Fetch, so that everyone can benefit from Fetch's growth.
* **401k Match:** Dollar\-for\-dollar match up to 4%.
* **Benefits for humans and pets**: We offer comprehensive medical, dental and vision plans for everyone including your pets.
* **Continuing Education**: Fetch provides ten thousand per year in education reimbursement.
* **Employee Resource Groups**: Take part in employee\-led groups that are centered around fostering a diverse and inclusive workplace through events, dialogue and advocacy. The ERGs participate in our Inclusion Council with members of executive leadership.
* **Paid Time Off:** On top of our flexible PTO, Fetch observes 9 paid holidays, including Juneteenth and Indigenous People's Day, as well as our year\-end week\-long break.
* **Robust Leave Policies:** 20 weeks of paid parental leave for primary caregivers, 14 weeks for secondary caregivers, and a flexible return to work schedule.
* **Calvin Care Cash**: Employees who are welcoming new family members will also receive a one time $2,000 incentive to assist employees with covering the cost of childcare, clothing, diapers and much more!
* **Flexible Work Environment**: Collaborate with your team in one of our stunning offices in Madison, Birmingham, or Chicago. Or you can work fully remotely from anywhere in the US. We'll ensure you are equally equipped with the hardware and software you need to get your job done in the comfort of your home.
Fetch is an equal opportunity employer that embraces diversity, inclusion, and respect for all individuals. We do not discriminate on the basis of race, color, religion, gender, gender identity or expression, sexual orientation, age, national origin, marital status, veteran status, disability, or any other characteristic protected by applicable law. Our commitment to inclusivity ensures that everyone is treated with dignity and has the opportunity to succeed based on their talent, skills, and potential.
Fetch also provides reasonable accommodations to qualified individuals with disabilities or those with sincerely held religious beliefs, as required by law. If you need assistance with the application process or require an accommodation, please contact us at accommodations@fetch.com.
**Learn more:** **Fetch Recruitment Scam Warning****.**</t>
        </is>
      </c>
    </row>
    <row r="4">
      <c r="A4" t="inlineStr">
        <is>
          <t>in-d16dcdf6bfea60ed</t>
        </is>
      </c>
      <c r="B4" t="inlineStr">
        <is>
          <t>Leadership Program - Data Engineering &amp; Artificial Intelligence (Atlanta, GA)</t>
        </is>
      </c>
      <c r="C4" t="inlineStr">
        <is>
          <t>Acuity Inc.</t>
        </is>
      </c>
      <c r="D4" t="inlineStr">
        <is>
          <t>indeed</t>
        </is>
      </c>
      <c r="E4" t="inlineStr"/>
      <c r="F4" t="inlineStr"/>
      <c r="G4" t="inlineStr">
        <is>
          <t>Atlanta, GA, US</t>
        </is>
      </c>
      <c r="H4" s="2" t="n">
        <v>46017</v>
      </c>
      <c r="I4" t="inlineStr">
        <is>
          <t>Acuity Inc. (NYSE: AYI) is a market\-leading industrial technology company. We use technology to solve problems in spaces, light and more things to come. Through our two business segments, Acuity Brands Lighting (ABL) and Acuity Intelligent Spaces (AIS), we design, manufacture, and bring to market products and services that make a valuable difference in people’s lives.
We achieve growth through the development of innovative new products and services, including lighting, lighting controls, building management solutions, and an audio, video and control platform. We focus on customer outcomes and drive growth and productivity to increase market share and deliver superior returns. We look to aggressively deploy capital to grow the business and to enter attractive new verticals.
Acuity Inc. is based in Atlanta, Georgia, with operations across North America, Europe and Asia. The Company is powered by approximately 13,000 dedicated and talented associates. Visit us at www.acuityinc.com.
**Position Summary**
--------------------
Acuity's Leadership Program is a two\-year rotational experience that develops high\-potential early career talent into impactful professionals through hands\-on experience. LPs rotate to a different functional area every six months to build business acumen and skill proficiency. Upon graduation from the Leadership Program, participants understand how they fit into the larger company strategy and have the necessary skills to develop into a future leader at Acuity Brands.  
**This role starts employment on July 13, 2026, and will work in a hybrid role in the Atlanta, GA corporate office.**  
LPs also participate in personal growth activities to enhance business acumen, including:
* Specialized onboarding for all participants to ensure integration into the organization and program.
* One\-on\-one mentorship from an ABL Tech leader for the duration of the program (and beyond).
* Social and networking events to forge connections with peers and leaders across the business.
* Frequent opportunities to collaborate with program peers to learn about various business processes and initiatives.
* Leadership report\-out meetings to share rotational learnings and performance reviews to identify strengths and areas for growth.
As a Data Engineering LP, you’ll play a hands\-on role in advancing this vision. You’ll architect, implement, and deploy new data models \&amp; pipelines and perform data analysis to uncover insights that drive high\-impact business decisions. This is a unique opportunity to contribute to a company leading the convergence of technology, data, and sustainability —and to help shape the future of smart, connected spaces.
**Key Responsibilities**
------------------------
* **Design and Build Data Pipelines**: Assist in architecting, implementing, and deploying data pipelines and models that support Acuity’s analytics and AI initiatives using tools like Azure Data Factory, Databricks, and SQL
* **Analyze and Prepare Data**: Perform data exploration, transformation, and validation to ensure accuracy and usability for business reporting and decision\-making
* **Collaborate Across Teams**: Work closely with engineers, product managers, and data scientists to understand data needs, translate business requirements into data solutions, and support integration of ML/AI models
* **Support Data Quality and Governance**: Help monitor and maintain data quality standards, documentation, and lineage; learn and apply best practices for security, compliance, and governance (e.g., SOX, GDPR)
* **Enable Data Insights:** Contribute to building curated datasets and semantic layers that power dashboards, self\-service analytics, and predictive insights.
* **Operate and Improve Data Systems**: Support production data processes, troubleshoot issues, and assist in optimizing pipeline performance and cost efficiency
**Minimum Experience Required**
-------------------------------
* Bachelors in Computer Science, Information Science, Mathematics, or related technical field required
* Master’s degree preferred
* Knowledge of SQL, data modeling and at least one programming language (e.g., Python, C\+\+, C\#, Scala)
* Strong problem\-solving, collaboration, and communication skills
* Curious, self\-driven, analytical and excited to play with data
* Ability to thrive in a fast paced work environment
**Preferred Skills and Experience**
-----------------------------------
* Microsoft Certified: Azure Data Engineer Associate certification
* Experience with real\-time data processing (Event Hubs, Kafka, Delta Live Tables
* Azure Stream Analytics
* Exposure to MLOps or integrating ML models into data pipelines
 **The range for this position is $55,300\.00 to $99,500\.00\. Placement within this range may vary, depending on the applicant’s experience and geographic location. Acuity offers generous benefits including health care, dental coverage, vision plans, 401K benefits, and commissions/incentive compensation depending on the role. For a list of our benefits, click** **here****.**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an accommodation, you may contact us at (770\) 922\-9000\. Please clearly indicate what type of accommodation you are requesting and for what requisition.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
E\-Verify Participation Poster
e\-verify.gov
eeoc.gov</t>
        </is>
      </c>
    </row>
    <row r="5">
      <c r="A5" t="inlineStr">
        <is>
          <t>in-d3f479c7e8cf4185</t>
        </is>
      </c>
      <c r="B5" t="inlineStr">
        <is>
          <t>Sr. Data Engineer</t>
        </is>
      </c>
      <c r="C5" t="inlineStr">
        <is>
          <t>Crane Worldwide Logistics</t>
        </is>
      </c>
      <c r="D5" t="inlineStr">
        <is>
          <t>indeed</t>
        </is>
      </c>
      <c r="E5" t="inlineStr"/>
      <c r="F5" t="inlineStr"/>
      <c r="G5" t="inlineStr">
        <is>
          <t>Houston, TX, US</t>
        </is>
      </c>
      <c r="H5" s="2" t="n">
        <v>46042</v>
      </c>
      <c r="I5" t="inlineStr">
        <is>
          <t>**Essential Job Functions**
* Design and build data pipelines and platform features that work at scale
* Own projects end\-to\-end, from scoping through production deployment
* Contribute to architecture decisions and participate in design reviews
* Support production systems through on\-call rotations and incident response
* Improve monitoring, alerts, and runbooks to keep things reliable
* Collaborate across teams and share knowledge through code reviews, pairing, and documentation
* Other duties as assigned
**Other Skills \&amp; Abilities**
* Data warehouses: Snowflake, BigQuery, Redshift
* Observability: Prometheus, Grafana, Datadog, PagerDuty
* Data quality/governance tooling
* Schema management: Schema Registry, Protobuf, Avro
* Data cataloging: Datahub, Amundsen
**Physical Requirements**
* Talking, hearing and using hands to operate a computer keyboard, mouse and other computer components
* Sitting for extended periods of time
* Vision abilities required by this job include close vision and the ability to adjust focus
**Education \&amp; Experience**
* Bachelor’s degree required in a related analytical field.
* Freight Forwarding background
* minimum 7 years Business
* Analysis experience
* Languages: Python, F\# or any other language; SQL; shell scripting
* Streaming: Kafka, Redpanda, Kinesis
* Batch: dbt, Spark, Airflow Cloud: AWS, GCP, or Azure
* Databases: PostgreSQL, MySQL; familiarity with data lakes and columnar formats (Parquet, ORC)
* Infrastructure: Kubernetes, Docker, Terraform
* CI/CD: Git, GitHub, GitHub Actions
**CERTIFICATIONS AND LICENSES**
* Professional certification may be required in some areas.
**WHY SHOULD YOU WORK FOR CRANE?**
At Crane, we believe in providing our employees with excellent benefits at a Great Place to Work.
We offer:
* Quarterly Incentive Plan
* 136 hours of Paid Time Off which equals 17 days for the year, that can be used for Sick Time or for Personal Use
* Excellent Medical, Dental and Vision benefits
* Tuition Reimbursement for education related to your job
* Employee Referral Bonuses
* Employee Recognition and Rewards Program
* Paid Volunteer Time to support a cause that is close to your heart and contributes to our communities
* Employee Discounts
* Wellness Incentives that can go up to $100 per year for completing challenges, in addition to a discount on contribution rates
Come join the leader in logistics and take your career in the right direction.
Disclaimer:
The above statements are intended to describe the general nature and level of work being performed by people assigned to this position. They are not to be construed as an exhaustive list of all responsibilities, duties, and skills required of personnel so classified. All personnel may be required to perform duties outside of their normal responsibilities from time to time, as needed.
The physical demands described here are representative of those that must be met by an employee to successfully perform the essential functions of this job. Reasonable accommodations may be made to enable individuals with disabilities to perform the essential functions.
We maintain a drug\-free workplace and perform pre\-employment substance abuse testing.
This position requires the final candidate to successfully pass an E\-Verify Check.
More Information: http://www.dhs.gov/e\-verify
Company benefits are contingent upon meeting eligibility requirements and plan conditions.</t>
        </is>
      </c>
    </row>
    <row r="6">
      <c r="A6" t="inlineStr">
        <is>
          <t>in-42e1671ce25840e3</t>
        </is>
      </c>
      <c r="B6" t="inlineStr">
        <is>
          <t>AI Data Engineer / AI Automation Specialist</t>
        </is>
      </c>
      <c r="C6" t="inlineStr">
        <is>
          <t>Millis</t>
        </is>
      </c>
      <c r="D6" t="inlineStr">
        <is>
          <t>indeed</t>
        </is>
      </c>
      <c r="E6" t="inlineStr"/>
      <c r="F6" t="inlineStr"/>
      <c r="G6" t="inlineStr">
        <is>
          <t>Missouri City, TX, US</t>
        </is>
      </c>
      <c r="H6" s="2" t="n">
        <v>46042</v>
      </c>
      <c r="I6" t="inlineStr">
        <is>
          <t>**Job Summary**  
We are hiring an **AI Automation \&amp; Data Engineer** to build AI\-powered tools, data pipelines, and workflow automations across our commercial construction operations. This role combines **Microsoft Fabric, Microsoft 365, AI copilots, and automation** to drive real operational efficiency—not experiments.
You’ll work directly with leadership and department heads to turn business problems into working AI solutions.
**Key Responsibilities**
* Build data pipelines and reporting using **Microsoft Fabric \&amp; Power BI**
* Create AI copilots and automations using **Copilot Studio, Power Automate, Power Apps**
* Automate construction workflows (contracts, invoices, approvals, reporting)
* Integrate data across M365, ERP, and construction systems
* Support AI adoption, documentation, and ROI tracking
**Qualifications**
**Required:**
* 2\+ years of hands\-on experience with Microsoft Power Platform (Power Automate, Power Apps) or similar low\-code automation tools
* Demonstrated experience building solutions with Microsoft Copilot Studio or comparable AI assistant platforms
* Strong understanding of how to apply AI/LLM capabilities to real business problems
* Excellent communication skills—ability to work with non\-technical stakeholders and translate their needs into solutions
* Self\-directed learner who stays current with rapidly evolving AI tools and capabilities
* Process improvement mindset—ability to see inefficiencies and envision better ways of working
**Preferred:**
* Experience in construction, engineering, or related industries
* Familiarity with construction management software and ERP systems
* Microsoft certifications in Power Platform or AI\-related technologies
* Basic understanding of APIs and data integration concepts
Pay: $85,000\.00 \- $115,000\.00 per year
Benefits:
* 401(k)
* 401(k) matching
* Dental insurance
* Health insurance
* Health savings account
* Life insurance
* Paid time off
* Vision insurance
Application Question(s):
* How many years of AI Automation / Data Engineering experience do you have?
Experience:
* Power BI: 2 years (Preferred)
Work Location: In person</t>
        </is>
      </c>
    </row>
    <row r="7">
      <c r="A7" t="inlineStr">
        <is>
          <t>in-99d1bf8f2a3370ea</t>
        </is>
      </c>
      <c r="B7" t="inlineStr">
        <is>
          <t>Senior Data Engineer / Power BI Developer</t>
        </is>
      </c>
      <c r="C7" t="inlineStr">
        <is>
          <t>Global Information Technology</t>
        </is>
      </c>
      <c r="D7" t="inlineStr">
        <is>
          <t>indeed</t>
        </is>
      </c>
      <c r="E7" t="inlineStr"/>
      <c r="F7" t="inlineStr"/>
      <c r="G7" t="inlineStr">
        <is>
          <t>Lansing, MI, US</t>
        </is>
      </c>
      <c r="H7" s="2" t="n">
        <v>46042</v>
      </c>
      <c r="I7" t="inlineStr">
        <is>
          <t>**Job Description**
**Job Title:** **Senior Data Engineer / Power BI Developer**  
**Job Location: Remote**  
**Job Type: Contract**  
**Job Description:*** Design, develop, and maintain scalable data pipelines and ETL/ELT processes
* Build, optimize, and maintain Power BI reports, dashboards, and semantic models
* Extract, transform, and integrate data from Microsoft Dynamics 365 environments
* Write, optimize, and troubleshoot complex SQL queries and stored procedures
* Develop Python notebooks for data transformation, automation, and analysis
* Lead data migration initiatives, including planning, execution, validation, and reconciliation
* Collaborate with business stakeholders to gather requirements and translate them into technical solutions
* Ensure data quality, performance, security, and governance across analytics platforms
* Support deployment, monitoring, and optimization of data solutions in production
 **Requirement:*** 8\+ years of experience in data engineering and business intelligence
* Strong experience with Microsoft Fabric (Data Factory, Synapse, Lakehouse)
* Advanced expertise in Power BI, including DAX, Power Query, dataflows, and deployment pipelines
* Strong proficiency in SQL Server / Azure SQL, including T\-SQL and performance tuning
* Proficiency in Python, including pandas, PySpark, and notebook development
* Hands\-on experience with Dynamics 365 data structures and integration patterns
* Proven experience with data migration methodologies and validation techniques
**Preferred Qualifications:**
* Experience with the Azure Data Services ecosystem
* Strong knowledge of data modeling, data warehousing, and dimensional design
* Experience with version control and CI/CD pipelines for data and BI projects
* Familiarity with data governance, security, and compliance best practices
**Interested candidates can send their updated resumes at jobs@global\-itech.com**</t>
        </is>
      </c>
    </row>
    <row r="8">
      <c r="A8" t="inlineStr">
        <is>
          <t>in-221d0337dc7338fc</t>
        </is>
      </c>
      <c r="B8" t="inlineStr">
        <is>
          <t>Senior Data Engineer - Streaming</t>
        </is>
      </c>
      <c r="C8" t="inlineStr">
        <is>
          <t>HCA Healthcare</t>
        </is>
      </c>
      <c r="D8" t="inlineStr">
        <is>
          <t>indeed</t>
        </is>
      </c>
      <c r="E8" t="inlineStr"/>
      <c r="F8" t="inlineStr"/>
      <c r="G8" t="inlineStr">
        <is>
          <t>Nashville, TN, US</t>
        </is>
      </c>
      <c r="H8" s="2" t="n">
        <v>46041</v>
      </c>
      <c r="I8" t="inlineStr">
        <is>
          <t>##### **Introduction**
Experience the HCA Healthcare difference where colleagues are trusted, valued members of our healthcare team. Grow your career with an organization committed to delivering respectful, compassionate care, and where the unique and intrinsic worth of each individual is recognized. Submit your application for the opportunity below:Senior Data Engineer \- StreamingHCA Healthcare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 Senior Data Engineer \- Streaming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 **Job Summary and Qualifications**
The Senior Data Engineer serves as a primary development resource for design, build, implementation, and support of ITG Data Management enterprise application initiatives. The role requires working closely with data teams, frequently in a matrixed environment as part of a broader project team. As a senior\-level position the role requires ‘self\-starters’ who are proficient in problem solving and capable of bringing clarity to complex situations. The culture of the organization places an emphasis on teamwork, so social and interpersonal skills are equally important as technical capability. Due to the emerging and fast\-evolving nature of Big Data/GCP technology and practice, the position requires that one stay well\-informed of technological advancements and be proficient at putting new innovations into effective practice.  
In addition, this candidate will have a history of increasing responsibility in a small multi\-role team. This position requires a candidate who can analyze business requirements, perform design tasks, construct, test, and implement solutions with minimal supervision. This candidate will have a record of accomplishment of participation in successful projects in a fast\-paced, mixed team (consultant and employee) environment. In addition, the applicant must be willing to mentor other developers to prepare them for assuming the responsibilities. **What you will do:**
**Core Competencies**
The following are highlighted entrepreneurial competencies and core expectations for the job/role:
* Communication and interpersonal skills
* Problem\-solving and critical thinking skills.
* Understand strategic imperatives.
* Technology \&amp; business knowledge
This role will provide application development for specific business environments. Focus on setting technical direction on groups of applications and similar technologies as well as taking responsibility for technically robust solutions encompassing all business, architecture, and technology constraints.
* Responsible for building and supporting a GCP based ecosystem designed for enterprise\-wide analysis of structured, semi\-structured, and unstructured data.
* Build streaming/batch data pipelines, and systems to access and process data.
* Implement and test data pipelines.
* Build analytics on raw data.
* Troubleshoot data issues.
* Communicate with other teams to identify and solve problems.
* Set coding standards and perform code reviews.
* Mentor junior developers.
* Experience with microservices, and modern software patterns using containerized environment (i.e., Kubernetes) or serverless compute services.
* Make sure service levels are maintained, and any interruption is resolved in a timely fashion.
* Closely collaborates with team members to successfully execute development initiatives using Agile practices and principles.
* Collaborates with business analysts, project lead, management, and customers on requirements.
* Participates in the deployment, change, configuration, management, administration and maintenance of deployment process and systems.
* Proven experience effectively prioritizing workload to meet deadlines and work objectives.
* Gather requirements, designs, constructs, and delivers solutions with minimal team interaction.
* Works in an environment with rapidly changing business requirements and priorities
* Bring new data sources into GCP, transform and load to BQ and databases.
* Work collaboratively with Data Scientists and business and IT leaders throughout the company to understand Data needs and use cases. :
 **What qualifications you will need:**
* Bachelor's degree in computer science, related technical field, or equivalent experience
* Master's degree in computer science or related field preferred
* 3\+ years of experience in Data Engineer required
* 1\+ year(s) of experience in Healthcare preferred
* 5\+ years of experience in Information Technology required
* Good understanding of best practices and standards for GCP Data process design and implementation.
* Two Years of hands\-on experience with GCP platform (AWS or Azure are acceptable, too) and experience with many of the following components: Cloud Run, GKE, Cloud Functions, Spark Streaming, Kafka, Pub/Sub, Bigtable, Firestore, Cloud SQL, Cloud Spanner, JSON, Avro, Parquet, Python, Java, Terraform, Big Query, Dataflow, Data Fusion, Cloud Composer, DataProc, CI/CD, Cloud Logging, Vertex AI, NLP, GitHub
* Ability to multitask and to balance competing priorities.
* Ability to define and utilize best practice techniques and to impose order in a fast\-changing environment.
* Strong problem\-solving skills.
* Strong verbal, written, and interpersonal skills, including a desire to work within a highly matrixed, team\-oriented environment.
* Experience in Healthcare Domain preferred
* Hardware/Operating Systems: GCP, Distributed, highly scalable processing environments, Linux, UNIX
* Demonstrates an empathetic and growth mindset with a willingness to learn new skills, technologies, and methodologies \- Required
* Growing knowledge of public cloud best practices and design patterns used in creating, automating, and supporting data pipelines \- Required
* Ability to assemble large, complex sets of data that meet functional and non\-functional product requirements \- Required
* Helps create and use analytical tools to monitor data pipeline metrics and provide actionable intelligence to increase operational efficiency and valuable data outcomes \- Required
* Ability to use source control management tools such as Git/GitHub \- Required
* Ability to use CI/CD automation tools \- Required
* Understanding of SQL and analytical data warehouses\- Required
* Understanding of Agile methodologies and how to apply Agile within the team \- Required
* Proven ability to complete work, make sound decisions, and plan and accomplish goals with direction/guidance from leadership \- Required
* Builds and nurtures healthy relationships with all colleagues \- Required
* Stays abreast of public cloud technologies, capabilities, and industry use of public cloud to help guide HCA’s strategy and adoption \- Required
PHYSICAL DEMANDS/WORKING CONDITIONS
* Prolonged sitting or standing at computer workstation including use of mouse, keyboard, and monitor.
* Requires ability to provide after\-hours support.
Work Location/Schedule:
* Nashville, TN area (near Centennial Park)
* Hybrid: 2 days a week onsite
Travel Required:
Less than 25%
"There is so much good to do in the world and so many different ways to do it."\- Dr. Thomas Frist, Sr.  
HCA Healthcare Co\-Founder  
If you find this opportunity compelling, we encourage you to apply for our Senior Data Engineer \- Streaming opening. We promptly review all applications. Highly qualified candidates will be directly contacted by a member of our team. **We are interviewing \- apply today!**
*We are an equal opportunity employer. We do not discriminate on the basis of race, religion, color, national origin, gender, sexual orientation, age, marital status, veteran status, or disability status.*</t>
        </is>
      </c>
    </row>
    <row r="9">
      <c r="A9" t="inlineStr">
        <is>
          <t>in-29757b51413c90f5</t>
        </is>
      </c>
      <c r="B9" t="inlineStr">
        <is>
          <t>Data Engineer</t>
        </is>
      </c>
      <c r="C9" t="inlineStr">
        <is>
          <t>Teza Technologies</t>
        </is>
      </c>
      <c r="D9" t="inlineStr">
        <is>
          <t>indeed</t>
        </is>
      </c>
      <c r="E9" t="inlineStr"/>
      <c r="F9" t="inlineStr"/>
      <c r="G9" t="inlineStr">
        <is>
          <t>Chicago, IL, US</t>
        </is>
      </c>
      <c r="H9" s="2" t="n">
        <v>46041</v>
      </c>
      <c r="I9" t="inlineStr">
        <is>
          <t>**About the role**
Teza Technologies is looking for Data Engineers to join our data team. Data drives systematic trading and is critical to all aspects of the firm's business.
This is a hands\-on position on a small team of data engineers with growth potential, as this team will grow rapidly over the next couple of years. The firm is looking for outstanding technical skills, strong attention to detail, and experience architecting and building data platforms.
 **Location**  
Yerevan, Armenia / London, UK / Chicago, US (Hybrid mode with 3 days in\-office requirement)
 **Responsibilities**
* Work directly with Portfolio Managers and Quantitative Developers to translate business requirements into technical solutions; be a resource to explain dataset details and nuances.
* Expand our data warehouse by designing and adding new sources and functionality; improve robustness, speed and scalability of our systems; manage data entitlements
* Provide innovative data management, analytics and technology input to the team and management.
* Evaluate new tools and technologies suitable for organizing, querying and streaming large datasets.
* Design and build automated systems for data cleansing, anomaly detection, monitoring and alerting.
* Support our production data warehouse as required.
* Develop and maintain strong vendor relationships aligned with our business objectives.
 **Basic Requirements**
* Proficiency in Python and Unix/Linux for data manipulation, scripting, and automation.
* Strong SQL knowledge and familiarity with NoSQL databases (ideally Postgres and MongoDB), including query optimization and performance tuning.
* Strong understanding of data modeling principles, including both normalization and denormalization techniques.
* Familiarity with cloud platforms, e.g. AWS or GCP
* Experience with Git version control, collaborative workflows (e.g., Github), and understanding of CI/CD best practices.
* Bachelor’s degree in Computer Science, Information Technology or related field.
 **Nice to have Requirements**
* Financial industry internships / experience are a plus.
* Experience with Java recommended.
* Experience with on\-premises data infrastructure (e.g., Hadoop)
* Experience with Apache Airflow or similar workflow orchestration tools.
* An understanding of best practices for data modeling, including data normalization techniques.
* Master’s degree in Computer Science, Information Technology, Data Science or related field.
 **Benefits**
* Health, visual and dental insurance
* Flexible sick time policy</t>
        </is>
      </c>
    </row>
    <row r="10">
      <c r="A10" t="inlineStr">
        <is>
          <t>in-4bc1c996fdd2e7df</t>
        </is>
      </c>
      <c r="B10" t="inlineStr">
        <is>
          <t>Data Engineer, Denied Party Screening, AWS Compliance &amp; Security Assurance</t>
        </is>
      </c>
      <c r="C10" t="inlineStr">
        <is>
          <t>Amazon.com</t>
        </is>
      </c>
      <c r="D10" t="inlineStr">
        <is>
          <t>indeed</t>
        </is>
      </c>
      <c r="E10" t="inlineStr"/>
      <c r="F10" t="inlineStr"/>
      <c r="G10" t="inlineStr">
        <is>
          <t>Seattle, WA, US</t>
        </is>
      </c>
      <c r="H10" s="2" t="n">
        <v>46029</v>
      </c>
      <c r="I10"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1">
      <c r="A11" t="inlineStr">
        <is>
          <t>in-867186bd03c75558</t>
        </is>
      </c>
      <c r="B11" t="inlineStr">
        <is>
          <t>Data Engineer, Denied Party Screening, AWS Compliance &amp; Security Assurance</t>
        </is>
      </c>
      <c r="C11" t="inlineStr">
        <is>
          <t>Amazon.com</t>
        </is>
      </c>
      <c r="D11" t="inlineStr">
        <is>
          <t>indeed</t>
        </is>
      </c>
      <c r="E11" t="inlineStr"/>
      <c r="F11" t="inlineStr"/>
      <c r="G11" t="inlineStr">
        <is>
          <t>Dallas, TX, US</t>
        </is>
      </c>
      <c r="H11" s="2" t="n">
        <v>46029</v>
      </c>
      <c r="I11"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2">
      <c r="A12" t="inlineStr">
        <is>
          <t>in-989e2f9314cea12a</t>
        </is>
      </c>
      <c r="B12" t="inlineStr">
        <is>
          <t>Data Engineer</t>
        </is>
      </c>
      <c r="C12" t="inlineStr">
        <is>
          <t>Amazon.com</t>
        </is>
      </c>
      <c r="D12" t="inlineStr">
        <is>
          <t>indeed</t>
        </is>
      </c>
      <c r="E12" t="inlineStr"/>
      <c r="F12" t="inlineStr"/>
      <c r="G12" t="inlineStr">
        <is>
          <t>San Francisco, CA, US</t>
        </is>
      </c>
      <c r="H12" s="2" t="n">
        <v>46001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in-e231124135233c9f</t>
        </is>
      </c>
      <c r="B13" t="inlineStr">
        <is>
          <t>Data Engineer</t>
        </is>
      </c>
      <c r="C13" t="inlineStr">
        <is>
          <t>Amazon.com</t>
        </is>
      </c>
      <c r="D13" t="inlineStr">
        <is>
          <t>indeed</t>
        </is>
      </c>
      <c r="E13" t="inlineStr"/>
      <c r="F13" t="inlineStr"/>
      <c r="G13" t="inlineStr">
        <is>
          <t>Seattle, WA, US</t>
        </is>
      </c>
      <c r="H13" s="2" t="n">
        <v>46001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in-c28f6a6eeb08b633</t>
        </is>
      </c>
      <c r="B14" t="inlineStr">
        <is>
          <t>Delivery Consultant - Data Engineer, Data and Machine Learning, WWPS US Federal</t>
        </is>
      </c>
      <c r="C14" t="inlineStr">
        <is>
          <t>Amazon Web Services</t>
        </is>
      </c>
      <c r="D14" t="inlineStr">
        <is>
          <t>indeed</t>
        </is>
      </c>
      <c r="E14" t="inlineStr"/>
      <c r="F14" t="inlineStr"/>
      <c r="G14" t="inlineStr">
        <is>
          <t>Herndon, VA, US</t>
        </is>
      </c>
      <c r="H14" s="2" t="n">
        <v>45991</v>
      </c>
      <c r="I14"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in-e85d70b667057658</t>
        </is>
      </c>
      <c r="B15" t="inlineStr">
        <is>
          <t>Delivery Consultant - Data Engineer, Data and Machine Learning, WWPS US Federal</t>
        </is>
      </c>
      <c r="C15" t="inlineStr">
        <is>
          <t>Amazon Web Services</t>
        </is>
      </c>
      <c r="D15" t="inlineStr">
        <is>
          <t>indeed</t>
        </is>
      </c>
      <c r="E15" t="inlineStr"/>
      <c r="F15" t="inlineStr"/>
      <c r="G15" t="inlineStr">
        <is>
          <t>Arlington, VA, US</t>
        </is>
      </c>
      <c r="H15" s="2" t="n">
        <v>45991</v>
      </c>
      <c r="I1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in-bb75ff1e52ccc861</t>
        </is>
      </c>
      <c r="B16" t="inlineStr">
        <is>
          <t>Data Engineer</t>
        </is>
      </c>
      <c r="C16" t="inlineStr">
        <is>
          <t>Continuum Media Network Inc</t>
        </is>
      </c>
      <c r="D16" t="inlineStr">
        <is>
          <t>indeed</t>
        </is>
      </c>
      <c r="E16">
        <f>HYPERLINK("https://www.indeed.com/viewjob?jk=bb75ff1e52ccc861", "https://www.indeed.com/viewjob?jk=bb75ff1e52ccc861")</f>
        <v/>
      </c>
      <c r="F16">
        <f>HYPERLINK("https://recruiting.paylocity.com/recruiting/jobs/Details/3855856/Continuum-Media-Network-Inc/Data-Engineer?source=Indeed_Feed", "https://recruiting.paylocity.com/recruiting/jobs/Details/3855856/Continuum-Media-Network-Inc/Data-Engineer?source=Indeed_Feed")</f>
        <v/>
      </c>
      <c r="G16" t="inlineStr">
        <is>
          <t>Denver, CO, US</t>
        </is>
      </c>
      <c r="H16" s="3" t="n">
        <v>46042</v>
      </c>
      <c r="I16" t="inlineStr">
        <is>
          <t>Description:  
**Full\-time**
**Salary:** 105K – 110K
**Location:** Denver CO/Hybrid
**Who we are:**
Continuum Media is a national advertising platform specializing in providing solutions for brands to access and measure large sources of hard to reach television ad impressions. Headquartered in Denver with offices in New York City, Chicago, and the U.K., we are building a workplace where teammates, the company, and our clients can thrive. The degree to which we collectively succeed is predicated upon respect, trust, safety, transparency and personal accountability. We encourage camaraderie, laughter and an open\-minded and curious workplace, while holding all employees to the highest professional and ethical standards. Talent runs deep, but character even deeper. Each office has its own unique character(s). We’re spread out across time zones, even
countries, but that doesn’t mean we don’t have a common sense of commitment.
**The BI Team:**
The Business Intelligence team is a team of 8 highly collaborative, pragmatic, analytical individuals. We’re full\-lifecycle data engineers \- each team member owns solutions end\-to\-end, from design through deployment to validation, eliminating single points of failure and ensuring seamlessness when delivering on the day\-to\-day and long\-term projects alike, gaining the knowledge of not just specific functionalities, but all within the department. Whether it is creating and managing visualizations in our reporting platform for our customers to utilize on the front\-end, engineering ETLs regarding numerous, disparate data sources feeding our dashboards and other data assets on the back\-end, or supporting our operational teams with custom data processes, you will have a hand in the entirety of the BI platform!
You will report directly to a Lead Data Engineer and work closely with the Director of Data and COO to understand business needs and deliver data solutions that drive decision\-making across the organization and move our product forward.
**Responsibilities:**
* Engineer and own robust, scalable ETLs for cleaning and ingesting datasets
* Build and maintain dashboards for use by internal stakeholders and external clients
* Analyze and validate data assets, ensuring accuracy and reliability
* Automate, modularize, and improve existing data ingestions while contributing to orchestration pipelines and expanding data quality assurance
* Significantly improve and expand the company’s cloud\-based, data platform
* Implement and/or refine CI/CD, IaC, automated testing, agile, and reporting strategies for the department that can scale
* Gather requirements from external clients and internal stakeholders and translate them into actionable bodies of work for the BI team
* Collaborate with software developers and data scientists to deliver cross\-departmental solutions
* Communicate new features and lead trainings for internal users
* Foster and embrace a healthy culture of collaboration and feedback, strengthening the team’s agile roots
Requirements:
**Require Experience:**
1\-3 years with:
* BI platform development and/or data engineering
* Scripting and programming in Python
* SQL\-based databases (Redshift, Athena, SQL Server, MySQL, etc.)
* One cloud computing service (AWS, GCP, Azure, etc.)
* Git version control (Bitbucket, GitHub, etc.)
* Automated tests as a core part of development workflow (unit, integration, etc.)
* Data visualization tools (Tableau, QuickSight, Power BI, etc.)
* Working within an agile framework (Kanban, Scrum, etc.)
**Preferred Experience:**
1\-2 years with:
* IaC tools (CloudFormation, CDK, Terraform, etc.)
* Building and maintaining CI/CD pipelines (Bitbucket Pipelines, Jenkins, GitHub Actions, etc.)
* Containerization technologies (Docker, ECS, etc.)
**What we offer:**
We provide employees with an environment in which they can develop their skills and grow as individuals within our team. We do this by providing training opportunities, conference attendance, and subscriptions to online courses. Our aim is that you will think of a role at Continuum Media as more than a salary and more than just a job. To demonstrate this to employees, we provide:
* 100% employer\-paid premiums for medical, vision, dental, and disability insurance
* Participation in employee profit\-sharing bonuses (subject to company performance)
* Unlimited PTO
* Life Insurance, EAP, HSA with employer contribution, Pet Insurance option
* Vacation Incentive Program
* Hybrid In\-Office/Remote Work Schedule
* 5% 401K company match
* Continued education/career growth financial support
* Annual paid volunteer day</t>
        </is>
      </c>
    </row>
    <row r="17">
      <c r="A17" t="inlineStr">
        <is>
          <t>in-98797d0c38b15a80</t>
        </is>
      </c>
      <c r="B17" t="inlineStr">
        <is>
          <t>AWS Data Engineer-5</t>
        </is>
      </c>
      <c r="C17" t="inlineStr">
        <is>
          <t>Realign</t>
        </is>
      </c>
      <c r="D17" t="inlineStr">
        <is>
          <t>indeed</t>
        </is>
      </c>
      <c r="E17">
        <f>HYPERLINK("https://www.indeed.com/viewjob?jk=98797d0c38b15a80", "https://www.indeed.com/viewjob?jk=98797d0c38b15a80")</f>
        <v/>
      </c>
      <c r="F17">
        <f>HYPERLINK("https://realign-llc.com/careers/job-details/IT80916AW-5", "https://realign-llc.com/careers/job-details/IT80916AW-5")</f>
        <v/>
      </c>
      <c r="G17" t="inlineStr">
        <is>
          <t>New York, NY, US</t>
        </is>
      </c>
      <c r="H17" s="3" t="n">
        <v>46042</v>
      </c>
      <c r="I17" t="inlineStr">
        <is>
          <t>Job Type: Contract
Job Category: IT
Job Description
**Role\- AWS Data Engineer****Location\- Austin Tx, Fort Mill or NY – hybrid****Contract** **Visa\- USC \&amp; GC****Job Description**
Architect and implement data pipelines using AWS Glue for ETL processes.
Design event\-driven workflows using AWS Lambda and Step Functions.
Ensure high availability, scalability, and performance of data solutions.
Develop and maintain infrastructure using **Terraform** for AWS resources.
Implement CI/CD pipelines for automated deployments.
Optimize data ingestion, transformation, and storage strategies.
Ensure data quality, governance, and compliance with security standards.
Lead and mentor a team of data engineers.
Collaborate with cross\-functional teams including Data Scientists, Architects, and DevOps.
Implement monitoring and alerting for data workflows.
Continuously optimize cost and performance of AWS services.
Required Skills
DEVOPS ENGINEER
 SENIOR EMAIL SECURITY ENGINEER</t>
        </is>
      </c>
    </row>
    <row r="18">
      <c r="A18" t="inlineStr">
        <is>
          <t>in-9c672c3c3c752c1b</t>
        </is>
      </c>
      <c r="B18" t="inlineStr">
        <is>
          <t>Data Engineer</t>
        </is>
      </c>
      <c r="C18" t="inlineStr">
        <is>
          <t>Strider Technologies</t>
        </is>
      </c>
      <c r="D18" t="inlineStr">
        <is>
          <t>indeed</t>
        </is>
      </c>
      <c r="E18">
        <f>HYPERLINK("https://www.indeed.com/viewjob?jk=9c672c3c3c752c1b", "https://www.indeed.com/viewjob?jk=9c672c3c3c752c1b")</f>
        <v/>
      </c>
      <c r="F18">
        <f>HYPERLINK("https://jobs.ashbyhq.com/strider-technologies/e83c3ac2-ac31-4a58-95ba-9ca58c9bd30e", "https://jobs.ashbyhq.com/strider-technologies/e83c3ac2-ac31-4a58-95ba-9ca58c9bd30e")</f>
        <v/>
      </c>
      <c r="G18" t="inlineStr">
        <is>
          <t>South Jordan, UT, US</t>
        </is>
      </c>
      <c r="H18" s="3" t="n">
        <v>46041</v>
      </c>
      <c r="I18" t="inlineStr">
        <is>
          <t>Location
South Jordan, UT
Employment Type
Full time
Location Type
Hybrid
Department
Finance
Overview
Strider Technologies delivers strategic intelligence that helps organizations make faster, more confident decisions in an increasingly complex global environment. Using cutting\-edge AI and proprietary methodologies, we transform open\-source data into actionable insights that help protect technology, talent, and supply chains from nation\-state risks.**About the Role**
Strider Technologies is building its first internal data platform — and we’re looking for a Data Engineer to help design, implement, and scale it. You’ll work alongside the Director of Analytics to establish core data infrastructure, pipelines, and integrations that power analytics, business intelligence, and data science across the company.
This is a foundational role: you’ll be a key builder and early technical voice in how data is engineered, modeled, and served to business users. As our first Data Engineer, you’ll help us set standards for data governance, reliability, and performance, while also mentoring future team members as we grow.
**Key Responsibilities**
* Design, implement, and maintain scalable data pipelines (ETL/ELT) in a modern cloud data warehouse (e.g., Databricks, Snowflake, BigQuery, or Redshift).
* Ingest, transform, and integrate internal system data (e.g., CRM, product, finance) and external vendor datasets.
* Prepare and process structured and unstructured data to support analytics, business intelligence, and automation use cases.
* Model and optimize datasets using Lakehouse or warehouse\-based architectures for downstream consumption.
* Collaborate closely with analysts and cross\-functional partners to build production\-grade data assets.
* Champion and implement best practices for data quality, observability, and lineage.
* Partner with cloud infrastructure teams (AWS, Azure, or GCP) to ensure scalable, secure, and cost\-efficient systems.
* Explore and deploy AI\-enabled automation tools and workflows across the business.
* Advocate for productivity\-boosting technologies such as ChatGPT, Copilot, Cursor, and dbt\-assist.
* Help document standards, develop reusable components, and mentor junior data engineers.
**Key Qualifications**
* 5\+ years of experience in data engineering or analytics engineering roles.
* Strong proficiency with SQL and Python (or Scala).
* Hands\-on experience with modern cloud data warehouses (Databricks, Snowflake, BigQuery, or Redshift).
* Familiarity with tools in the modern data stack (e.g., dbt, Airflow, Fivetran, Dagster).
* Proven ability to manage and transform large, complex datasets across structured and unstructured formats.
* Solid understanding of data warehousing concepts, dimensional modeling, and Git\-based version control.
* Experience leveraging AI\-assisted development tools and enthusiasm for scaling their use internally.
* Comfortable working in fast\-paced environments and collaborating across technical and non\-technical teams.
**Why Join This Team**
* This is a greenfield opportunity to shape the future of Strider’s internal data ecosystem.
* You’ll work cross\-functionally with leaders across the company, gaining visibility and accelerating your career.
* Join a mission\-driven organization focused on protecting innovation and economic security.
* Help build a modern, AI\-empowered analytics practice from the ground up.
* Enjoy a flexible, hybrid work environment that values autonomy, innovation, and collaboration.
**Benefits**
* Competitive Compensation
* Company Equity Options
* Flexible PTO
* Wellness Reimbursement
* US Holidays (Office Closed)
* Paid Parental Leave
* Comprehensive Medical, Dental, and Vision Insurance
* 401(k) Plan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t>
        </is>
      </c>
    </row>
    <row r="19">
      <c r="A19" t="inlineStr">
        <is>
          <t>in-c21698058f43aa8e</t>
        </is>
      </c>
      <c r="B19" t="inlineStr">
        <is>
          <t>Senior Data Engineer - Online</t>
        </is>
      </c>
      <c r="C19" t="inlineStr">
        <is>
          <t>Zoom Communications</t>
        </is>
      </c>
      <c r="D19" t="inlineStr">
        <is>
          <t>indeed</t>
        </is>
      </c>
      <c r="E19">
        <f>HYPERLINK("https://www.indeed.com/viewjob?jk=c21698058f43aa8e", "https://www.indeed.com/viewjob?jk=c21698058f43aa8e")</f>
        <v/>
      </c>
      <c r="F19">
        <f>HYPERLINK("https://careers.zoom.us/jobs/senior-data-engineer-online-san-jose-california-united-states-seattle-washington", "https://careers.zoom.us/jobs/senior-data-engineer-online-san-jose-california-united-states-seattle-washington")</f>
        <v/>
      </c>
      <c r="G19" t="inlineStr">
        <is>
          <t>San Jose, CA, US</t>
        </is>
      </c>
      <c r="H19" s="3" t="n">
        <v>46041</v>
      </c>
      <c r="I19" t="inlineStr">
        <is>
          <t>Senior Data Engineer – Online
What you can expect
We are seeking a Senior Data Engineer to build and scale a modern data platform supporting product analytics, lifecycle marketing, ecommerce insights, and machine learning pipelines in a SaaS environment. The role requires solid hands\-on experience with cloud data stacks and close collaboration with product, marketing, and ML teams.  
The work includes a mix of new pipeline development and the maintenance and evolution of long\-lived pipelines, with a strong emphasis on correctness, stability, and thoughtful iteration. You’ll operate in areas where data issues can directly affect product workflows or customer experiences, making high data quality, proactive monitoring, and operational rigor essential.
About the Team
The Online Data team owns the data foundations that support online product experiences, lifecycle marketing, and revenue analytics. Our domain includes workflows that directly affect product operations and customer interactions, not just reporting.  
We work primarily in Snowflake ,Databricks , DBT, with Airflow\-based orchestration, and place a solid emphasis on proper dimensional modeling, consistent business definitions, and clearly defined ownership boundaries. The team values engineer who take a long\-term view of data systems and help raise the bar through thoughtful design, code reviews, and shared standards.
Responsibilities
* Designing, building, and maintaining scalable data pipelines using Airflow, Spark, and Databricks, including ML pipelines for feature engineering, training, and inference
* Developing ELT workflows and analytics\-ready data models with dbt, architecting and optimizing Snowflake schemas for performance and cost
* Building and managing pipelines for product telemetry and event\-based data (users, sessions, events), supporting ecommerce metrics such as orders, subscriptions, revenue, and LTV
* Enabling lifecycle marketing analytics (acquisition, activation, retention, churn) with reliable, high\-quality data
* Ensuring data quality, reliability, monitoring, and cost optimization across the data platform
* Collaborating with Product, Marketing, Analytics, and ML teams, mentoring junior engineers, and contributing to data architecture decisions
What we’re looking for
* Possess experience with Snowflake, dbt, Apache Airflow, solid SQL, and data modeling, working with Apache Spark / PySpark and Databricks
* Handle event\-driven, telemetry, and product analytics data, including ecommerce data models and SaaS business metrics (MRR, ARR, churn, retention)
* Apply workflow orchestration, monitoring, data quality best practices, and using data observability tools
* Build and maintain machine learning model pipelines and supports lifecycle marketing analytics
* Operate across cloud platforms (AWS, Azure, GCP) and implementing CI/CD for data pipelines
* Leverage streaming platforms such as Kafka and Kinesis
Salary Range or On Target Earnings:
Minimum:
$98,900\.00
Maximum:
$228,700\.00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04/01/26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20">
      <c r="A20" t="inlineStr">
        <is>
          <t>in-3a1e50b687404940</t>
        </is>
      </c>
      <c r="B20" t="inlineStr">
        <is>
          <t>Data Platform Engineer - AI Development</t>
        </is>
      </c>
      <c r="C20" t="inlineStr">
        <is>
          <t>The Hartford</t>
        </is>
      </c>
      <c r="D20" t="inlineStr">
        <is>
          <t>indeed</t>
        </is>
      </c>
      <c r="E20">
        <f>HYPERLINK("https://www.indeed.com/viewjob?jk=3a1e50b687404940", "https://www.indeed.com/viewjob?jk=3a1e50b687404940")</f>
        <v/>
      </c>
      <c r="F20">
        <f>HYPERLINK("https://click.appcast.io/t/vh89IDB-bA8UxEgLzsO0rCGMcw1w1XnCeiMrm2HC1ck=", "https://click.appcast.io/t/vh89IDB-bA8UxEgLzsO0rCGMcw1w1XnCeiMrm2HC1ck=")</f>
        <v/>
      </c>
      <c r="G20" t="inlineStr">
        <is>
          <t>Charlotte, NC, US</t>
        </is>
      </c>
      <c r="H20" s="3" t="n">
        <v>46041</v>
      </c>
      <c r="I20"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**Data Platform Engineer (** to design, build, and maintain **agentic AI systems** that automate and accelerate the creation of enterprise Data Products. This role blends modern data engineering with emerging AI agent technologies to enable end‑to‑end automation across our data lifecycle.
You will join the Enterprise Data Engineering organization and work closely with architects, AI engineers, and platform teams to shape the next generation of Data Product automation at The Hartford.
This role will have a Hybrid work schedule, with the expectation of working in an office (Columbus, OH, Chicago, IL, Hartford, CT or Charlotte, NC) 3 days a week (Tuesday through Thursday). Candidates who do not live near an office will have a remote work arrangement, with the expectation of coming into an office as business needs arise.
**What You’ll Do**
* Build, deploy, and operate **agentic AI systems** that assist in Data Product development from inception through production.
* Collaborate with Data Engineering, Architecture, and AI teams to define patterns, guardrails, and reusable services.
* Ensure systems are reliable, observable, secure, and compliant with enterprise governance standards.
* Support and maintain existing AI agents and automation tools in production.
* Contribute to Data Platform Engineering standards and reference architectures
**What You Bring**
* 2\+ years of experience in **data engineering, data platforms, or distributed systems**.
* Hands‑on experience developing production‑grade **AI agents**, automation systems, or generative AI‑powered applications.
* Strong proficiency in Python, SQL, and modern data engineering frameworks.
* Experience with cloud‑native data platforms and services (GCP preferred).
* Experience with IDMC and Snowflake data platforms.
* Expertise in building and operating ETL/ELT pipelines, orchestration, and metadata‑driven systems.
* Knowledge of CI/CD, containerization, and DevOps patterns.
* Strong problem‑solving skills and the ability to collaborate across engineering, AI, and platform teams.
* Ability to influence architecture and system design at
**Nice to Have**
* Experience with MCP, and/or custom agent frameworks.
* Familiarity with vector databases, embeddings, or retrieval frameworks.
* Experience building Data Products or supporting data architectures.
* Prior work with monitoring/observability for AI systems.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
About Us \| Our Culture \| What It’s Like to Work Here \| Perks \&amp; Benefits</t>
        </is>
      </c>
    </row>
    <row r="21">
      <c r="A21" t="inlineStr">
        <is>
          <t>in-186b105a385f0da3</t>
        </is>
      </c>
      <c r="B21" t="inlineStr">
        <is>
          <t>Data Platform Engineer - AI Development</t>
        </is>
      </c>
      <c r="C21" t="inlineStr">
        <is>
          <t>The Hartford</t>
        </is>
      </c>
      <c r="D21" t="inlineStr">
        <is>
          <t>indeed</t>
        </is>
      </c>
      <c r="E21">
        <f>HYPERLINK("https://www.indeed.com/viewjob?jk=186b105a385f0da3", "https://www.indeed.com/viewjob?jk=186b105a385f0da3")</f>
        <v/>
      </c>
      <c r="F21">
        <f>HYPERLINK("https://click.appcast.io/t/k3XvK39irGRtTB2_5cKJFYav-fp81URPj4XtN-1sJw0=", "https://click.appcast.io/t/k3XvK39irGRtTB2_5cKJFYav-fp81URPj4XtN-1sJw0=")</f>
        <v/>
      </c>
      <c r="G21" t="inlineStr">
        <is>
          <t>Columbus, OH, US</t>
        </is>
      </c>
      <c r="H21" s="3" t="n">
        <v>46041</v>
      </c>
      <c r="I21"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**Data Platform Engineer (** to design, build, and maintain **agentic AI systems** that automate and accelerate the creation of enterprise Data Products. This role blends modern data engineering with emerging AI agent technologies to enable end‑to‑end automation across our data lifecycle.
You will join the Enterprise Data Engineering organization and work closely with architects, AI engineers, and platform teams to shape the next generation of Data Product automation at The Hartford.
This role will have a Hybrid work schedule, with the expectation of working in an office (Columbus, OH, Chicago, IL, Hartford, CT or Charlotte, NC) 3 days a week (Tuesday through Thursday). Candidates who do not live near an office will have a remote work arrangement, with the expectation of coming into an office as business needs arise.
**What You’ll Do**
* Build, deploy, and operate **agentic AI systems** that assist in Data Product development from inception through production.
* Collaborate with Data Engineering, Architecture, and AI teams to define patterns, guardrails, and reusable services.
* Ensure systems are reliable, observable, secure, and compliant with enterprise governance standards.
* Support and maintain existing AI agents and automation tools in production.
* Contribute to Data Platform Engineering standards and reference architectures
**What You Bring**
* 2\+ years of experience in **data engineering, data platforms, or distributed systems**.
* Hands‑on experience developing production‑grade **AI agents**, automation systems, or generative AI‑powered applications.
* Strong proficiency in Python, SQL, and modern data engineering frameworks.
* Experience with cloud‑native data platforms and services (GCP preferred).
* Experience with IDMC and Snowflake data platforms.
* Expertise in building and operating ETL/ELT pipelines, orchestration, and metadata‑driven systems.
* Knowledge of CI/CD, containerization, and DevOps patterns.
* Strong problem‑solving skills and the ability to collaborate across engineering, AI, and platform teams.
* Ability to influence architecture and system design at
**Nice to Have**
* Experience with MCP, and/or custom agent frameworks.
* Familiarity with vector databases, embeddings, or retrieval frameworks.
* Experience building Data Products or supporting data architectures.
* Prior work with monitoring/observability for AI systems.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
About Us \| Our Culture \| What It’s Like to Work Here \| Perks \&amp; Benefits</t>
        </is>
      </c>
    </row>
    <row r="22">
      <c r="A22" t="inlineStr">
        <is>
          <t>in-5861b901bf7d8f64</t>
        </is>
      </c>
      <c r="B22" t="inlineStr">
        <is>
          <t>Data Platform Engineer - AI Development</t>
        </is>
      </c>
      <c r="C22" t="inlineStr">
        <is>
          <t>The Hartford</t>
        </is>
      </c>
      <c r="D22" t="inlineStr">
        <is>
          <t>indeed</t>
        </is>
      </c>
      <c r="E22">
        <f>HYPERLINK("https://www.indeed.com/viewjob?jk=5861b901bf7d8f64", "https://www.indeed.com/viewjob?jk=5861b901bf7d8f64")</f>
        <v/>
      </c>
      <c r="F22">
        <f>HYPERLINK("https://click.appcast.io/t/sgTjm77kZnKbfz16QMbX_ADu6HuOg3XObRpsHRJmmlI=", "https://click.appcast.io/t/sgTjm77kZnKbfz16QMbX_ADu6HuOg3XObRpsHRJmmlI=")</f>
        <v/>
      </c>
      <c r="G22" t="inlineStr">
        <is>
          <t>Chicago, IL, US</t>
        </is>
      </c>
      <c r="H22" s="3" t="n">
        <v>46041</v>
      </c>
      <c r="I22"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**Data Platform Engineer (** to design, build, and maintain **agentic AI systems** that automate and accelerate the creation of enterprise Data Products. This role blends modern data engineering with emerging AI agent technologies to enable end‑to‑end automation across our data lifecycle.
You will join the Enterprise Data Engineering organization and work closely with architects, AI engineers, and platform teams to shape the next generation of Data Product automation at The Hartford.
This role will have a Hybrid work schedule, with the expectation of working in an office (Columbus, OH, Chicago, IL, Hartford, CT or Charlotte, NC) 3 days a week (Tuesday through Thursday). Candidates who do not live near an office will have a remote work arrangement, with the expectation of coming into an office as business needs arise.
**What You’ll Do**
* Build, deploy, and operate **agentic AI systems** that assist in Data Product development from inception through production.
* Collaborate with Data Engineering, Architecture, and AI teams to define patterns, guardrails, and reusable services.
* Ensure systems are reliable, observable, secure, and compliant with enterprise governance standards.
* Support and maintain existing AI agents and automation tools in production.
* Contribute to Data Platform Engineering standards and reference architectures
**What You Bring**
* 2\+ years of experience in **data engineering, data platforms, or distributed systems**.
* Hands‑on experience developing production‑grade **AI agents**, automation systems, or generative AI‑powered applications.
* Strong proficiency in Python, SQL, and modern data engineering frameworks.
* Experience with cloud‑native data platforms and services (GCP preferred).
* Experience with IDMC and Snowflake data platforms.
* Expertise in building and operating ETL/ELT pipelines, orchestration, and metadata‑driven systems.
* Knowledge of CI/CD, containerization, and DevOps patterns.
* Strong problem‑solving skills and the ability to collaborate across engineering, AI, and platform teams.
* Ability to influence architecture and system design at
**Nice to Have**
* Experience with MCP, and/or custom agent frameworks.
* Familiarity with vector databases, embeddings, or retrieval frameworks.
* Experience building Data Products or supporting data architectures.
* Prior work with monitoring/observability for AI systems.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
About Us \| Our Culture \| What It’s Like to Work Here \| Perks \&amp; Benefits</t>
        </is>
      </c>
    </row>
    <row r="23">
      <c r="A23" t="inlineStr">
        <is>
          <t>in-3498ddd5113dfbf0</t>
        </is>
      </c>
      <c r="B23" t="inlineStr">
        <is>
          <t>Data Platform Engineer - AI Development</t>
        </is>
      </c>
      <c r="C23" t="inlineStr">
        <is>
          <t>The Hartford</t>
        </is>
      </c>
      <c r="D23" t="inlineStr">
        <is>
          <t>indeed</t>
        </is>
      </c>
      <c r="E23">
        <f>HYPERLINK("https://www.indeed.com/viewjob?jk=3498ddd5113dfbf0", "https://www.indeed.com/viewjob?jk=3498ddd5113dfbf0")</f>
        <v/>
      </c>
      <c r="F23">
        <f>HYPERLINK("https://click.appcast.io/t/fbXzXmetqOBX4P9btS3ydOT4t8lTIbnv1_nKciL3XsQ=", "https://click.appcast.io/t/fbXzXmetqOBX4P9btS3ydOT4t8lTIbnv1_nKciL3XsQ=")</f>
        <v/>
      </c>
      <c r="G23" t="inlineStr">
        <is>
          <t>Hartford, CT, US</t>
        </is>
      </c>
      <c r="H23" s="3" t="n">
        <v>46041</v>
      </c>
      <c r="I23"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**Data Platform Engineer (** to design, build, and maintain **agentic AI systems** that automate and accelerate the creation of enterprise Data Products. This role blends modern data engineering with emerging AI agent technologies to enable end‑to‑end automation across our data lifecycle.
You will join the Enterprise Data Engineering organization and work closely with architects, AI engineers, and platform teams to shape the next generation of Data Product automation at The Hartford.
This role will have a Hybrid work schedule, with the expectation of working in an office (Columbus, OH, Chicago, IL, Hartford, CT or Charlotte, NC) 3 days a week (Tuesday through Thursday). Candidates who do not live near an office will have a remote work arrangement, with the expectation of coming into an office as business needs arise.
**What You’ll Do**
* Build, deploy, and operate **agentic AI systems** that assist in Data Product development from inception through production.
* Collaborate with Data Engineering, Architecture, and AI teams to define patterns, guardrails, and reusable services.
* Ensure systems are reliable, observable, secure, and compliant with enterprise governance standards.
* Support and maintain existing AI agents and automation tools in production.
* Contribute to Data Platform Engineering standards and reference architectures
**What You Bring**
* 2\+ years of experience in **data engineering, data platforms, or distributed systems**.
* Hands‑on experience developing production‑grade **AI agents**, automation systems, or generative AI‑powered applications.
* Strong proficiency in Python, SQL, and modern data engineering frameworks.
* Experience with cloud‑native data platforms and services (GCP preferred).
* Experience with IDMC and Snowflake data platforms.
* Expertise in building and operating ETL/ELT pipelines, orchestration, and metadata‑driven systems.
* Knowledge of CI/CD, containerization, and DevOps patterns.
* Strong problem‑solving skills and the ability to collaborate across engineering, AI, and platform teams.
* Ability to influence architecture and system design at
**Nice to Have**
* Experience with MCP, and/or custom agent frameworks.
* Familiarity with vector databases, embeddings, or retrieval frameworks.
* Experience building Data Products or supporting data architectures.
* Prior work with monitoring/observability for AI systems.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
About Us \| Our Culture \| What It’s Like to Work Here \| Perks \&amp; Benefits</t>
        </is>
      </c>
    </row>
    <row r="24">
      <c r="A24" t="inlineStr">
        <is>
          <t>in-e1a6129169017a8f</t>
        </is>
      </c>
      <c r="B24" t="inlineStr">
        <is>
          <t>AI Data Engineer, State Auditor Appointed</t>
        </is>
      </c>
      <c r="C24" t="inlineStr">
        <is>
          <t>State of Utah</t>
        </is>
      </c>
      <c r="D24" t="inlineStr">
        <is>
          <t>indeed</t>
        </is>
      </c>
      <c r="E24">
        <f>HYPERLINK("https://www.indeed.com/viewjob?jk=e1a6129169017a8f", "https://www.indeed.com/viewjob?jk=e1a6129169017a8f")</f>
        <v/>
      </c>
      <c r="F24">
        <f>HYPERLINK("https://www.governmentjobs.com/careers/utah/jobs/5205183/ai-data-engineer-state-auditor-appointed", "https://www.governmentjobs.com/careers/utah/jobs/5205183/ai-data-engineer-state-auditor-appointed")</f>
        <v/>
      </c>
      <c r="G24" t="inlineStr">
        <is>
          <t>UT, US</t>
        </is>
      </c>
      <c r="H24" s="3" t="n">
        <v>46041</v>
      </c>
      <c r="I24" t="inlineStr">
        <is>
          <t>The incumbent will provide assistance and advanced knowledge in both developing and maintaining cloud infrastructure that enables large\-scale document processing with cloud native and customized machine learning models. The incumbent will work with full\-stack developers to integrate a mix of unstructured financial documents (PDFs, Word Documents, CSVs/Excel workbooks, and images) into a cohesive AI processing pipeline and database. The incumbent will also develop a variety of customized agents and optimized prompts that are applied through the processing pipeline.
**Responsibilities**
--------------------
* Maintains the successful operation of production AI pipelines and databases
* Writing code in various software programming languages to interact with databases and information systems.
* Communicating information and ideas clearly and concisely, in writing, reading, and understanding information presented in writing.
* Works independently to execute projects or investigations as assigned.
* Other tasks as assigned.
* Establishing and maintaining effective work relationships with employees, representatives of governments, and the public.
**Qualifications**
------------------
* **Python** \- 4 years minimum
	+ Flask and microservice architecture \- at least one year
	+ Experience with GCP AI Client libraries (such as VertexAI, DocAI, etc.) \- at least one year
* **Linux OS and CLI** \- Know how to use CLIs and develop in Linux OS environments (ssh/remote).
* **SQL** – 4 years (Google SQL and Big Query Preferred)
* **Docker** – 1 year.
* **Continuous Integration/ Continuous Deployment** \- GitHub \+ Google Cloud Build Preferred.
* **LLM Engine Serving** \- vLLM, LM Studio, Ollama, llama.cpp, llamastack etc.
* **Experience evaluating model transformers and whether there are safe tensors**.
* **Experience building, storing, and interfacing with vector embeddings stored in RAG Vector databases**
* **Strong understanding of Cloud computing, storage, and database fundamentals**. Google Cloud Platform preferred.
* This position requires a four\-year college degree or equivalent experience in computing, computer science, statistics, mathematics, or a related field.
**Supplemental Information**
----------------------------
**Working Location:** Hybrid. This position offers primarily remote work opportunities, with occasional office attendance required for staff meetings or presentations to key stakeholders.
**Start Date**: As soon as possible
The Office of the State Auditor participates in E\-Verify.
The Office of the State Auditor is an equal opportunity employer. Hiring is done without regard to race, color, religion, national origin, sex, sexual orientation, gender identity, age, or disability. In compliance with the Americans with Disabilities Act, the Office of the State Auditor provides reasonable accommodation to individuals with disabilities. For accommodation information or if you need an accommodation to complete the application process, please contact Mandy Teerlink at 801\-538\-1363\.
The Office of the Utah State Auditor is required to participate in E\-Verify. Applicants must be able to successfully pass the required background check. This is an at\-will (career service exempt) position. Incumbents placed in this title are appointed, non\-classified, exempt from 67\-19\-12, and are required to be placed in a position schedule of AC (Employees in Offices of Elected Officials).</t>
        </is>
      </c>
    </row>
    <row r="25">
      <c r="A25" t="inlineStr">
        <is>
          <t>in-11398788ca7eaec5</t>
        </is>
      </c>
      <c r="B25" t="inlineStr">
        <is>
          <t>Principal Data Engineer</t>
        </is>
      </c>
      <c r="C25" t="inlineStr">
        <is>
          <t>Consumer Cellular</t>
        </is>
      </c>
      <c r="D25" t="inlineStr">
        <is>
          <t>indeed</t>
        </is>
      </c>
      <c r="E25">
        <f>HYPERLINK("https://www.indeed.com/viewjob?jk=11398788ca7eaec5", "https://www.indeed.com/viewjob?jk=11398788ca7eaec5")</f>
        <v/>
      </c>
      <c r="F25">
        <f>HYPERLINK("https://aa328.taleo.net/careersection/corpex/jobdetail.ftl?job=260039&amp;tz=GMT-06%3A00&amp;tzname=America%2FChicago", "https://aa328.taleo.net/careersection/corpex/jobdetail.ftl?job=260039&amp;tz=GMT-06%3A00&amp;tzname=America%2FChicago")</f>
        <v/>
      </c>
      <c r="G25" t="inlineStr">
        <is>
          <t>Scottsdale, AZ, US</t>
        </is>
      </c>
      <c r="H25" s="3" t="n">
        <v>46041</v>
      </c>
      <c r="I25" t="inlineStr">
        <is>
          <t>Principal Data Engineer (260039\)**Position Information**  
Consumer Cellular is seeking skilled **Principal Data Engineers** who thrive in a highly collaborative, agile team environment. Engineers at Consumer Cellular design elegant technical solutions for complex product requirements, deliver high quality code as part of a fast\-moving agile team, and own the stability and quality of their domain. We would love to hear from talented engineers who share our passion for leveraging the latest technology to provide a best\-in\-class experience to our customers.
**You will need to reside within 50 miles of our Corporate Headquarters in Scottsdale, AZ as this role has the option of hybrid or onsite.**
**Responsibilities**
* Collaborate with fellow data engineering and cross\-functional data teams to build and deliver custom enterprise data warehousing and database applications.
* Accurately estimate tasks, bugs, and spikes in your domain.
* Develop software that meets code quality standards and metrics.
* Build productive internal/external working relationships.
* Effectively manage risk, change, and uncertainty with support from your leader and peers.
* Build a solid understanding of inter\-team functional data dependencies and navigate appropriate communication channels for solving issues as they arise.
* Design and implement new features while continuously improving quality of technical data products and database applications.
* Act as a technical expert and engineer on an agile squad.
* Create and execute long term vision of technical data products and database applications.
* Drive the architectural solutions across data warehousing and database applications.
* Develop and Lead communities of practice by mentoring engineers, creating, and enforcing standards, reviewing others code, and sharing knowledge and know\-hows.
* Remain current on new cloud data solutions, design patterns, products, and development trends.
* Assist with problem resolution for customers and end users.
* Other duties, as maybe assigned.
 **Skills and Experience**
* Expert knowledge of data engineering, database solution design, solid principles of data modeling.
* Experience 10\+ years in data engineering and database technologies
* Expert in developing reusable common component data artifacts.
* Expert with Data Engineering and Cloud products
* Expert in various Data Engineering Methodologies
* Expert in data security best practices
* Expert in data accessibility best practices
* Strong problem solving and collaboration skills
* Excellent verbal and written communication skills
* Strong Team Player
* Bachelor’s degree in Computer Science/Information Systems or comparable.
 **Technology Requirements**
* Required:
	+ Expert in SQL and Enterprise Data Warehousing
	+ Expert in Azure or similar cloud technologies
	+ Proficient in building out ELT (Extract Load Transform) solutions
	+ Proficient in SQL Server, Azure Synapse or similar.
	+ Proficient in writing SQL Queries
* Preferred:
	+ Knowledge of one or more modern database design and Reporting Data frameworks such as ELT, ETL or similar.
	+ Git HUB – Enterprise or similar
	+ Cloud Technologies – Azure Resources for Data Engineering
 **Physical Demands \&amp; Work Environment**  
The physical demands and work environment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and walk. Specific vision abilities required by this job include close vision, distance vision, color vision, peripheral vision, depth perception and ability to adjust focus.  
The noise level in the work environment is usually moderate.
 **Disclaimer**  
The above statements are intended to describe the general nature and level of work performed and not to be construed as an exhaustive list of all responsibilities, duties, and skills required of personnel assigned to this job. All personnel may be required to perform duties outside of their normal responsibilities from time to time, as needed.
 **About Consumer Cellular**  
Founded in 1995, Consumer Cellular is the first wireless provider unapologetically built for Americans 50\+. An approved wireless partner of AARP, Consumer Cellular is trusted by more than 4 million subscribers for affordable plans, popular phones and devices, and great nationwide coverage, all backed by top\-rated, 100% U.S. based customer support. Based in Scottsdale, AZ, with 3,000 employees in company locations throughout the U.S., Consumer Cellular has earned recognition as the most awarded wireless brand for customer service. The company has been honored as \#1 in customer service in its industry numerous times and, in 2024, ranked \#1 in network coverage and customer satisfaction among wireless carriers by American Customer Satisfaction Index (ACSI). Additionally, the company has been featured 12 times on the Inc. 5000 list of the fastest\-growing privately held U.S. companies. Consumer Cellular phones, devices and plans are available nationwide through more than 50 company\-owned neighborhood stores, online at ConsumerCellular.com, by telephone at (888\) 345\-5509, and at leading retailers including Target and Walmart. Connect with Consumer Cellular on Facebook, Instagram, and Youtube. for tutorials, features, applications, and company news.
 **Pay \&amp; Benefits Data (in accordance with the Equal Pay and Opportunities Act)**
* Minimum Salary:$138,600
* Maximum Salary:$200,550
This information reflects the anticipated base salary range for this position based on current national data. Minimums and maximums may vary based on location. Individual pay is based on skills, experience and other relevant factors. Our Talent Acquisition team are able to answer any additional questions you may have as you move through the selection process. As part of our Total Rewards package, Consumer Cellular, Inc. offers a broad range of Health, Life, Voluntary Lifestyle and other benefits and perks that enhance your physical, mental, and emotional wellbeing.
* Competitive base pay with potential for shift differential, overtime and bonus pay
* Medical insurance (98% company\-paid for full\-time employee only coverage)
* Dental and Vision insurance (100% company\-paid for full\-time employee only coverage)
* 401(k) company match of 100% up to 6% of your pay
* Discounted Consumer Cellular wireless phone plan for employees
* Paid Time Off (PTO) available following a 30\-day waiting period\*
* 6 company\-paid holidays plus 16 hours of floating holiday accrual per year
* Flexible Spending Accounts (FSA) for health care and dependent care expenses
* Life and AD\&amp;D insurance equal to 1x your annual earnings (100% company\-paid)
* Long\-Term Disability insurance (100% company\-paid)
* Employee Assistance Program (100% company\-paid)
* Education reimbursement
* Employee rewards program
* *Accrue up to 40 hours in 1st year for hourly positions and up to 120 hours for salaried positions.*
 **Pre\-employment background check and drug screen is required.**
Primary Location: United States\-Arizona\-Scottsdale 9363 E Bahia Dr 9363 E Bahia Dr Scottsdale 85260
Job: Information Technology
Schedule: Full\-time
Travel: No
Job Posting: Jan 20, 2026
Unposting Date: Feb 3, 2026</t>
        </is>
      </c>
    </row>
    <row r="26">
      <c r="A26" t="inlineStr">
        <is>
          <t>in-250648bb7a93724a</t>
        </is>
      </c>
      <c r="B26" t="inlineStr">
        <is>
          <t>Senior Data Engineer</t>
        </is>
      </c>
      <c r="C26" t="inlineStr">
        <is>
          <t>UST</t>
        </is>
      </c>
      <c r="D26" t="inlineStr">
        <is>
          <t>indeed</t>
        </is>
      </c>
      <c r="E26">
        <f>HYPERLINK("https://www.indeed.com/viewjob?jk=250648bb7a93724a", "https://www.indeed.com/viewjob?jk=250648bb7a93724a")</f>
        <v/>
      </c>
      <c r="F26">
        <f>HYPERLINK("https://usource.ripplehire.com/candidate/?token=xHQWoFn4C242POo7xMpH&amp;source=CAREERSITE#detail/job/51201", "https://usource.ripplehire.com/candidate/?token=xHQWoFn4C242POo7xMpH&amp;source=CAREERSITE#detail/job/51201")</f>
        <v/>
      </c>
      <c r="G26" t="inlineStr">
        <is>
          <t>San Jose, CA, US</t>
        </is>
      </c>
      <c r="H26" s="3" t="n">
        <v>46041</v>
      </c>
      <c r="I26" t="inlineStr">
        <is>
          <t>1 Opening
San Jose  
### **Role description**
**Senior Data Engineer**
**Lead I \- Data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You will be responsible for creating and maintaining optimal data pipeline architecture. Gathering large and complex datasets that meet business, functional, and non\-functional requirements.
**The opportunity:**
* Identifying, designing, and implementing internal process improvements: auditing the root causes of problems, indicating improvements to components or applications, and proposing better models for recurring issues.
* Creating analytics tools that utilize the data pipeline to provide actionable insights into customer acquisition, operational efficiency, and other key business performance metrics.
* Working with stakeholders, including executive, product, and data consumer teams, to assist with data\-related technical issues and support their data consumption needs.
* Working with data and analytics experts to strive for greater functionality in our data systems.
This position description identifies the responsibilities and tasks typically associated with the performance of the position. Other relevant essential functions may be required.
**What you need****:**
* Minimum of 4 years of experience as a Data Engineer, degree in computer science, statistics, information systems, or a related field.
* Advanced knowledge of SQL and experience working with relational and non\-relational databases, as well as familiarity with a variety of databases.
* Experience in creating and optimizing data pipelines, architectures, and big data sets.
* Experience performing root cause analysis on internal and external data and processes to answer specific business questions and identify opportunities for improvement.
* Experience and analytical skills related to working with unstructured data sets.
* Experience managing message queues, flow processing, and highly scalable data warehouses.
* Experience supporting and working with cross\-functional teams in a dynamic environment.
* Solid experience using software tools such as Haddop, Spark, Kafka, etc.
* Experience with SQL and NoSQL relational models
* Experience with Azure Cloud and services such as Cosmos DB, Azure Data Lake, and Azure SQL
* Experience managing streaming processing systems like Storm and Spark Streaming
* Experience with object\-oriented languages such as Python, Scala, C\+\+, Java, and Go Experience with Continuous Integration/Continuous Delivery (CI/CD)
* Experience managing software containers and automation using Docker/Kubernetes and Ansible/Puppet
* Experience using data flow and extraction tools such as Airflow and BigQuery
* Experience with agile frameworks
* English B1\-B2
**Benefits**
Employees receive eleven (11\) paid holidays, two (2\) weeks of paid vacation per year, and are eligible for health, dental, disability and life insurance.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**An Equal Opportunity Workplace, Free of Discrimination and Harassment**
At UST, we strive to provide a work environment free of discrimination and harassment. We are an equal opportunity employer and employment decisions are based on merit and business needs. Our Human Rights Policy further illustrates our stand on this. We are committed to following fair employment practices that provide equal opportunities to all employees. We do not discriminate or allow harassment on the basis of race, color, religion, disability, gender, national origin, sexual orientation, gender identity, gender expression, age, genetic information, military status, or any other legally protected status. At UST, we value diversity and believe that a diverse workplace builds a competitive advantage.
**Un lugar de trabajo con igualdad de oportunidades y libre de discriminación y acoso**
En UST, nos esforzamos por proporcionar un ambiente de trabajo libre de discriminación y acoso. Somos un empleador que ofrece igualdad de oportunidades y basa las decisiones de empleo en los méritos y las necesidades del negocio. Estamos comprometidos a seguir prácticas de empleo justas que brinden igualdad de oportunidades a todos los empleados. No discriminamos ni permitimos el acoso por motivos de raza, color, religión, discapacidad, género, origen nacional, orientación sexual, identidad de género, expresión de género, edad, información genética, estado militar o cualquier otro estado legalmente protegido. En UST, valoramos la diversidad y creemos que un lugar de trabajo diverso construye una ventaja competitiva.
UST reserves the right to periodically redefine your roles and responsibilities based on the requirements of the organization and/or your performance.
\#UST  
\#LI\-YH1
### **Skills**
data engineering,sql,big data,data transformation,metadata
###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is>
      </c>
    </row>
    <row r="27">
      <c r="A27" t="inlineStr">
        <is>
          <t>in-791bdc8c5a4a81aa</t>
        </is>
      </c>
      <c r="B27" t="inlineStr">
        <is>
          <t>Data Engineer</t>
        </is>
      </c>
      <c r="C27" t="inlineStr">
        <is>
          <t>Cisco</t>
        </is>
      </c>
      <c r="D27" t="inlineStr">
        <is>
          <t>indeed</t>
        </is>
      </c>
      <c r="E27">
        <f>HYPERLINK("https://www.indeed.com/viewjob?jk=791bdc8c5a4a81aa", "https://www.indeed.com/viewjob?jk=791bdc8c5a4a81aa")</f>
        <v/>
      </c>
      <c r="F27">
        <f>HYPERLINK("https://careers.cisco.com/global/en/job/1448720", "https://careers.cisco.com/global/en/job/1448720")</f>
        <v/>
      </c>
      <c r="G27" t="inlineStr">
        <is>
          <t>Research Triangle Park, NC, US</t>
        </is>
      </c>
      <c r="H27" s="3" t="n">
        <v>46041</v>
      </c>
      <c r="I27" t="inlineStr">
        <is>
          <t>**The application window is expected to close on:** 12/05/2025\.
Job posting may be removed earlier if the position is filled or if a sufficient number of applications are received.
**Meet the Team:**  
When you work with us as a Data Engineer, you will be part of the Cisco Enterprise Data Engineering\- a highly collaborative Cisco IT Organization passionate about the use of technology\&amp; AI to deliver Business Outcomes. This team drives the creation and continuous improvement of a secure, scalable enterprise data foundation layer that delivers high\-quality, governed, and integrated data to empower smarter analytics and better decision\-making across Cisco.
**Your Impact:**  
We are seeking a skilled Data Engineer to develop, build, and optimize data pipelines and architectures using cloud data warehouse technologies. You will collaborate with cross\-functional teams to deliver high\-quality, scalable data solutions supporting business analytics and decision\-making. This role offers the opportunity to work with ground breaking cloud technologies and directly influence critical business decisions through robust data solutions.
**Responsibilities:**  
* Develop, test, and maintain ETL/ELT processes for ingesting, transforming, and delivering data.
* Develop and lead data models, schema, and data warehousing solutions on cloud platforms (e.g., Snowflake, BigQuery, Redshift, or Azure Synapse).
* Implement standard processes for data engineering, including automation, version control, CI/CD, and data quality monitoring.
* Collaborate with data analysts, data scientists, and business partners to understand data needs.
* Ensure data security, privacy, and compliance with relevant regulations.
**Minimum Qualifications:**  
* Bachelor’s degree in computer science, Engineering, or related field.
* 5\+ years of professional experience as a Data Engineer.
* Hands\-on expertise with at least one major cloud data warehouse technology (Snowflake, BigQuery, or Azure Synapse).
* Proficient in SQL and at least one programming language (Python preferred).
* Experience with modern data pipelines, orchestration frameworks (e.g., Airflow, dbt), and ETL/ELT tools.
**Preferred Qualifications:**  
* Strong understanding of data modeling, data architecture, and data governance.
* Familiarity with version control (Git) and CI/CD processes.
* Experience with streaming data technologies (Kafka, Kinesis) is a plus.
* Familiarity with Gen AI coding agents is desirable.
* Excellent problem\-solving and communication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8">
      <c r="A28" t="inlineStr">
        <is>
          <t>in-32815f4c1184d730</t>
        </is>
      </c>
      <c r="B28" t="inlineStr">
        <is>
          <t>Sr. Director, Data Engineering</t>
        </is>
      </c>
      <c r="C28" t="inlineStr">
        <is>
          <t>Information Technology Senior Management Forum</t>
        </is>
      </c>
      <c r="D28" t="inlineStr">
        <is>
          <t>indeed</t>
        </is>
      </c>
      <c r="E28">
        <f>HYPERLINK("https://www.indeed.com/viewjob?jk=32815f4c1184d730", "https://www.indeed.com/viewjob?jk=32815f4c1184d730")</f>
        <v/>
      </c>
      <c r="F28">
        <f>HYPERLINK("https://jobs.itsmfleaders.org/job/bpnp3e/sr-director-data-engineering/mclean/va", "https://jobs.itsmfleaders.org/job/bpnp3e/sr-director-data-engineering/mclean/va")</f>
        <v/>
      </c>
      <c r="G28" t="inlineStr">
        <is>
          <t>McLean, VA, US</t>
        </is>
      </c>
      <c r="H28" s="3" t="n">
        <v>46041</v>
      </c>
      <c r="I28" t="inlineStr">
        <is>
          <t>Posted Date
1/20/2026
Description
Sr. Director, Data Engineering
Capital One is seeking a Sr. Director, Data Engineering to work in our CORE (Cloud Operations and Resilience) organization to build a robust data foundation that enables us to drive insights efficiently and effectively. You will spearhead the strategy to modernize our architecture through the delivery of scalable data products, leveraging AI and creative technologies to automate hygiene and governance. Your goal is to eliminate the manual wrangling traditionally required by our technologists, shifting their focus from data discovery to rapid insight generation.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Sr. Directors Are:**
* Technologists: Strong engineering and technology background with the ability to learn quickly and go deep into our product and engineering solutions \- will have a DevOps mindset
* Effective Communicators: Excellent listener; proven collaborator with senior leaders, peers and staff
* Partnership Attitude: Have the competencies to build very strong partnerships with other technology leaders that enable your team's ability to stay on the leading edge of industry solutions
* Curious: Hands\-on, "roll up your sleeves" collaborative style of working
* Passionate: Bring energy and enthusiasm to the job and organization
* Bold: History of taking smart, calculated risks and aggressively leading through change
* Achievers: Consistently attain/exceed individual and team goals
**You Will:**
* Lead, manage, and grow multiple teams of product focused software engineers, data engineers, and Data Scientists
* Embrace and incubate emerging technology and open\-source products across all platforms
* Work to modernize our existing tech stacks and data platforms
* Collaborate with internal teams to find areas of opportunities for automation and machine learning
* Partner with architects, product owners, data professionals, and software \&amp; data engineers to drive the implementation of new applications
* Work within and across Agile teams to design, develop, test, implement and support technical solutions across full\-stack development tools and technologies
* Lead efforts to deploy new and existing applications into AWS environments and provide operational support for the applications
* Conduct design and code review to ensure compliance with standards
**Basic Qualifications:**
* Bachelor’s Degree
* At least 9 years of experience in software engineering or data engineering
* At least 7 years of people management experience
* At least 3 years of experience with Big Data and data streaming
* At least 3 years of experience with cloud\-based data platforms (Amazon Web Services, Microsoft Azure, Google Cloud Platform)
**Preferred Qualifications:**
* 10\+ years of experience in software engineering or data engineering
* 5\+ years of experience in Data Governance, Data Governance Platforms, Data Standardization, and Data Modeling
* 3\+ years experience creating and maturing a Data Architecture function
* 3\+ years of experience with Data Lake Infrastructure, Data Warehousing, and Data Analytics tools
* 3\+ years of experience with AWS
* Bachelor's degree in a related technical field (Computer Science, Software Engineering, Data Science)
* MBA or Master’s Degree in a related technical field (Computer Science, Software Engineering, Data Science) or equivalent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Dir, Data Engineering  
Plano, TX: $286,200 \- $326,700 for Sr. Dir, Data Engineering  
Richmond, VA: $286,200 \- $326,700 for Sr. Dir,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Director, Data Engineering
Capital One is seeking a Sr. Director, Data Engineering to work in our CORE (Cloud Operations and Resilience) organization to build a robust data foundation that enables us to drive insights efficiently and effectively. You will spearhead the strategy to modernize our architecture through the delivery of scalable data products, leveraging AI and creative technologies to automate hygiene and governance. Your goal is to eliminate the manual wrangling traditionally required by our technologists, shifting their focus from data discovery to rapid insight generation.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Sr. Directors Are:**
* Technologists: Strong engineering and technology background with the ability to learn quickly and go deep into our product and engineering solutions \- will have a DevOps mindset
* Effective Communicators: Excellent listener; proven collaborator with senior leaders, peers and staff
* Partnership Attitude: Have the competencies to build very strong partnerships with other technology leaders that enable your team's ability to stay on the leading edge of industry solutions
* Curious: Hands\-on, "roll up your sleeves" collaborative style of working
* Passionate: Bring energy and enthusiasm to the job and organization
* Bold: History of taking smart, calculated risks and aggressively leading through change
* Achievers: Consistently attain/exceed individual and team goals
**You Will:**
* Lead, manage, and grow multiple teams of product focused software engineers, data engineers, and Data Scientists
* Embrace and incubate emerging technology and open\-source products across all platforms
* Work to modernize our existing tech stacks and data platforms
* Collaborate with internal teams to find areas of opportunities for automation and machine learning
* Partner with architects, product owners, data professionals, and software \&amp; data engineers to drive the implementation of new applications
* Work within and across Agile teams to design, develop, test, implement and support technical solutions across full\-stack development tools and technologies
* Lead efforts to deploy new and existing applications into AWS environments and provide operational support for the applications
* Conduct design and code review to ensure compliance with standards
**Basic Qualifications:**
* Bachelor’s Degree
* At least 9 years of experience in software engineering or data engineering
* At least 7 years of people management experience
* At least 3 years of experience with Big Data and data streaming
* At least 3 years of experience with cloud\-based data platforms (Amazon Web Services, Microsoft Azure, Google Cloud Platform)
**Preferred Qualifications:**
* 10\+ years of experience in software engineering or data engineering
* 5\+ years of experience in Data Governance, Data Governance Platforms, Data Standardization, and Data Modeling
* 3\+ years experience creating and maturing a Data Architecture function
* 3\+ years of experience with Data Lake Infrastructure, Data Warehousing, and Data Analytics tools
* 3\+ years of experience with AWS
* Bachelor's degree in a related technical field (Computer Science, Software Engineering, Data Science)
* MBA or Master’s Degree in a related technical field (Computer Science, Software Engineering, Data Science) or equivalent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Dir, Data Engineering  
Plano, TX: $286,200 \- $326,700 for Sr. Dir, Data Engineering  
Richmond, VA: $286,200 \- $326,700 for Sr. Dir,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314,800\.00 \- 359,300\.00 Annual
Type
Full\-time</t>
        </is>
      </c>
    </row>
    <row r="29">
      <c r="A29" t="inlineStr">
        <is>
          <t>in-ad02e6dce1782b47</t>
        </is>
      </c>
      <c r="B29" t="inlineStr">
        <is>
          <t>Data Engineer - DataBricks</t>
        </is>
      </c>
      <c r="C29" t="inlineStr">
        <is>
          <t>Sumitomo Group</t>
        </is>
      </c>
      <c r="D29" t="inlineStr">
        <is>
          <t>indeed</t>
        </is>
      </c>
      <c r="E29">
        <f>HYPERLINK("https://www.indeed.com/viewjob?jk=ad02e6dce1782b47", "https://www.indeed.com/viewjob?jk=ad02e6dce1782b47")</f>
        <v/>
      </c>
      <c r="F29">
        <f>HYPERLINK("https://careers.smbcgroup.com/smbc/job/Charlotte-Data-Engineer-DataBricks-NC-28202/1344905700/?feedId=392100&amp;utm_source=Indeed&amp;utm_campaign=SMBC_Indeed", "https://careers.smbcgroup.com/smbc/job/Charlotte-Data-Engineer-DataBricks-NC-28202/1344905700/?feedId=392100&amp;utm_source=Indeed&amp;utm_campaign=SMBC_Indeed")</f>
        <v/>
      </c>
      <c r="G29" t="inlineStr">
        <is>
          <t>Charlotte, NC, US</t>
        </is>
      </c>
      <c r="H29" s="3" t="n">
        <v>46041</v>
      </c>
      <c r="I29"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**SUMMARY:**
------------
Join SMBC’s Compliance Technology team as a Data Engineer specializing in Azure and Databricks. You will architect and build secure, scalable data pipelines and a cloud\-native data platform that powers real\-time compliance analytics and regulatory reporting across global markets. Work collaboratively as a team player on mission\-critical projects involving complex financial datasets, leveraging Azure Data Factory, Databricks, Delta Lake, and Python to transform raw data into trusted, governed insights. This is a high\-impact role where a motivated self\-starter owns, end\-to\-end data engineering initiatives, collaborates with governance teams, and influence the architecture of SMBC’s next\-generation compliance systems.**PRINCIPAL DUTIES \&amp; RESPONSIBILITIES:**
-----------------------------------------
* Own the design and implementation of ETL workflows using Azure Data Factory and Databricks for compliance\-related data ingestion and transformation.
* Integrate and normalize data from multiple structured and unstructured sources, ensuring adherence to strict data quality governance framework.
* Develop secure, auditable, and optimized pipelines for performance and reliability across sensitive financial datasets.
* Automate ingestion and transformation processes to enable real\-time compliance analytics and reporting.
* Implement efficient storage formats and partitioning strategies for fast loading and retrieval.
* Utilize Databricks and Delta Lake for distributed processing and versioned data storage.
* Enforce data retention, archiving, and purging policies aligned with global regulatory requirements.
* Migrate legacy application logic into modern Azure Databricks/Data Lake and SQL environments.
* Maintain comprehensive data lineage, metadata, and audit trails using Azure Purview or custom frameworks.
* Collaborate with governance teams and compliance analysts to define requirements and manage access controls.
* Participate in Agile development cycles, sprint planning, and compliance reviews.
* Review code changes and support production deployments.
**JOB SPECIFICATIONS:**
-----------------------
* 3\+ years of experience in data engineering within financial services, preferably compliance/regulatory.
* Advanced proficiency in SQL, Python, and Azure Databricks.
* Hands\-on experience with Azure Data Factory, Databricks notebooks, and ADLS.
* Expertise in data wrangling, modeling, and analytics enablement for compliance use cases.
* Experience integrating Microsoft ADF and Databricks for complex ETL development.
* Familiarity with data governance, quality frameworks, and audit processes.
* Strong communication and collaboration skills.
* Experience with Git/GitLab and CI/CD tools such as Azure DevOps.
* Preferred: Certifications in Azure Data Engineering, Databricks, or Financial Compliance Technology.
* Preferred: Bachelor’s or Master’s in Computer Science, Data Engineering, or related field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30">
      <c r="A30" t="inlineStr">
        <is>
          <t>in-1da158325b3b3150</t>
        </is>
      </c>
      <c r="B30" t="inlineStr">
        <is>
          <t>Data Engineer</t>
        </is>
      </c>
      <c r="C30" t="inlineStr">
        <is>
          <t>tarro</t>
        </is>
      </c>
      <c r="D30" t="inlineStr">
        <is>
          <t>indeed</t>
        </is>
      </c>
      <c r="E30">
        <f>HYPERLINK("https://www.indeed.com/viewjob?jk=1da158325b3b3150", "https://www.indeed.com/viewjob?jk=1da158325b3b3150")</f>
        <v/>
      </c>
      <c r="F30">
        <f>HYPERLINK("https://jobs.ashbyhq.com/tarro/b6a46df1-420d-4d51-8736-019d8f5edfe6?utm_source=VD7gxyZkrd", "https://jobs.ashbyhq.com/tarro/b6a46df1-420d-4d51-8736-019d8f5edfe6?utm_source=VD7gxyZkrd")</f>
        <v/>
      </c>
      <c r="G30" t="inlineStr">
        <is>
          <t>San Mateo, CA, US</t>
        </is>
      </c>
      <c r="H30" s="3" t="n">
        <v>46041</v>
      </c>
      <c r="I30" t="inlineStr">
        <is>
          <t>**About Us**
============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has seen 5x revenue growth in the last three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**What we’re looking for**
==========================
We are looking for a Data Engineer to help build and scale Tarro’s data infrastructure as we continue to expand our product portfolio and customer base. You’ll play a foundational role in shaping how data is collected, modeled, validated, and consumed across the company.
This is a high\-impact opportunity to work in a fast\-paced, profitable startup where you’ll have real ownership, move quickly, and see your work directly influence product and business outcomes.
**What you’ll accomplish**
==========================
* You will build and evolve Tarro’s core data infrastructure and foundational datasets
* You will design, develop, and maintain scalable data pipelines that support analytics, machine learning, experimentation, and product use cases
* You will ensure data quality and reliability by implementing audits, alerting, and anomaly detection at scale
* You will partner closely with Product Managers, Engineers, and business stakeholders to understand data needs and deliver trusted, actionable data
* You will contribute to shared data engineering tooling, standards, and best practices to improve team productivity and output quality
* You will help establish long\-term data architecture that scales with Tarro’s growth
**About You**
=============
* You have 5\+ years of experience building and operating production\-grade data pipelines
* You have a strong understanding of scalable, performant data modeling patterns across structured and unstructured data sources
* You have a proven ability to work cross\-functionally to design data architectures that support analytics, machine learning, and experimentation
* You have experience building and operating fault\-tolerant, distributed systems
* You have hands\-on experience working in a cloud environment such as AWS or GCP
* You are a self\-starter who thrives in an environment with high ownership, limited process, and lots of autonomy
* You care deeply about building reliable systems that solve real customer and business problems
**Bonus Points**
================
* You have experience in a consumer driven industry with a passion for the customer.
* You have a BS / MS / PhD in Computer Science or a related field
* You have experience with analytics and BI tools such as Looker or Tableau
* You have prior experience building data platforms or products from 0 to 1 in an ambiguous, fast\-moving environment
* You have a roll up your sleeves mentality with current or prior experience working in a fast paced, collaborative, highly ambiguous environment frequently wearing more than one hat.
If you do not meet all the requirements listed above which candidates rarely do, don't worry. We still encourage you to apply!
Tarro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
The salary range for this role is $180,000 \- $350,000 USD.</t>
        </is>
      </c>
    </row>
    <row r="31">
      <c r="A31" t="inlineStr">
        <is>
          <t>in-8528965e47f11191</t>
        </is>
      </c>
      <c r="B31" t="inlineStr">
        <is>
          <t>Tech Lead, Data Engineer</t>
        </is>
      </c>
      <c r="C31" t="inlineStr"/>
      <c r="D31" t="inlineStr">
        <is>
          <t>indeed</t>
        </is>
      </c>
      <c r="E31">
        <f>HYPERLINK("https://www.indeed.com/viewjob?jk=8528965e47f11191", "https://www.indeed.com/viewjob?jk=8528965e47f11191")</f>
        <v/>
      </c>
      <c r="F31">
        <f>HYPERLINK("https://jobs.ashbyhq.com/intus/5ea51a1f-8ea3-40a7-a094-0985ccbe3796?utm_source=B11DvZEp0A", "https://jobs.ashbyhq.com/intus/5ea51a1f-8ea3-40a7-a094-0985ccbe3796?utm_source=B11DvZEp0A")</f>
        <v/>
      </c>
      <c r="G31" t="inlineStr">
        <is>
          <t>US</t>
        </is>
      </c>
      <c r="H31" s="3" t="n">
        <v>46041</v>
      </c>
      <c r="I31" t="inlineStr">
        <is>
          <t>Tech Lead, Data Engineer
*What We Do:*
IntusCare is a leading healthcare analytics platform dedicated to transforming care for PACE programs. By synthesizing complex healthcare data, we help identify risks, visualize trends, and optimize care delivery. Our platform empowers care providers to prevent high\-risk events while equipping executives with the insights needed to make data\-driven decisions based on comprehensive clinical and operational information. Our mission is to drive high\-value, multidisciplinary care for older adults through actionable data.
In addition to our analytics solutions, we offer a range of consulting and technical support services for both new and established PACE programs as they grow and adapt to meet the needs of their communities.
*In This Role You Will:*
Provide technical leadership and hands\-on guidance to a team of software engineers building healthcare analytics solutions.
* Define and drive the technical vision, architecture, and best practices for new and existing products.
* Lead design discussions, code reviews, and ensure high standards for code quality, performance, and security.
* Collaborate with product managers, designers, and stakeholders to translate requirements into scalable technical solutions.
* Plan, prioritize, and delegate tasks to ensure timely and high\-quality project delivery.
* Mentor and support engineers, fostering a culture of knowledge sharing, growth, and continuous improvement.
* Ensure solutions are robust, scalable, and compliant with healthcare industry standards (e.g., HIPAA).
* Identify and address technical risks, bottlenecks, and opportunities for process improvement.
* Stay current on emerging technologies and advocate for their adoption where appropriate.
* Communicate complex technical concepts clearly to both technical and non\-technical audiences.
* Foster a collaborative, innovative, and inclusive team environment.
*Requirements:*
* Bachelor's degree in computer science, Information Systems, or related field.
* 5\+ years of experience as a Data Engineer
* Strong understanding of healthcare data structures and analytics focused on Value\-Based Care metrics.
* Solid understanding of data modeling, data warehousing, and analytics tools (e.g., Tableau, Power BI).
* Proficiency in SQL and experience with at least one programming language (e.g., Python, Java).
* Familiarity with cloud platforms (AWS, Azure, or GCP)
* Strong analytical skills with the ability to solve complex problems and propose innovative solutions.
* Excellent communication skills with the ability to work cross\-functionally with technical and non\-technical teams
*Preferred:*
* Experience with Airflow, DBT, and Selenium
* Snowflake certifications (e.g., SnowPro Core, Architect)
* Experience with healthcare interoperability standards (HL7, FHIR).
* Knowledge of machine learning and AI applications in healthcare analytics.
*Company Core Values:*
What We Offer:
* A chance to be a part of a trailblazing team in healthcare technology
* Competitive salary package
* Comprehensive benefits including health, dental, and vision insurance
* A collaborative, inclusive, and dynamic work environment
* Opportunities for professional growth and development
Company Core Values:
* Take Ownership for Your Responsibilities and Outcomes
* Think With Data First
* Be Passionate About Impact
* Take Strides Toward Growth and Innovation
* Be Supportive of Each Other</t>
        </is>
      </c>
    </row>
    <row r="32">
      <c r="A32" t="inlineStr">
        <is>
          <t>in-0874889d129674fa</t>
        </is>
      </c>
      <c r="B32" t="inlineStr">
        <is>
          <t>Data Engineer II/III</t>
        </is>
      </c>
      <c r="C32" t="inlineStr">
        <is>
          <t>DriveCentric</t>
        </is>
      </c>
      <c r="D32" t="inlineStr">
        <is>
          <t>indeed</t>
        </is>
      </c>
      <c r="E32">
        <f>HYPERLINK("https://www.indeed.com/viewjob?jk=0874889d129674fa", "https://www.indeed.com/viewjob?jk=0874889d129674fa")</f>
        <v/>
      </c>
      <c r="F32">
        <f>HYPERLINK("https://recruitingbypaycor.com/career/JobIntroduction.action?id=8a78839e9b137672019bdce8774e7ad1&amp;source=Indeed+Free", "https://recruitingbypaycor.com/career/JobIntroduction.action?id=8a78839e9b137672019bdce8774e7ad1&amp;source=Indeed+Free")</f>
        <v/>
      </c>
      <c r="G32" t="inlineStr">
        <is>
          <t>Remote, US</t>
        </is>
      </c>
      <c r="H32" s="3" t="n">
        <v>46041</v>
      </c>
      <c r="I32" t="inlineStr">
        <is>
          <t>Are you tired of not being challenged, not having a voice, or having to work with outdated technologies? Do you want to be a direct contributor in a company that is an innovation leader and has the awards to prove it?  
DriveCentric is the premier customer relationship management (CRM), engagement, and AI platform that connects retail dealerships to customers in innovative, award\-winning ways.  
A Data Engineer II/III develops and performs data migration / ETL processes for store launches, investigates and fixes data issues related to imported data, and assists in the development of internal data and reporting tools.  
Responsibilities:  
* Onboard new customers by scrubbing data and importing from multiple data sources during and outside of business hours.
* Work with ShareFile, AWS S3, and staging databases.
* Write, execute, and validate DML, DDL, and DCL scripts to meet business and customer needs.
* Independently investigate and resolve issues related to imported data.
* Develop custom scripts and automation tools for import and onboarding processes.
* Participate in code reviews and provide constructive feedback to team members.
Requirements:  
* 3\+ years of hands\-on experience with Microsoft SQL Server and T\-SQL experience.
* Ability to balance business and technical objectives when making decisions.
* Ability to balance multiple assignments in a fast\-paced environment.
* Comfort with after\-hours work and on\-call responsibilities.
* Understanding of data governance and compliance.
* Exceptional communication, troubleshooting, problem\-solving, and analytical skills are a must.
* Have a positive, can\-do attitude.
Pluses:  
* 1\+ year of scripting and managing ETL solutions.
* Hands\-on experience with PostgreSQL.
* Hands\-on experience with Power BI.
* Hands\-on experience with C\# and/or Python development.
* Experience with AI tools and platforms for data engineering.
* Familiarity with AWS (EC2, RDS, S3, CloudWatch, Route 53\).
* Experience with ShareFile and enterprise file transfer solutions.
* Understanding of multi\-phase import strategies.
Benefits:  
**Equal Opportunity Statement:**
DriveCentric is an Equal Opportunity Employer. We do not discriminate based on race, color, religion, sex, sexual orientation, gender identity, national origin, disability, veteran status, or other protected characteristics. All qualified applicants are encouraged to apply.  
* Competitive salary \+ bonus \+ annual merit increases
* Health, vision, and dental insurance (eligible on day 1\)
* 401K with matching up to 4%
* 9 company holidays \+ 15 FTO days in first year
* Pluralsight subscription
* Professional growth opportunities</t>
        </is>
      </c>
    </row>
    <row r="33">
      <c r="A33" t="inlineStr">
        <is>
          <t>in-c1f20b9098a6523f</t>
        </is>
      </c>
      <c r="B33" t="inlineStr">
        <is>
          <t>Data Engineer III</t>
        </is>
      </c>
      <c r="C33" t="inlineStr">
        <is>
          <t>Elevate Patient Financial Solutions</t>
        </is>
      </c>
      <c r="D33" t="inlineStr">
        <is>
          <t>indeed</t>
        </is>
      </c>
      <c r="E33">
        <f>HYPERLINK("https://www.indeed.com/viewjob?jk=c1f20b9098a6523f", "https://www.indeed.com/viewjob?jk=c1f20b9098a6523f")</f>
        <v/>
      </c>
      <c r="F33">
        <f>HYPERLINK("http://elevatepfs.com/careers/?gnk=job&amp;gni=8a78859f9b80e758019bb7f59b364f8c&amp;gns=Indeed+Free", "http://elevatepfs.com/careers/?gnk=job&amp;gni=8a78859f9b80e758019bb7f59b364f8c&amp;gns=Indeed+Free")</f>
        <v/>
      </c>
      <c r="G33" t="inlineStr">
        <is>
          <t>Remote, US</t>
        </is>
      </c>
      <c r="H33" s="3" t="n">
        <v>46041</v>
      </c>
      <c r="I33" t="inlineStr">
        <is>
          <t>**Elevate Patient Financial Solutions** has an exciting career opportunity available as a **Data Engineer III**. This position will be remote. The Full Time schedule for this role will be **Monday\-Friday: 8:00am\-5:00pm with some flexibility.**  
**Job Summary**  
The purpose of this position is to perform Data Development functions which include: the architect and design of new or enhancement of existing enterprise database systems; maintenance and/or development of critical data processes; unit and system testing; support and help desk tasks; expert support of the data solutions. It also requires defining and adopting best practices for each of the data design and development functions as well as visualization and ETL processes. This position is also responsible for architecting ETL functions between a multitude of critical relational databases and external data files.  
**Essential Duties and Responsibilities**
* Work with a highly dynamic team focused on Digital Transformation.
* Understand the domain and business processes to implement successful data pipelines.
* Provide work status, and coordinate with Data Engineers, and Data Architects.
* Manage customer deliverables and regularly report the status via Weekly/Monthly reviews.
* At an expert level: Design, develop and maintain ETL processes as well as Stored Procedures, Functions and Views
* At an expert level: Program in T\-SQL with relational databases including currently supported versions of Microsoft SQL Server.
* At an expert level: Write high performance SQL queries using Joins, Cross Apply, Aggregate Queries, Merge, Pivot.
* Design normalized database tables with proper indexing and constraints.
* Perform SQL query tuning and performance optimization on complex and inefficient queries.
* Provide expert guidance in the use of table variable, temporary table, CTE appropriately to deal with large datasets.
* Collaborate with DBA on database design and performance enhancements.
* Leading in all phases of the software development life cycle in a team environment.
* At an expert level: Debug existing code and troubleshoot for issues.
* Design and provide a framework for maintaining existing data warehouse for reporting and data analytics.
* Create and establish best practices, design, develop, test and document ETL processes.
* Design and Develop data cleansing routines utilizing complex data quality functions involving standardization, transformation, rationalization, linking and matching.
* Keep up to date with the latest database features, data techniques, and technologies.
* Support current business applications including the implementation of bug fixes as needed.
* Mentoring of other Data Engineers.
* Effectively communicate progress through the project execution phase
* Other duties as assigned.
**Qualifications and Requirements**
* To perform this job successfully, an individual must be able to perform each essential duty satisfactorily. The requirements listed below are representative of the knowledge, skill, and/or abilities.
* Minimum 8 years of work\-related experience in T\-SQL, SSRS and ETL. If candidate has relevant education in computer science, computer information systems, or related field, lack of experience can be supplemented by education as follows:
	+ Microsoft Certifications – 1 year
	+ Associate degree – 1 year
	+ Bachelor’s Degree – 2 years
	+ Master’s Degree – 3 years
* Minimum 4 years of experience with development and maintenance of Data Factory data pipelines.
* Minimum 4 years of experience with development and maintenance of data pipelines using the DataBricks component in Azure.
* Minimum of 4 years of experience using DevOps CI/CD in Azure.
* Understanding of data lakehouse architecture in Azure.
* At an expert level: Experience in developing, maintaining, and supporting database processes using Microsoft SQL Server with emphasis on .NET technologies.
* Proficient with the following: T\-SQL, SSRS, SSIS, SSAS, Data warehousing, ETL, Python.
* Demonstrated ability to perform above listed essential job functions.
* Ability to work in a dynamic environment with changing requirements.
* Good communication and presentation skills
* At an expert level: Working experience with a wide range of data technologies, data modeling, and metadata management.
* At an expert level: Working experience using SQL.
* Able to multi\-task and adapt to shifting priorities.
* Able to meet deadlines set in project planning.
* Remote and Hybrid positions require internet connections that meet the
* Company’s upload and download speed criteria.
**Benefits**  
ElevatePFS believes in making a positive impact not only within our industry but also with our employees –the organization’s greatest asset! We take pride in offering comprehensive benefits in a vast array of plans that contribute to the present and future well\-being of our employees and their families.
* Medical, Dental \&amp; Vision Insurance
* 401K (100% match for the first 3% \&amp; 50% match for the next 2%)
* 15 days of PTO
* 7 paid Holidays
* 2 Floating holidays
* 1 Elevate Day (floating holiday)
* Pet Insurance
* Employee referral bonus program
* Teamwork: We believe in teamwork and having fun together
* Career Growth: Gain great experience to promote to higher roles
The salary of the finalist selected for this role will be set based on a variety of factors, including but not limited to, internal equity, experience, education, location, specialty and training. This pay scale is not a promise of a particular wage.  
The job description does not constitute an employment agreement between the employer and Employee and is subject to change by the employer as the needs of the employer and requirements of the job change.  
**ElevatePFS is an Equal Opportunity Employer**
**\#IND123**</t>
        </is>
      </c>
    </row>
    <row r="34">
      <c r="A34" t="inlineStr">
        <is>
          <t>in-bb7f1860e554a59d</t>
        </is>
      </c>
      <c r="B34" t="inlineStr">
        <is>
          <t>Senior Data Engineer</t>
        </is>
      </c>
      <c r="C34" t="inlineStr">
        <is>
          <t>World's Finest Chocolate</t>
        </is>
      </c>
      <c r="D34" t="inlineStr">
        <is>
          <t>indeed</t>
        </is>
      </c>
      <c r="E34">
        <f>HYPERLINK("https://www.indeed.com/viewjob?jk=bb7f1860e554a59d", "https://www.indeed.com/viewjob?jk=bb7f1860e554a59d")</f>
        <v/>
      </c>
      <c r="F34">
        <f>HYPERLINK("https://worldsfinestchocolate.com/careers?gnk=job&amp;gni=8a78839f9b1376bd019bdd6bc4dc0905&amp;gns=Indeed+Free", "https://worldsfinestchocolate.com/careers?gnk=job&amp;gni=8a78839f9b1376bd019bdd6bc4dc0905&amp;gns=Indeed+Free")</f>
        <v/>
      </c>
      <c r="G34" t="inlineStr">
        <is>
          <t>Remote, US</t>
        </is>
      </c>
      <c r="H34" s="3" t="n">
        <v>46041</v>
      </c>
      <c r="I34" t="inlineStr">
        <is>
          <t>**POSITION OVERVIEW**
The **Senior Data Engineer** manages the back\-end data environment that supports World’s Finest Chocolate’s growing analytics and digital capabilities. This role builds and maintains scalable data lake and data warehouse solutions, develops data pipelines and ETL processes, defines data models, and integrates data from enterprise systems such as Salesforce, Stratum, SAP, and others into a unified, trusted reporting environment.
Sitting at the intersection of data engineering and analytics enablement, this role works closely with business stakeholders, Data Science, and IT Business Analysts to ensure the organization has reliable, well\-structured, and AI\-ready data that drives informed decision\-making across the business.
**KEY RESPONSIBILITIES**
* Design and implement a scalable data lake/data warehouse architecture to centralize data from multiple systems (Salesforce, Stratum, SAP, etc.)
* Build, test, and maintain ETL/ELT pipelines for automated data ingestion and transformation
* Partner with business users to understand analytical requirements and design underlying data structures to support them
* Define and maintain data models, ensuring standardization of definitions, hierarchies, and metrics
* Manage data validation and quality control to ensure accuracy and consistency across platforms
* Integrate external data sources (e.g., demographic, geographic, or customer data) efficiently into the core environment
* Support deployment of BI and reporting tools (Power BI, Tableau, etc.) by preparing optimized datasets and queries
* Document data architecture, pipelines, and governance processes for scalability and future handoffs
* Work with IT security to maintain appropriate access control, data privacy, and compliance standards
* Collaborate with the Strategy \&amp; Insights team to identify gaps in data infrastructure and plan roadmap enhancements
**QUALIFICATIONS**
* Bachelor’s degree in computer science, Information Systems, Data Engineering, or a related field
* 5\+ years of experience in data engineering, database management, or analytics infrastructure roles
* Hands\-on experience with building and maintaining data lakes or data warehouses
* Strong proficiency in SQL, Python, and ETL frameworks
* Experience with cloud\-based data platforms (e.g., DataBricks, Snowflake, Azure Data Factory, AWS Redshift, or Google BigQuery)
* Working knowledge of APIs and data integration tools
* Demonstrated ability to translate business needs into technical solutions
* Strong communication and documentation skills
**PREFERRED SKILLS**
* Experience integrating ERP (SAP) and CRM (Salesforce) systems
* Familiarity with data governance and master data management (MDM) concepts
* Experience supporting analytics or BI enablement projects
**REPORTING RELATIONSHIP**
Reports to: **Chief Information Officer, Sr. VP Customer Solutions**
**COMPENSATION \&amp; BENEFITS**
* Competitive base salary $145,000\.00
* Annual Bonus: 10% of base salary (based on company and individual performance)
* Full medical, dental, and vision insurance
* 401k Matching
* HSA/FSA \&amp; Wellness Programs
* Life \&amp; Disability Insurance (STD/LTD)
* Tuition Reimbursement
* LifeLock Identity Theft Protection
**EQUAL OPPORTUNITY EMPLOYER**
World’s Finest Chocolate is committed to building a diverse and inclusive workplace. We celebrate diversity and prohibit discrimination of any kind, ensuring a respectful and supportive environment for all employees.</t>
        </is>
      </c>
    </row>
    <row r="35">
      <c r="A35" t="inlineStr">
        <is>
          <t>in-99122087578a9aa3</t>
        </is>
      </c>
      <c r="B35" t="inlineStr">
        <is>
          <t>Data Engineer</t>
        </is>
      </c>
      <c r="C35" t="inlineStr">
        <is>
          <t>Quantum Health</t>
        </is>
      </c>
      <c r="D35" t="inlineStr">
        <is>
          <t>indeed</t>
        </is>
      </c>
      <c r="E35">
        <f>HYPERLINK("https://www.indeed.com/viewjob?jk=99122087578a9aa3", "https://www.indeed.com/viewjob?jk=99122087578a9aa3")</f>
        <v/>
      </c>
      <c r="F35">
        <f>HYPERLINK("https://app.jobvite.com/CompanyJobs/Job.aspx?j=oixhzfwp&amp;s=Indeed", "https://app.jobvite.com/CompanyJobs/Job.aspx?j=oixhzfwp&amp;s=Indeed")</f>
        <v/>
      </c>
      <c r="G35" t="inlineStr">
        <is>
          <t>Nashville, TN, US</t>
        </is>
      </c>
      <c r="H35" s="3" t="n">
        <v>46041</v>
      </c>
      <c r="I35" t="inlineStr">
        <is>
          <t>**Who we are**
Founded in 1999, Quantum Health is a privately\-owned, independent healthcare navigation organization. As the company that invented healthcare navigation, Quantum Health continues to set the standard and in 2025 acquired leading healthcare technology company Embold Health. This further strengthens the AI and provider search capabilities to guide members to the right care. Together, the teams lead the industry in healthcare navigation, simplifying care journeys, improving outcomes and controlling rising costs for organizations of all sizes. This role supports the Embold Health division.
We’re committed to building diverse and inclusive teams across our so if you’re excited about this position, we encourage you to apply – even if your experience doesn’t match every requirement.
**About the role**
As a **Data Engineer**, you will serve as a key contributor in the ingestion, aggregation, structuring and analysis of terabytes of healthcare and operational data. You will build complex ETL and ELT systems that make consistent, reliable data available for both our data science and healthcare analysis teams, as well as our core products, which present this analytic data to both consumer and sophisticated business user audiences. Furthermore, you will take our data science team’s analyses and investigatory work and operationalize them into scalable, production\-ready data pipelines and services that power analytics, reporting, and core product experiences.
**Location**: This position is located at our Nashville, TN office with hybrid flexibility or may work remotely anywhere in the United States of America.
 **What** **you’ll** **do*** Design, build, and maintain scalable data pipelines that transform and deliver structured and unstructured data across the organization’s data ecosystem.
* Develop and operate complex ETL and ELT workflows using Azure Databricks, Apache Spark, and related data engineering technologies.
* Use Python, SQL, and other data engineering tools to efficiently transform, validate, and optimize data for analytical and operational use cases.
* Work with a variety of data storage and retrieval technologies, including Databricks, Elasticsearch, PostgreSQL, and other enterprise data stores.
* Collaborate closely with data architects, design teams, and cross\-functional partners to define data solutions and support evolving data requirements.
* Support and operationalize analytics and data science use cases by delivering reliable, production\-ready data assets.
* Foster a culture of teamwork, self\-organization, and continuous improvement through innovative solutions.
* Assist team members in solving complex technical problems and improving the overall productivity and capabilities of the team.
* All other duties as assigned.
**What** **you’ll** **bring*** **Education**: Bachelor’s degree in Computer Science, Engineering, Mathematics, Statistics, or a related field, or equivalent practical experience.
* 2\+ years of experience in a data\-focused technical role as a Data Engineer, ETL Developer, Data Analyst, or similar.
* Hands\-on experience building and maintaining data pipelines and datasets in a Microsoft Azure environment.
* Strong working experience with Python and Apache Spark.
* Prior experience with Databricks.
* Solid understanding of relational databases, data modeling concepts, and data transformation best practices.
* Experience working with structured and semi\-structured data formats such as JSON and XML, and consuming REST\-based APIs.
* Demonstrated ability to analyze data, solve complex business problems, and improve data quality and reliability.
* Tremendous motivator, extraordinary interpersonal skills working with engineers.
* Commitment to data security, privacy, and ethical data handling practices.
* Trustworthy and accountable behavior, capable of viewing and maintaining confidential information daily.
**Preferred Qualifications*** Prior experience with Azure, including Databricks on Azure and Azure Synapse DW.
* Prior experience with Elasticsearch for search.
* Prior experience mentoring or guiding peers in areas of technical expertise.
\-
\#LI\-AK1 \#LI\-Hybrid \#LI\-Remote</t>
        </is>
      </c>
    </row>
    <row r="36">
      <c r="A36" t="inlineStr">
        <is>
          <t>in-65d4cf3483de6f2e</t>
        </is>
      </c>
      <c r="B36" t="inlineStr">
        <is>
          <t>Sr. Data Engineer &amp; Data Platform Lead</t>
        </is>
      </c>
      <c r="C36" t="inlineStr">
        <is>
          <t>Innovien Solutions</t>
        </is>
      </c>
      <c r="D36" t="inlineStr">
        <is>
          <t>indeed</t>
        </is>
      </c>
      <c r="E36">
        <f>HYPERLINK("https://www.indeed.com/viewjob?jk=65d4cf3483de6f2e", "https://www.indeed.com/viewjob?jk=65d4cf3483de6f2e")</f>
        <v/>
      </c>
      <c r="F36">
        <f>HYPERLINK("https://www.innovien.com/job/2807-sr-data-engineer-data-platform-lead-cincinnati-oh/", "https://www.innovien.com/job/2807-sr-data-engineer-data-platform-lead-cincinnati-oh/")</f>
        <v/>
      </c>
      <c r="G36" t="inlineStr">
        <is>
          <t>Cincinnati, OH, US</t>
        </is>
      </c>
      <c r="H36" s="3" t="n">
        <v>46041</v>
      </c>
      <c r="I36" t="inlineStr">
        <is>
          <t>**Job Description:**  
Our customer is seeking a Senior Data Engineer \&amp; Data Platform Lead to support the Pull / Just\-In\-Time (JIT) manufacturing domain, which delivers near\-real\-time visibility into material movement, demand, and shortages to reduce inventory, waste, and production delays. This role will serve as the technical lead and escalation point for the Pull data domain, owning production\-ready data pipelines that ingest data from ERP and manufacturing systems into the Enterprise Data Lake (AWS Redshift) and deliver engineered datasets into Spotfire and, increasingly, Palantir to support shop\-floor and supply chain decision\-making. The team operates in a “you build, you support” model, with full end\-to\-end ownership of pipeline delivery, troubleshooting, and production support.
**Requirements:**  
* 7\+ years of hands\-on data engineering experience with team\-lead experience, owning end\-to\-end pipeline delivery and serving as an escalation point for complex production issues.
* Strong SQL and Postgres experience, used to build and maintain core business logic, transformations, and production data pipelines.
* Experience building ingestion pipelines from enterprise ERP or manufacturing systems (SAP, Oracle, MES, or similar) into a cloud\-based enterprise data lake / warehouse environment, primarily in AWS Redshift.
* Experience delivering engineered datasets into analytics tools such as Spotfire, Tableau, Power BI, or similar, to support KPI reporting and business insights.
* Working knowledge of AWS services (Redshift, Lambda), supporting scalable, cloud\-based data pipelines in a production environment.
* Production support and troubleshooting experience, operating in a “you build, you support” model without a dedicated DevOps team.
* Bachelor’s Degree (or equivalent professional experience).
**Nice to have:**  
• Python and/or PySpark experience, to support more advanced data transformations and future pipeline development.  
* Palantir exposure (Foundry or related platforms), as the role is expected to expand into Palantir\-based data pipeline and business logic work over time (not required day one).
**Responsibilities****:**  
* Own and lead end\-to\-end data pipeline delivery for the Pull / JIT domain, serving as technical lead and escalation point for a small pod of onshore engineers and offshore support resources.
* Design, maintain, and enhance production\-ready data pipelines that move data from ERP and manufacturing systems into the Enterprise Data Lake (AWS Redshift) and downstream analytics platforms.
* Develop and support Postgres SQL functions, procedures, and transformations that implement core business logic and power supply\-chain reporting and insights.
* Deliver engineered datasets into analytics and visualization platforms such as Spotfire (and increasingly Palantir) to support KPI reporting, material visibility, and executive decision\-making.
* Coordinate offshore delivery and mentor onshore engineers, guiding development work, reviewing solutions, and ensuring quality and reliability across the pod.
* Troubleshoot, deploy, and support the pipelines and solutions you build in a “you build, you support” model, resolving production issues related to data, performance, or logic.
* Partner closely with TPMs and shop\-floor, materials, and supply\-chain business leaders to understand demand signals, material constraints, and production drivers, translating requirements into reliable data solutions.
* Contribute to evolving data standards and future platform expansion, including supporting more advanced transformations with Python / PySpark and expanding pipeline logic into Palantir over time.</t>
        </is>
      </c>
    </row>
    <row r="37">
      <c r="A37" t="inlineStr">
        <is>
          <t>in-1442a03923fa8d92</t>
        </is>
      </c>
      <c r="B37" t="inlineStr">
        <is>
          <t>Data Scientist / Big Data Engineer</t>
        </is>
      </c>
      <c r="C37" t="inlineStr">
        <is>
          <t>Cayuse Holdings</t>
        </is>
      </c>
      <c r="D37" t="inlineStr">
        <is>
          <t>indeed</t>
        </is>
      </c>
      <c r="E37">
        <f>HYPERLINK("https://www.indeed.com/viewjob?jk=1442a03923fa8d92", "https://www.indeed.com/viewjob?jk=1442a03923fa8d92")</f>
        <v/>
      </c>
      <c r="F37">
        <f>HYPERLINK("https://careers-cayuseholdings.icims.com/jobs/3191/job?utm_source=indeed_integration&amp;iis=Job%20Board&amp;iisn=Indeed&amp;indeed-apply-token=73a2d2b2a8d6d5c0a62696875eaebd669103652d3f0c2cd5445d3e66b1592b0f", "https://careers-cayuseholdings.icims.com/jobs/3191/job?utm_source=indeed_integration&amp;iis=Job%20Board&amp;iisn=Indeed&amp;indeed-apply-token=73a2d2b2a8d6d5c0a62696875eaebd669103652d3f0c2cd5445d3e66b1592b0f")</f>
        <v/>
      </c>
      <c r="G37" t="inlineStr">
        <is>
          <t>Austin, TX, US</t>
        </is>
      </c>
      <c r="H37" s="3" t="n">
        <v>46041</v>
      </c>
      <c r="I37" t="inlineStr">
        <is>
          <t>Overview:
***JOB TITLE:***  
Data Scientist / Big Data Engineer ***CAYUSE COMPANY:***  
Cayuse Civil Services, LLC ***LOCATION***  
Austin, TX \- Hybrid (3 day remote \| Mon \&amp; Fri Onsite) ***SALARY:***  
Based on experience and position level  
\*\*This position is posted for future opportunities. Please submit your application to be considered for similar upcoming roles\*\*
Responsibilities:
**The Work**
The Data Scientist (Big Data Engineer) makes value out of data. They will proactively fetch information from various sources and analyze it for a better understanding about how the business performs. They will then use that information to build AI tools that automate certain processes within the company.  
This position performs all duties and responsibilities in accordance with the Mission, Vision, and Core Values of Cayuse. **Key Responsibilities*** Perform data mining, exploration, and analysis.
* Design, train, evaluate, and implement machine learning algorithms and predictive models.
* Work with stakeholders to identify opportunities for improving business processes and addressing current pain points, using data insights, forecasts, and analytics.
* Develop and implement analytics\-enabled solutions to improve business processes, generate insights, and support business goals.
* Develop Key Performance Indicators (KPIs), metrics, trend tracking, prediction, and forecasting models.
* Evaluate and understand complex issues from business partners and recommend solutions.
* Work closely with team throughout all phases of projects: requirements definition, design, development, test and evaluation, demonstration, and deployment.
* Build, implement, and maintain predictive models throughout their full lifecycle.
* Identify patterns and trends in data and provide insights to enhance business decision making.
* Set up and monitor monthly model recalibration process.
* Generate complex ad\-hoc analyses combining disparate concepts or creating new approaches.
* Design and create new analytic procedures and automation.
* Other duties as assigned.
Qualifications:
**Qualifications – Here’s What You Need**
The qualifications and skills listed below are intended to provide a general overview of the requirements for this position. However, due to the anticipated nature of the contract and the absence of a finalized task order from the client, this list should not be considered all\-encompassing. Additional qualifications, certifications, skills, or experience specific to the client’s requirements may be identified and requested upon award of the task order. Candidates should demonstrate flexibility and a willingness to adapt to evolving responsibilities as outlined by the client.
* **Level 1:** 1\-3 years of experience in the field or in a related area. Has knowledge of commonly used concepts, practices, and procedures within a particular field. Relies on instructions and pre\-established guidelines to perform the functions of the job. Primary job functions do not typically require exercising independent judgment.
* **Level 2:** 4\-7 years of experience in the field or in a related area. Familiar with standard concepts, practices, and procedures within a particular field. Relies on limited experience and judgment to plan and accomplish goals. A certain degree of creativity and latitude is required. Works under limited supervision with considerable latitude for the use of initiative and independent judgment.
* **Level 3:** 8 or more years of experience, relies on experience and judgment to plan and accomplish goals, independently performs a variety of complicated tasks; may lead and direct the work of others. A wide degree of creativity and latitude is expected.
* **All Levels**
* Demonstrated expertise in constructing distributed machine learning pipeline from scratch
* Demonstrated experience performing end\-to\-end project delivery, including data visualization, performing research, and conducting presentations for non\-technical audiences.
* Strong documentation, organizational, and time management skills.
* Strong verbal and written communication skills to effectively collaborate with team members and stakeholders.
* Must be able to pass a background check. May require additional background checks as required by projects and/or clients at any time during employment.
**Minimum Skills:*** Experience with machine learning frameworks and techniques, including regression, classification, neural networks, and feature engineering.
* Experience with Azure ML, Power BI, or similar analytics platforms.
* Skilled in web scraping, handling large\-scale multi\-source datasets, and managing ambiguous data environments.
* Strong knowledge of statistical methods for experimentation (e.g., randomization, t\-tests, and confidence intervals).
* Proven track record of managing and delivering high\-volume analytics or experimentation projects across multiple stakeholders.
* Ability to translate analytical insights into actionable business recommendations.
* Strong analytical and problem\-solving skills with keen attention to detail.
* Excellent communication and collaboration skills, with the ability to effectively interact with both technical and business stakeholders.
 **Desired Qualifications:*** Bachelor’s or master’s degree in Computer Science, Information Technology, Data Science or related field.
* Proficiency in Python (pandas, numpy, scipy) and SQL for data manipulation, analysis, and pipeline development.
* Knowledge of data science toolkits such as NumPy, Pandas and MatLab.
* Experience with Azure and Databricks platforms.
 **Our Commitment to you / overview of benefits*** Medical, Dental and Vision Insurance; Wellness Program
* Flexible Spending Accounts (Healthcare, Dependent Care, Commuter)
* Short\-Term and Long\-Term Disability options
* Basic Life and AD\&amp;D Insurance (Company Provided)
* Voluntary Life and AD\&amp;D options
* 401(k) Retirement Savings Plan with matching after one year
* Paid Time Off
 **Reports to:**Program Manager **Working Conditions*** Professional office environment, with the ability to work on\-site in the main office.
* Must reside in the Austin area.
* Must be physically and mentally able to perform duties for extended periods of time.
* Ability to use a computer and other office productivity tools with sufficient speed to meet the demands of this position.
* Must be able to establish a productive and professional workspace.
* Must be able to sit for long periods of time looking at a computer screen.
* May be asked to work a flexible schedule which may include holidays.
* May be asked to travel for business or professional development purposes.
* May be asked to work hours outside of normal business hours.
* Travel costs, per diem, and other related expenses must be pre\-approved in compliance with State of Texas travel guidelines.
 **Other Duties:** *Please* *note* *this job description is not designed to cover or* *contain* *a comprehensive list of activities, duties or responsibilities that are* *required of* *the employee for this job**.* *Duties, responsibilities, and activities may change at any time with or without notice.*
***Cayuse is an Equal Opportunity Employer. All employment decisions are based on merit, qualifications, skills, and abilities. All qualified applicants will receive consideration for employment*** ***in accordance with*** ***any applicable federal, state, or local law.***
Pay Range: USD $120,000\.00 \- USD $175,000\.00 /Yr.</t>
        </is>
      </c>
    </row>
    <row r="38">
      <c r="A38" t="inlineStr">
        <is>
          <t>in-11c5ba9625854494</t>
        </is>
      </c>
      <c r="B38" t="inlineStr">
        <is>
          <t>Data Engineer</t>
        </is>
      </c>
      <c r="C38" t="inlineStr"/>
      <c r="D38" t="inlineStr">
        <is>
          <t>indeed</t>
        </is>
      </c>
      <c r="E38">
        <f>HYPERLINK("https://www.indeed.com/viewjob?jk=11c5ba9625854494", "https://www.indeed.com/viewjob?jk=11c5ba9625854494")</f>
        <v/>
      </c>
      <c r="F38">
        <f>HYPERLINK("https://jobs.nucor.com/job/Rock-Hill-Data-Engineer-SC-29730/1307165300/?feedId=408100&amp;utm_source=Indeed&amp;utm_campaign=Nucor_Indeed", "https://jobs.nucor.com/job/Rock-Hill-Data-Engineer-SC-29730/1307165300/?feedId=408100&amp;utm_source=Indeed&amp;utm_campaign=Nucor_Indeed")</f>
        <v/>
      </c>
      <c r="G38" t="inlineStr">
        <is>
          <t>Rock Hill, SC, US</t>
        </is>
      </c>
      <c r="H38" s="3" t="n">
        <v>46031</v>
      </c>
      <c r="I38" t="inlineStr">
        <is>
          <t>**Job Details**
**Division:****Nucor Business Technology**
**Location:****Rock Hill****,** **SC****,** **United States**
**Other Available Locations:****N/A**
**Welcome to Nucor, where our unique culture sets us apart. Joining Nucor means becoming part of North America's largest steel and steel products manufacturer, offering unmatched career opportunities and stability. We are known for our innovative sustainability practices and are the continent's largest recycler. Our vibrant culture, built on personal connections and teamwork, empowers every team member with the freedom to innovate and contribute to our collective success. Experience a workplace where safety, efficiency, and meaningful personal connections define every day, enriching both our teammates and the communities we serve.**
**Nucor supports its teammates with top\-tier benefits like Medical, Dental, Vision, and Disability Insurance, 401K and Roth accounts, Profit sharing, Pay\-for\-performance bonuses, Paid parental leave, Tuition reimbursement, Stock program, Scholarships and more.**
**Basic Job Functions:**
------------------------
 **Nucor Business Technology (NBT)** is seeking qualified applicants for the position of **Data Engineer.** This position will be responsible for designing and maintaining robust data models that support business intelligence and analytics initiatives, while also contributing to data engineering tasks that ensure data quality, accessibility, and performance. This role will work closely with various teams to ensure business data needs are met.
 Responsibilities include but are not limited to:
* Design and develop data pipelines that facilitate the collection, storage, and processing of data from D365 and various other sources.
* Ensure data quality and integrity through robust validation and cleaning processes.
* Develop notebooks, tables, and views to transform raw data to data models for Power BI and other tools.
* Create Power BI models to assess the potential impact of various operational analysis, investment decisions, and business initiatives.
* Develop dashboards, reports, and presentations for stakeholders and provide insights on business performance.
* Ah hoc requests to support business initiatives.
* Expected to proactively gather requirements from the business and work independently.
* Develop technical documents detailing the data ETL process, models, and reports.
Safety is the most important part of all jobs within Nucor; therefore, candidates must be able to demonstrate the ability to initiate, lead, and uphold safety policies, practices, procedures, and housekeeping standards at all times.
**Minimum Qualifications:**
---------------------------
* 4 Years Experience in Data Engineering\\Data Modeling
* Strong knowledge of SQL or Python
* Experience with ETL (Extract, Transform, Load) processes and tools to manage data flow and transformation such as Data Factory, Databricks, Synapse Analytics/Fabric.
* Excellent analytical and problem\-solving abilities to address data\-related challenges effectively.
**Preferred Qualifications:**
-----------------------------
* D365 entity and table knowledge preferred
* Experience in the manufacturing or industrial sectors
* Bachelor's Degree or relevant work experience
 ***Nucor is an Equal Opportunity/Affirmative Action Employer – M/F/Disabled/Vets – and a drug – free workplace***</t>
        </is>
      </c>
    </row>
    <row r="39">
      <c r="A39" t="inlineStr">
        <is>
          <t>in-94a3ba3fbe188fe0</t>
        </is>
      </c>
      <c r="B39" t="inlineStr">
        <is>
          <t>Senior Software Engineer - Data Engineering</t>
        </is>
      </c>
      <c r="C39" t="inlineStr">
        <is>
          <t>Strider Technologies</t>
        </is>
      </c>
      <c r="D39" t="inlineStr">
        <is>
          <t>indeed</t>
        </is>
      </c>
      <c r="E39">
        <f>HYPERLINK("https://www.indeed.com/viewjob?jk=94a3ba3fbe188fe0", "https://www.indeed.com/viewjob?jk=94a3ba3fbe188fe0")</f>
        <v/>
      </c>
      <c r="F39">
        <f>HYPERLINK("https://jobs.ashbyhq.com/strider-technologies/c910aa12-e332-4d1f-8c6f-19d741e5c33b", "https://jobs.ashbyhq.com/strider-technologies/c910aa12-e332-4d1f-8c6f-19d741e5c33b")</f>
        <v/>
      </c>
      <c r="G39" t="inlineStr">
        <is>
          <t>South Jordan, UT, US</t>
        </is>
      </c>
      <c r="H39" s="3" t="n">
        <v>46041</v>
      </c>
      <c r="I39" t="inlineStr">
        <is>
          <t>Location
South Jordan, UT, Tysons Corner, VA
Employment Type
Full time
Department
Technology
Overview
Strider Technologies delivers strategic intelligence that helps organizations make faster, more confident decisions in an increasingly complex global environment. Using cutting\-edge AI and proprietary methodologies, we transform open\-source data into actionable insights that help protect technology, talent, and supply chains from nation\-state risks.
Job Description:
Strider is revolutionizing the way companies, universities, research institutions, and government agencies protect their innovation and compete in a new era of global strategic competition. Our trailblazing technology and intelligence solutions enable clients to proactively identify, manage, and respond to foreign government directed IP theft and supply chain vulnerabilities. We are a data company. We have billions of documents online and are collecting millions of new documents each day. The Data Engineering team is responsible for building structured data assets from these raw documents to build new products and enhance existing ones.
If you’re ready to be part of an elite team tackling some of the most pressing security and technology challenges, let’s talk.
Responsibilities for this role:
* Develop large scale data processing pipelines
* Create data assets from unstructured data
* Build and support internal and external facing APIs
* Author design documents
* Mentor teammates
* Drive software engineering best practices
* Participate in code reviews
* Collaborate with a talented cross\-functional team of engineers, data scientists and subject\-matter experts
**You are a good fit for this role if you:**
* Have 4\+ years of software engineering experience
* Previous experience working in a data heavy role
* Understand how to use cloud infrastructure effectively
* Are a natural problem solver with an affinity for data
* Are opinionated about how software is built
* Are proficient at breaking down large, sometimes ambiguous, problems into well\-defined tasks
* Value shipping code early and often
* Have a well\-honed mental model for how software systems execute and interact
**Technologies we use:**
* Python
* Elasticsearch
* Memgraph
* Flyte
* AWS (EC2, S3, SQS, DynamoDB, Lambda, EKS)
**Benefits**
* Competitive Compensation
* Company Equity Options
* Flexible PTO
* Wellness Reimbursement
* US Holidays (Office Closed)
* Paid Parental Leave
* Comprehensive Medical, Dental, and Vision Insurance
* 401(k) Plan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li-4364821897</t>
        </is>
      </c>
      <c r="B2" t="inlineStr">
        <is>
          <t>Senior Data Engineer</t>
        </is>
      </c>
      <c r="C2" t="inlineStr">
        <is>
          <t>SmartAsset</t>
        </is>
      </c>
      <c r="D2" t="inlineStr">
        <is>
          <t>linkedin</t>
        </is>
      </c>
      <c r="E2" t="inlineStr"/>
      <c r="F2" t="inlineStr"/>
      <c r="G2" t="inlineStr">
        <is>
          <t>New York, NY</t>
        </is>
      </c>
      <c r="H2" t="inlineStr"/>
      <c r="I2" t="inlineStr">
        <is>
          <t>**About SmartAsset:**
 SmartAsset is an online destination for consumer\-focused financial information and advice, whose mission is helping people make smart financial decisions, reaching over an estimated 59 million people each month (as of January 2025\) through our educational content and personalized calculators and tools. To extend our mission, we also operate SmartAsset Advisor Marketing Platform (AMP), which helps connect consumers with fiduciary financial advisors.SmartAsset has earned recognition on the Inc. 5000 (\#2574 in 2023\) and Deloitte Technology Fast 500™ (\#250 in 2022\) lists. Currently, SmartAsset ranks on Y Combinator's list of Top 100 Companies. A successful $110 million Series D funding round in 2021 valued the company at over $1 billion.
* Other than application and licensing fees, SmartAsset did not provide compensation for the aforementioned awards.
**About the team:**
 SmartAsset's Data Engineering team builds and maintains the scalable, low\-latency systems that power data access across the company. Our platform supports real\-time and batch data needs for analytics, reporting, and machine learning, serving teams across Marketing, Product, Sales, and Finance.
 You'll be part of a growing data organization that includes analysts, data scientists, and ML engineers that are at the forefront of AI/ML application for the company. As a Senior Data Engineer, you'll work cross\-functionally to evolve our architecture, optimize data latency, and build robust solutions that enable data\-driven decisions at scale.
**About the Job:**
 SmartAsset is looking for a seasoned Senior Data Engineer with 7\+ years of hands\-on experience to help build and optimize the backbone of our data platform. In this role, you'll design and implement high\-impact, cloud\-native solutions that improve data reliability, reduce latency, and scale with our growing business. You'll play a key role in enabling data products, real\-time analytics, and cross\-functional decision\-making by delivering clean, well\-structured, and accessible data.
**Responsibilities** 
 :
 Architect, design, implement, and operate end\-to\-end data engineering solutions using Agile methodology.
* Develop and manage robust data integrations with external vendors and organizations (including complex API integrations).
* Collaborate closely with Data Analysts, Data Scientists, DBAs, and cross\-functional teams to understand requirements and deliver high\-impact data solutions.
* Lead and take ownership of assigned technical projects in a fast\-paced environment.
* Drive continuous improvement in the quality, security, efficiency, and scalability of our data pipelines and infrastructure.
**Skills/Experience you have** 
**:**
* Bachelor of Science degree in Computer Science or equivalent practical experience.
* 4\+ years of dedicated experience building and maintaining complex ETL/ELT pipelines.
* 3\+ years of Python development experience, specifically building production\-grade data APIs using FastAPI or similar frameworks.
* Strong expertise in SQL, including advanced query optimization and performance tuning.
* Expert\-level proficiency in dbt implementation, including managing models, macros, and incremental and dynamic tables.
* Extensive hands\-on experience with Snowflake, including performance optimization, data recovery using Time Travel, and advanced data modeling techniques.
* Practical experience with key AWS data services such as Kinesis, Firehose, Redshift, Spectrum, Elastic MapReduce, and Lambda; and container orchestration services like ECS and EKS for deploying and managing data applications.
**Skills/Experience preferred** 
 :
* Proven experience designing and building near real\-time data processing systems.
* Experience with data observability tools for proactive monitoring of data quality, lineage, and pipeline health.
* Familiarity with modern data orchestration platforms such as Argo or Airflow.
* Hands\-on experience with the full software development lifecycle (SDLC), including strong CI/CD practices for data pipelines and proficiency with data testing frameworks.
* Demonstrated ability to identify and adopt new technologies that improve data quality and reliability.
* Deep understanding of the data lifecycle, emphasizing the importance of high\-quality data in applications, machine learning, business analytics, and reporting.
* Proven track record of mentoring junior team members.
* Experience with data ingestion tools like Singer is a plus.
* Knowledge of analytics tools such as Tableau, Plotly, and Pandas.
* Experience in the financial services industry.
**Physical Requirements:**
* Prolonged periods of sitting at a desk and working on a computer
* Must be able to communicate via phone calls and/or video conferences (mainly for concierge and sales roles)
**Available Benefits and Perks:**
* All roles at SmartAsset are currently and will remain remote \- flexibility to work from anywhere in the Contiguous US.
* Medical, Dental, Vision \- multiple packages available based on your individualized needs
* Life/AD\&amp;D Insurance \- basic coverage at 100% company paid, additional supplemental available
* Supplemental Short\-term and Long\-term Disability
* FSA: Medical and Dependant Care
* 401K
* Equity packages for each role
* Time Off: Vacation, Sick and Parental Leave
* EAP (Employee Assistance Program)
* Financial Literacy Mentoring Program
* Pet Insurance
* Home Office Stipend
*SmartAsset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Recruiting@smartasset.com.*
*California, Colorado, Connecticut, Maryland, Nevada, Rhode Island, Washington, and New York City residents\* $135,500 \- $200,000* 
*\+ RSUs \+ benefits.*
*Salary at SmartAsset is determined based on permissible, non\-discriminatory factors such as skills, experience, and geographic location within the contiguous United States.*</t>
        </is>
      </c>
    </row>
    <row r="3">
      <c r="A3" t="inlineStr">
        <is>
          <t>li-4364662738</t>
        </is>
      </c>
      <c r="B3" t="inlineStr">
        <is>
          <t>Data Engineer</t>
        </is>
      </c>
      <c r="C3" t="inlineStr">
        <is>
          <t>Summit Tech Partners</t>
        </is>
      </c>
      <c r="D3" t="inlineStr">
        <is>
          <t>linkedin</t>
        </is>
      </c>
      <c r="E3" t="inlineStr"/>
      <c r="F3" t="inlineStr"/>
      <c r="G3" t="inlineStr">
        <is>
          <t>Alpharetta, GA</t>
        </is>
      </c>
      <c r="H3" t="inlineStr"/>
      <c r="I3" t="inlineStr">
        <is>
          <t>**Data Engineer** 
**Location:** 
 Alpharetta, GA (Hybrid Onsite)
**Employment Type:** 
 Full‑time / Consulting
**Work Authorization:** 
 Must work directly on W‑2\. No sponsorship available. No C2C, CTH, subcontracting, or third‑party vendors permitted.
**About the Role** 
 The Data Engineer will design, build, and maintain data pipelines and platforms that support large‑scale analytics and data‑driven applications. You’ll work with modern data technologies, distributed systems, and cloud platforms to ensure reliable, scalable, and high‑quality data delivery across the organization. This role requires strong SQL and Python skills, along with a solid understanding of ETL and big‑data concepts.
**Responsibilities** 
* Develop and maintain scalable ETL/ELT pipelines using SQL, Python, and modern data frameworks.
* Work with distributed data processing tools such as Spark, Hive, and Airflow.
* Build and optimize data workflows across structured and unstructured data sources.
* Collaborate with engineering and analytics teams to design robust data architectures.
* Implement data quality checks, validation processes, and governance standards.
* Integrate streaming and messaging technologies into data pipelines.
* Support cloud‑based data solutions and contribute to platform modernization efforts.
* Optimize performance for large‑scale datasets and high‑volume processing.
**Minimum Qualifications** 
* Strong proficiency in
 **SQL** 
 .
* Experience with
 **Python** 
 for data processing.
* Understanding of
 **ETL concepts** 
 and data transformation workflows.
**Preferred Qualifications** 
* Familiarity with the
 **Hadoop ecosystem** 
 and distributed data processing.
* Experience with
 **Kafka** 
 or other streaming platforms.
* Hands‑on experience with
 **Spark** 
 ,
 **Hive** 
 , or
 **Airflow** 
 .
* Knowledge of
 **cloud data platforms** 
 (AWS, GCP, or Azure).
* Experience working with
 **NoSQL databases** 
 .
* Understanding of
 **big data architecture** 
 and scalable system design.
* Experience with
 **performance tuning** 
 for large‑scale data systems.
* Background in
 **data governance** 
 , security practices, and compliance.
* Exposure to
 **AI‑driven data processing** 
 or intelligent automation.
**About You** 
 You enjoy building reliable data systems, solving complex data challenges, and working with modern data technologies. You’re detail‑oriented, collaborative, and passionate about enabling high‑quality data for analytics and engineering teams.</t>
        </is>
      </c>
    </row>
    <row r="4">
      <c r="A4" t="inlineStr">
        <is>
          <t>li-4364911122</t>
        </is>
      </c>
      <c r="B4" t="inlineStr">
        <is>
          <t>Data Engineer, Sr.</t>
        </is>
      </c>
      <c r="C4" t="inlineStr">
        <is>
          <t>BNSF Railway</t>
        </is>
      </c>
      <c r="D4" t="inlineStr">
        <is>
          <t>linkedin</t>
        </is>
      </c>
      <c r="E4" t="inlineStr"/>
      <c r="F4" t="inlineStr"/>
      <c r="G4" t="inlineStr"/>
      <c r="H4" t="inlineStr"/>
      <c r="I4" t="inlineStr">
        <is>
          <t>**About The Company**
 BNSF Railway is one of the largest and most comprehensive freight rail networks in North America, transporting the nation's freight across 28 western states and three Canadian provinces. Committed to safety, inclusion, and excellence, BNSF plays a vital role in supporting the movement of essential products and materials that sustain communities and economies. The company prides itself on fostering a culture of innovation, collaboration, and continuous improvement, ensuring that its operations remain efficient, reliable, and environmentally responsible. BNSF's dedicated workforce and cutting\-edge technology divisions work together to uphold its reputation as a leader in freight transportation, making a significant impact on supply chains across North America and beyond.
**About The Role**
 We are seeking a highly skilled Data \&amp; AI Lead to join our innovative BNSF \| Tech division. In this remote position within the United States, you will be at the forefront of transforming BNSF into a data\-driven enterprise by designing and implementing advanced data streaming solutions, developing robust data pipelines, and managing large\-scale data warehouses. Your expertise will help optimize data workflows, ensure data security and compliance, and support the company’s strategic objectives through innovative data engineering practices. This role offers an exciting opportunity to contribute to a transformative journey in freight rail technology, working closely with data scientists, analysts, and stakeholders to deliver impactful data solutions that drive operational excellence and business intelligence.
**Qualifications**
* Minimum 6 years of experience in software engineering, data engineering, database management, or relevant fields
* Proficiency in programming languages such as Python, SQL, and Java
* Strong understanding of data warehousing concepts, including dimensional modeling and star schema
* Experience with ETL processes and cloud\-based solutions
* Familiarity with database management systems (SQL, NoSQL) and modern lakehouse technologies like Apache Iceberg, Delta Lake, Apache Trino
* Hands\-on experience with data streaming technologies such as Apache Kafka, AWS Kinesis, Apache Flink, and Apache Spark
* Experience in data pipeline orchestration, data mart creation, and certified datasets
* Knowledge of DevSecOps standards, source control tools like Jenkins and GitHub
* Excellent problem\-solving skills and attention to detail
* Strong communication and collaboration skills
* Ability to learn new technologies quickly and adapt in a dynamic environment
* Authorization to work in the United States; willingness to travel up to 20%
**Responsibilities**
* Design and implement real\-time data streaming solutions to process large volumes of data efficiently
* Develop, maintain, and optimize data pipelines for both real\-time and batch processing, including ETL workflows
* Create and manage large\-scale data warehouses to support analytics and business intelligence initiatives
* Integrate data from diverse sources to produce certified, accurate, and reliable datasets
* Collaborate with data scientists, analysts, and stakeholders to understand data needs and deliver tailored solutions
* Monitor and troubleshoot data pipelines to ensure high performance, scalability, and reliability
* Ensure compliance with data security standards and industry regulations
* Stay updated with industry trends, emerging technologies, and advancements in data science, data engineering, and machine learning
* Write clean, well\-documented code with comprehensive testing and validation
* Lead the implementation of data engineering solutions into production environments, overseeing design, development, and monitoring
**Benefits**
* Industry\-leading 401(k) plan and comprehensive Railroad Retirement benefits
* Extensive health care options including medical, dental, vision, and mental health support
* Health savings accounts (HSA) with employer contributions, life and disability insurance
* Family support programs including parental leave, pediatric care, family building assistance, adoption, and surrogacy reimbursements
* Discount programs on travel, gym memberships, counseling, and wellness services
* Annual incentive compensation and bonus opportunities
* Resources and tools to support professional growth and development in an inclusive environment
 Equal Opportunity
 BNSF Railway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protected veteran status. We encourage individuals from all backgrounds to apply and contribute to our ongoing success.</t>
        </is>
      </c>
    </row>
    <row r="5">
      <c r="A5" t="inlineStr">
        <is>
          <t>li-4361920669</t>
        </is>
      </c>
      <c r="B5" t="inlineStr">
        <is>
          <t>Data Engineer</t>
        </is>
      </c>
      <c r="C5" t="inlineStr">
        <is>
          <t>AARATECH</t>
        </is>
      </c>
      <c r="D5" t="inlineStr">
        <is>
          <t>linkedin</t>
        </is>
      </c>
      <c r="E5" t="inlineStr"/>
      <c r="F5" t="inlineStr"/>
      <c r="G5" t="inlineStr"/>
      <c r="H5" t="inlineStr"/>
      <c r="I5"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6">
      <c r="A6" t="inlineStr">
        <is>
          <t>li-4364635851</t>
        </is>
      </c>
      <c r="B6" t="inlineStr">
        <is>
          <t>Data Engineer</t>
        </is>
      </c>
      <c r="C6" t="inlineStr">
        <is>
          <t>Cerium Networks</t>
        </is>
      </c>
      <c r="D6" t="inlineStr">
        <is>
          <t>linkedin</t>
        </is>
      </c>
      <c r="E6" t="inlineStr"/>
      <c r="F6" t="inlineStr"/>
      <c r="G6" t="inlineStr">
        <is>
          <t>Spokane, WA</t>
        </is>
      </c>
      <c r="H6" t="inlineStr"/>
      <c r="I6" t="inlineStr">
        <is>
          <t>**Description**
**About Us**
 Cerium Networks is a leading technology solutions integrator and Managed Services Provider. We connect businesses to their potential. We specialize in advanced cybersecurity, robust communications and networking, and unified communications and collaboration tools. Our services also include contact center management, scalable data platforms for analytics and AI, and 24/7 IT support. With a consultative approach and deep technical expertise, we deliver and support advanced technology solutions to drive innovation and excellence in IT services. Join us to be part of a team committed to excellence.
 We are seeking a skilled Data Engineer to join our dynamic Data \&amp; AI consulting team to help architect and build out modern data estates for our clients. Primary responsibilities focus on post\-sales delivery and strategy of data solutions to our clients.
**What You’ll Do**
* You will be responsible for designing, implementing, and optimizing data solutions for our clients.
* You will deploy data platforms in a medallion architecture for Cerium clients.
* You will leverage advanced data architectures to modernize our clients’ data estates to better integrate with Generative AI platforms.
* You will create data pipelines, develop data models, and provide strategic insights through data analytics and visualization tools.
* You will assist in the adoption of data technologies and provide training and documentation.
* You will help define service offerings for Cerium to design, propose, and sell to clients including products and services to deliver.
* You will support the presales and sales teams in designing and proposing solutions as needed. This includes providing technical consulting services to clients by presenting solutions and performing administrative handoffs to ensure smooth transitions post\-implementation.
**Requirements**
**What We’re Looking For**
**Required**
* Bachelor’s degree in computer science, data science, Information Technology, software engineering, or a related field or equivalent experience.
* 7\+ years of experience in data engineering and solution design.
* Must have experience with Microsoft data solutions, Fabric preferred.
* Experience consulting with clients and translating complex technical concepts into simple, understandable terms for non\-technical audiences.
* Ability to manage multiple tasks, projects, and clients simultaneously.
* Experience and Interest in mentoring Junior Data Professionals.
* Customer service skills and experience.
* Strong organization and documentation abilities.
* Willing to travel 10\-20% of the time depending on client needs.
**Preferred**
* Certifications across data solutions preferred but not required: Microsoft Certified Fabric Analytics Engineer Associate, Microsoft Certified Fabric Data Engineer Associate, Microsoft Certified Azure Data Engineer Associate, Microsoft Certified Azure Data Science Associate
* Experience with Microsoft Fabric.
**Location:** 
 Spokane, WA; Boise, ID; Seattle, WA; Beaverton, OR
**Schedule:** 
 Monday\-Friday, Hybrid (2\-days onsite, 3\-days remote)
**Compensation**
* Pay Range: $110,000 to $150,000
* Actual compensation will vary and may be above or below the range based on various factors including but not limited to location, experience, and performance.
**Benefits**
* Medical, dental and vision Insurance
* Basic term life and AD\&amp;D insurance (fully paid for by the company)
* Paid time off annually: 15 days of PTO and 9 paid holidays
* 401(k) Plan and Employer Matching Contribution of 4%
* Wellness program that includes up to $500 in cash awards
* Employee Assistance Program</t>
        </is>
      </c>
    </row>
    <row r="7">
      <c r="A7" t="inlineStr">
        <is>
          <t>li-4364643964</t>
        </is>
      </c>
      <c r="B7" t="inlineStr">
        <is>
          <t>Data Engineer</t>
        </is>
      </c>
      <c r="C7" t="inlineStr">
        <is>
          <t>Cerium Networks</t>
        </is>
      </c>
      <c r="D7" t="inlineStr">
        <is>
          <t>linkedin</t>
        </is>
      </c>
      <c r="E7" t="inlineStr"/>
      <c r="F7" t="inlineStr"/>
      <c r="G7" t="inlineStr">
        <is>
          <t>Boise, ID</t>
        </is>
      </c>
      <c r="H7" t="inlineStr"/>
      <c r="I7" t="inlineStr">
        <is>
          <t>**Description**
**About Us**
 Cerium Networks is a leading technology solutions integrator and Managed Services Provider. We connect businesses to their potential. We specialize in advanced cybersecurity, robust communications and networking, and unified communications and collaboration tools. Our services also include contact center management, scalable data platforms for analytics and AI, and 24/7 IT support. With a consultative approach and deep technical expertise, we deliver and support advanced technology solutions to drive innovation and excellence in IT services. Join us to be part of a team committed to excellence.
 We are seeking a skilled Data Engineer to join our dynamic Data \&amp; AI consulting team to help architect and build out modern data estates for our clients. Primary responsibilities focus on post\-sales delivery and strategy of data solutions to our clients.
**What You’ll Do**
* You will be responsible for designing, implementing, and optimizing data solutions for our clients.
* You will deploy data platforms in a medallion architecture for Cerium clients.
* You will leverage advanced data architectures to modernize our clients’ data estates to better integrate with Generative AI platforms.
* You will create data pipelines, develop data models, and provide strategic insights through data analytics and visualization tools.
* You will assist in the adoption of data technologies and provide training and documentation.
* You will help define service offerings for Cerium to design, propose, and sell to clients including products and services to deliver.
* You will support the presales and sales teams in designing and proposing solutions as needed. This includes providing technical consulting services to clients by presenting solutions and performing administrative handoffs to ensure smooth transitions post\-implementation.
**Requirements**
**What We’re Looking For**
**Required**
* Bachelor’s degree in computer science, data science, Information Technology, software engineering, or a related field or equivalent experience.
* 7\+ years of experience in data engineering and solution design.
* Must have experience with Microsoft data solutions, Fabric preferred.
* Experience consulting with clients and translating complex technical concepts into simple, understandable terms for non\-technical audiences.
* Ability to manage multiple tasks, projects, and clients simultaneously.
* Experience and Interest in mentoring Junior Data Professionals.
* Customer service skills and experience.
* Strong organization and documentation abilities.
* Willing to travel 10\-20% of the time depending on client needs.
**Preferred**
* Certifications across data solutions preferred but not required: Microsoft Certified Fabric Analytics Engineer Associate, Microsoft Certified Fabric Data Engineer Associate, Microsoft Certified Azure Data Engineer Associate, Microsoft Certified Azure Data Science Associate
* Experience with Microsoft Fabric.
**Location:** 
 Spokane, WA; Boise, ID; Seattle, WA; Beaverton, OR
**Schedule:** 
 Monday\-Friday, Hybrid (2\-days onsite, 3\-days remote)
**Compensation**
* Pay Range: $110,000 to $150,000
* Actual compensation will vary and may be above or below the range based on various factors including but not limited to location, experience, and performance.
**Benefits**
* Medical, dental and vision Insurance
* Basic term life and AD\&amp;D insurance (fully paid for by the company)
* Paid time off annually: 15 days of PTO and 9 paid holidays
* 401(k) Plan and Employer Matching Contribution of 4%
* Wellness program that includes up to $500 in cash awards
* Employee Assistance Program</t>
        </is>
      </c>
    </row>
    <row r="8">
      <c r="A8" t="inlineStr">
        <is>
          <t>li-4364619086</t>
        </is>
      </c>
      <c r="B8" t="inlineStr">
        <is>
          <t>Data Engineer</t>
        </is>
      </c>
      <c r="C8" t="inlineStr">
        <is>
          <t>Cerium Networks</t>
        </is>
      </c>
      <c r="D8" t="inlineStr">
        <is>
          <t>linkedin</t>
        </is>
      </c>
      <c r="E8" t="inlineStr"/>
      <c r="F8" t="inlineStr"/>
      <c r="G8" t="inlineStr">
        <is>
          <t>Seattle, WA</t>
        </is>
      </c>
      <c r="H8" t="inlineStr"/>
      <c r="I8" t="inlineStr">
        <is>
          <t>**Description**
**About Us**
 Cerium Networks is a leading technology solutions integrator and Managed Services Provider. We connect businesses to their potential. We specialize in advanced cybersecurity, robust communications and networking, and unified communications and collaboration tools. Our services also include contact center management, scalable data platforms for analytics and AI, and 24/7 IT support. With a consultative approach and deep technical expertise, we deliver and support advanced technology solutions to drive innovation and excellence in IT services. Join us to be part of a team committed to excellence.
 We are seeking a skilled Data Engineer to join our dynamic Data \&amp; AI consulting team to help architect and build out modern data estates for our clients. Primary responsibilities focus on post\-sales delivery and strategy of data solutions to our clients.
**What You’ll Do**
* You will be responsible for designing, implementing, and optimizing data solutions for our clients.
* You will deploy data platforms in a medallion architecture for Cerium clients.
* You will leverage advanced data architectures to modernize our clients’ data estates to better integrate with Generative AI platforms.
* You will create data pipelines, develop data models, and provide strategic insights through data analytics and visualization tools.
* You will assist in the adoption of data technologies and provide training and documentation.
* You will help define service offerings for Cerium to design, propose, and sell to clients including products and services to deliver.
* You will support the presales and sales teams in designing and proposing solutions as needed. This includes providing technical consulting services to clients by presenting solutions and performing administrative handoffs to ensure smooth transitions post\-implementation.
**Requirements**
**What We’re Looking For**
**Required**
* Bachelor’s degree in computer science, data science, Information Technology, software engineering, or a related field or equivalent experience.
* 7\+ years of experience in data engineering and solution design.
* Must have experience with Microsoft data solutions, Fabric preferred.
* Experience consulting with clients and translating complex technical concepts into simple, understandable terms for non\-technical audiences.
* Ability to manage multiple tasks, projects, and clients simultaneously.
* Experience and Interest in mentoring Junior Data Professionals.
* Customer service skills and experience.
* Strong organization and documentation abilities.
* Willing to travel 10\-20% of the time depending on client needs.
**Preferred**
* Certifications across data solutions preferred but not required: Microsoft Certified Fabric Analytics Engineer Associate, Microsoft Certified Fabric Data Engineer Associate, Microsoft Certified Azure Data Engineer Associate, Microsoft Certified Azure Data Science Associate
* Experience with Microsoft Fabric.
**Location:** 
 Spokane, WA; Boise, ID; Seattle, WA; Beaverton, OR
**Schedule:** 
 Monday\-Friday, Hybrid (2\-days onsite, 3\-days remote)
**Compensation**
* Pay Range: $110,000 to $150,000
* Actual compensation will vary and may be above or below the range based on various factors including but not limited to location, experience, and performance.
**Benefits**
* Medical, dental and vision Insurance
* Basic term life and AD\&amp;D insurance (fully paid for by the company)
* Paid time off annually: 15 days of PTO and 9 paid holidays
* 401(k) Plan and Employer Matching Contribution of 4%
* Wellness program that includes up to $500 in cash awards
* Employee Assistance Program</t>
        </is>
      </c>
    </row>
    <row r="9">
      <c r="A9" t="inlineStr">
        <is>
          <t>li-4364830046</t>
        </is>
      </c>
      <c r="B9" t="inlineStr">
        <is>
          <t>Data Engineer</t>
        </is>
      </c>
      <c r="C9" t="inlineStr">
        <is>
          <t>Calyptus</t>
        </is>
      </c>
      <c r="D9" t="inlineStr">
        <is>
          <t>linkedin</t>
        </is>
      </c>
      <c r="E9" t="inlineStr"/>
      <c r="F9" t="inlineStr"/>
      <c r="G9" t="inlineStr">
        <is>
          <t>New York, United States</t>
        </is>
      </c>
      <c r="H9" t="inlineStr"/>
      <c r="I9"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10">
      <c r="A10" t="inlineStr">
        <is>
          <t>li-4360468290</t>
        </is>
      </c>
      <c r="B10" t="inlineStr">
        <is>
          <t>Data Engineer</t>
        </is>
      </c>
      <c r="C10" t="inlineStr">
        <is>
          <t>V3 Staffing</t>
        </is>
      </c>
      <c r="D10" t="inlineStr">
        <is>
          <t>linkedin</t>
        </is>
      </c>
      <c r="E10" t="inlineStr"/>
      <c r="F10" t="inlineStr"/>
      <c r="G10" t="inlineStr">
        <is>
          <t>Stamford, CT</t>
        </is>
      </c>
      <c r="H10" t="inlineStr"/>
      <c r="I10" t="inlineStr">
        <is>
          <t>**🔥 Data Engineer – Hybrid \| Stamford, CT** 
**Nationwide Candidates Welcome** 
 ✈️
 **Relocation Assistance \&amp; Visa Sponsorship Available** 
 We are hiring an experienced
 **Data Engineer** 
 to join our
 **Realtime Order Analytics and Reporting team** 
 based in
 **Stamford, Connecticut** 
 .
 In this role, you will work on
 **real\-time financial transaction data** 
 , building
 **scalable AWS\-based data pipelines** 
 that support
 **business intelligence, analytics, and regulatory reporting** 
 .
 This is a
 **hybrid opportunity** 
 offering strong compensation, long\-term stability, and exposure to enterprise\-scale data systems.
 🔍 Keywords
 Data Engineer, AWS Data Engineer, Python Data Engineer, PySpark Developer, ETL Developer, Big Data Engineer, Kafka Data Engineer, AWS Glue, Athena, EMR, S3, Financial Data Engineering, Hybrid Jobs USA, Stamford CT Jobs
 👨 💻 About the Team
 You will be part of the
 **Realtime Order Analytics and Reporting Team** 
 , a high\-impact group responsible for transforming
 **high\-volume financial transaction data** 
 into:
* Actionable business insights
* Regulatory compliance reports
* Real\-time analytics dashboards
 The team focuses on
 **automation, scalability, and zero\-maintenance data platforms** 
 .
 💼 Key Responsibilities
 As a
 **Data Engineer** 
 , you will:
* Design, develop, and maintain
 **ETL and data pipelines** 
 using AWS services
* Process real\-time data from
 **Kafka streams and S3 storage**
* Build scalable data solutions using
 **Python, PySpark, and PyAthena**
* Develop data transformation logic for analytics and regulatory reporting
* Design optimized
 **data models and schemas**
* Implement
 **automated data quality checks and monitoring**
* Troubleshoot and resolve data pipeline and performance issues
* Contribute to
 **data architecture and infrastructure decisions**
* Ensure systems meet
 **performance, security, and compliance standards**
* Continuously improve data pipelines for
 **scalability and reduced maintenance**
 ✅ Required Qualifications
* Bachelor’s or Master’s degree in
 **Computer Science or related field**
* **3\+ years of professional Data Engineering experience**
* Strong hands\-on experience with:
* **Python** 
 (as a primary programming language)
* **PySpark**
* **PyAthena**
* **ETL pipeline development**
* Solid experience with:
* **AWS services – S3, Glue, Athena, EMR**
* **Kafka or streaming data platforms**
* **SQL and database systems**
* **Pandas or NumPy**
* Experience with
 **Linux operating systems**
* Strong analytical and problem\-solving skills
* Good communication and documentation abilities
 💎 Why This Is a Great Opportunity
* 💰 Competitive salary \+
 **30% performance\-based bonus**
* 📈 Stock grants
* 🏦 401(k) with strong company match
* 🏥 Company\-paid medical insurance
* 🧘 Wellness programs, EAP, health coaching
* 🍼 Generous parental leave policy
* 🍽️ Daily lunch allowance
* 🥗 Fully stocked kitchen with healthy snacks
* 🎉 Corporate events, team outings \&amp; sports activities
* 📚 Education reimbursement \&amp; learning programs
* 🖥️ Modern office setup with multi\-monitor workstations
 📍 Location
**Stamford, Connecticut – Hybrid Work Model** 
 🌎
 **Nationwide candidates welcome** 
 ✈️
 **Relocation assistance \&amp; visa sponsorship available** 
 \#DataEngineer \#AWSDataEngineer \#PythonJobs \#PySpark
 \#ETLDeveloper \#BigDataJobs \#Kafka \#HybridJobs
 \#StamfordCTJobs \#USJobs \#HiringNow \#TechJobs</t>
        </is>
      </c>
    </row>
    <row r="11">
      <c r="A11" t="inlineStr">
        <is>
          <t>li-4364840692</t>
        </is>
      </c>
      <c r="B11" t="inlineStr">
        <is>
          <t>Data Engineer</t>
        </is>
      </c>
      <c r="C11" t="inlineStr">
        <is>
          <t>Cerium Networks</t>
        </is>
      </c>
      <c r="D11" t="inlineStr">
        <is>
          <t>linkedin</t>
        </is>
      </c>
      <c r="E11" t="inlineStr"/>
      <c r="F11" t="inlineStr"/>
      <c r="G11" t="inlineStr">
        <is>
          <t>Beaverton, OR</t>
        </is>
      </c>
      <c r="H11" t="inlineStr"/>
      <c r="I11" t="inlineStr">
        <is>
          <t>**Description**
**About Us**
 Cerium Networks is a leading technology solutions integrator and Managed Services Provider. We connect businesses to their potential. We specialize in advanced cybersecurity, robust communications and networking, and unified communications and collaboration tools. Our services also include contact center management, scalable data platforms for analytics and AI, and 24/7 IT support. With a consultative approach and deep technical expertise, we deliver and support advanced technology solutions to drive innovation and excellence in IT services. Join us to be part of a team committed to excellence.
 We are seeking a skilled Data Engineer to join our dynamic Data \&amp; AI consulting team to help architect and build out modern data estates for our clients. Primary responsibilities focus on post\-sales delivery and strategy of data solutions to our clients.
**What You’ll Do**
* You will be responsible for designing, implementing, and optimizing data solutions for our clients.
* You will deploy data platforms in a medallion architecture for Cerium clients.
* You will leverage advanced data architectures to modernize our clients’ data estates to better integrate with Generative AI platforms.
* You will create data pipelines, develop data models, and provide strategic insights through data analytics and visualization tools.
* You will assist in the adoption of data technologies and provide training and documentation.
* You will help define service offerings for Cerium to design, propose, and sell to clients including products and services to deliver.
* You will support the presales and sales teams in designing and proposing solutions as needed. This includes providing technical consulting services to clients by presenting solutions and performing administrative handoffs to ensure smooth transitions post\-implementation.
**Requirements**
**What We’re Looking For**
**Required**
* Bachelor’s degree in computer science, data science, Information Technology, software engineering, or a related field or equivalent experience.
* 7\+ years of experience in data engineering and solution design.
* Must have experience with Microsoft data solutions, Fabric preferred.
* Experience consulting with clients and translating complex technical concepts into simple, understandable terms for non\-technical audiences.
* Ability to manage multiple tasks, projects, and clients simultaneously.
* Experience and Interest in mentoring Junior Data Professionals.
* Customer service skills and experience.
* Strong organization and documentation abilities.
* Willing to travel 10\-20% of the time depending on client needs.
**Preferred**
* Certifications across data solutions preferred but not required: Microsoft Certified Fabric Analytics Engineer Associate, Microsoft Certified Fabric Data Engineer Associate, Microsoft Certified Azure Data Engineer Associate, Microsoft Certified Azure Data Science Associate
* Experience with Microsoft Fabric.
**Location:** 
 Spokane, WA; Boise, ID; Seattle, WA; Beaverton, OR
**Schedule:** 
 Monday\-Friday, Hybrid (2\-days onsite, 3\-days remote)
**Compensation**
* Pay Range: $110,000 to $150,000
* Actual compensation will vary and may be above or below the range based on various factors including but not limited to location, experience, and performance.
**Benefits**
* Medical, dental and vision Insurance
* Basic term life and AD\&amp;D insurance (fully paid for by the company)
* Paid time off annually: 15 days of PTO and 9 paid holidays
* 401(k) Plan and Employer Matching Contribution of 4%
* Wellness program that includes up to $500 in cash awards
* Employee Assistance Program</t>
        </is>
      </c>
    </row>
    <row r="12">
      <c r="A12" t="inlineStr">
        <is>
          <t>li-4364637092</t>
        </is>
      </c>
      <c r="B12" t="inlineStr">
        <is>
          <t>Data Engineer</t>
        </is>
      </c>
      <c r="C12" t="inlineStr">
        <is>
          <t>Mass General Brigham</t>
        </is>
      </c>
      <c r="D12" t="inlineStr">
        <is>
          <t>linkedin</t>
        </is>
      </c>
      <c r="E12" t="inlineStr"/>
      <c r="F12" t="inlineStr"/>
      <c r="G12" t="inlineStr">
        <is>
          <t>Somerville, MA</t>
        </is>
      </c>
      <c r="H12" t="inlineStr"/>
      <c r="I12" t="inlineStr">
        <is>
          <t>Site: Mass General Brigham Incorporated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The Data Engineer will be a member of the Psychiatry Neuroimaging Laboratory (PNL), an active neuroimaging research group at Brigham and Women’s Hospital focused on understanding brain abnormalities and their role in neuropsychiatric disorders using state\-of\-the\-art neuroimaging techniques. The team consists of a dynamic, interdisciplinary and international group investigating the role of brain abnormalities in a variety of brain disorders.
 This research group is also actively developing new technology to characterize brain structure and function, which has led to the design of state\-of\-the\-art image analysis pipelines capable of robustly processing hundreds of neuroimaging datasets.
 The group has been continuously funded through grant support from the National Institute of Mental Health, the National Institute of Neurological Disorders and Stroke, the Eunice Kennedy Shriver National Institute of Child Health and Human Development, the Department of Defense, the Veterans Medical Administration, and a variety of other public and private foundations.
****Qualifications****
 Relevant activities include, but are not limited to the following:
* Maintain and enhance existing image processing pipelines.
* Design new image processing pipelines, with an emphasis on version tracking, data provenance, and high performance computing.
* Develop neuroinformatics tools to track data provenance and project management.
* Test and evaluate a range of neuroimaging packages to determine their suitability for research goals.
* Regular, direct interaction with neuroscientists from within and outside the lab to assist them with neuroimaging data analysis using a range of methods including FSL, SPM, 3DSlicer, MNE and other specialized tools.
* Design, implement, test, maintain and support applications to capture, manage, archive and monitor multi\-site, multi\-modal study data. Applications may include but are not limited to study monitoring systems, data management systems, workflow execution and monitoring systems, interactive viewers, and reporting tools.
* Support web application deployment and server configuration.
* Support data engineering efforts, including database and API design, data extraction/transformation/load, and data aggregation/integration, graphical user interface design.
* Containerize (Docker/Singularity) and deploy software on local high performance computing platforms and cloud computing infrastructure (AWS/Azure).
****Qualifications** 
 :**
 Required:
* Bachelor’s Degree in Computer Science, Biomedical Engineering, Bioinformatics, Electrical Engineering, Data Science, or a related field.
* Excellent programming skills in Python, Bash, MATLAB.
* Superior Linux/Unix skills and comfort with command line programs – the ability to get new programs and packages running, overcoming hurdles as they arise, is particularly helpful.
* Familiarity with standard software evolution method—version controlling (Git), pull requests, code reviews, issue and release management.
* Ability to work in an interdisciplinary, diverse, and international team in a highly collaborative and intellectually challenging environment.
* Excellent oral and written communication skills.
**Preferred:**
* Basic knowledge of neuroscience and neuroanatomy.
* Understanding of structural, diffusion, and functional Magnetic Resonance Imaging and electroencephalography (EEG)
* Master’s degree in Computer Science, Biomedical Engineering, Bioinformatics, Electrical Engineering, Data Science, or a related field.
* Familiarity with C/C\+\+ programming.
* Experience in neuroimaging software FSL, FreeSurfer, 3DSlicer, DIPY, Nipype, MNE, Neurodocker, REDCap, XNAT.
* Experience with database management systems (e.g., SQL, PostgreSQL, MongoDB, CouchDB).
* Experience with at least one web framework for building web applications (e.g., Plotly, WordPress, HTML/CSS, React).
****Physical Requirements****
**Additional Job Details (if applicable)**
* Standing Occasionally (3\-33%)
* Walking Occasionally (3\-33%)
* Sitting Constantly (67\-100%)
* Lifting Occasionally (3\-33%) 20lbs \- 35lbs
* Carrying Occasionally (3\-33%) 20lbs \- 35lbs
* Pushing Rarely (Less than 2%)
* Pulling Rarely (Less than 2%)
* Climbing Rarely (Less than 2%)
* Balancing Occasionally (3\-33%)
* Stooping Occasionally (3\-33%)
* Kneeling Rarely (Less than 2%)
* Crouching Rarely (Less than 2%)
* Crawling Rarely (Less than 2%)
* Reaching Occasionally (3\-33%)
* Gross Manipulation (Handling) Constantly (67\-100%)
* Fine Manipulation (Fingering) Frequently (34\-66%)
* Feeling Constantly (67\-100%)
* Foot Use Rarely (Less than 2%)
* Vision \- Far Constantly (67\-100%)
* Vision \- Near Constantly (67\-100%)
* Talking Constantly (67\-100%)
* Hearing Constantly (67\-100%)
**Remote Type**
 Onsite
**Work Location**
 399 Revolution Drive
**Scheduled Weekly Hours**
 40
**Employee Type**
 Regular
**Work Shift**
 Day (United States of America)
**Pay Range**
 $73,798\.40 \- $107,400\.80/Annual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0100 Mass General Brigham Incorporated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13">
      <c r="A13" t="inlineStr">
        <is>
          <t>li-4362050369</t>
        </is>
      </c>
      <c r="B13" t="inlineStr">
        <is>
          <t>Data Engineer</t>
        </is>
      </c>
      <c r="C13" t="inlineStr">
        <is>
          <t>AARATECH</t>
        </is>
      </c>
      <c r="D13" t="inlineStr">
        <is>
          <t>linkedin</t>
        </is>
      </c>
      <c r="E13" t="inlineStr"/>
      <c r="F13" t="inlineStr"/>
      <c r="G13" t="inlineStr"/>
      <c r="H13" t="inlineStr"/>
      <c r="I1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4">
      <c r="A14" t="inlineStr">
        <is>
          <t>li-4346594760</t>
        </is>
      </c>
      <c r="B14" t="inlineStr">
        <is>
          <t>Data Engineer</t>
        </is>
      </c>
      <c r="C14" t="inlineStr">
        <is>
          <t>Elder Research</t>
        </is>
      </c>
      <c r="D14" t="inlineStr">
        <is>
          <t>linkedin</t>
        </is>
      </c>
      <c r="E14" t="inlineStr"/>
      <c r="F14" t="inlineStr"/>
      <c r="G14" t="inlineStr">
        <is>
          <t>Raleigh, NC</t>
        </is>
      </c>
      <c r="H14" t="inlineStr"/>
      <c r="I14" t="inlineStr">
        <is>
          <t>**Job Title: Data Engineer**
**Location(s): Raleigh, NC OR Charlottesville, VA**
**Workplace: Hybrid \- Due to in\-office requirements, candidates must be local to either Raleigh, NC or Charlottesville, VA. Relocation assistance is not available**
**Clearance Required: Not required, BUT YOU MUST BE ELIGIBLE FOR A CLEARANCE**
**Position Overview**
 Elder Research, Inc. (ERI) is seeking to hire a Data Engineer with strong engineering skills who will provide technical support across multiple project teams by leading, designing, and implementing the software and data architectures necessary to deliver analytics to our clients, as well as providing consulting and training support to client teams in the areas of architecture, data engineering, ML engineering and/or related areas. The ideal candidate will have a strong command of
 **Python** 
 for data analysis and engineering tasks, a demonstrated ability to create reports and visualizations using tools like
 **R, Python, SQL, or Power BI** 
 , and deep expertise in
 **Microsoft Azure environments** 
 . The candidate will play a key role in collaborating with cross\-functional teams, including software developers, cloud engineers, architects, business leaders, and power users, to deliver innovative data solutions to our clients.
 This role requires a
 **consultative mindset** 
 , excellent communication skills, and a thorough understanding of the
 **Software Development Life Cycle (SDLC)** 
 . Candidates should have 5\-8 years of relevant experience and experience in client\-facing or consultative roles.
 **The role will be based out of Raleigh NC or Charlottesville VA and will require 2\-4 days of Business Travel to our customer site every 6 weeks.**
**Key Responsibilities**
**Data Engineering \&amp; Analysis:**
* Develop, optimize, and maintain scalable data pipelines and systems in Azure environments.
* Analyze large, complex datasets to extract insights and support business decision\-making.
* Create detailed and visually appealing reports and dashboards using R, Python, SQL, and Power BI.
**Collaboration \&amp; Consulting**
* Work closely with software developers, cloud engineers, architects, business leaders, and power users to understand requirements and deliver tailored solutions.
* Act as a subject\-matter expert in data engineering and provide guidance on best practices.
* Translate complex technical concepts into actionable business insights for stakeholders.
**Azure Expertise**
* Leverage Azure services such as Azure Data Factory, Azure Synapse Analytics, Azure Databricks, Azure SQL Database, and Azure Blob Storage for data solutions.
* Ensure data architecture is aligned with industry standards and optimized for performance in cloud environments.
**SDLC Proficiency**
* Follow and advocate for SDLC best practices in data engineering projects.
* Collaborate with software development teams to ensure seamless integration of data solutions into applications.
**Required Qualifications**
* Experience: 5\-8 years in data engineering, analytics, or related fields, with a focus on Azure environments.
* Education: Bachelors degree in Computer Science, Data Science, Engineering, or a related field (Master’s degree preferred).
**Technical Skills**
* Programming: Advanced expertise in Python; experience with R is a plus.
* Data Tools: Proficient in SQL, Power BI, and Azure\-native data tools.
* Azure Knowledge: Strong understanding of Azure services, including data integration, storage, and analytics solutions.
* SDLC Knowledge: Proven track record of delivering data solutions following SDLC methodologies.
* Consultative Skills: Strong client\-facing experience with excellent communication and presentation abilities.
* Due to Customer requirements Candidates must be US Citizens or Permanent Residents of the United States of America.
**Preferred Skills And Qualifications**
* Certifications in Azure (e.g., Azure Data Engineer, Azure Solutions Architect).
* Familiarity with Azure Functions, Event Grid, and Logic Apps.
* Hands\-on experience with machine learning frameworks and big data processing tools (e.g., Spark, Hadoop).
* Familiarity with CI/CD pipelines and DevOps practices for data engineering workflows.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15">
      <c r="A15" t="inlineStr">
        <is>
          <t>li-4362050362</t>
        </is>
      </c>
      <c r="B15" t="inlineStr">
        <is>
          <t>Data Engineer</t>
        </is>
      </c>
      <c r="C15" t="inlineStr">
        <is>
          <t>AARATECH</t>
        </is>
      </c>
      <c r="D15" t="inlineStr">
        <is>
          <t>linkedin</t>
        </is>
      </c>
      <c r="E15" t="inlineStr"/>
      <c r="F15" t="inlineStr"/>
      <c r="G15" t="inlineStr"/>
      <c r="H15" t="inlineStr"/>
      <c r="I15"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6">
      <c r="A16" t="inlineStr">
        <is>
          <t>li-4361901799</t>
        </is>
      </c>
      <c r="B16" t="inlineStr">
        <is>
          <t>Data Engineer II</t>
        </is>
      </c>
      <c r="C16" t="inlineStr">
        <is>
          <t>PTR Premier Truck Rental</t>
        </is>
      </c>
      <c r="D16" t="inlineStr">
        <is>
          <t>linkedin</t>
        </is>
      </c>
      <c r="E16" t="inlineStr"/>
      <c r="F16" t="inlineStr"/>
      <c r="G16" t="inlineStr"/>
      <c r="H16" t="inlineStr"/>
      <c r="I16" t="inlineStr">
        <is>
          <t>Are you in search of a company that resonates with your proactive spirit and entrepreneurial mindset? Your search ends here with
 **Premier Truck Rental** 
 !
**Company Overview**
 At Premier Truck Rental (PTR), we provide customized commercial fleet rentals nationwide, helping businesses get the right trucks and equipment to get the job done. Headquartered in Fort Wayne, Indiana, PTR is a family\-owned company built on a foundation of integrity, innovation, and exceptional service. We serve a wide range of industries—including construction, utilities, and infrastructure—by delivering high\-quality, ready\-to\-work trucks and trailers tailored to each customer’s needs. At PTR, we don’t just rent trucks—we partner with our customers to drive efficiency and success on every job site.
**POSITION SUMMARY**
 The
 **Data Engineer II** 
 plays a critical role in designing, building, and maintaining reliable, scalable, and high\-quality data pipelines that support the company’s enterprise\-wide analytics platform. Working closely with the Lead Data Architect and the BI team, you will implement modern data integration and transformation workflows using our modern data stack \- Fivetran, Snowflake, dbt, Metaplane, Astronomer, and Sigma. You will also support and maintain existing data processes in the legacy environment to ensure smooth business operations during our transition to the modern data warehouse. This position is ideal for an engineer who thrives on building, problem\-solving, and optimizing data systems in a collaborative, fast\-evolving environment.
**LOCATION**
* Remote (US\-based, Central or Eastern Time Zone preference)
* **5%** 
 travel to company sites may be required
**COMPENSATION**
 This position offers a competitive compensation package, benchmarked to regional market standards. It consists of a base salary plus the opportunity for quarterly profit sharing after one year of employment.
**RESPONSIBILITIES:**
* **Pipeline Development** 
 : Design, build, and maintain robust ELT pipelines using FiveTran, dbt, and Astronomer (Airflow) to ensure accurate and timely data delivery to the Snowflake data warehouse.
* **Data Operations** 
 : Support existing data processes in legacy systems, ensuring data reliability and service continuity during transition and decommissioning.
* **Data Integration** 
 : Develop automated workflows to integrate data from multiple sources into Snowflake, working with external APIs, databases, and enterprise systems.
* **Transformation \&amp; Modeling** 
 : Implement and maintain dbt models aligned with dimensional design standards and business requirements defined by the Lead Data Architect and BI analysts.
* **Quality \&amp; Observability** 
 : Partner with the architect and BI teams to establish robust data quality and observability practices using Metaplane, ensuring trust in all published data assets.
* **Monitoring \&amp; Maintenance** 
 : Manage data pipeline runs, monitor system health, and troubleshoot issues related to performance, scheduling, and data freshness.
* **Collaboration** 
 : Partner cross\-functionally with BI developers, analysts, and data stakeholders to understand business needs and ensure that engineering work supports business priorities.
* **Documentation \&amp; Versioning** 
 : Maintain clear documentation of data pipelines, data mappings, and transformation logic, leveraging Git\-based version control and CI/CD practices.
* **Continuous Improvement** 
 : Identify opportunities to automate manual processes, optimize data performance, and enhance system scalability.
* **Legacy Transition Support** 
 : Assist in incremental migration of data and processes from on\-premises or legacy systems to the modern cloud data platform.
**REQUIREMENTS**
*MUST HAVE*
* Bachelor’s degree in Computer Science, Information Systems, or a related field (or equivalent work experience).
* 4\+ years of experience in data engineering, ETL/ELT development, or backend data platform operations.
* Practical experience with Snowflake, Fivetran, and dbt in building and deploying production data pipelines.
* Familiarity with Astronomer (Apache Airflow) or similar workflow orchestration tools for data pipeline scheduling and monitoring.
* Strong SQL proficiency for data transformation, modeling, and optimization.
* Experience maintaining and enhancing data pipelines in hybrid or legacy environments.
* Hands\-on experience optimizing query performance and managing large datasets.
* Understanding of modern data modeling techniques (Star, Snowflake schemas).
* Experience with version control (Git) and CI/CD practices for data workflows.
* Strong problem\-solving skills, detail orientation, and an ownership mindset in production data operations.
* Effective communication and collaboration skills with technical and non\-technical stakeholders.
*NICE TO HAVE*
* Experience with Metaplane or other data observability tools.
* Familiarity with BI tools such as Sigma, Power BI, or Tableau.
* Exposure to Python scripting for automation or light transformation logic.
* Experience supporting legacy data warehouses (e.g., SQL Server, PostgreSQL) during modernization efforts.
* Knowledge of cloud environments (AWS, Azure, or GCP) and associated data services.
* Understanding of data governance, metadata management, and data privacy compliance standards.
**EMPLOYEE BENEFITS**
**Wellness \&amp; Fitness:** 
 Take advantage of our on\-site CrossFit\-style gym, featuring a full\-time personal trainer dedicated to helping you reach your fitness goals. Whether you're into group classes, virtual personal training, personalized workout plans, or nutrition coaching, we’ve got you covered!
**Exclusive Employee Perks:** 
 PTR Swag \&amp; a Uniform/Boot Allowance, On\-site Micro\-Markets stocked with snacks \&amp; essentials, discounts on phone plans, supplier vehicles, mobile detailing, tools, \&amp; equipment…and much more!
**Positions with incentives (Commissions, or Bonuses, or Profit Sharing):** 
 At PTR, we believe in rewarding success, whether you are in sales earning commissions, or in service and earning profit sharing. Not every position has commission or profit sharing, so ask your recruiter about these amazing incentives.
**Comprehensive Benefits—Starting Day One:**
 ✔
 **Premium healthcare coverage** 
 (medical, dental, vision, mental health \&amp; virtual healthcare)
 ✔
 **401(k) matching** 
 \&amp; long\-term financial planning
 ✔ Paid time off that lets you recharge
 ✔ Life, accidental death, and disability coverage
 ✔ Ongoing learning \&amp; development opportunities
**Training, Growth \&amp; Recognition**
 We partner with Predictive Index assessment tool that helps identify a candidate's natural behavioral drives, such as dominance, extraversion, patient, and formality. It's used in recruiting and throughout the life cycle of an employee to support employee development and engagement.
**Culture \&amp; Connection—More Than Just a Job**
 At PTR, we don’t just build relationships with our customers—we build them with each other. Our tech\-forward, highly collaborative culture is rooted in our core values. Connect and engage through:
 ✔
 **PTR Field Days \&amp; Team Events**
 ✔
 **The Extra Mile Recognition Program**
 ✔
 **PTR Text Alerts \&amp; Open Communication**
**Premier Truck Rental Is an Equal Opportunity Employer**
 We are an equal opportunity employer and all qualified applicants will receive consideration for employment without regard to race, color, religion, sex, national origin, disability status, protected veteran status, or any other characteristic protected by law.
 If you need support or accommodation due to a disability, contact us at
 **recruiting@rentptr.com** 
 —we’re here to help.</t>
        </is>
      </c>
    </row>
    <row r="17">
      <c r="A17" t="inlineStr">
        <is>
          <t>li-4360938801</t>
        </is>
      </c>
      <c r="B17" t="inlineStr">
        <is>
          <t>Data Engineer</t>
        </is>
      </c>
      <c r="C17" t="inlineStr">
        <is>
          <t>AARATECH</t>
        </is>
      </c>
      <c r="D17" t="inlineStr">
        <is>
          <t>linkedin</t>
        </is>
      </c>
      <c r="E17" t="inlineStr"/>
      <c r="F17" t="inlineStr"/>
      <c r="G17" t="inlineStr"/>
      <c r="H17" t="inlineStr"/>
      <c r="I17"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8">
      <c r="A18" t="inlineStr">
        <is>
          <t>li-4362040741</t>
        </is>
      </c>
      <c r="B18" t="inlineStr">
        <is>
          <t>Data Engineer</t>
        </is>
      </c>
      <c r="C18" t="inlineStr">
        <is>
          <t>IntraEdge</t>
        </is>
      </c>
      <c r="D18" t="inlineStr">
        <is>
          <t>linkedin</t>
        </is>
      </c>
      <c r="E18" t="inlineStr"/>
      <c r="F18" t="inlineStr"/>
      <c r="G18" t="inlineStr"/>
      <c r="H18" t="inlineStr"/>
      <c r="I18" t="inlineStr">
        <is>
          <t>IntraEdge has an immediate Full\-Time opportunity in downtown Phoenix for a Data Engineer.
**MUST BE LOCAL TO PHOENIX AND WILLING TO WORK ONSITE DOWNTOWN**
**OUR CLIENT CANNOT SPONSOR \- US CITIZEN OR GREEN CARD ONLY**
 We’re looking for a skilled Data Engineer to join our team in the transportation sector. In this role, you’ll work with modern cloud technologies to build and maintain data pipelines that support analytics, reporting, and operational insights. You’ll be part of a highly collaborative
 **product engineering team** 
 focused on delivering reliable, scalable data solutions that help drive smarter decision\-making across the organization.
**This role operates within an Agile environment using Scrum with strong XP engineering practices,** 
 emphasizing small, frequent deliveries, continuous improvement, Test Driven Development, and shared ownership. You will collaborate daily with product managers, QA, and fellow engineers through standups, backlog refinement, sprint planning, reviews, and retrospectives.
 **Strong verbal and written communication skills are essential,** 
 as active participation in design discussions, pairing, and problem\-solving is a core part of how the team operates on a daily basis.
 This is a great opportunity for someone with solid experience in backend data systems who enjoys solving real\-world problems, working in fast feedback loops, and contributing to continuously evolving data platforms. This is a hybrid position located at our office in downtown Phoenix.
**Key Responsibilities** 
* Design, develop, and maintain cloud\-native data pipelines leveraging Databricks, Microsoft Azure Data Factory, and Microsoft Fabric to support robust data integration and analytics solutions.
* Implement incremental and real\-time data ingestion strategies using medallion architecture for data lake storage.
* Write and optimize complex SQL queries to transform, integrate, and analyze data across enterprise systems.
* Support and troubleshoot legacy data platforms built on SSIS and SQL Server, ensuring high availability and performance of critical data processes.
* Develop features with a focus on scalability, maintainability, testability, and long\-term operability within a continuous delivery mindset.
* Troubleshoot and resolve data integration and quality issues, ensuring reliable data delivery in production environments.
* Participate in proof\-of\-concept projects, technical spikes, and design discussions, providing technical analysis and pragmatic recommendations.
* Collaborate daily with product owners, QA, and engineers through Scrum ceremonies including standups, backlog refinement, sprint planning, sprint reviews, and retrospectives.
* **Apply XP engineering practices such as pairing, incremental delivery, continuous refactoring, and shared code ownership to maintain high\-quality, evolvable systems.**
* **Contribute to automated validation, CI/CD pipelines** 
 , and observability practices to support fast feedback and safe releases.
* Clearly communicate technical ideas, risks, tradeoffs, and progress to both technical and non\-technical stakeholders.
**Required** 
* 5\+ years of experience designing and building data solutions.
* Strong proficiency in SQL and Python for data analytics and transformation.
* Experience with ETL pipeline development and automation.
* Solid understanding of Data Lake architecture and design principles.
* Experience working on
 **Agile teams (Scrum, XP, or similar)** 
 with regular participation in standups, sprint planning, refinement, reviews, and retrospectives.
* Comfort operating in highly collaborative environments with frequent verbal and written communication across engineering, product, and QA.
* Ability to break work into small, iterative deliverables and adapt quickly based on feedback and changing priorities.
* Strong ownership mindset, including accountability for quality, reliability, and maintainability of delivered solutions.
**Preferred** 
* Experience with Azure Cloud services and cloud\-based ETL tools.
* Familiarity with data visualization tools such as Power BI or Tableau.
* Understanding of event\-driven architectures, including queues, batch processing, and pub/sub models.
* Exposure to NoSQL databases like MongoDB or Cassandra.
* Experience working on
 **product engineering teams** 
 delivering customer\-facing or operationally critical systems.
* Familiarity with modern engineering practices inspired by
 **XP** 
 , such as
 **automated testing, pairing, refactoring, and continuous integration.**
* Experience operating systems in production environments with uptime, reliability, and observability expectations.
**Bonus Points For** 
* Experience in Data Science or Machine Learning, particularly in model deployment or feature engineering.
* Experience contributing to engineering standards, documentation, or continuous improvement initiatives within an Agile team.</t>
        </is>
      </c>
    </row>
    <row r="19">
      <c r="A19" t="inlineStr">
        <is>
          <t>li-4362070941</t>
        </is>
      </c>
      <c r="B19" t="inlineStr">
        <is>
          <t>Analytics Engineer</t>
        </is>
      </c>
      <c r="C19" t="inlineStr">
        <is>
          <t>iFIT</t>
        </is>
      </c>
      <c r="D19" t="inlineStr">
        <is>
          <t>linkedin</t>
        </is>
      </c>
      <c r="E19" t="inlineStr"/>
      <c r="F19" t="inlineStr"/>
      <c r="G19" t="inlineStr"/>
      <c r="H19" t="inlineStr"/>
      <c r="I19" t="inlineStr">
        <is>
          <t>iFIT’s vision is to create the world's most holistic health and fitness platform, integrating all elements of health \- physical fitness, mental health, nutrition and active recovery \- into a seamless interactive experience. We develop proprietary software that learns and adjusts to the habits of each person as it delivers immersive content that guides them on their own individual fitness journey.
 At iFIT, we are creating the world's most holistic health and fitness platform. We integrate physical fitness, mental health, nutrition, and active recovery into a seamless, interactive experience. Our proprietary software learns from and adapts to each member, delivering immersive content that guides them on a truly personalized fitness journey. To do this, we need data to be the engine that powers this personalization and our business strategy.
 We are not looking for a traditional analytics engineer who just builds pipelines from a backlog. We are looking for a Forward\-Deployed Analytics Engineer to act as the full\-stack data partner for a key business domain (e.g., Product, Marketing, or Finance).
 Your mission is to embed within that team, deeply understand their challenges and opportunities, and build the end\-to\-end data products that give them a competitive edge. You will be a true owner, moving beyond just transforming data to building the semantic models, BI experiences, and automated insights that drive decisions. Crucially, you will have an AI\-first mindset, relentlessly seeking to leverage generative AI, code assistants, and automated tooling to accelerate development, ensure impeccable data quality, and scale our self\-service capabilities.
 This ambitious pace\-setter will join our team as an Analytics Engineer that will act as the bridge between data engineering and data analysis, ensuring that raw data is transformed into clean, reliable, and accessible datasets that fuel business insights. This role is responsible for building and maintaining robust data models, optimizing data pipelines, and enabling analysts and business teams with trusted, well\-documented data.
 What You'll Achieve
* Become a Strategic Data Partner: Serve as the primary data expert and consultant for your embedded business domain. You won't just take requirements; you will anticipate needs and proactively propose data solutions to strategic business problems.
* Deliver Full\-Stack Data Products: Own the entire analytics development lifecycle, from raw data ingestion and modeling in our data warehouse to the final semantic layer and dashboards that our business teams use every day.
* Champion AI\-Augmented Development: Radically accelerate your workflow by leveraging generative AI and code assistants (e.g., GitHub Copilot, dbt's Semantic Layer) for code generation, automated documentation, and advanced data quality testing.
* Build a Foundation of Trust: Architect and implement robust, scalable, and highly performant data models using dbt and Snowflake, creating a single source of truth that the entire company can rely on.
* Empower the Enterprise: Drive the adoption of self\-service analytics by building intuitive, well\-documented datasets and BI tools (Tableau, Sigma, Looker), enabling stakeholders to answer their own questions with confidence and speed.
 Core Responsibilities
* Collaborate intimately with product managers, marketers, and other stakeholders to translate ambiguous business questions into concrete data requirements and technical specifications.
* Design, build, and own sophisticated data models on Snowflake using dbt, following software engineering best practices (version control, CI/CD, testing).
* Develop and automate AI\-powered data quality checks, anomaly detection, and observability to ensure the highest level of data integrity and trust.
* Optimize our data stack for performance and cost\-efficiency, ensuring our queries are fast and our infrastructure is scalable.
* Build and refine our semantic layer in Snowflake Intelligence, dbt, or BI tools, making data intuitive and accessible for non\-technical users.
* Act as a force multiplier by mentoring analysts and business users, teaching them how to leverage the data products you build.
* Stay on the bleeding edge of the modern data stack and AI in data, constantly experimenting with and recommending new tools and methodologies to improve our capabilities.
 Who You Are
* An Owner: You possess a strong sense of ownership and are driven to see your projects deliver tangible business value from conception to completion.
* A Pragmatic Builder: You have 4\+ years of hands\-on experience in analytics engineering, data engineering, or a similar role, with a strong portfolio of building data models and pipelines in a cloud environment.
* Fluent in Modern Data Tooling:
* Expert\-level SQL and deep experience with data modeling concepts (e.g., star/snowflake schemas, Kimball methodologies).
* Production experience with dbt is a must.
* Hands\-on expertise with a cloud data warehouse like Snowflake, BigQuery, or Redshift.
* Proficiency with Git and CI/CD workflows (e.g., GitHub Actions).
* AI Enthusiast \&amp; Early Adopter: You have demonstrable experience or a palpable passion for using AI tools in your development workflow. You actively seek ways to automate and amplify your impact with intelligent systems.
* A Gifted Translator: You have exceptional communication skills and can effectively bridge the gap between complex technical concepts and business outcomes for non\-technical audiences.
* Business\-Obsessed: You are motivated by solving business problems, not just by technology. You are naturally curious and constantly ask "why" to get to the root of the problem.
**Preferred Qualifications**
* Experience developing in a BI semantic layer (e.g., LookML, Power BI DAX).
* Familiarity with Python for data analysis and orchestration (e.g., Airflow, Dagster).
* Practical experience using LLMs or generative AI tools for code generation, documentation, or data quality.
* Knowledge of data observability and cataloging platforms.
 ROLE COMMITMENTS (align these goals with your team and the company’s goals)
* Optimize the enterprise: Deliver single source of truth data to empower fact based decisions
* Deliver high\-quality consumer experiences: Enable self serve BI coverage and compelling interfaces to serve our internal stakeholders
* Build the most compelling connected health \&amp; fitness platform: Enable fact based decisions across Product Analytics, Customer Analytics, Marketing Analytics, Operational Analytics
**Essential Duties And Responsibilities**
* Design, build, and maintain scalable data models and pipelines that support analytics and business intelligence needs.
* Transform raw data into clean, structured, and accessible datasets using modern data transformation tools (e.g., dbt, SQL).
* Partner with data engineers to ensure reliable data infrastructure and with analysts to deliver usable, well\-documented datasets.
* Implement and maintain data quality frameworks, monitoring systems, and governance practices.
* Optimize SQL queries and data transformations for performance and cost efficiency.
* Collaborate with business stakeholders to understand data requirements and translate them into technical solutions.
* Document data models, definitions, and transformation logic to ensure transparency and knowledge sharing.
* Stay current with industry trends and best practices in analytics engineering and modern data stack technologies.
**Education And Basic Qualifications**
* Bachelor’s degree in Computer Science, Data Science, Engineering, Mathematics, or related field (or equivalent work experience).
* 4\+ years of experience in analytics engineering, data engineering, or business intelligence.
* Strong proficiency in SQL and experience with data modeling (star/snowflake schemas).
* Hands\-on experience with cloud data warehouses (e.g., Snowflake, BigQuery, Redshift)
* Proficiency with data transformation and orchestration tools (e.g., dbt, Airflow, Dagster).
* Experience with version control (Git) and collaborative development workflows.
* Strong problem\-solving skills and attention to detail.
**Preferred Qualifications**
* Familiarity with Python or other scripting languages for data manipulation.
* Experience with BI tools such as Tableau, Sigma, Looker, or Power BI.
* Knowledge of data governance, cataloging, and lineage tracking tools.
* Exposure to DevOps/MLOps practices and CI/CD pipelines.
 Key Competencies
* Analytical mindset with a passion for clean, reliable data.
* Strong communication skills to collaborate across technical and non\-technical teams.
* Ability to translate business needs into scalable technical solutions.
* Continuous learner with an interest in modern data technologies and practices.
**Compensation And Benefits**
 At iFIT, we strive to give our employees a well\-rounded work/life balance and a positive team culture by offering:
* The opportunity to work remotely\-from wherever you are, or the ability to work in beautiful Cache Valley with access to an exceptional outdoor lifestyle, a university campus nearby, and the chance to test the fitness products we create.
* Free mental health resources for employees and dependents
* Career growth and guidance
* Discounts on iFIT Products
* FREE iFIT Membership
* Employee discounts through ADP\-LifeMart
* Full benefits package (Medical, HSA, FSA, Dental, Vision and Life insurance)
* Paid maternity and paid paternity leave
* 401(k) with company match.
* A PTO policy that ensures you can find a happy work\-to\-life balance.
* Access to cutting\-edge technology and hardware for work and fitness.
* Collaborative workspace and environment.
 Compensation may vary based on the job level, your geographic work location, position incentive plan and exemption status.
 Although we can hire in the states listed below, not all positions are available in all locations. List of states we can hire in: AK, AL, AR, AZ, CA, CO, CT, FL, GA, ID, IL, IN, KS, KY, LA, MA, MD, MI, MN, MO, MS, NC, NH, NJ, NV, NY, OH, OK, OR, PA, RI, SC, SD, TN, TX, UT, VA, WA, WI, WY.
 DISCLAIMER
 Your employment at iFIT is "at\-will". You and the company each have the right to terminate the employment relationship at any time for any cause or for no cause at all. Nothing but an express written contract signed by you and a Vice President of this Company can modify this "employment at will" arrangement.
 "We do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
 Pay Range: : $140,000 USD \- $140,000 USD
*iFIT does* 
*not discriminate* 
*in employment opportunities or practices on the basis of race, color, religion, sex, national origin, age, ancestry, mental or physical disability, sexual orientation, gender identity, medical condition, genetic information, marital status, veteran status or any other characteristic protected by law.*</t>
        </is>
      </c>
    </row>
    <row r="20">
      <c r="A20" t="inlineStr">
        <is>
          <t>li-4361901332</t>
        </is>
      </c>
      <c r="B20" t="inlineStr">
        <is>
          <t>Data Engineer</t>
        </is>
      </c>
      <c r="C20" t="inlineStr">
        <is>
          <t>AARATECH</t>
        </is>
      </c>
      <c r="D20" t="inlineStr">
        <is>
          <t>linkedin</t>
        </is>
      </c>
      <c r="E20" t="inlineStr"/>
      <c r="F20" t="inlineStr"/>
      <c r="G20" t="inlineStr"/>
      <c r="H20" t="inlineStr"/>
      <c r="I20"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21">
      <c r="A21" t="inlineStr">
        <is>
          <t>li-4354093914</t>
        </is>
      </c>
      <c r="B21" t="inlineStr">
        <is>
          <t>Sr Data Engineer</t>
        </is>
      </c>
      <c r="C21" t="inlineStr">
        <is>
          <t>E.A. Sween Company</t>
        </is>
      </c>
      <c r="D21" t="inlineStr">
        <is>
          <t>linkedin</t>
        </is>
      </c>
      <c r="E21" t="inlineStr"/>
      <c r="F21" t="inlineStr"/>
      <c r="G21" t="inlineStr">
        <is>
          <t>Eden Prairie, MN</t>
        </is>
      </c>
      <c r="H21" t="inlineStr"/>
      <c r="I21" t="inlineStr">
        <is>
          <t>Description Who We Are Since 1955, we have been on a mission To Passionately Feed Millions Daily with High Quality Food People Enjoy! We are a third\-generation family\-owned and professionally managed organization with a commitment to strategic growth. We continue to be successful because of talented people, just like you, who choose to join our family and call E.A. Sween home. We pride ourselves on fostering a welcoming, respectful, and rewarding culture where employees are encouraged to bring their whole selves to work each and every day. At E.A. Sween, our team members are seen, heard, and appreciated not just for what they do, but for who they are. We hope you'll join us! What We're Seeking As a Senior Data Engineer you will lead the design, development, and optimization of our data infrastructure, with a strong focus on integrating and visualizing data using JD Edwards (JDE) and EDI. This hybrid role combines the responsibilities of a Senior Data Engineer with advanced data integration skills, playing a key part in both the strategic direction and hands\-on implementation of data systems that support the organization's growing needs. You will work alongside other senior engineers and cross\-functional teams to build scalable, reliable, and secure data solutions. Compensation: The target salary range for this position is $94,810\.51 \- $115,000\.00 annually, consistent with our internal compensation framework. This position is classified as Grade 16, with a full pay range of $94,810\.51 to $150,352\.02\. You are eligible for an incentive bonus up to 10% of your annual salary, prorated based on your start date. Final pay will be determined by your experience, skills, internal equity, and available budget. What You'll Do (Responsibilities) Lead the design and implementation of advanced data pipelines and infrastructure to support the integration of ERP data from JD Edwards and other systems. Collaborate with business intelligence, analytics, and engineering teams to define data requirements and deliver data solutions that drive business value. Oversee the development and optimization of ETL processes, ensuring seamless data flow and integration, particularly with JD Edwards for ERP data. Develop and integrate complex data solutions using EDI to facilitate smooth data exchange across systems. Establish and enforce data governance, security, and quality standards to maintain data integrity and privacy across all platforms. Automate and streamline data workflows, integrating new technologies and data sources into the existing architecture. Perform detailed data profiling, validation, and cleansing to ensure high\-quality, consistent data for business intelligence and reporting. Take initiative to address data\-related issues directly and support cross\-functional teams when challenges arise. Troubleshoot and resolve data\-related issues, offering guidance and mentorship to junior engineers. Actively support team members by stepping in when needed to ensure projects stay on track and deliverables meet business expectations. Lead the design and development of reporting and dashboard solutions using Power BI, ensuring alignment with business needs. Continuously optimize data pipelines for performance, scalability, and reduced latency. Mentor junior data engineers, providing technical expertise, leadership, and support to foster a collaborative and high\-performing team environment. Collaborate with data architects and senior engineers to ensure that data infrastructure remains scalable, sustainable, and aligned with business goals. Maintain thorough documentation for data models, processes, and systems, ensuring clarity and continuity. Demonstrate accountability by addressing issues head\-on and owning outcomes in your work and within the team. What You'll Need (Qualifications) Bachelor's degree in Computer Science, Information Technology, Data Science, or a related field (Master's degree is a plus). At least 5\-7 years of experience in data eng neering or a related technical role, with strong expertise in data integration and system architecture. Proven experience with JD Edwards, particularly in extracting and transforming ERP data. Strong experience with EDI processes and technologies for seamless data integration. Proficiency in programming languages such as Python, Java, SQL, and other relevant tools for data engineering. Extensive experience with ETL processes, data integration, and pipeline automation. Advanced knowledge of business intelligence tools, especially Power BI, for designing reports and dashboards. Solid understanding of data warehousing, data lakes, and real\-time data streaming. Excellent problem\-solving, analytical, and troubleshooting skills. Strong communication and interpersonal skills, with the ability to work across teams and manage stakeholder expectations. Demonstrated ability to step in and support team members when needed, as well as independently take ownership of resolving issues. Proven track record of mentoring junior team members and providing leadership within a collaborative environment. Flexibility to adapt to evolving technologies and new business requirements. How You'll Find Success at EAS Value People Most of All: Show respect \&amp; care, embrace diversity, and empower others. Commit to Safety Everyday: See something say something do something, practice safe behavior, and celebrate safety success. Invest in Our Company to Thrive: Share ideas to improve, learn \&amp; grow, and embrace change. Think Before Doing And Act Decisively: Make thoughtful decisions, work together to find solutions, and do what's right. Welcome Constructive Straight Talk: Be honest and respectful even when difficult, be open to ideas and feedback, and ask questions to understand. Serve Up Exceptional Experiences: Provide value to customers, take pride in your work, and help others to be successful. Enjoy What You Do!: Have a positive attitude, Live the Spirit of E.A. Sween, and celebrate success. Equal Opportunity Employer/Protected Veterans/Individuals with Disabilities This employer is required to notify all applicants of their rights pursuant to federal employment laws. For further information, please review the Know Your Rights notice from the Department of Labor. E.A. Sween Company is an Equal Employment Opportunity/Affirmative Action Employer/M/F/Veteran/Disability</t>
        </is>
      </c>
    </row>
    <row r="22">
      <c r="A22" t="inlineStr">
        <is>
          <t>li-4364810226</t>
        </is>
      </c>
      <c r="B22" t="inlineStr">
        <is>
          <t>Data Engineer</t>
        </is>
      </c>
      <c r="C22" t="inlineStr">
        <is>
          <t>Best Job Tool</t>
        </is>
      </c>
      <c r="D22" t="inlineStr">
        <is>
          <t>linkedin</t>
        </is>
      </c>
      <c r="E22" t="inlineStr"/>
      <c r="F22" t="inlineStr"/>
      <c r="G22" t="inlineStr"/>
      <c r="H22" t="inlineStr"/>
      <c r="I22" t="inlineStr">
        <is>
          <t>**About The Company**
 Capital One is a leading diversified bank known for its innovative approach to financial services. With a strong focus on leveraging technology to enhance customer experiences, Capital One offers a wide range of financial products including credit cards, auto loans, savings accounts, and commercial banking services. The company prides itself on fostering a culture of innovation, inclusivity, and continuous learning, which enables it to stay ahead in a competitive market. Capital One's commitment to digital transformation and data\-driven decision\-making has positioned it as a pioneer in the banking industry, dedicated to empowering customers through cutting\-edge solutions and responsible banking practices.
**About The Role**
 We are seeking a highly skilled Senior Lead Data Engineer to join our dynamic team at Capital One. This role offers an exciting opportunity to lead complex data engineering initiatives that drive transformative change within the organization. As a Senior Lead Data Engineer, you will be instrumental in designing, developing, and implementing scalable data solutions that support advanced analytics, machine learning, and real\-time data processing. You will collaborate with cross\-functional teams, including data scientists, product managers, and software engineers, to deliver robust cloud\-based data architectures that power innovative financial products and services. This position requires a strategic thinker with extensive experience in big data technologies, cloud computing, and full\-stack development, eager to lead by example and mentor junior engineers in a fast\-paced, agile environment.
**Qualifications**
 The ideal candidate will possess a strong educational background and extensive hands\-on experience in data engineering. A bachelor’s degree in Computer Science, Information Technology, or a related field is required; a master’s degree is preferred. Candidates should have a minimum of 6 years of application development experience, with at least 2 years dedicated to big data technologies. Experience with cloud platforms such as AWS, Microsoft Azure, or Google Cloud is essential, with a minimum of 1 year working in cloud environments. Proven expertise in programming languages like Java, Scala, and Python, along with familiarity with open\-source RDBMS and NoSQL databases, is necessary. Candidates with a comprehensive understanding of distributed data processing tools, data warehousing solutions, and real\-time streaming applications will be highly considered. Strong knowledge of UNIX/Linux systems and agile engineering practices will also be advantageous.
**Responsibilities**
* Collaborate with agile teams to design, develop, test, and deploy full\-stack data solutions that meet business requirements and technical standards.
* Lead a team of experienced developers, providing technical guidance and mentorship to foster a high\-performance engineering environment.
* Develop and optimize data pipelines using programming languages such as Java, Scala, and Python, ensuring efficient data flow and processing.
* Implement and maintain cloud\-based data warehouses like Redshift and Snowflake, ensuring data security, integrity, and availability.
* Stay current with emerging technologies and industry trends, sharing insights and best practices with the team and broader engineering community.
* Work closely with digital product managers to deliver scalable, reliable cloud solutions that enhance customer experiences and support financial empowerment initiatives.
* Conduct code reviews, perform unit testing, and optimize system performance to uphold quality standards and operational excellence.
* Participate in the full software development lifecycle, from requirements gathering to deployment and maintenance.
**Benefits**
 Capital One offers a comprehensive benefits package designed to support your health, financial security, and overall well\-being. Employees are eligible for competitive health insurance plans, including medical, dental, and vision coverage. The company also provides retirement savings options, wellness programs, paid time off, and flexible work arrangements where applicable. Additionally, employees have access to professional development resources, tuition reimbursement, and opportunities for career advancement. Capital One fosters an inclusive environment that values diversity and promotes work\-life balance, ensuring employees are well\-supported both personally and professionally. The organization also provides performance\-based incentives, including bonuses and long\-term incentives, to reward exceptional contributions.
 Equal Opportunity
 Capital One is an equal opportunity employer committed to creating a diverse and inclusive workplace. We do not discriminate based on race, color, religion, sex, national origin, age, disability, veteran status, or any other protected characteristic in accordance with applicable federal, state, and local laws. We value the unique perspectives and experiences each individual brings and strive to foster an environment where everyone can thrive. Capital One also promotes a drug\-free workplace and adheres to all legal requirements related to fair employment practices. We welcome qualified applicants from all backgrounds to apply and look forward to welcoming new talent to our team.</t>
        </is>
      </c>
    </row>
    <row r="23">
      <c r="A23" t="inlineStr">
        <is>
          <t>li-4362020469</t>
        </is>
      </c>
      <c r="B23" t="inlineStr">
        <is>
          <t>Sr Data Engineer</t>
        </is>
      </c>
      <c r="C23" t="inlineStr">
        <is>
          <t>TechTriad</t>
        </is>
      </c>
      <c r="D23" t="inlineStr">
        <is>
          <t>linkedin</t>
        </is>
      </c>
      <c r="E23" t="inlineStr"/>
      <c r="F23" t="inlineStr"/>
      <c r="G23" t="inlineStr">
        <is>
          <t>New York, NY</t>
        </is>
      </c>
      <c r="H23" t="inlineStr"/>
      <c r="I23" t="inlineStr">
        <is>
          <t>**Role: Data Engineer** 
**Location: New York City, NY, 10001\- 3 days onsite** 
**Duration: Full\-Time** 
 The ideal candidate has hands\-on experience building modern data pipelines and platforms using
 **Python, SQL, and AWS services** 
 such as
 **Glue, Lambda, S3, EMR, Kinesis, and SageMaker** 
 . You will work on cloud\-native analytics, leveraging open\-source tools and machine learning frameworks to optimize data workflows and enhance the delivery of innovative payment and financial solutions.
 This role requires a strong foundation in
 **data structures, algorithms, and database management** 
 , along with proficiency in data visualization tools like
 **Tableau** 
 or
 **AWS QuickSight** 
 . You’ll also apply best practices in version control, CI/CD, and Infrastructure as Code using
 **Terraform** 
 to manage secure and scalable cloud environments.
**Required Qualifications:** 
 • Bachelor’s degree or the equivalent in a scientific or quantitative discipline, such as Mathematics, Engineering, Computer Science, Economics, or Physical Sciences
 • 5\+ years of experience or equivalent in the data engineering/science field as a programmer, analyst, engineer or scientist.
 • Hands\-on development experience using programming languages, ideally Python, with statistical and data visualization libraries, such as pandas and matplotlib.
 • Experience with data structures, algorithms and database query languages, such as SQL.
 • Familiarity using git code repositories and interactive editors, such as Jupyter notebooks, Sublime or VS Code.
 • Familiarity with cloud services for data management and analysis, such as AWS Glue
 • Experience managing a variety of large\-scale data sets on Linux, Windows or MacOS.
 • Excellent writing and presentation skills</t>
        </is>
      </c>
    </row>
    <row r="24">
      <c r="A24" t="inlineStr">
        <is>
          <t>li-4364652510</t>
        </is>
      </c>
      <c r="B24" t="inlineStr">
        <is>
          <t>Senior Data Engineer - Recruitment Analytics</t>
        </is>
      </c>
      <c r="C24" t="inlineStr">
        <is>
          <t>VONQ</t>
        </is>
      </c>
      <c r="D24" t="inlineStr">
        <is>
          <t>linkedin</t>
        </is>
      </c>
      <c r="E24" t="inlineStr"/>
      <c r="F24" t="inlineStr"/>
      <c r="G24" t="inlineStr">
        <is>
          <t>Cupertino, CA</t>
        </is>
      </c>
      <c r="H24" t="inlineStr"/>
      <c r="I24" t="inlineStr">
        <is>
          <t>**Company Description**
 At VONQ we publish jobs online \- uncomplicated and more successful for everyone.
 Every day, we impact the lives of thousands of people looking for their next job! We know how to distribute your vacancies whether you’re looking for 30 top talent roles or need to manage 30,000 job ads. With reliable job distribution automation, data\-driven channel recommendations, programmatic advertising options, recruitment marketing experts and meaningful reports.
 Today, over 1000 leading companies \- including over 25 Global Fortune 500s \- use VONQ everyday to strengthen their employer brand and recruit talent. With a global network of partners who implement our technology seamlessly in their HR tech, you can use VONQ job distribution wherever you are, no matter what applicant tracking system you use. We are headquartered in Rotterdam, NL and have offices in Amsterdam, Groningen, Düsseldorf, DE and London, UK. Hiring? VONQ it.
**Job Description**
 As one of our Data Engineers, you’ll have a huge contribution to our flagship contract: the Job Marketing Platform (JMP). It’s a data\-driven application with a recommendation engine that advises recruiters how they should reach their target audience online. The platform is used daily by many clients, and we have an ambitious roadmap to build it out further!
 Your challenge? You’ll work on the analytics part of our platform where we provide insights to our customers on how applicants act while applying to a certain position. You’ll engineer data pipelines to integrate data sources from tracking systems (Snowplow) and other systems to build and visualize insights!
**How You Get The Job Done**
* Work in a multidisciplinary agile team
* Take part in critical contract design efforts and hands\-on with the implementation
* Contribute to the scalable streaming data processing application, environment and tools for resources efficiency
* Work with Big Data and web tracking technologies
* Engineer pipelines for processing, cleansing, and verifying the integrity of data
* Design and develop microservices as data consumers
* Be hands\-on with AWS infrastructure and relational databases
**You will be part of an international and experienced Engineering department** 
 consisting of Backend and Frontend Developers, Data\- and DevOps Engineers, Designers, an Agile Coach and a CTO.
**Qualifications**
 This describes the ideal candidate, but above all, we value people that are eager to grow, autonomous, work together, and love to get things done!
* 3\+ years of experience in Data Engineering or related sphere
* Bachelor degree or equivalent relevant work experience
* Experience with working in an Agile environment (Scrum/Kanban)
* Excellent communication skills in English
* Experience with programming in Scala or Python is required
* Experience in working with data (integration of data from multiple data sources, building ETL pipelines, API development etc) is strongly desirable
* A DevOps mindset is needed, experience with AWS infrastructure is a big plus
**Bonus points!**
* Experience with Apache Spark
* Experience with web tracking technologies is a big plus (we use Snowplow)
* Understanding of distributed computing principles and streaming applications
* Understanding of microservices concept is appreciated
 Additional Information
 We promise that at VONQ you’ll never stop learning! You’ll be surrounded by international and experienced colleagues, so prepare yourself for some interesting and intellectual conversations.
 Our contract still has a lot of potential to grow, and YOU can make an impact on that. You’ll get freedom and space for own initiatives, in fact, we encourage you.
 We have legendary company outings, beers on Friday and lots of FUN!
**There is more! We offer:**
* A good salary
* Pension contribution
* Flexible working hours
* Unlimited (paid!) holidays
* Time and budget for training
* Relocation support and more!</t>
        </is>
      </c>
    </row>
    <row r="25">
      <c r="A25" t="inlineStr">
        <is>
          <t>li-4345707540</t>
        </is>
      </c>
      <c r="B25" t="inlineStr">
        <is>
          <t>Data Engineer</t>
        </is>
      </c>
      <c r="C25" t="inlineStr">
        <is>
          <t>RSM Solutions, Inc</t>
        </is>
      </c>
      <c r="D25" t="inlineStr">
        <is>
          <t>linkedin</t>
        </is>
      </c>
      <c r="E25" t="inlineStr"/>
      <c r="F25" t="inlineStr"/>
      <c r="G25" t="inlineStr">
        <is>
          <t>Irvine, CA</t>
        </is>
      </c>
      <c r="H25" t="inlineStr"/>
      <c r="I25" t="inlineStr">
        <is>
          <t>Thank you for stopping by to take a look at the Data Engineer role I posted here on LinkedIN, I appreciate it.
 If you have read my job descriptions in the past, you will recognize how I write job descriptions. If you are new, allow me to introduce myself. My name is Tom Welke. I am Partner \&amp; VP at RSM Solutions, Inc and I have been recruiting technical talent for more than 23 years and been in the tech space since the 1990s. Due to this, I actually write JD's myself...no AI, no 'bots', just a real live human. I realized a while back that looking for work is about as fun as a root canal with no anesthesia...especially now. So, rather than saying 'must work well with others' and 'team mindset', I do away with that kind of nonsense and just tell it like it is.
 So, as with every role I work on, social fit is almost as important as technical fit. For this one, technical fit is very very important. But, we also have some social fit characteristics that are important. This is the kind of place that requires people to dive in and learn. The hiring manager for this one is actually a very dear friend of mine. He said something interesting to me not all that long ago. He mentioned, if you aren't spending at least an hour a day learning something new, you really are doing yourself a disservice. This is that classic environment where no one says 'this is not my job'. So that ability to jump in and help is needed for success in this role.
 This role is being done onsite in Irvine, California. I prefer working with candidates that are already local to the area. If you need to relocate, that is fine, but there are no relocation dollars available.
 I can only work with US Citizens or Green Card Holders for this role. I cannot work with H1, OPT, EAD, F1, H4, or anyone that is not already a US Citizen or Green Card Holder for this role.
 The Data Engineer role is similar to the Data Integration role I posted. However, this one is mor Ops focused, with the orchestration of deployment and ML flow, and including orchestrating and using data on the clusters and managing how the models are performing. This role focuses on coding \&amp; configuring on the ML side of the house.
 You will be designing, automating, and observing end to end data pipelines that feed this client's Kubeflow driven machine learning platform, ensuring models are trained, deployed, and monitored on trustworthy, well governed data. You will build batch/stream workflows, wire them into Azure DevOps CI/CD, and surface real time health metrics in Prometheus \+ Grafana dashboards to guarantee data availability. The role bridges Data Engineering and MLOps, allowing data scientists to focus on experimentation and the business sees rapid, reliable predictive insight.
 Here are some of the main responsibilities:
* Design and implement batch and streaming pipelines in Apache Spark running on Kubernetes and Kubeflow Pipelines to hydrate feature stores and training datasets.
* Build high throughput ETL/ELT jobs with SSIS, SSAS, and T SQL against MS SQL Server, applying Data Vault style modeling patterns for auditability.
* Integrate source control, build, and release automation using GitHub Actions and Azure DevOps for every pipeline component.
* Instrument pipelines with Prometheus exporters and visualize SLA, latency, and error budget metrics to enable proactive alerting.
* Create automated data quality and schema drift checks; surface anomalies to support a rapid incident response process.
* Use MLflow Tracking and Model Registry to version artifacts, parameters, and metrics for reproducible experiments and safe rollbacks.
* Work with data scientists to automate model retraining and deployment triggers within Kubeflow based on data freshness or concept drift signals.
* Develop PowerShell and .NET utilities to orchestrate job dependencies, manage secrets, and publish telemetry to Azure Monitor.
* Optimize Spark and SQL workloads through indexing, partitioning, and cluster sizing strategies, benchmarking performance in CI pipelines.
* Document lineage, ownership, and retention policies; ensure pipelines conform to PCI/SOX and internal data governance standards.
 Here is what we are seeking:
* At least 6 years of experience building data pipelines in Spark or equivalent.
* At least 2 years deploying workloads on Kubernetes/Kubeflow.
* At least 2 years of experience with MLflow or similar experiment‑tracking tools.
* At least 6 years of experience in T‑SQL, Python/Scala for Spark.
* At least 6 years of PowerShell/.NET scripting.
* At least 6 years of experience with with GitHub, Azure DevOps, Prometheus, Grafana, and SSIS/SSAS.
* Kubernetes CKA/CKAD, Azure Data Engineer (DP‑203\), or MLOps‑focused certifications (e.g., Kubeflow or MLflow) would be great to see.
* Mentor engineers on best practices in containerized data engineering and MLOps.</t>
        </is>
      </c>
    </row>
    <row r="26">
      <c r="A26" t="inlineStr">
        <is>
          <t>li-4364830569</t>
        </is>
      </c>
      <c r="B26" t="inlineStr">
        <is>
          <t>Data Engineer (Equities) - Front Office Tech - $450k+</t>
        </is>
      </c>
      <c r="C26" t="inlineStr">
        <is>
          <t>Paragon Alpha - Hedge Fund Talent Business</t>
        </is>
      </c>
      <c r="D26" t="inlineStr">
        <is>
          <t>linkedin</t>
        </is>
      </c>
      <c r="E26" t="inlineStr"/>
      <c r="F26" t="inlineStr"/>
      <c r="G26" t="inlineStr"/>
      <c r="H26" t="inlineStr"/>
      <c r="I26" t="inlineStr">
        <is>
          <t>Paragon are working with a $30BN AUM multi\-strategy hedge fund.
 Our search is for a Senior Data Engineer who has spent meaningful time on the buy side and understands the data that drives an investment organization.
 You will have built or supported datasets like security master, pricing, positions, or P\&amp;L in production
**Scope of work:** 
 You’ll be responsible for creating the data foundations that the investment, trading, risk, and research teams rely on every day. Mainly working on shaping data models, building efficient data pipelines, and helping develop a firmwide warehouse.
 Ability to impact firm wise data flows within the fund, as well as contributing to the backend systems and APIs that make our data accessible and usable across the firm.
 Experience working with
 **alternative datasets** 
 , or combining them with traditional financial data, is a strong bonus.
* High ownership of production data systems that impact the entire investment lifecycle
* The opportunity to define data engineering standards and influence architectural decisions
* Close partnership with portfolio managers, quants, risk teams, and technologists
* A chance to build modern, flexible, research\-friendly data infrastructure
**Key Tech: Python, SQL, AWS, ETL** 
 If you enjoy hands\-on engineering, like solving complex data problems, and want to help shape how a hedge fund uses data, we’d love to speak with you.</t>
        </is>
      </c>
    </row>
    <row r="27">
      <c r="A27" t="inlineStr">
        <is>
          <t>li-4364680029</t>
        </is>
      </c>
      <c r="B27" t="inlineStr">
        <is>
          <t>Founding Robotics Data Engineer</t>
        </is>
      </c>
      <c r="C27" t="inlineStr">
        <is>
          <t>Edison Smart®</t>
        </is>
      </c>
      <c r="D27" t="inlineStr">
        <is>
          <t>linkedin</t>
        </is>
      </c>
      <c r="E27" t="inlineStr"/>
      <c r="F27" t="inlineStr"/>
      <c r="G27" t="inlineStr">
        <is>
          <t>California, United States</t>
        </is>
      </c>
      <c r="H27" t="inlineStr"/>
      <c r="I27" t="inlineStr">
        <is>
          <t>**Founding Robotics Data Engineer \| Dubai \| Humanoid Robotics \| Up to 65k AED Monthly** 
 Join a growing AI startup in Dubai, who are launching a project to build a Humanoid Robot to service the Middle East market.
 As Robotics Data Engineer, you’ll join a small founding team, where you will design and manage robotic data pipelines to power Humanoid Robotics.
 We can support relocation and visa sponsorship for this position. However, you will only be considered if you have proven experience developing data pipelines in Embodied AI for Robotics.
**Skills/Technology** 
* Design and manage Robotics Data Pipelines
* Real World and simulated data collection
* Humanoid/Embodied AI experience
* Python
* ROS/ROS2</t>
        </is>
      </c>
    </row>
    <row r="28">
      <c r="A28" t="inlineStr">
        <is>
          <t>li-4360499700</t>
        </is>
      </c>
      <c r="B28" t="inlineStr">
        <is>
          <t>Data Engineer</t>
        </is>
      </c>
      <c r="C28" t="inlineStr">
        <is>
          <t>RemoteHunter</t>
        </is>
      </c>
      <c r="D28" t="inlineStr">
        <is>
          <t>linkedin</t>
        </is>
      </c>
      <c r="E28" t="inlineStr"/>
      <c r="F28" t="inlineStr"/>
      <c r="G28" t="inlineStr"/>
      <c r="H28" t="inlineStr"/>
      <c r="I28"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9">
      <c r="A29" t="inlineStr">
        <is>
          <t>li-4350684289</t>
        </is>
      </c>
      <c r="B29" t="inlineStr">
        <is>
          <t>Data Engineer</t>
        </is>
      </c>
      <c r="C29" t="inlineStr">
        <is>
          <t>BAE Systems, Inc.</t>
        </is>
      </c>
      <c r="D29" t="inlineStr">
        <is>
          <t>linkedin</t>
        </is>
      </c>
      <c r="E29" t="inlineStr"/>
      <c r="F29" t="inlineStr"/>
      <c r="G29" t="inlineStr">
        <is>
          <t>Reston, VA</t>
        </is>
      </c>
      <c r="H29" t="inlineStr"/>
      <c r="I29" t="inlineStr">
        <is>
          <t>**Job Description**
 At BAE Systems, we're passionate about harnessing the power of technology to drive innovation and make a meaningful impact. Our team is dedicated to delivering cutting\-edge solutions that support our government customer's mission\-critical objectives. We're now seeking a highly skilled Data Engineer to join our dynamic team and help us drive data\-driven decision making.
 We're looking for a talented Data Engineer to play a key role in producing data cleaning, basic analysis, and preparation for visualization. As a Data Engineer, you will be responsible for developing dashboards, performing analysis using AI techniques, and providing data preprocessing, quality checks, data integration, and visualization creation.
**Responsibilities**
* Produce data cleaning, basic analysis, and preparation for visualization
* Develop dashboards and perform analysis using AI techniques
* Provide data preprocessing, quality checks, data integration, and visualization creation
* Provide quality assurance, and complex data visualizations
* Develop dashboards with tools like Tableau or Power BI, and apply AI/ML models and techniques for unstructured data analysis
**Required Education, Experience, \&amp; Skills**
* Bachelor’s degree in an area related to the labor category (i.e., IT, Information Science, Computer Science, Data Science/Engineering) from a college or university accredited by an agency recognized by the U.S. Department of Education
* 8 years of experience conducting data engineering and visualization support, with at least a portion of the experience within the last 2 years
**Preferred Education, Experience, \&amp; Skills**
* Intelligence Community experience preferred
 \#EKS01
**Pay Information**
 Full\-Time Salary Range: $95106 \- $161680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30">
      <c r="A30" t="inlineStr">
        <is>
          <t>li-4329611060</t>
        </is>
      </c>
      <c r="B30" t="inlineStr">
        <is>
          <t>Cloud Data Engineer</t>
        </is>
      </c>
      <c r="C30" t="inlineStr">
        <is>
          <t>Summa Health</t>
        </is>
      </c>
      <c r="D30" t="inlineStr">
        <is>
          <t>linkedin</t>
        </is>
      </c>
      <c r="E30" t="inlineStr"/>
      <c r="F30" t="inlineStr"/>
      <c r="G30" t="inlineStr"/>
      <c r="H30" t="inlineStr"/>
      <c r="I30" t="inlineStr">
        <is>
          <t>**Summa Health Systems**
**Full Time, Benefit Eligible**
**1077 Gorge Blvd Akron OH 44310**
* remote opportunity\*
**Summary**
 Designs and implements cloud solutions per regulated Healthcare compliance requirements, ensuring the smooth functioning of cloud systems with minimal downtime or service disruptions. Serves as part of the Enterprise Data Services team where design elements and risk remediation are addressed. Consults with the finance, clinical and operational business teams for system and service expectations. Evaluates and selects supportable platforms, establish best practices for cloud operations, and work with IT teams to monitor cloud privacy and address technical issues. Stays updated on cloud computing technologies, compliance, and trends, and effectively communicates operationalizing cloud operations and deployments. Manages life cycles of private cloud technologies (e.g., VMWare).
**Formal Education Required**
* Bachelor’s Degree or equivalent in Software Engineering, Computer Science, IT, Mathematics, or Economics or equivalent combination of education and/or experience.
**Experience \&amp; Training Required**
* Three (3\) years in an IT role (solution or technical cloud architect role using service and hosting solutions such as private/public cloud IaaS, PaaS, and SaaS platforms).
* Three (3\) years’ experience with the concepts, philosophies, and tools behind the design of creating a well\-informed holistic cloud strategy and managing the adaptation process.
* Exhibits strong analytical aptitude across various systems and solutions, internal and external to the organization. Analytical thinker with ability to extend knowledge of information systems and applications to business processes and to cross team collaboration. Ability to explain complex, technical concepts to lay audiences and non\-IT staff.
* Evaluating cloud applications, platforms, hardware, and software
* Developing and organizing cloud systems
* Collaborate throughout IT\&amp;S, the Business, Finance and Summa Health Leadership
**Other Skills, Competencies And Qualifications**
* Understands cloud architecture, data management and deployment methodologies in alignment with customer driven new cloud initiatives.
* Ability to identify opportunities for automation and mentorship of the support team.
* Working knowledge of cloud infrastructure to engineer and support public, private and hybrid clouds.
* Proficiency in a variety of cloud hosts including Amazon Web Services and Microsoft Azure at a minimum.
* Experience with and a complete understanding of the technology required for cloud computing
* Experience with the skills to migrate applications to the cloud
* Be able to build relationships between the customers and the team members
* The ability and the knowledge to integrate services and tools to any and all areas to be used such as networks and data processing
* Experience with meeting or exceeding the requirements of cloud provider service\-level agreements Experience with AWS and Azure
* Knowledge of a multitude of programming languages including SQL, Python, R, Java, Node and Object\-Oriented Design Principles required.
**Level Of Physical Demands**
* Minimal, may occasionally move computer equipment (desktop, laptop, monitor, printer, and peripherals) when necessary.
 Equal Opportunity Employer/Veterans/Disabled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$45\.26/hr \- $67\.89/hr
 The salary range on this job posting/advertising is base salary exclusive of any bonuses or differentials. Many factors, such as years of relevant experience and geographical location are considered when determining the starting rate of pay. We believe in the importance of pay equity and consider internal equity of our current team members when determining offers. Please keep in mind that the range that is listed is the full base salary range. Hiring at the maximum of the range would not be typical.
 Summa Health offers a competitive and comprehensive benefits program to include medical, dental, vision, life, paid time off as well as many other benefits.
* Basic Life and Accidental Death \&amp; Dismemberment (AD\&amp;D)
* Supplemental Life and AD\&amp;D
* Dependent Life Insurance
* Short\-Term and Long\-Term Disability
* Accident Insurance, Hospital Indemnity, and Critical Illness
* Retirement Savings Plan
* Flexible Spending Accounts – Healthcare and Dependent Care
* Employee Assistance Program (EAP)
* Identity Theft Protection
* Pet Insurance
* Education Assistance
* Daily Pay</t>
        </is>
      </c>
    </row>
    <row r="31">
      <c r="A31" t="inlineStr">
        <is>
          <t>li-4364044518</t>
        </is>
      </c>
      <c r="B31" t="inlineStr">
        <is>
          <t>Data Engineer Lead</t>
        </is>
      </c>
      <c r="C31" t="inlineStr">
        <is>
          <t>University of Michigan</t>
        </is>
      </c>
      <c r="D31" t="inlineStr">
        <is>
          <t>linkedin</t>
        </is>
      </c>
      <c r="E31" t="inlineStr"/>
      <c r="F31" t="inlineStr"/>
      <c r="G31" t="inlineStr">
        <is>
          <t>Ann Arbor, MI</t>
        </is>
      </c>
      <c r="H31" t="inlineStr"/>
      <c r="I31" t="inlineStr">
        <is>
          <t>How to Apply
 A cover letter and resume are required submissions for the hiring team to understand your experience. In your cover letter, in 1 page or less, please explain how this role aligns with your career aspirations and skills. Submit both the cover letter and the resume as a single file.
 A competitive salary above the posted range is available based on the selected candidate's qualifications, experience, and education.
**Job Summary**
 The University of Michigan's
 **Data Science Practice** 
 team is seeking a
 **Data Engineering Lead** 
 to help lead our data engineering and architecture teams. As stewards of the University's enterprise data assets, our team is reimagining the future of our data infrastructure to support advanced analytics, data science, Artificial Intelligence, and institutional decision\-making. This role will work directly with Information and Technology Services (ITS) partners and Campus partners to enable a flexible data ecosystem that meets today's users' needs and scales for our future growth. This position will directly lead our data engineers and architects and report to the Associate Director of the Data Science Practice team.
 What You'll Do
 You are motivated, innovative, and creative, and you see opportunities for improvement in both technologies and processes. You have a background in data and can see the big picture. You are a leader and a team player.
 Who We Are
 We are moving to a new cloud\-based, scalable, and secure data ecosystem. We manage our enterprise data warehouse and have a group of data engineers and data architects who will be working in a new environment, implementing new processes and technologies, and migrating data from a legacy system.
 Why Work at Michigan?
* Be part of a collaborative, forward\-thinking team with a mission to modernize data infrastructure in service of education, research, and institutional excellence.
* Access to professional development opportunities, conferences, and cutting\-edge tools.
* Competitive salary and benefits, including generous time off and tuition support.
 Responsibilities\*
* Mentor and collaborate with data engineers and architects, and other high\-performing team members.
* Design, implement, and optimize data pipelines that support the university's modernization strategy.
* Contribute to the design of our future cloud\-native data architecture and the selection and implementation of our new toolset.
* Collaborate with data scientists, analysts, and stakeholders to deliver high\-quality, well\-documented data products.
* Develop scalable ETL/ELT processes that integrate data from enterprise systems (e.g., PeopleSoft, Salesforce, Blackbaud).
* Establish and promote best practices for data modeling, engineering, and governance in a modern data platform environment.
* Support agile delivery and CI/CD practices to improve efficiency and quality across the data lifecycle.
 Required Qualifications\*
* Bachelor's degree in a related field and/or equivalent combination of education, certification, and experience.
* 5\+ years of professional experience in data engineering, software development, or a related discipline.
* Strong proficiency in SQL and experience with both relational and non\-relational database systems.
* Experience developing in Python and/or Scala, particularly for data pipeline creation and automation.
* Hands\-on experience with cloud environments (AWS, Azure, or GCP) and associated data services.
* Experience with big data frameworks such as Apache Spark or Databricks.
* Knowledge of workflow orchestration tools (e.g., Apache Airflow, Prefect, or similar).
* Familiarity with modern CI/CD and infrastructure\-as\-code practices (e.g., Terraform, GitHub Actions).
* Strong understanding of data architecture, integration, and governance principles.
* Excellent communication skills and ability to collaborate in a team\-oriented environment.
 Desired Qualifications\*
* Master's degree in a relevant field (e.g., Data Science, Computer Science, Engineering).
* Experience supporting data and analytics workflows (BI, data science, machine learning, etc).
* Familiarity with modern data stack tools and concepts (platforms such as Snowflake, Databricks, Big Query, Redshift; ETL tools such as dbt and spark)
* Understanding of data privacy and compliance frameworks (e.g., FERPA, HIPAA, GDPR).
* Experience modernizing legacy data systems or migrating to cloud\-native architectures.
* Knowledge of ML Ops, feature engineering, or model deployment tools.
* Experience mentoring team members or leading technical projects.
* Background in higher education or research environments is a plus.
 You may not check every box, or your experience may look a little different from what we've outlined, but if you think you can bring value to our team, we encourage you to apply!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32">
      <c r="A32" t="inlineStr">
        <is>
          <t>li-4329680701</t>
        </is>
      </c>
      <c r="B32" t="inlineStr">
        <is>
          <t>Senior Data Engineer</t>
        </is>
      </c>
      <c r="C32" t="inlineStr">
        <is>
          <t>The Swift Group, LLC</t>
        </is>
      </c>
      <c r="D32" t="inlineStr">
        <is>
          <t>linkedin</t>
        </is>
      </c>
      <c r="E32" t="inlineStr"/>
      <c r="F32" t="inlineStr"/>
      <c r="G32" t="inlineStr">
        <is>
          <t>Herndon, VA</t>
        </is>
      </c>
      <c r="H32" t="inlineStr"/>
      <c r="I32" t="inlineStr">
        <is>
          <t>**The Swift Group** 
 is a privately held, mission\-driven and employee\-focused services and solutions company headquartered in Reston, VA. Our capabilities include Software Development, Engineering \&amp; IT, Data Science, Cyber Enablement, Logistics, and Training. Founded in 2019, Swift supports Civilian, Defense, and Intelligence Community customers across the country and around the globe.
 We are a looking for a Subject Matter Expert
 **Data Engineer** 
 to join our dynamic team in Herndon, VA to designing data models, building data warehouses and data lakes, automating data pipelines and working with datasets of all sizes.
**Responsibilities**
* Optimize overall data/information flow by reducing redundancy and enabling accessibility within security boundaries.
* Apply data extraction, transformation and loading (ETL) techniques to connect large data sets from a variety of sources
* Create data collection frameworks for structured and unstructured data
* Create cyber and operational analytic tools for consumers that assist them in building and optimizing downstream products inclusive of constructing dataset procedures that can help with data mining, modeling, and production
* Use and develop standards, tools, processes and governance for capturing, modeling, storing, and delivering data for the enterprise
**Requirements**
* Bachelor’s or Master’s degree
* At least 15 years of relevant experience
* Experience integrating diverse data streams
* Experience with data transfer tools (Ex: NiFi, Cribl, etc.)
* Experience establishing data standards and acting as custodian of IT and service delivery data sets and streams
* Experience in analyzing complex networks and systems
* Experience in analyzing log data from various network components and operating systems
* Knowledge of complex environments involving shared networks and multiple security enclaves
* Ability to manage and troubleshoot data feeds
* Splunk familiarization
* Python experience
* US citizenship and an active TS/SCI with Polygraph security clearance required
**Do you know anyone for this position, or other positions open at The Swift Group? We offer a $5,000 bonus for any referral candidate we hire, paid out at the new hire’s 90\-day mark.**
 \#Onsite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33">
      <c r="A33" t="inlineStr">
        <is>
          <t>li-4360982420</t>
        </is>
      </c>
      <c r="B33" t="inlineStr">
        <is>
          <t>Lead Data Engineer</t>
        </is>
      </c>
      <c r="C33" t="inlineStr">
        <is>
          <t>VMC Soft Technologies, Inc</t>
        </is>
      </c>
      <c r="D33" t="inlineStr">
        <is>
          <t>linkedin</t>
        </is>
      </c>
      <c r="E33" t="inlineStr"/>
      <c r="F33" t="inlineStr"/>
      <c r="G33" t="inlineStr">
        <is>
          <t>Sunnyvale, CA</t>
        </is>
      </c>
      <c r="H33" t="inlineStr"/>
      <c r="I33" t="inlineStr">
        <is>
          <t>**\*\*\*\*\*W2 CONTRACT ROLE\*\*\*\*\*** 
**\*\*\*\*\*W2 CONTRACT ROLE\*\*\*\*\*** 
**\*\*\*\*\*W2 CONTRACT ROLE\*\*\*\*\*** 
**Req 24 :** 
 Job Title: Lead Data Engineer (Java, AWS)
 Location: Sunnyvale, CA (5x/ week onsite)
 Client: CL\-Technology Software Services5360
 Experience Required: 10\+ years
 JD:
 Data Science with Java
 • Oracle PL/SQL, Data Migration, Load / Performance testing. Java, Rest API’s
 • Build and maintain RESTful APIs using FastAPI, Django REST Framework, and Flask, following established performance, security, and coding standards.
 • Develop modular system components and contribute to improving application reliability, performance, and maintainability.
 • Assist with data processing and asynchronous workflows using Pandas, NumPy, and frameworks such as Celery or PySpark.
 **48619, 48674** 
 Role Descriptions: mainly looking for Lead Data Engineers with Java knowledge with AWS being nice to have.
 Essential Skills: mainly looking for Lead Data Engineers with Java knowledge with AWS being nice to have. Scope includesUnderstanding the current application\| features and the productUnderstanding the current data structure and the data (in Oracle database)Collaborate with business\| application team and 3rd party vendors to formulate POC scenarios\| execution plan and data requirements\| etc. Gather all the data required for POC\| anonymizescrub\| format per new SPM product needs. Develop any scripts or code required for data extraction and migration from current infrastructure to new 3rd party SPM product (API based and file transfers) Performance and load testing will be critical part of the POC to evaluate if the new product(s) meet Apples SLA standards Products evaluated will be deployed in SaaS (likely AWS hosted by SPM vendor)\| so SaaS understanding is greatly beneficialGood communication\| analytics thinking and problem solving are must haves to be effective in the role Experience in Sales Performance Management is a big plus\| as space is quite niche and fairly complex
 Desirable Skills:
 Keyword:
 Skills: Advanced Java Concepts\~Digital : Google Data Engineering\~PL/SQL
**if you are interested, please share your resumes with me at Sureshp@vmcsofttech.com, or else reach me at 4804076916**</t>
        </is>
      </c>
    </row>
    <row r="34">
      <c r="A34" t="inlineStr">
        <is>
          <t>li-4364637140</t>
        </is>
      </c>
      <c r="B34" t="inlineStr">
        <is>
          <t>Kearney Activate Senior Consultant Data Engineer</t>
        </is>
      </c>
      <c r="C34" t="inlineStr">
        <is>
          <t>Kearney</t>
        </is>
      </c>
      <c r="D34" t="inlineStr">
        <is>
          <t>linkedin</t>
        </is>
      </c>
      <c r="E34" t="inlineStr"/>
      <c r="F34" t="inlineStr"/>
      <c r="G34" t="inlineStr">
        <is>
          <t>Boston, NY</t>
        </is>
      </c>
      <c r="H34" t="inlineStr"/>
      <c r="I34" t="inlineStr">
        <is>
          <t>**Job Description**
**Job Description**
 As a
 **Senior Consultant Data Engineer** 
 , you will be a key contributor within Kearney Activate’s Solutions Architecture and Data Engineering practice. You will design, build, and maintain scalable data pipelines and infrastructure that support client data driven initiatives and enterprise transformations.
 You will lead technical work streams, mentor junior team members, and collaborate closely with client stakeholders and cross functional teams to deliver high impact data solutions that enable advanced analytics, AI, and intelligent automation.
 Key responsibilities
 Data pipeline development
* Design, implement, and optimize end to end data pipelines for ingesting, processing, and transforming large volumes of structured and unstructured data across client environments
* Develop robust ETL and ELT processes to integrate data from diverse sources into modern data ecosystems, including data lakes, data warehouses, and cloud native platforms
* Implement data validation and quality checks to ensure accuracy, consistency, and reliability of data feeds
* Evaluate and implement streaming and real time data processing solutions where applicable
 Data modeling and architecture
* Design and maintain data models, schemas, and database structures to support analytical, operational, and AI or ML use cases
* Optimize data storage and retrieval mechanisms for performance, scalability, and cost efficiency
* Evaluate and implement data storage solutions including relational databases, NoSQL databases, data lakes, data warehouses, and cloud storage services such as AWS S3, Azure Data Lake, Snowflake, and Data bricks
* Contribute to the development of modern data architectures aligned with client business objectives and technical requirements
 Data integration and API development
* Build and maintain integrations with internal and external data sources, APIs, and enterprise systems
* Implement RESTful APIs and web services for data access and consumption
* Ensure compatibility and interoperability across systems and platforms
* Design secure data exchange mechanisms that adhere to information security and compliance requirements
 Data infrastructure management
* Configure and manage data infrastructure components, including databases, data warehouses, data lakes, and distributed computing frameworks such as Spark and Data bricks
* Monitor system performance, troubleshoot issues, and implement optimizations to enhance reliability and efficiency
* Implement data security controls and access management policies to protect sensitive client information
* Leverage cloud platforms and services including AWS, Azure, and GCP to deploy and manage scalable data solutions
 Technical leadership and innovation
* Act as technical lead on project work streams, providing guidance and oversight to junior data engineers and analysts
* Review code, data models, and technical designs to ensure adherence to best practices and standards
* Remove technical blockers and enable continuous progress across delivery teams
* Stay current with emerging technologies, including Gen AI capabilities, agentic architectures such as LangGraph and Agent Development Kit, Model Context Protocol, and automation frameworks
* Evaluate and implement intelligent automation and AI driven solutions where logically and practically applicable
* Contribute to internal knowledge repositories, reusable frameworks, and delivery accelerators
 Client engagement and collaboration
* Collaborate directly with client technical and functional stakeholders to understand data requirements and deliver tailored solutions
* Partner with data scientists, analysts, architects, and business leaders to bridge technical execution and business outcomes
* Participate in client presentations and technical discussions, communicating complex concepts clearly and professionally
* Document technical designs, workflows, and best practices to support knowledge sharing and system maintenance
* Provide technical guidance and support to team members, clients, and stakeholders as needed.
**Who You Are**
 After nearly 100 years, we know this business is fundamentally about making connections between data, technology, strategy, and people. We look for curious, collaborative problem solvers who bring rigor to execution and thrive in fast paced, client facing environments.
**We Want To Hear From You If You Have**
 Education and experience
* A bachelor’s degree in computer science, Engineering, Information Systems, or a related field, with a master’s degree preferred
* Five or more years of experience in data engineering, with significant exposure to client facing consulting or similar environments
* Demonstrated experience leading technical work streams and mentoring junior resources
 Technical skills
* Proficiency in programming languages commonly used in data engineering, including Python and SQL, with Java or Scala a plus
* Strong knowledge of database systems, data modeling techniques, and advanced SQL
* Hands on experience with ETL and ELT tools such as Data bricks, Azure Data Factory, AWS Glue, Informatica Cloud, Talend, dbt, or Airflow
* Experience with big data technologies and frameworks including Spark, Hadoop, Kafka, and Kinesis
* Proven experience with cloud platforms and services such as Snowflake, AWS, and Azure, with Google Cloud Platform familiarity a plus
* Strong understanding of data warehousing concepts, dimensional modeling, and modern data architecture patterns
* Familiarity with GenAI applications in data engineering, agentic frameworks, and emerging technologies
 Professional competencies
* Excellent problem\-solving skills and attention to detail
* Strong communication skills with the ability to translate technical complexity for non\-technical stakeholders
* Effective collaboration skills in cross functional, team\-oriented environments
* Ability to manage multiple concurrent projects and adapt to shifting priorities
* Self\-motivated with a drive to deliver high quality work and continuously improve
* A forward\-thinking approach to technology and curiosity about emerging trends and capabilities
 What we can offer you
* Every day, our people work to make an impact for our clients, our colleagues, and our communities. At Kearney Activate, you will find competitive compensation, meaningful client work, and the opportunity to shape the future of data, AI, and enterprise transformation at scale.
* We offer a comprehensive benefits package, including but not limited to:
* Competitive base compensation with discretionary performance bonuses
* Comprehensive medical, dental, and vision coverage for employees and immediate family
* Generous retirement and savings contributions
* Non partner equity\-based awards for consulting managers and above
* Structured learning, technical growth, and leadership development opportunities
* Flexible work and talent mobility programs, including remote work options and externships
* Access to health, wellness, and family care benefits
**Read More About Our Benefits And Careers At Kearney.com/careers.**
**Equal Employment Opportunity and Non\-Discrimination**
*Kearney prides itself on providing a culture that allows employees to bring their best selves to work every day. Our people can feel comfortable, confident, and joyful to do great things for our firm, our colleagues, and our clients. Kearney aims to build diverse capabilities to help our clients solve their most mission critical problems. Kearney is committed to building a diverse, unbiased and inclusive workforce. Kearney is an equal opportunity employer; we recruit, hire, train, promote, develop, and provide other conditions of employment without regard to a person’s gender identity or expression, sexual orientation, race, religion, age, national origin, disability, marital status, pregnancy status, veteran status, genetic information or any other differences consistent with applicable laws. This includes providing reasonable accommodation for disabilities, or religious beliefs and practices. Members of communities historically underrepresented in consulting are encouraged to apply.*</t>
        </is>
      </c>
    </row>
    <row r="35">
      <c r="A35" t="inlineStr">
        <is>
          <t>li-4353786417</t>
        </is>
      </c>
      <c r="B35" t="inlineStr">
        <is>
          <t>Only Full Time: Snowflake Data Engineer</t>
        </is>
      </c>
      <c r="C35" t="inlineStr">
        <is>
          <t>Visionary Innovative Technology Solutions LLC</t>
        </is>
      </c>
      <c r="D35" t="inlineStr">
        <is>
          <t>linkedin</t>
        </is>
      </c>
      <c r="E35" t="inlineStr"/>
      <c r="F35" t="inlineStr"/>
      <c r="G35" t="inlineStr">
        <is>
          <t>Texas, United States</t>
        </is>
      </c>
      <c r="H35" t="inlineStr"/>
      <c r="I35" t="inlineStr">
        <is>
          <t>**Position: Snowflake Data Engineer** 
**Location: Westlake, TX (3 days onsite)** 
**Duration: Full Time** 
**Job Description:** 
 Must have at least 8\+ years of experience in Snowflake, Data warehouse, ETL, BI projects
 experience in Snowflake Data Base and query optimization.
 Scripting experience
 Data Modelling Experience
 experience implementing complex stored Procedures and standard DWH and ETL concepts
 experience in JIRA.
 Good communication and Analytical skills
 Ready to work in Onsite/ Offshore model and manage offshore team</t>
        </is>
      </c>
    </row>
    <row r="36">
      <c r="A36" t="inlineStr">
        <is>
          <t>li-4353953142</t>
        </is>
      </c>
      <c r="B36" t="inlineStr">
        <is>
          <t>Senior Data Engineer</t>
        </is>
      </c>
      <c r="C36" t="inlineStr">
        <is>
          <t>Anblicks</t>
        </is>
      </c>
      <c r="D36" t="inlineStr">
        <is>
          <t>linkedin</t>
        </is>
      </c>
      <c r="E36" t="inlineStr"/>
      <c r="F36" t="inlineStr"/>
      <c r="G36" t="inlineStr">
        <is>
          <t>Dallas, TX</t>
        </is>
      </c>
      <c r="H36" t="inlineStr"/>
      <c r="I36" t="inlineStr">
        <is>
          <t>**Job Duties**
 Architect, design, and implement scalable data platforms and applications using Azure cloud services including Data Lake Storage, SQL Database, Data Factory, Databricks, and DevOps. Build robust data pipelines and ETL frameworks to integrate structured and unstructured data from diverse sources such as APIs and external feeds, ensuring data quality, consistency, and governance. Develop and optimize big data processing workflows with Apache Spark and PySpark for batch and real\-time analytics, supporting enterprise\-scale data ecosystems. Design and manage cloud data warehouses on Snowflake, implementing Cortex AI\-powered LLM solutions and Streamlit based applications for advanced metadata enrichment and analytics use cases. Create interactive BI dashboards using Power BI to deliver actionable insights for business decision\-making and integrated BI solutions with data pipelines and data warehouses for real\-time reporting. Utilize Python, SQL, and Java to develop data transformations, backend services, and analytics solutions, while supporting CI/CD and version control through Git. Build and deploy end\-to\-end data pipeline solutions using PySpark, Apache Phoenix, and Hive to automate insurance claim encounter processing and integrate remediation workflows into enterprise data platforms. Provide advisory and implementation services for large\-scale data ecosystems, covering master data, metadata, data architecture, data governance, data quality, and data modeling. Leverage cloud, web\-based, and on\-premises platforms\-to help organizations unlock the value of their technology investments and establish data governance policies with security measures using Azure Key Vault and Azure Active Directory. Architect real\-time data streaming pipelines using Apache Kafka, ensuring high availability and fault tolerance, and optimize queries and data processing jobs for performance, scalability, and cost efficiency. Design and develop data transformation pipelines using Azure Data Factory, Databricks, and Synapse to cleanse, enrich, and prepare data for analytics and reporting. Develop proof\-of\-concept on AWS EMR for on\-demand cluster provisioning and auto\-termination using AWS Lambda and S3, optimizing compute costs and enhancing workflow automation. Implement data lake and data warehouse solutions on AWS using S3, EMR, Lambda, and Step Functions, enabling seamless integration of structured and semi\-structured data. Provide technical leadership and mentorship to junior engineers, collaborate with cross\-functional teams, and stay updated on emerging technologies and best practices in modern data engineering.
**Job Requirements**
 Bachelor's degree in Computer Science, Computer Information Systems, or Engineering related or Technical related fields plus 5 years of progressively responsible post\-baccalaureate experience. Foreign degree equivalent is acceptable. In lieu of the above, we will also accept a Master's degree in Computer Science, Computer Information Systems, or Engineering related or Technical related fields plus 2 years of experience. We will also accept any suitable combination of education, training and/or experience. Experience should include at least 2 years’ experience working on Data Lake; Data Factory; Databricks; DevOps; PySPARK; Power BI; API; Python; SQL; Git; Apache Spark; Snowflake; Apache Phoenix; Hive; AWS EMR; AWS Lambda; S3; Azure Synapse Analytics; Apache Kafka; ETL.
**HOURS** 
 : M\-F, 8:00 a.m. – 5:00 p.m.
**JOB LOCATION** 
 : Dallas, Texas. Travel is not required, but candidates must be willing to relocate to unanticipated locations across the country per contract demand.
**CONTACT** 
 : Email resume referencing job code\# SDE01132026ANB to Maruthi Technologies Inc. DBA Anblicks at recruitment@anblicks.com</t>
        </is>
      </c>
    </row>
    <row r="37">
      <c r="A37" t="inlineStr">
        <is>
          <t>li-4361941315</t>
        </is>
      </c>
      <c r="B37" t="inlineStr">
        <is>
          <t>Principal Data Platform Engineer</t>
        </is>
      </c>
      <c r="C37" t="inlineStr">
        <is>
          <t>Motive</t>
        </is>
      </c>
      <c r="D37" t="inlineStr">
        <is>
          <t>linkedin</t>
        </is>
      </c>
      <c r="E37" t="inlineStr"/>
      <c r="F37" t="inlineStr"/>
      <c r="G37" t="inlineStr"/>
      <c r="H37" t="inlineStr"/>
      <c r="I37" t="inlineStr">
        <is>
          <t>**About the Job:** 
 As a Principal Data Platform Engineer, you will be involved and responsible for full ownership and driving key data platform initiatives and life cycle of the data management including data ingestion, data processing, data storage, querying system, cost reduction efforts towards delivering product features to internal and external Motive customers.
 We are looking for a technical leader in the Data Platform area who has built the full data ingestion, transformation and analytics systems over AWS and Kubernetes in multiple companies. This individual would have faced and solved multiple challenges affecting many feature areas during this process using the best practices. This individual will be responsible for contributing significantly to drive the Motive’s Data Platform vision.
 The Data Platform team works in three areas: 1\. Build scalable systems and services for data ingestion, access, processing and query to enable data driven product features. 2\. Collaborate and work closely with the various stakeholders and our backend product teams to improve and add features to the platform.
**What You’ll Do:** 
* Work with other leaders in the Platform area to define and plan out the long term strategy for Data Platform.
* Design and develop scalable distributed systems and frameworks for data management
* Focus on addressing fault\-tolerance and high availability issues, and work on scaling ingestion pipelines, improving and adding features to ETL framework while maintaining SLAs on performance, reliability, and system availability.
* Collaborate with engineers across teams to identify and deliver cross\-functional features
* Participate in all aspects of the software development life cycle, from design to implementation and delivery.
**What We’re Looking For:** 
* 8\+ years Hands\-on software engineering experience
* Backend programming skills including multi\-threading, concurrency, etc and proficient in one or more of
 **Python**
* Strong CS fundamentals including data structures, algorithms, and distributed systems
* Experience in designing, implementing, and operating highly scalable software systems and services
* Experience building systems using technologies like Apache Kafka, Apache Spark, Airflow, Kubernetes
* Excellent troubleshooting skills and track record of implementing creative solutions
* Hands on experience with containerized platforms like Docker and Kubernetes
* BS in Computer Science or a related field; Masters preferred
* Excellent verbal and written skills. You collaborate effectively with other teams and communicate clearly about your work.
**This role is remote and can be based across the US, preferably in CST or EST timezones.**</t>
        </is>
      </c>
    </row>
    <row r="38">
      <c r="A38" t="inlineStr">
        <is>
          <t>li-4348815194</t>
        </is>
      </c>
      <c r="B38" t="inlineStr">
        <is>
          <t>Senior Data Management Professional - Data Engineer - Private Deals</t>
        </is>
      </c>
      <c r="C38" t="inlineStr">
        <is>
          <t>Bloomberg</t>
        </is>
      </c>
      <c r="D38" t="inlineStr">
        <is>
          <t>linkedin</t>
        </is>
      </c>
      <c r="E38" t="inlineStr"/>
      <c r="F38" t="inlineStr"/>
      <c r="G38" t="inlineStr">
        <is>
          <t>Montgomery, NJ</t>
        </is>
      </c>
      <c r="H38" t="inlineStr"/>
      <c r="I38" t="inlineStr">
        <is>
          <t>Location
 Skillman
 Business Area
 Data
 Ref \#
 10047919
**Description \&amp; Requirements**
 Bloomberg runs on data. Our products are fueled by powerful information. We combine data and context to paint a complete picture for our clients—around the clock and around the world. In Data, we are responsible for delivering this data, news, and analytics through innovative technology—quickly and accurately. We apply product thinking, domain expertise, and technical insight to continuously improve our data offerings, ensuring they remain reliable, scalable, and fit\-for\-purpose in a fast\-changing landscape.
**Our Team**
 The Private Deals Data team is responsible for Bloomberg’s private transactions data model—an essential foundation for understanding global private markets. This data defines and enriches private companies, linking them to. Private company data plays a critical role in research, investment analysis, compliance, and due diligence. Integrating diverse datasets with our core private company data helps clients uncover insights, validate exposures, monitor evolving risks, and identify new opportunities in opaque and fast\-growing markets.
**The Role**
 We are seeking a Data Engineer to design, build, and maintain the data pipelines, models, and integrations that power Bloomberg’s private company data ecosystem. This role focuses on embedding M\&amp;A and Private Market data into Bloomberg’s semantic model and analytical frameworks such as BQL—enabling richer discoverability and seamless integration across client workflows. You will develop robust ETL processes, manage schema mappings, and implement scalable data transformations to ensure consistency and reliability. You’ll also contribute to enhancing Bloomberg’s private company valuation product by extending the data model, implementing versioning, and ensuring data provenance is fully traceable. Working closely with Product, Engineering, and Data teams, you’ll play a central role in shaping the technical foundation that underpins Bloomberg’s evolving private market offerings.
**You Will**
* Design, build, and maintain data pipelines and models to integrate M\&amp;A and Private data into Bloomberg’s semantic model and BQL.
* Perform schema mapping, normalization, and transformation to align diverse datasets with internal standards.
* Implement scalable ETL processes ensuring completeness, accuracy, and transparency of data.
* Extend the valuation data model to support company\-level valuations, versioning, and auditability.
* Partner with Product and Data teams to define and implement data quality and consistency checks.
* Develop documentation and reusable frameworks for data ingestion and integration.
* Support discoverability and search capabilities by ensuring data is optimized for BQL and function\-layer exposure.
* Contribute to continuous improvement of data engineering practices and tools.
**You’ll Need To Have**
* We use years of experience as a guide but will consider all candidates who can demonstrate the
**Required Skills.**
* 3\+ years of experience in data engineering, software engineering, or related fields.
* Strong programming skills in Python, Java, or Scala, with proficiency in data processing frameworks (e.g., Spark, Flink, or Beam).
* Solid understanding of data modeling, schema design, and ETL architecture.
* Experience working with relational and columnar data stores (e.g., SQL, Postgres,BigQuery).
* Familiarity with semantic data models or knowledge graphs.
* Understanding of data versioning, provenance tracking, and metadata management.
* Strong problem\-solving and debugging skills with attention to scalability and performance.
* Comfort working in collaborative, cross\-functional environments.
**We’d Love To See**
* Experience integrating financial or private market data.
* Familiarity with Bloomberg Query Language (BQL) or similar query interfaces.
* Understanding of valuation data, company financials, or transaction modeling.
* Experience working in Agile teams.
* Passion for building high\-quality, transparent, and auditable data systems.
**Does this sound like you?**
 Apply if you think we're a good match. We'll get in touch to let you know what the next steps are!
 Salary Range \= 110000 \- 190000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9">
      <c r="A39" t="inlineStr">
        <is>
          <t>li-4364670928</t>
        </is>
      </c>
      <c r="B39" t="inlineStr">
        <is>
          <t>Senior Data Engineer with Azure Data Factory of Fabric (Must be local to Chicago)</t>
        </is>
      </c>
      <c r="C39" t="inlineStr">
        <is>
          <t>Access Search, Inc.</t>
        </is>
      </c>
      <c r="D39" t="inlineStr">
        <is>
          <t>linkedin</t>
        </is>
      </c>
      <c r="E39" t="inlineStr"/>
      <c r="F39" t="inlineStr"/>
      <c r="G39" t="inlineStr">
        <is>
          <t>Chicago, IL</t>
        </is>
      </c>
      <c r="H39" t="inlineStr"/>
      <c r="I39" t="inlineStr">
        <is>
          <t>This Chicago based financial services firm is looking to grow their Data team and looking for a senior Data Engineer with experience building and maintaining scalable Data Pipelines with Azure Data Factory. This person will have 5\+ years working as a Data Engineer, have built pipelines from scratch with at least a year of experience doing that with Azure Data Factory. They are also using DBT, so experience with that is a plus, but not required. This individual will be part of building a new global enterprise data warehouse.
**Requirements:** 
* 5\+ years, working as a Data Engineer, building Pipelines, consolidating data from diverse sources, and ensuring data quality.
* Minimally 1 year with Azure Fabric or Azure Data Factory and strong SQL skills.
* Ability to build data transformation processes around cleansing, normalizing, and enriching the data.
* Ability to optimize data pipeline performance and solve issues around data quality.
* Ability to work with operations and IT teams, to make sure build the infrastructure needed.
* Excellent communication skills with the ability to work with a cross section of end users.
**Nice to Have:** 
* Microsoft Certified: Azure Data Engineer
* DBT, Python, Java, or Scala
* ML experience or exposure
 Applicants must be authorized to work for ANY employer in the U.S. We are unable to sponsor or take over sponsorship of an employment Visa at this time. This is a direct hire role, so C2C is also not an option for this position.</t>
        </is>
      </c>
    </row>
    <row r="40">
      <c r="A40" t="inlineStr">
        <is>
          <t>li-4354013181</t>
        </is>
      </c>
      <c r="B40" t="inlineStr">
        <is>
          <t>Principal Data Engineer</t>
        </is>
      </c>
      <c r="C40" t="inlineStr">
        <is>
          <t>Anblicks</t>
        </is>
      </c>
      <c r="D40" t="inlineStr">
        <is>
          <t>linkedin</t>
        </is>
      </c>
      <c r="E40" t="inlineStr"/>
      <c r="F40" t="inlineStr"/>
      <c r="G40" t="inlineStr">
        <is>
          <t>Dallas, TX</t>
        </is>
      </c>
      <c r="H40" t="inlineStr"/>
      <c r="I40" t="inlineStr">
        <is>
          <t>**Job Duties**
 Design and Architect scalable data products using Apache spark and Databricks. Specific duties include, but are limited to, the following:
 Architect and lead the design of scalable, secure, and high\-performance data platforms using Databricks, Apache Spark (PySpark), Delta Lake, and Azure Data Lake Storage. Build and manage robust, real\-time data ingestion and processing pipelines using Apache Kafka, enabling low\-latency analytics and event\-driven applications. Develop complex ETL/ELT workflows using Azure Data Factory, ensuring reliable data transformation, enrichment, and orchestration across cloud\-native data services. Integrate diverse internal and external data sources via REST APIs into Azure Data Lake, Databricks, and Snowflake, maintaining high data quality, consistency, and lineage. Implement and optimize Delta Lake architecture for versioned, ACID\-compliant data storage within modern lakehouse environments. Lead performance tuning efforts for large\-scale distributed computing jobs in Databricks, Spark SQL queries, and Snowflake data warehousing operations. Design and implement data modeling strategies and data governance policies to support enterprise analytics, operational reporting, and advanced AI/ML use cases. Utilize SQL and Python extensively for data analysis, transformation logic, and automation scripts in a unified data engineering workflow. Apply Git\-based version control and CI/CD practices to manage codebase integrity, promote collaboration, and support automated deployment of data pipelines. Serve as a strategic advisor on enterprise data architecture, guiding teams on platform scalability, modernization, and best practices in cloud\-based data engineering. Work with junior and senior data engineers, facilitate cross\-functional collaboration, and stay current on emerging technologies relevant to big data, real\-time streaming, and cloud computing.
**Job Requirements**
 Bachelor's degree in Computer Science, Computer Information Systems, Data Engineering, or Engineering related or Technical related fields plus 5 years of progressively responsible post\-baccalaureate experience. Foreign degree equivalent is acceptable. In lieu of the above, we will also accept a Master's degree in Computer Science, Computer Information Systems, Data Engineering, or Engineering related or Technical related fields plus 2 years of experience. We will also accept any suitable combination of education, training and/or experience. Experience should include minimum 2 years of working with Databricks, Snowflake, Apache Spark (PySpark), Delta Lake, Apache Kafka, Azure Data Factory, Azure Data Lake Storage, SQL, Python, Git, REST APIs; working on data modeling, and data governance.
**HOURS** 
 : M\-F, 8:00 a.m. – 5:00 p.m.
**JOB LOCATION** 
 : Dallas, Texas. Travel is not required, but candidates must be willing to relocate to unanticipated locations across the country per company contract demand.
**CONTACT** 
 : Email resume referencing job code\# PDE12242025ANB to Maruthi Technologies Inc. DBA Anblicks at recruitment@anblicks.com</t>
        </is>
      </c>
    </row>
    <row r="41">
      <c r="A41" t="inlineStr">
        <is>
          <t>li-4362102681</t>
        </is>
      </c>
      <c r="B41" t="inlineStr">
        <is>
          <t>Senior Analytics Engineer</t>
        </is>
      </c>
      <c r="C41" t="inlineStr">
        <is>
          <t>BetterUp</t>
        </is>
      </c>
      <c r="D41" t="inlineStr">
        <is>
          <t>linkedin</t>
        </is>
      </c>
      <c r="E41">
        <f>HYPERLINK("https://www.linkedin.com/jobs/view/4362102681", "https://www.linkedin.com/jobs/view/4362102681")</f>
        <v/>
      </c>
      <c r="F41" t="inlineStr"/>
      <c r="G41" t="inlineStr">
        <is>
          <t>San Francisco, CA</t>
        </is>
      </c>
      <c r="H41" t="inlineStr"/>
      <c r="I41"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42">
      <c r="A42" t="inlineStr">
        <is>
          <t>li-4362120166</t>
        </is>
      </c>
      <c r="B42" t="inlineStr">
        <is>
          <t>Senior Analytics Engineer</t>
        </is>
      </c>
      <c r="C42" t="inlineStr">
        <is>
          <t>BetterUp</t>
        </is>
      </c>
      <c r="D42" t="inlineStr">
        <is>
          <t>linkedin</t>
        </is>
      </c>
      <c r="E42">
        <f>HYPERLINK("https://www.linkedin.com/jobs/view/4362120166", "https://www.linkedin.com/jobs/view/4362120166")</f>
        <v/>
      </c>
      <c r="F42">
        <f>HYPERLINK("https://jobs.ashbyhq.com/betterup/e7d96b10-fcf1-4b49-a458-60261a9c0c32?utm_source=linkedin_promoted&amp;urlHash=4F5t", "https://jobs.ashbyhq.com/betterup/e7d96b10-fcf1-4b49-a458-60261a9c0c32?utm_source=linkedin_promoted&amp;urlHash=4F5t")</f>
        <v/>
      </c>
      <c r="G42" t="inlineStr">
        <is>
          <t>Chicago, IL</t>
        </is>
      </c>
      <c r="H42" t="inlineStr"/>
      <c r="I42"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43">
      <c r="A43" t="inlineStr">
        <is>
          <t>li-4362024326</t>
        </is>
      </c>
      <c r="B43" t="inlineStr">
        <is>
          <t>Senior Analytics Engineer</t>
        </is>
      </c>
      <c r="C43" t="inlineStr">
        <is>
          <t>BetterUp</t>
        </is>
      </c>
      <c r="D43" t="inlineStr">
        <is>
          <t>linkedin</t>
        </is>
      </c>
      <c r="E43">
        <f>HYPERLINK("https://www.linkedin.com/jobs/view/4362024326", "https://www.linkedin.com/jobs/view/4362024326")</f>
        <v/>
      </c>
      <c r="F43" t="inlineStr"/>
      <c r="G43" t="inlineStr">
        <is>
          <t>New York, United States</t>
        </is>
      </c>
      <c r="H43" t="inlineStr"/>
      <c r="I43"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44">
      <c r="A44" t="inlineStr">
        <is>
          <t>li-4362034434</t>
        </is>
      </c>
      <c r="B44" t="inlineStr">
        <is>
          <t>Senior Analytics Engineer</t>
        </is>
      </c>
      <c r="C44" t="inlineStr">
        <is>
          <t>BetterUp</t>
        </is>
      </c>
      <c r="D44" t="inlineStr">
        <is>
          <t>linkedin</t>
        </is>
      </c>
      <c r="E44">
        <f>HYPERLINK("https://www.linkedin.com/jobs/view/4362034434", "https://www.linkedin.com/jobs/view/4362034434")</f>
        <v/>
      </c>
      <c r="F44" t="inlineStr"/>
      <c r="G44" t="inlineStr">
        <is>
          <t>Austin, TX</t>
        </is>
      </c>
      <c r="H44" t="inlineStr"/>
      <c r="I44"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45">
      <c r="A45" t="inlineStr">
        <is>
          <t>li-4364996656</t>
        </is>
      </c>
      <c r="B45" t="inlineStr">
        <is>
          <t>Data Engineer</t>
        </is>
      </c>
      <c r="C45" t="inlineStr">
        <is>
          <t>Cisco</t>
        </is>
      </c>
      <c r="D45" t="inlineStr">
        <is>
          <t>linkedin</t>
        </is>
      </c>
      <c r="E45">
        <f>HYPERLINK("https://www.linkedin.com/jobs/view/4364996656", "https://www.linkedin.com/jobs/view/4364996656")</f>
        <v/>
      </c>
      <c r="F45">
        <f>HYPERLINK("https://careers.cisco.com/global/en/job/CISCISGLOBAL1448720EXTERNALENGLOBAL/Data-Engineer?utm_source=linkedin&amp;utm_medium=phenom-feeds&amp;urlHash=2511", "https://careers.cisco.com/global/en/job/CISCISGLOBAL1448720EXTERNALENGLOBAL/Data-Engineer?utm_source=linkedin&amp;utm_medium=phenom-feeds&amp;urlHash=2511")</f>
        <v/>
      </c>
      <c r="G45" t="inlineStr">
        <is>
          <t>Durham, NC</t>
        </is>
      </c>
      <c r="H45" t="inlineStr"/>
      <c r="I45" t="inlineStr">
        <is>
          <t>The application window is expected to close on: 01/23/2026
**Job posting may be removed earlier if the position is filled or if a sufficient number of applications are received** 
 .
 Data Engineer
 The application window is expected to close on: 1/30/2025\.
 Job posting may be removed earlier if the position is filled or if a sufficient number of applications are received.
**Meet The Team**
 When you work with us as a Data Engineer, you will be part of the Cisco Enterprise Data Engineering\- a highly collaborative Cisco IT Organization passionate about the use of technology \&amp; AI to deliver Business Outcomes. This team drives the creation and continuous improvement of a secure, scalable enterprise data foundation layer that delivers high\-quality, governed, and integrated data to empower smarter analytics and better decision\-making across Cisco.
**Your Impact**
 We are seeking a skilled Data Engineer to develop, build, and optimize data pipelines and architectures using cloud data warehouse technologies. You will collaborate with cross\-functional teams to deliver high\-quality, scalable data solutions supporting business analytics and decision\-making. This role offers the opportunity to work with ground breaking cloud technologies and directly influence critical business decisions through robust data solutions.
**Responsibilities**
* Develop, test, and maintain ETL/ELT processes for ingesting, transforming, and delivering data.
* Develop and lead data models, schema, and data warehousing solutions on cloud platforms (e.g., Snowflake, BigQuery, Redshift, or Azure Synapse).
* Implement standard processes for data engineering, including automation, version control, CI/CD, and data quality monitoring.
* Collaborate with data analysts, data scientists, and business partners to understand data needs.
* Ensure data security, privacy, and compliance with relevant regulations.
**Minimum Qualifications**
* Bachelor’s degree in computer science, Engineering, or related field.
* 5\+ years of professional experience as a Data Engineer.
* Hands\-on expertise with at least one major cloud data warehouse technology (Snowflake, BigQuery, or Azure Synapse).
* Proficient in SQL and at least one programming language (Python preferred).
* Experience with modern data pipelines, orchestration frameworks (e.g., Airflow, dbt), and ETL/ELT tools.
**Preferred Qualifications**
* Strong understanding of data modeling, data architecture, and data governance.
* Familiarity with version control (Git) and CI/CD processes.
* Experience with streaming data technologies (Kafka, Kinesis) is a plus.
* Familiarity with Gen AI coding agents is desirable.
* Excellent problem\-solving and communication skills.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46">
      <c r="A46" t="inlineStr">
        <is>
          <t>li-4362004267</t>
        </is>
      </c>
      <c r="B46" t="inlineStr">
        <is>
          <t>Senior Analytics Engineer</t>
        </is>
      </c>
      <c r="C46" t="inlineStr">
        <is>
          <t>BetterUp</t>
        </is>
      </c>
      <c r="D46" t="inlineStr">
        <is>
          <t>linkedin</t>
        </is>
      </c>
      <c r="E46">
        <f>HYPERLINK("https://www.linkedin.com/jobs/view/4362004267", "https://www.linkedin.com/jobs/view/4362004267")</f>
        <v/>
      </c>
      <c r="F46" t="inlineStr"/>
      <c r="G46" t="inlineStr">
        <is>
          <t>Texas, United States</t>
        </is>
      </c>
      <c r="H46" t="inlineStr"/>
      <c r="I46"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47">
      <c r="A47" t="inlineStr">
        <is>
          <t>li-4361974530</t>
        </is>
      </c>
      <c r="B47" t="inlineStr">
        <is>
          <t>Senior Analytics Engineer</t>
        </is>
      </c>
      <c r="C47" t="inlineStr">
        <is>
          <t>BetterUp</t>
        </is>
      </c>
      <c r="D47" t="inlineStr">
        <is>
          <t>linkedin</t>
        </is>
      </c>
      <c r="E47">
        <f>HYPERLINK("https://www.linkedin.com/jobs/view/4361974530", "https://www.linkedin.com/jobs/view/4361974530")</f>
        <v/>
      </c>
      <c r="F47" t="inlineStr"/>
      <c r="G47" t="inlineStr">
        <is>
          <t>New York, United States</t>
        </is>
      </c>
      <c r="H47" t="inlineStr"/>
      <c r="I47"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48">
      <c r="A48" t="inlineStr">
        <is>
          <t>li-4365004687</t>
        </is>
      </c>
      <c r="B48" t="inlineStr">
        <is>
          <t>Data Engineer</t>
        </is>
      </c>
      <c r="C48" t="inlineStr">
        <is>
          <t>Auger</t>
        </is>
      </c>
      <c r="D48" t="inlineStr">
        <is>
          <t>linkedin</t>
        </is>
      </c>
      <c r="E48">
        <f>HYPERLINK("https://www.linkedin.com/jobs/view/4365004687", "https://www.linkedin.com/jobs/view/4365004687")</f>
        <v/>
      </c>
      <c r="F48">
        <f>HYPERLINK("https://jobs.gem.com/auger/am9icG9zdDpi4G6_s-J5p8mgMx3IlQjG?utm_source=GemJobBoardLink&amp;utm_medium=c291cmNlOn_6Jt9NeR2Lx5muox1O82w&amp;urlHash=aseQ", "https://jobs.gem.com/auger/am9icG9zdDpi4G6_s-J5p8mgMx3IlQjG?utm_source=GemJobBoardLink&amp;utm_medium=c291cmNlOn_6Jt9NeR2Lx5muox1O82w&amp;urlHash=aseQ")</f>
        <v/>
      </c>
      <c r="G48" t="inlineStr">
        <is>
          <t>Bellevue, WA</t>
        </is>
      </c>
      <c r="H48" t="inlineStr"/>
      <c r="I48" t="inlineStr">
        <is>
          <t>**Join Auger — Where Innovation Meets Real\-World Impact**
 Imagine a place where you get the best of both worlds: the speed and energy of a startup, and the experience of leaders who’ve built systems that scale globally.
 Founded by 23\-year Amazon veteran and serial innovator Dave Clark and backed by a $100M investment led by Oak HC/FT, Auger isn’t just rethinking how global supply chains work—we’re redefining them.
**What We’re Building**
 Auger is creating the world’s first agentic operating system for supply chains—turning one of the planet’s most complex systems into a source of foresight, resilience, and growth.
 We partner with leading global enterprises to solve their toughest challenges: accelerating decision speed, reducing costs, unlocking capital, and improving service. With Auger, brittle fragments become an indestructible engine of progress, economic strength, and planetary sustainability.
**Why It Matters**
 Supply chain problems aren’t just business problems—they’re human ones. When a supply chain breaks down, products don’t reach shelves, workers face burnout, and the environment pays the price. Auger is here to change that.
 At Auger, you’ll join an expert team that’s fundamentally reshaping one of the world’s most vital industries. If you’re ready to build technology that makes a real impact on people, business, and the planet—come build with us.
**About The Team \&amp; Role**
 The Customer Solutions Data Team at Auger is on a mission to revolutionize how global supply chain information is accessed, indexed, and advanced. Supply chain data is vast and messy, but it’s also the fuel that powers efficiency, sustainability, and innovation. Our team is developing analytical approaches that turn this raw, complex data into actionable intelligence, enabling smarter decisions and better outcomes for everyone.
 Variety, quality, timeliness, and completeness—this is the lifeblood of our work. If you’re a passionate engineer and developer who thrives on solving hard problems, exploring new platforms, and building something the world has never seen before, we want you on our team.
**Key Responsibilities**
 As a Data Engineer, you will leverage new and existing data sources in support of Auger’s core data lake and ingestion of customer data into our platform. We're seeking teammates who love data of all kinds, are masters of building efficient, scalable, operable data pipelines, and are ready to take hands\-on coding ownership in the following areas:
* Data ingestion pipelines for existing and new data sources (both batch and real\-time streaming)
* Experience with all forms of multi\-modal data types
* Monitoring frameworks to protect data quality and consistency
* Data modeling design and data architecture skills to support reporting and analytics requirements
* Experience in the latest generation of data lake architectures, stream and batch processing, and managed cloud services to support scale.
**Qualifications**
* Degree in Computer Science, Mathematics, Statistics, or other data\-intensive discipline with substantive engineering experience.
* 2\+ years demonstrated development experience using SQL, Scala, Spark, Flink, Beam, and/or Python
* 2\+ years demonstrated experience in data management (structured and unstructured) and modern database technologies
* Demonstrated experience developing data pipelines to support machine learning, LLMs or other analytical solutions
* Experience working with multi\-cloud providers such as AWS and Azure
* Work and collaborate in\-person at our Bellevue Headquarters
* Ability to work collaboratively through ambiguity, with urgency, patience, and good humor
 Placement within the range is determined by experience and qualifications. In addition to base salary, total compensation may include eligibility for equity\-awards or bonuses. Auger also offers eligible full\-time employees with a comprehensive benefits package, including medical, dental and vision insurance, a 401(k) plan with Company match, paid time off (PTO), and commuter benefits.
 The base pay range for this role is $150,000 – $225,000 per year.
**Benefits**
* Highly competitive total compensation packages
* Top tier medical, dental, and vision insurance and wellness perks
* 401K with Company match
* Work with teammates who tackle complex and consequential challenges with resilience, determination, and good humor.
*Auger considers all qualified applicants for employment without regard to race, color, religion, gender, gender identity or expression, sexual orientation, national origin, genetics, disability, age, or veteran status.*</t>
        </is>
      </c>
    </row>
    <row r="49">
      <c r="A49" t="inlineStr">
        <is>
          <t>li-4362103102</t>
        </is>
      </c>
      <c r="B49" t="inlineStr">
        <is>
          <t>Hardware Data Engineer - Camera</t>
        </is>
      </c>
      <c r="C49" t="inlineStr">
        <is>
          <t>Apple</t>
        </is>
      </c>
      <c r="D49" t="inlineStr">
        <is>
          <t>linkedin</t>
        </is>
      </c>
      <c r="E49">
        <f>HYPERLINK("https://www.linkedin.com/jobs/view/4362103102", "https://www.linkedin.com/jobs/view/4362103102")</f>
        <v/>
      </c>
      <c r="F49">
        <f>HYPERLINK("https://jobs.apple.com/en-us/details/200642270&amp;urlHash=ci3x", "https://jobs.apple.com/en-us/details/200642270&amp;urlHash=ci3x")</f>
        <v/>
      </c>
      <c r="G49" t="inlineStr">
        <is>
          <t>Cupertino, CA</t>
        </is>
      </c>
      <c r="H49" t="inlineStr"/>
      <c r="I49" t="inlineStr">
        <is>
          <t>**Summary**
 Apple delivers the most popular cameras in the world. Each product release provides breakthroughs in photography with stunning camera features that customers love. Our cameras deploy imaging complexity at the frontier of traditional camera engineering methods. Data volumes are growing to meet this need across camera simulations, performance calibrations, measurement results, and their correlations. Our team's task is to build a comprehensive aggregate data layer that enables efficient and flexible executive reporting, highly customized data applications, and powerful ML inference and analysis.
**Description**
 In this role, you will work closely with data scientists, hardware engineers, hardware test, and manufacturing operations teams to build scalable data pipelines and solutions. As a hardware data engineer, you must effectively collaborate to bridge the gap between business needs, analytical solutions, and engineering requirements. Additionally, proactive collaboration with other data engineering teams is essential for scaling solutions across teams.
**Responsibilities**
* As part of the Camera Hardware Data Engineering team, you will be responsible for expanding our powerful data engineering platform and custom team tools by designing, developing, and maintaining robust data pipelines to support camera manufacturing analytics initiatives.
* You will work independently to design technical solutions to process massive datasets and engage with internal and external data providers and consumers to create low\-friction data exchange systems.
* You will provide technical leadership for 3rd party development teams and mentor and provide data engineering best practices across the organization.
**Minimum Qualifications**
* BS or higher in Computer Science, Data Engineering, Data Science, Math, or related fields
* Hands\-on Experience using cloud data analytics platforms (i.e. Snowflake, Trino, BigQuery)
* Experience building data transformation pipelines using frameworks such as Data Built Tool (dbt) or Spark
* Experience in data modeling and data governance techniques (i.e. Row Access Policies, role\-based access control (RBAC)
**Preferred Qualifications**
* Experience with pipeline orchestration frameworks such as Airflow
* Experience using BI tools such as Tableau or app frameworks such as Streamlit or Superset to build shareable and easy\-to\-understand data visualizations
* Experience in the use of Python frameworks like FastAPI to build cloud\-native data access tools
* Experience designing and building relational databases (i.e. PostgreSQL) and non\-relational databases (i.e. Redis, MongoDB)
* Working knowledge of Kubernetes for deploying and monitoring cloud\-native applications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0">
      <c r="A50" t="inlineStr">
        <is>
          <t>li-4361905238</t>
        </is>
      </c>
      <c r="B50" t="inlineStr">
        <is>
          <t>Data Engineer</t>
        </is>
      </c>
      <c r="C50" t="inlineStr">
        <is>
          <t>Nucor Corporation</t>
        </is>
      </c>
      <c r="D50" t="inlineStr">
        <is>
          <t>linkedin</t>
        </is>
      </c>
      <c r="E50">
        <f>HYPERLINK("https://www.linkedin.com/jobs/view/4361905238", "https://www.linkedin.com/jobs/view/4361905238")</f>
        <v/>
      </c>
      <c r="F50" t="inlineStr"/>
      <c r="G50" t="inlineStr">
        <is>
          <t>Rock Hill, SC</t>
        </is>
      </c>
      <c r="H50" t="inlineStr"/>
      <c r="I50" t="inlineStr">
        <is>
          <t>**Job Details**
**Division: Nucor Business Technology**
**Location: Rock Hill , SC , United States**
**Other Available Locations: N/A**
**Welcome to Nucor, where our unique culture sets us apart. Joining Nucor means becoming part of North America's largest steel and steel products manufacturer, offering unmatched career opportunities and stability. We are known for our innovative sustainability practices and are the continent's largest recycler. Our vibrant culture, built on personal connections and teamwork, empowers every team member with the freedom to innovate and contribute to our collective success. Experience a workplace where safety, efficiency, and meaningful personal connections define every day, enriching both our teammates and the communities we serve.**
**Nucor supports its teammates with top\-tier benefits like Medical, Dental, Vision, and Disability Insurance, 401K and Roth accounts, Profit sharing, Pay\-for\-performance bonuses, Paid parental leave, Tuition reimbursement, Stock program, Scholarships and more.**
****Basic Job Functions:****
**Nucor Business Technology (NBT)** 
 is seeking qualified applicants for the position of
 **Data Engineer.** 
 This position will be responsible for designing and maintaining robust data models that support business intelligence and analytics initiatives, while also contributing to data engineering tasks that ensure data quality, accessibility, and performance. This role will work closely with various teams to ensure business data needs are met.
 Responsibilities include but are not limited to:
* Design and develop data pipelines that facilitate the collection, storage, and processing of data from D365 and various other sources.
* Ensure data quality and integrity through robust validation and cleaning processes.
* Develop notebooks, tables, and views to transform raw data to data models for Power BI and other tools.
* Create Power BI models to assess the potential impact of various operational analysis, investment decisions, and business initiatives.
* Develop dashboards, reports, and presentations for stakeholders and provide insights on business performance.
* Ah hoc requests to support business initiatives.
* Expected to proactively gather requirements from the business and work independently.
* Develop technical documents detailing the data ETL process, models, and reports.
 Safety is the most important part of all jobs within Nucor; therefore, candidates must be able to demonstrate the ability to initiate, lead, and uphold safety policies, practices, procedures, and housekeeping standards at all times.
****Minimum Qualifications:****
* 4 Years Experience in Data Engineering\\Data Modeling
* Strong knowledge of SQL or Python
* Experience with ETL (Extract, Transform, Load) processes and tools to manage data flow and transformation such as Data Factory, Databricks, Synapse Analytics/Fabric.
* Excellent analytical and problem\-solving abilities to address data\-related challenges effectively.
****Preferred Qualifications:****
* D365 entity and table knowledge preferred
* Experience in the manufacturing or industrial sectors
* Bachelor's Degree or relevant work experience
**Nucor is an Equal Opportunity/Affirmative Action Employer – M/F/Disabled/Vets – and a drug – free workplace**</t>
        </is>
      </c>
    </row>
    <row r="51">
      <c r="A51" t="inlineStr">
        <is>
          <t>li-4364958861</t>
        </is>
      </c>
      <c r="B51" t="inlineStr">
        <is>
          <t>Senior Azure Data Engineer</t>
        </is>
      </c>
      <c r="C51" t="inlineStr">
        <is>
          <t>Accellor</t>
        </is>
      </c>
      <c r="D51" t="inlineStr">
        <is>
          <t>linkedin</t>
        </is>
      </c>
      <c r="E51">
        <f>HYPERLINK("https://www.linkedin.com/jobs/view/4364958861", "https://www.linkedin.com/jobs/view/4364958861")</f>
        <v/>
      </c>
      <c r="F51" t="inlineStr"/>
      <c r="G51" t="inlineStr">
        <is>
          <t>Hoffman Estates, IL</t>
        </is>
      </c>
      <c r="H51" t="inlineStr"/>
      <c r="I51" t="inlineStr">
        <is>
          <t>**Accellor is an AI\-first digital transformation partner built for the next generation of enterprise.** 
 We help global organizations turn cloud, data, and AI into real, measurable business outcomes at scale.
 At Accellor,
 **people come first** 
 . You'll be trusted, empowered, and challenged to solve meaningful problems, collaborate with exceptional teams, and continuously grow your skills while building solutions that matter.
 Trusted by Fortune 100 companies and global innovators, we work across industries delivering AI solutions, data platforms, and product engineering using modern, scalable technologies. If you want your work to
 **create real impact and shape the future of enterprise** 
 , Accellor is where it happens.
 We are seeking a skilled
 **Senior Azure Data Engineer** 
 with knowledge and experience in both
 **Data and Development** 
 . This role combines technical expertise and a deep understanding of business processes to deliver impactful business solutions. The ideal candidate will have extensive experience in building scalable data pipelines, automating data processes, and be able to contribute to projects from beginning to end and achieve business objectives.
* Develop and maintain robust data pipelines to collect, transform, and process large datasets from various sources, ensuring timely and accurate delivery of data for analytics and reporting
* Strong experience in performance tuning databases, procedures, and functions, with a focus on optimizing data architecture, scalability, and cost savings.
* Pipeline Development: Design and implement scalable data integration pipelines using Azure Data Factory (ADF) and Azure Databricks.
* Data Modeling: Create and maintain complex data models in Azure Synapse Analytics and Azure SQL Database to support business intelligence needs
* Work with the Lead Engineer to automate business processes, automate the movement of data within the organization, and orchestrate the exchange of data with external partners
* Collaborate with other department managers and business leaders to complete organizational goals and strategic priorities and support critical processes
* Optimize data architecture and performance by leveraging modern technologies and by implementing performance\-tuning strategies for databases, procedures, and functions
* Automate data workflows to improve efficiency and scalability, while ensuring data integrity, hygiene, and cost efficiency
* Work closely with business stakeholders to gather requirements, translate them into technical specifications, and deliver solutions within project timelines
* Troubleshoot and resolve data and reporting issues, driving continuous improvement in analytic capabilities
**Requirements**
* Bachelor's degree is preferred in Computer Science, Data Engineering, with over 12\+ years of professional experience
* A proven track record in building scalable data pipelines and automating data processes through programming, scripts, APIs, and platform tools
* Strong expertise in modern data tools and technologies, including SQL Server, Microsoft Fabric, Data Bricks, Azure Functions, ADF, Synapse, Python, C\# / .NET, and APIs
* Cloud Platform: Proven experience with the Azure Data Stack (ADF, Synapse, Databricks, ADLS)
* Languages: Strong proficiency in SQL and Python (PySpark). Knowledge of Scala or C\# is a plus
* Deep understanding of data integrity and hygiene, with a commitment to maintaining high standards of data quality
* Excellent communication and collaboration skills, with the ability to work effectively with cross\-functional teams and stakeholders</t>
        </is>
      </c>
    </row>
    <row r="52">
      <c r="A52" t="inlineStr">
        <is>
          <t>li-4364983543</t>
        </is>
      </c>
      <c r="B52" t="inlineStr">
        <is>
          <t>Data Engineer</t>
        </is>
      </c>
      <c r="C52" t="inlineStr">
        <is>
          <t>Lensa</t>
        </is>
      </c>
      <c r="D52" t="inlineStr">
        <is>
          <t>linkedin</t>
        </is>
      </c>
      <c r="E52">
        <f>HYPERLINK("https://www.linkedin.com/jobs/view/4364983543", "https://www.linkedin.com/jobs/view/4364983543")</f>
        <v/>
      </c>
      <c r="F52">
        <f>HYPERLINK("https://lensa.com/cgw/ad9d970a99334b5d8fca0bb301ee77b3tjo1?jpsi=directemployers_no_redirect&amp;publisher_preference=easier_apply&amp;utm_campaign=Computer%20Occupations&amp;utm_medium=slot&amp;utm_source=linkedin&amp;utm_term=jse&amp;urlHash=vnII", "https://lensa.com/cgw/ad9d970a99334b5d8fca0bb301ee77b3tjo1?jpsi=directemployers_no_redirect&amp;publisher_preference=easier_apply&amp;utm_campaign=Computer%20Occupations&amp;utm_medium=slot&amp;utm_source=linkedin&amp;utm_term=jse&amp;urlHash=vnII")</f>
        <v/>
      </c>
      <c r="G52" t="inlineStr">
        <is>
          <t>Bellevue, WA</t>
        </is>
      </c>
      <c r="H52" t="inlineStr"/>
      <c r="I5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Amazon Leo is an initiative to increase global broadband access through a constellation of 3,236 satellites in low Earth orbit (LEO). Its mission is to bring fast, affordable broadband to unserved and underserved communities around the world. Leo will help close the digital divide by delivering fast, affordable broadband to a wide range of customers, including consumers, businesses, government agencies, and other organizations operating in places without reliable connectivity.
 As a Data Engineer in Leo's Global Business Operations (GBO), you will be one of the architects and engineers building up the cloud data infrastructure for use across Leo. You will be working directly on AWS to build internal tools used across the hundreds of Business Intelligence Engineers and Scientists to build business\-critical reports and ML Models. You will design the data models used by these teams to efficiently dive deep into the business and extract insights. Getting in pre\-launch, you have creative influence to drive this engineering direction on a native stack and your outputs will be critical to the success of Leo's ambitious mission.
 Key job responsibilities
**In This Role, You Will**
* Develop Leo data products, infrastructure and ETL pipelines to ingest, parse and transform Geospatial datasets from external \&amp; internal APIs using AWS big data technologies (Glue, S3, Redshift, MWAA, EMR, Data Zone, Lambda, etc.)
* Work alongside Data Scientists, Applied Scientists, Software Engineers and Simulation Engineers to develop appropriate data assets for statistical modeling, system integration and capacity simulations
* Improve existing solutions and come up with next generation Leo's Data Architecture to improve scale, quality and performance
* Implement data governance best practices to ensure data accuracy, consistency, and compliance with security and privacy regulations.
* Develop and maintain scripts to automate processes to generate structured datasets for forecasting POR and system inputs, with focus on efficiency and scalability
* Build data dictionary, catalog and governance plan and manage and audit all of the registered data via internal mechanisms
* Provide technical guidance and support to data consumers to leverage Global Planning data assets
**Export Control Requirement**
 Due to applicable export control laws and regulations, candidates must be a U.S. citizen or national, U.S. permanent resident (i.e., current Green Card holder), or lawfully admitted into the U.S. as a refugee or granted asylum.
**About The Team**
 Basic Qualifications
* 3\+ years of data engineering experience
* Experience with data modeling, warehousing and building ETL pipelines
* Bachelor's degree
**Preferred Qualifications**
* Experience with AWS technologies like Redshift, S3, AWS Glue, EMR, Kinesis, FireHose, Lambda, and IAM roles and permissions
* Experience with non\-relational databases / data stores (object storage, document or key\-value stores, graph databases, column\-family databases)
* Experience in data warehouse technical architectures, data modeling, infrastructure components, ETL/ ELT and reporting/analytic tools and environments, data structures and hands\-on SQL coding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WA, Bellevue \- 132,100\.00 \- 178,800\.00 USD annually
 If you have questions about this posting, please contact support@lensa.com</t>
        </is>
      </c>
    </row>
    <row r="53">
      <c r="A53" t="inlineStr">
        <is>
          <t>li-4362120853</t>
        </is>
      </c>
      <c r="B53" t="inlineStr">
        <is>
          <t>Senior Analytics Engineer</t>
        </is>
      </c>
      <c r="C53" t="inlineStr">
        <is>
          <t>Motive Software</t>
        </is>
      </c>
      <c r="D53" t="inlineStr">
        <is>
          <t>linkedin</t>
        </is>
      </c>
      <c r="E53">
        <f>HYPERLINK("https://www.linkedin.com/jobs/view/4362120853", "https://www.linkedin.com/jobs/view/4362120853")</f>
        <v/>
      </c>
      <c r="F53" t="inlineStr"/>
      <c r="G53" t="inlineStr">
        <is>
          <t>San Francisco, CA</t>
        </is>
      </c>
      <c r="H53" t="inlineStr"/>
      <c r="I53"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We are looking for a
 **Senior Analytics Engineer** 
 with experience building data modeling systems within a modern data stack, supported by intelligent data warehousing and adaptable business intelligence systems, to join our team. At BetterUp we believe data is critical to our success and this role on the Analytics Engineering team will be crucial to this strategy of delivering exceptional data products that will drive key business decisions. If you are passionate about helping people reach their potential, thrive in a fast\-paced startup environment where you get to build the future, and love data then this is the role for you.
**What You’ll Do**
* Architect, build and maintain efficient and reliable data products (dbt models, pipelines, Looker explores, visualizations, etc.) that enable data driven decision making.
* Build and maintain ELT pipelines from source systems to data warehouses.
* Influence strategy and drive execution of our analytical roadmap delivering self\-service business intelligence at scale.
* Provide leadership and mentorship to other engineers fostering collaboration, knowledge sharing and a high bar for quality.
* Improve end users trust and confidence by driving best practices with regards to data discoverability, observability, lineage and stewardship.
* Contribute towards a robust data security strategy protecting sensitive information and content.
* Solve critical business problems through the application of programming, optimization, automation, and analytical skills.
**If you have some or** 
**all of the following, please apply:**
* Minimum 5\+ years of relevant experience in data engineering and/or analytics engineering
* Advanced SQL skills with 5\+ years of deep experience with Snowflake or similar DB
* Expertise with data modeling and ETL/ELT (DBT preferred, pipeline development a plus)
* Seasoned developer (5\+ years) within a modern business intelligence tool (Looker preferred)
* Experience applying software engineering principles (testing, version control, code reviews, CI/CD, etc.) in your working process, to scale analytical development
* Proven track record of working with data teams in a fast\-paced, startup environment
* Proven track record of successfully working cross\-functionally with both technical and non\-technical stakeholders
* Solutions\-driven and thrives when given ambiguous, open\-ended problems
* Proven success driving projects through implementation to completion, including stakeholder education and onboarding
* Obsessed with data protections and privacy (i.e. PII, GDPR, FedRAMP, FIPS, etc.)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**$176,000 \- $242,000**
 Austin and Arlington:
 **$158,000 \- 217,000**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
 Compensation Range: $158K \- $242K</t>
        </is>
      </c>
    </row>
    <row r="54">
      <c r="A54" t="inlineStr">
        <is>
          <t>li-4364983904</t>
        </is>
      </c>
      <c r="B54" t="inlineStr">
        <is>
          <t>Data Engineer</t>
        </is>
      </c>
      <c r="C54" t="inlineStr">
        <is>
          <t>Tarro</t>
        </is>
      </c>
      <c r="D54" t="inlineStr">
        <is>
          <t>linkedin</t>
        </is>
      </c>
      <c r="E54">
        <f>HYPERLINK("https://www.linkedin.com/jobs/view/4364983904", "https://www.linkedin.com/jobs/view/4364983904")</f>
        <v/>
      </c>
      <c r="F54">
        <f>HYPERLINK("https://jobs.ashbyhq.com/tarro/b6a46df1-420d-4d51-8736-019d8f5edfe6?src=LinkedIn&amp;urlHash=9zLT", "https://jobs.ashbyhq.com/tarro/b6a46df1-420d-4d51-8736-019d8f5edfe6?src=LinkedIn&amp;urlHash=9zLT")</f>
        <v/>
      </c>
      <c r="G54" t="inlineStr">
        <is>
          <t>San Mateo, CA</t>
        </is>
      </c>
      <c r="H54" t="inlineStr"/>
      <c r="I54"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has seen 5x revenue growth in the last three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What we’re looking for
 We are looking for a Data Engineer to help build and scale Tarro’s data infrastructure as we continue to expand our product portfolio and customer base. You’ll play a foundational role in shaping how data is collected, modeled, validated, and consumed across the company.
 This is a high\-impact opportunity to work in a fast\-paced, profitable startup where you’ll have real ownership, move quickly, and see your work directly influence product and business outcomes.
 What you’ll accomplish
* You will build and evolve Tarro’s core data infrastructure and foundational datasets
* You will design, develop, and maintain scalable data pipelines that support analytics, machine learning, experimentation, and product use cases
* You will ensure data quality and reliability by implementing audits, alerting, and anomaly detection at scale
* You will partner closely with Product Managers, Engineers, and business stakeholders to understand data needs and deliver trusted, actionable data
* You will contribute to shared data engineering tooling, standards, and best practices to improve team productivity and output quality
* You will help establish long\-term data architecture that scales with Tarro’s growth
**About You**
* You have 5\+ years of experience building and operating production\-grade data pipelines
* You have a strong understanding of scalable, performant data modeling patterns across structured and unstructured data sources
* You have a proven ability to work cross\-functionally to design data architectures that support analytics, machine learning, and experimentation
* You have experience building and operating fault\-tolerant, distributed systems
* You have hands\-on experience working in a cloud environment such as AWS or GCP
* You are a self\-starter who thrives in an environment with high ownership, limited process, and lots of autonomy
* You care deeply about building reliable systems that solve real customer and business problems
 Bonus Points
* You have experience in a consumer driven industry with a passion for the customer.
* You have a BS / MS / PhD in Computer Science or a related field
* You have experience with analytics and BI tools such as Looker or Tableau
* You have prior experience building data platforms or products from 0 to 1 in an ambiguous, fast\-moving environment
* You have a roll up your sleeves mentality with current or prior experience working in a fast paced, collaborative, highly ambiguous environment frequently wearing more than one hat.
 If you do not meet all the requirements listed above which candidates rarely do, don't worry. We still encourage you to apply!
 Tarro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
 The salary range for this role is $180,000 \- $350,000 USD.</t>
        </is>
      </c>
    </row>
    <row r="55">
      <c r="A55" t="inlineStr">
        <is>
          <t>li-4364983242</t>
        </is>
      </c>
      <c r="B55" t="inlineStr">
        <is>
          <t>Data Engineer</t>
        </is>
      </c>
      <c r="C55" t="inlineStr">
        <is>
          <t>Akkodis Group Nordics</t>
        </is>
      </c>
      <c r="D55" t="inlineStr">
        <is>
          <t>linkedin</t>
        </is>
      </c>
      <c r="E55">
        <f>HYPERLINK("https://www.linkedin.com/jobs/view/4364983242", "https://www.linkedin.com/jobs/view/4364983242")</f>
        <v/>
      </c>
      <c r="F55">
        <f>HYPERLINK("https://www.akkodis.com/en-us/careers/jobs/data-engineer-blue-ash/US_EN_6_973631_1612505&amp;urlHash=5n67", "https://www.akkodis.com/en-us/careers/jobs/data-engineer-blue-ash/US_EN_6_973631_1612505&amp;urlHash=5n67")</f>
        <v/>
      </c>
      <c r="G55" t="inlineStr">
        <is>
          <t>Blue Ash, OH</t>
        </is>
      </c>
      <c r="H55" t="inlineStr"/>
      <c r="I55" t="inlineStr">
        <is>
          <t>Akkodis is seeking a
 **Data Engineer** 
 for a
 **Contract** 
 job with a client in
 **Blue Ash, OH (In‑person)** 
 . The ideal candidate must have strong experience with Python, Azure, distributed data processing, and enterprise data pipeline engineering in an Agile environment.
**Rate Range:** 
**$53\.03/hour to $** 
**68\.18/hour** 
 ; The rate may be negotiable based on experience, education, geographic location, and other factors.
**Data Engineer Job Responsibilities Include**
* Develop distributed data processing and multi‑step transformation pipelines using modern data engineering tools and Python.
* Build automated data quality checks, observability alerts, and monitoring for production data pipelines.
* Enhance CI/CD pipelines, infrastructure‑as‑code resources, and automated deployment workflows.
* Perform unit, integration, and regression testing while maintaining and improving existing applications.
* Collaborate with teams in Agile ceremonies, provide mentoring, and contribute to continuous improvement initiatives.
**Desired Qualifications**
* Bachelor’s degree in Computer Science, MIS, Mathematics, Business Analytics, or related technical field.
* 2\+ years of experience in data engineering, including SQL, Python frameworks, and distributed computing (PySpark/Snowpark).
* Proficiency with Azure cloud services, CI/CD pipelines, Git/GitHub, PyTest, and object‑oriented programming.
* Experience with data observability, data quality processes, debugging enterprise apps, and SOLID/Agile principles.
* Experience with Java and Spring Framework, infrastructure‑as‑code concepts, and dependency management (Conda, venv, etc.).
 If you are interested in this role, then please click APPLY NOW. For other opportunities available at Akkodis, or any questions, feel free to contact me at
 **Gopal.Gupta@** 
**akkodisgroup.com.**
**Pay Details:** 
 $53\.03 to $68\.18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56">
      <c r="A56" t="inlineStr">
        <is>
          <t>li-4353975864</t>
        </is>
      </c>
      <c r="B56" t="inlineStr">
        <is>
          <t>Data Engineer</t>
        </is>
      </c>
      <c r="C56" t="inlineStr">
        <is>
          <t>Continuum Media</t>
        </is>
      </c>
      <c r="D56" t="inlineStr">
        <is>
          <t>linkedin</t>
        </is>
      </c>
      <c r="E56">
        <f>HYPERLINK("https://www.linkedin.com/jobs/view/4353975864", "https://www.linkedin.com/jobs/view/4353975864")</f>
        <v/>
      </c>
      <c r="F56">
        <f>HYPERLINK("https://recruiting.paylocity.com/Recruiting/Jobs/Details/3855856&amp;urlHash=oAca", "https://recruiting.paylocity.com/Recruiting/Jobs/Details/3855856&amp;urlHash=oAca")</f>
        <v/>
      </c>
      <c r="G56" t="inlineStr">
        <is>
          <t>Denver, CO</t>
        </is>
      </c>
      <c r="H56" t="inlineStr"/>
      <c r="I56" t="inlineStr">
        <is>
          <t>Job Type
 Full\-time
**Description**
**Full\-time**
**Salary:** 
 105K – 110K
**Location:** 
 Denver CO/Hybrid
**Who We Are**
 Continuum Media is a national advertising platform specializing in providing solutions for brands to access and measure large sources of hard to reach television ad impressions. Headquartered in Denver with offices in New York City, Chicago, and the U.K., we are building a workplace where teammates, the company, and our clients can thrive. The degree to which we collectively succeed is predicated upon respect, trust, safety, transparency and personal accountability. We encourage camaraderie, laughter and an open\-minded and curious workplace, while holding all employees to the highest professional and ethical standards. Talent runs deep, but character even deeper. Each office has its own unique character(s). We’re spread out across time zones, even
 countries, but that doesn’t mean we don’t have a common sense of commitment.
**The BI Team**
 The Business Intelligence team is a team of 8 highly collaborative, pragmatic, analytical individuals. We’re full\-lifecycle data engineers \- each team member owns solutions end\-to\-end, from design through deployment to validation, eliminating single points of failure and ensuring seamlessness when delivering on the day\-to\-day and long\-term projects alike, gaining the knowledge of not just specific functionalities, but all within the department. Whether it is creating and managing visualizations in our reporting platform for our customers to utilize on the front\-end, engineering ETLs regarding numerous, disparate data sources feeding our dashboards and other data assets on the back\-end, or supporting our operational teams with custom data processes, you will have a hand in the entirety of the BI platform!
 You will report directly to a Lead Data Engineer and work closely with the Director of Data and COO to understand business needs and deliver data solutions that drive decision\-making across the organization and move our product forward.
**Responsibilities**
* Engineer and own robust, scalable ETLs for cleaning and ingesting datasets
* Build and maintain dashboards for use by internal stakeholders and external clients
* Analyze and validate data assets, ensuring accuracy and reliability
* Automate, modularize, and improve existing data ingestions while contributing to orchestration pipelines and expanding data quality assurance
* Significantly improve and expand the company’s cloud\-based, data platform
* Implement and/or refine CI/CD, IaC, automated testing, agile, and reporting strategies for the department that can scale
* Gather requirements from external clients and internal stakeholders and translate them into actionable bodies of work for the BI team
* Collaborate with software developers and data scientists to deliver cross\-departmental solutions
* Communicate new features and lead trainings for internal users
* Foster and embrace a healthy culture of collaboration and feedback, strengthening the team’s agile roots
**Requirements**
**Require Experience:**
**1\-3 Years With**
* BI platform development and/or data engineering
* Scripting and programming in Python
* SQL\-based databases (Redshift, Athena, SQL Server, MySQL, etc.)
* One cloud computing service (AWS, GCP, Azure, etc.)
* Git version control (Bitbucket, GitHub, etc.)
* Automated tests as a core part of development workflow (unit, integration, etc.)
* Data visualization tools (Tableau, QuickSight, Power BI, etc.)
* Working within an agile framework (Kanban, Scrum, etc.)
**Preferred Experience**
 1\-2 years with:
* IaC tools (CloudFormation, CDK, Terraform, etc.)
* Building and maintaining CI/CD pipelines (Bitbucket Pipelines, Jenkins, GitHub Actions, etc.)
* Containerization technologies (Docker, ECS, etc.)
**What We Offer**
 We provide employees with an environment in which they can develop their skills and grow as individuals within our team. We do this by providing training opportunities, conference attendance, and subscriptions to online courses. Our aim is that you will think of a role at Continuum Media as more than a salary and more than just a job. To demonstrate this to employees, we provide:
* 100% employer\-paid premiums for medical, vision, dental, and disability insurance
* Participation in employee profit\-sharing bonuses (subject to company performance)
* Unlimited PTO
* Life Insurance, EAP, HSA with employer contribution, Pet Insurance option
* Vacation Incentive Program
* Hybrid In\-Office/Remote Work Schedule
* 5% 401K company match
* Continued education/career growth financial support
* Annual paid volunteer day
 Salary Description
 105K \- 110K</t>
        </is>
      </c>
    </row>
    <row r="57">
      <c r="A57" t="inlineStr">
        <is>
          <t>li-4364978242</t>
        </is>
      </c>
      <c r="B57" t="inlineStr">
        <is>
          <t>Data Engineer</t>
        </is>
      </c>
      <c r="C57" t="inlineStr">
        <is>
          <t>Akkodis Group Nordics</t>
        </is>
      </c>
      <c r="D57" t="inlineStr">
        <is>
          <t>linkedin</t>
        </is>
      </c>
      <c r="E57">
        <f>HYPERLINK("https://www.linkedin.com/jobs/view/4364978242", "https://www.linkedin.com/jobs/view/4364978242")</f>
        <v/>
      </c>
      <c r="F57" t="inlineStr"/>
      <c r="G57" t="inlineStr">
        <is>
          <t>Sunnyvale, CA</t>
        </is>
      </c>
      <c r="H57" t="inlineStr"/>
      <c r="I57" t="inlineStr">
        <is>
          <t>Akkodis is seeking a
 **Data Engineer** 
 for a
 **Contract** 
 with a client in
 **Sunnyvale CA(Remote).** 
 The candidate will build scalable API‑driven data pipelines and manage critical database infrastructure to ensure clean, reliable data delivery.
**Rate Range:** 
 $62/hour to $64/hour; The rate may be negotiable based on experience, education, geographic location, and other factors.
**Data Engineer Job Responsibilities Include**
* Design, implement, and maintain data models and database schemas across SQL, vector, and unstructured data systems.
* Optimize database performance by tuning queries, improving storage strategies, and ensuring high‑throughput data operations.
* Develop scalable ETL pipelines and data engineering workflows to support analytics, applications, and reporting needs.
* Build full‑stack components, including backend services, APIs, and integration layers using Java, Python, and SQL.
* Ensure data security, privacy compliance, and proper governance across all data platforms and processing flows.
* Integrate and manage big‑data and warehouse technologies such as Spark, Snowflake, and Trino to support large‑scale data processing.
**Required Qualifications**
* Candidate must have a bachelor’s or master’s degree in computer science, Software Engineering, or a related technical field.
* Candidate should have 6 years of software development experience in data modelling, database design/optimization, and full‑stack development, along with 3 years of experience in big‑data and vector database technologies.
* Candidate must have strong proficiency in Java, Python, SQL, and hands‑on experience with platforms such as Spark, Snowflake, and Trino.
* Candidate will have demonstrated ability to design scalable ETL pipelines, ensure data security/compliance, and build end‑to‑end data‑driven applications.
 If you are interested in this role, then please click APPLY NOW. For other opportunities available at Akkodis, or any questions, feel free to contact me at
 **Govind.Pandey@** 
**akkodisgroup.com.**
**Pay Details:** 
 $62\.00 to $64\.00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58">
      <c r="A58" t="inlineStr">
        <is>
          <t>li-4364977281</t>
        </is>
      </c>
      <c r="B58" t="inlineStr">
        <is>
          <t>Data Engineer</t>
        </is>
      </c>
      <c r="C58" t="inlineStr">
        <is>
          <t>Akkodis Group Nordics</t>
        </is>
      </c>
      <c r="D58" t="inlineStr">
        <is>
          <t>linkedin</t>
        </is>
      </c>
      <c r="E58">
        <f>HYPERLINK("https://www.linkedin.com/jobs/view/4364977281", "https://www.linkedin.com/jobs/view/4364977281")</f>
        <v/>
      </c>
      <c r="F58">
        <f>HYPERLINK("https://www.akkodis.com/en-us/careers/jobs/data-engineer-cincinnati/US_EN_6_973631_1612501&amp;urlHash=V2Rh", "https://www.akkodis.com/en-us/careers/jobs/data-engineer-cincinnati/US_EN_6_973631_1612501&amp;urlHash=V2Rh")</f>
        <v/>
      </c>
      <c r="G58" t="inlineStr">
        <is>
          <t>Cincinnati, OH</t>
        </is>
      </c>
      <c r="H58" t="inlineStr"/>
      <c r="I58" t="inlineStr">
        <is>
          <t>Akkodis is seeking a
 **Data Engineer** 
 for a
 **Contract** 
 job with a client in
 **Cincinnati, OH** 
 . The ideal candidate will have strong experience in Python, Azure cloud services, distributed data processing, and enterprise‑grade data pipeline engineering.
**Rate Range:** 
**$53\.03/hour to $** 
**68\.18/hour** 
 ; The rate may be negotiable based on experience, education, geographic location, and other factors.
**Data Engineer Job Responsibilities Include**
* Develop distributed data pipelines and multi‑step transformation workflows using Python and cloud\-native tools.
* Build and maintain automated data quality checks, observability alerts, and monitoring for large‑scale data processes.
* Enhance CI/CD pipelines and cloud infrastructure using infrastructure‑as‑code practices.
* Write and test object‑oriented transformation logic, including unit, integration, and regression tests.
* Collaborate in Agile ceremonies, mentor junior engineers, and support improvements to existing applications.
**Desired Qualifications**
* Bachelor’s degree in Computer Science, MIS, Mathematics, Business Analytics, or a related technical field.
* 2\+ years of hands‑on experience in data engineering, with strong proficiency in Python, SQL, and distributed computing (PySpark or Snowpark).
* Experience with Azure (preferred), AWS, or GCP; CI/CD pipelines; Git/GitHub; PyTest; and dependency management (Conda, venv).
* Strong understanding of OOP principles, Java/Spring, data observability, data quality processes, and performance tuning.
* Knowledge of infrastructure‑as‑code, debugging enterprise applications, and Agile Scrum methodologies.
 If you are interested in this role, then please click APPLY NOW. For other opportunities available at Akkodis, or any questions, feel free to contact me at
 **Gopal.Gupta@** 
**akkodisgroup.com.**
**Pay Details:** 
 $53\.03 to $68\.18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59">
      <c r="A59" t="inlineStr">
        <is>
          <t>li-4365005077</t>
        </is>
      </c>
      <c r="B59" t="inlineStr">
        <is>
          <t>Data Engineer - REMOTE</t>
        </is>
      </c>
      <c r="C59" t="inlineStr">
        <is>
          <t>Jobgether</t>
        </is>
      </c>
      <c r="D59" t="inlineStr">
        <is>
          <t>linkedin</t>
        </is>
      </c>
      <c r="E59">
        <f>HYPERLINK("https://www.linkedin.com/jobs/view/4365005077", "https://www.linkedin.com/jobs/view/4365005077")</f>
        <v/>
      </c>
      <c r="F59" t="inlineStr"/>
      <c r="G59" t="inlineStr"/>
      <c r="H59" t="inlineStr"/>
      <c r="I59" t="inlineStr">
        <is>
          <t>This position is posted by Jobgether on behalf of a partner company. We are currently looking for a Data Engineer \- REMOTE. In this role, you'll be focused on designing robust data systems that not only unify disparate data sources but also create pipelines that support analytics and machine learning initiatives. You will collaborate with cross\-functional teams, ensuring that our clients can harness the power of their data effectively. As part of our mission, you'll help transform messy data into actionable insights, creating significant value for organizations. Your contributions will play a key role in shaping scalable data infrastructures that meet evolving needs.
**Accountabilities**
* Build modern, scalable data pipelines that keep the data flowing—and keep our clients happy
* Design cloud\-native infrastructure and automation that supports analytics, AI, and machine learning
* Unify and wrangle data from all kinds of sources: SQL, APIs, spreadsheets, cloud storage, and more
* Develop ETL/ELT frameworks that improve code quality and make things easier for your teammates
* Apply strong data modeling principles to support everything from dashboards to data science
* Collaborate closely with other teams to understand what they really need
* Write clear documentation, contribute to design decisions, and share what you learn
* Bring a thoughtful, problem\-solving mindset to every project
**Requirements**
* Solid SQL skills (and the curiosity to keep leveling up)
* Strong experience with ETL/ELT workflows (GUI tools or code\-based—either works!)
* A clear understanding of data modeling best practices
* Deep understanding of data quality, governance, and observability principles and practices
* Working knowledge of DevOps concepts
* Experience with CI/CD pipelines
* Excellent communication skills—you can explain tech to humans
* A passion for delivering smart, thoughtful, client\-centered solutions
* A love for learning new tools, frameworks, and approaches
* 5\+ years of professional experience in a data engineering or technical consulting role
* Flexibility and comfort in fast\-changing environments
**Benefits**
* Competitive salary range of $90,000–150,000, depending on experience and qualifications
* Flexible work environment, with a focus on remote and collaborative solutions
* Opportunity to work with a passionate and skilled team
* Continuous learning and development opportunities
* Engagement in innovative projects that shape the industry
* Work\-life balance and employee well\-being initiatives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0">
      <c r="A60" t="inlineStr">
        <is>
          <t>li-4364044518</t>
        </is>
      </c>
      <c r="B60" t="inlineStr">
        <is>
          <t>Data Engineer Lead</t>
        </is>
      </c>
      <c r="C60" t="inlineStr">
        <is>
          <t>University of Michigan</t>
        </is>
      </c>
      <c r="D60" t="inlineStr">
        <is>
          <t>linkedin</t>
        </is>
      </c>
      <c r="E60">
        <f>HYPERLINK("https://www.linkedin.com/jobs/view/4364044518", "https://www.linkedin.com/jobs/view/4364044518")</f>
        <v/>
      </c>
      <c r="F60">
        <f>HYPERLINK("https://careers.umich.edu/job_detail/273032/data-engineer-lead&amp;urlHash=BAAh", "https://careers.umich.edu/job_detail/273032/data-engineer-lead&amp;urlHash=BAAh")</f>
        <v/>
      </c>
      <c r="G60" t="inlineStr">
        <is>
          <t>Ann Arbor, MI</t>
        </is>
      </c>
      <c r="H60" t="inlineStr"/>
      <c r="I60" t="inlineStr">
        <is>
          <t>How to Apply
 A cover letter and resume are required submissions for the hiring team to understand your experience. In your cover letter, in 1 page or less, please explain how this role aligns with your career aspirations and skills. Submit both the cover letter and the resume as a single file.
 A competitive salary above the posted range is available based on the selected candidate's qualifications, experience, and education.
**Job Summary**
 The University of Michigan's
 **Data Science Practice** 
 team is seeking a
 **Data Engineering Lead** 
 to help lead our data engineering and architecture teams. As stewards of the University's enterprise data assets, our team is reimagining the future of our data infrastructure to support advanced analytics, data science, Artificial Intelligence, and institutional decision\-making. This role will work directly with Information and Technology Services (ITS) partners and Campus partners to enable a flexible data ecosystem that meets today's users' needs and scales for our future growth. This position will directly lead our data engineers and architects and report to the Associate Director of the Data Science Practice team.
 What You'll Do
 You are motivated, innovative, and creative, and you see opportunities for improvement in both technologies and processes. You have a background in data and can see the big picture. You are a leader and a team player.
 Who We Are
 We are moving to a new cloud\-based, scalable, and secure data ecosystem. We manage our enterprise data warehouse and have a group of data engineers and data architects who will be working in a new environment, implementing new processes and technologies, and migrating data from a legacy system.
 Why Work at Michigan?
* Be part of a collaborative, forward\-thinking team with a mission to modernize data infrastructure in service of education, research, and institutional excellence.
* Access to professional development opportunities, conferences, and cutting\-edge tools.
* Competitive salary and benefits, including generous time off and tuition support.
 Responsibilities\*
* Mentor and collaborate with data engineers and architects, and other high\-performing team members.
* Design, implement, and optimize data pipelines that support the university's modernization strategy.
* Contribute to the design of our future cloud\-native data architecture and the selection and implementation of our new toolset.
* Collaborate with data scientists, analysts, and stakeholders to deliver high\-quality, well\-documented data products.
* Develop scalable ETL/ELT processes that integrate data from enterprise systems (e.g., PeopleSoft, Salesforce, Blackbaud).
* Establish and promote best practices for data modeling, engineering, and governance in a modern data platform environment.
* Support agile delivery and CI/CD practices to improve efficiency and quality across the data lifecycle.
 Required Qualifications\*
* Bachelor's degree in a related field and/or equivalent combination of education, certification, and experience.
* 5\+ years of professional experience in data engineering, software development, or a related discipline.
* Strong proficiency in SQL and experience with both relational and non\-relational database systems.
* Experience developing in Python and/or Scala, particularly for data pipeline creation and automation.
* Hands\-on experience with cloud environments (AWS, Azure, or GCP) and associated data services.
* Experience with big data frameworks such as Apache Spark or Databricks.
* Knowledge of workflow orchestration tools (e.g., Apache Airflow, Prefect, or similar).
* Familiarity with modern CI/CD and infrastructure\-as\-code practices (e.g., Terraform, GitHub Actions).
* Strong understanding of data architecture, integration, and governance principles.
* Excellent communication skills and ability to collaborate in a team\-oriented environment.
 Desired Qualifications\*
* Master's degree in a relevant field (e.g., Data Science, Computer Science, Engineering).
* Experience supporting data and analytics workflows (BI, data science, machine learning, etc).
* Familiarity with modern data stack tools and concepts (platforms such as Snowflake, Databricks, Big Query, Redshift; ETL tools such as dbt and spark)
* Understanding of data privacy and compliance frameworks (e.g., FERPA, HIPAA, GDPR).
* Experience modernizing legacy data systems or migrating to cloud\-native architectures.
* Knowledge of ML Ops, feature engineering, or model deployment tools.
* Experience mentoring team members or leading technical projects.
* Background in higher education or research environments is a plus.
 You may not check every box, or your experience may look a little different from what we've outlined, but if you think you can bring value to our team, we encourage you to apply!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61">
      <c r="A61" t="inlineStr">
        <is>
          <t>li-4364996306</t>
        </is>
      </c>
      <c r="B61" t="inlineStr">
        <is>
          <t>Senior Data Engineer, Data Warehouse</t>
        </is>
      </c>
      <c r="C61" t="inlineStr">
        <is>
          <t>GeneDx</t>
        </is>
      </c>
      <c r="D61" t="inlineStr">
        <is>
          <t>linkedin</t>
        </is>
      </c>
      <c r="E61">
        <f>HYPERLINK("https://www.linkedin.com/jobs/view/4364996306", "https://www.linkedin.com/jobs/view/4364996306")</f>
        <v/>
      </c>
      <c r="F61" t="inlineStr"/>
      <c r="G61" t="inlineStr"/>
      <c r="H61" t="inlineStr"/>
      <c r="I61" t="inlineStr">
        <is>
          <t>GeneDx (Nasdaq: WGS) delivers personalized and actionable health insights to inform diagnosis, direct treatment, and improve drug discovery. The company is uniquely positioned to accelerate the use of genomic and large\-scale clinical information to enable precision medicine as the standard of care. GeneDx is at the forefront of transforming healthcare through its industry\-leading exome and genome testing and interpretation services, fueled by the world’s largest, rare disease data sets. For more information, please visit www.genedx.com.
**Summary**
 We are looking for a Data Engineer to join our growing Unified Data Warehouse team. This role is ideal for someone with a strong foundation in data engineering principles and data warehousing concepts who is eager to build scalable, high\-performance data systems.
 You will be responsible for developing, maintaining, and optimizing our data pipelines and infrastructure, collaborating closely with analysts, data scientists, and stakeholders across the organization. If you are passionate about data, solving complex problems, and building systems that scale, this role is for you.
**Job Responsibilities**
* Design, build, and maintain scalable ETL/ELT pipelines for structured and unstructured data.
* Contribute to and maintain the enterprise data model – the source of truth in our Snowflake warehouse.
* Write and optimize complex SQL queries (including window functions, temp tables, and query performance tuning) to support analytics and reporting needs.
* Take part in designing and maintaining centralized model layer.
* Support data warehousing solutions via Snowflake \+ dbt.
* Develop automation scripts in Bash, Python, or other programming languages.
* Manage cloud environments (AWS, OCI) in collaboration with infrastructure teams.
* Maintain and optimize Kubernetes (EKS) cluster for scalable workloads.
* Implement and maintain infrastructure\-as\-code using tools like Terraform, YAML, and Argo for reproducible and reliable deployments.
* Debug and troubleshoot data pipelines and data quality issues across systems.
* Collaborate with stakeholders of varying technical backgrounds to translate business requirements into scalable technical solutions.
* Be an active contributor to our ETL/ELT framework. We contribute features, fixes, and improvements almost daily. Everyone is encouraged and empowered to propose improvements and optimizations to our framework.
* Contribute to best practices for data modeling, governance, and quality control.
* Explore and recommend AI tools and modern data solutions for efficiency and automation.
**People Manager**
* No
**Education, Experience, And Skills**
* Strong understanding of data engineering concepts and data warehousing fundamentals.
* Advanced SQL skills, including debugging and performance tuning.
* Proficiency in at least one general\-purpose programming language (e.g., Python, Java, Scala). We use Python.
* Familiarity with Kimball (Dimensional) Modeling
* Basic scripting knowledge (Bash) for automation and operational workflows.
* Familiarity with cloud platforms (AWS, GCP, or OCI).
* Solid communication and collaboration skills to work effectively with technical and non\-technical stakeholders.
* Familiarity with Git
**Preferred Qualifications**
* Experience with distributed computing frameworks such as Dask (preferred) or Spark.
* Hands\-on experience managing and deploying workloads in Kubernetes.
* Exposure to infrastructure\-as\-code (Terraform, Helm, Argo, etc.).
* Experience with any of the popular workflow orchestration systems (Airflow, Dagster, Argo Workflows, etc)
* Experience implementing Change Data Capture (CDC) pipelines.
* Strong debugging and problem\-solving skills for troubleshooting complex data issues.
* Knowledge of AI tools and when to apply them in a data engineering context.
**Certificates, Licenses, Registrations**
* None
**Work Environment**
* This is a fully remote position. The employee will work from a home office or other suitable remote location with reliable high\-speed internet access. Work is performed in a climate\-controlled environment using standard office equipment including computer, phone, and video conferencing tools. Your standard work schedule and hours will be established in collaboration with your leader and may be adjusted to align with evolving business needs.
**Physical Demands**
 This is a sedentary role requiring prolonged periods of sitting while working at a computer. Physical demands include:
* Sitting for extended periods (up to 8 hours per day)
* Repetitive use of hands and fingers for typing and mouse operation
* Visual acuity for reading computer screens and documents
* Ability to communicate effectively via phone and video calls
* Occasional lifting of up to 10 pounds (office supplies, equipment)
 Reasonable accommodations may be made to enable individuals with disabilities to perform the essential functions of this position.
**Acknowledgements**
 The above job description is not intended to be an all\-inclusive list of duties and standards of the position. Incumbents will follow any other instructions, and perform any other related duties, as assigned by their supervisor.
 Pay Transparency, Budgeted Range
 $165,000—$185,000 USD
 \~
**Science \- Minded, Patient \- Focused.**
 At GeneDx, we create, follow, and are informed by cutting\-edge science. With over 20 years of expertise in diagnosing rare disorders and diseases, and pioneering work in the identification of new disease\-causing genes, our commitment to genetic disease detection, discovery, and diagnosis is based on sound science and is focused on enhancing patient care.
**Experts In What Matters Most.**
 With hundreds of genetic counselors, MD/PhD scientists, and clinical and molecular genomics specialists on staff, we are the industry’s genetic testing experts and proud of it. We share the same goal as healthcare providers, patients, and families: to provide clear, accurate, and meaningful answers we all can trust.
**SEQUENCING HAS THE POWER TO SOLVE DIAGNOSTIC CHALLENGES.**
 From sequencing to reporting and beyond, our technical and clinical experts are providing guidance every step of the way:
**TECHNICAL EXPERTISE**
* High\-quality testing: Our laboratory is CLIA certified and CAP accredited and most of our tests are also New York State approved.
* Advanced detection: By interrogating genes for complex variants, we can identify the underlying causes of conditions that may otherwise be missed.
**CLINICAL EXPERTISE**
* Thorough analysis: We classify variants according to our custom adaptation of the most recent guidelines. We then leverage our rich internal database for additional interpretation evidence.
* Customized care: Our experts review all test results and write reports in a clear, concise, and personalized way. We also include information for research studies in specific clinical situations.
* Impactful discovery: Our researchers continue working to find answers even after testing is complete. Through both internal research efforts and global collaborations, we have identified and published hundreds of new disease\-gene relationships and developed novel tools for genomic data analysis. These efforts ultimately deliver more diagnostic findings to individuals.
 Learn more About Us here.
**Our Culture**
 At GeneDx, we are dedicated to cultivating an environment where creativity and innovation thrive. We believe in the power of community and collaboration, where diverse perspectives are embraced, and every voice contributes to our shared success. Our team is a vibrant mix of professionals who challenge and support each other in equal measure, fostering growth both personally and professionally. When you join us, you're not just taking on a job—you're joining a movement. A movement that champions curiosity, embraces change, and believes in making an impact, one patient at a time. Cultural principles we live by:
* Be bold in our vision \&amp; brave in our execution.
* Communicate directly, with empathy.
* Do what we say we're going to do.
* Be adaptable to change.
* Operate with a bias for action.
**Benefits include:**
* Paid Time Off (PTO)
* Health, Dental, Vision and Life insurance
* 401k Retirement Savings Plan
* Employee Discounts
* Voluntary benefits
**GeneDx is an Equal Opportunity Employer.**
 All privacy policy information can be found here.</t>
        </is>
      </c>
    </row>
    <row r="62">
      <c r="A62" t="inlineStr">
        <is>
          <t>li-4361994547</t>
        </is>
      </c>
      <c r="B62" t="inlineStr">
        <is>
          <t>Data Platform Engineer - AI Development</t>
        </is>
      </c>
      <c r="C62" t="inlineStr">
        <is>
          <t>The Hartford</t>
        </is>
      </c>
      <c r="D62" t="inlineStr">
        <is>
          <t>linkedin</t>
        </is>
      </c>
      <c r="E62">
        <f>HYPERLINK("https://www.linkedin.com/jobs/view/4361994547", "https://www.linkedin.com/jobs/view/4361994547")</f>
        <v/>
      </c>
      <c r="F62">
        <f>HYPERLINK("https://thehartford.wd5.myworkdayjobs.com/Careers_External/job/Hartford-CT/Data-Platform-Engineer\u002d\u002d-AI-Development_R2623766?source=LinkedIn&amp;urlHash=rsBt", "https://thehartford.wd5.myworkdayjobs.com/Careers_External/job/Hartford-CT/Data-Platform-Engineer\u002d\u002d-AI-Development_R2623766?source=LinkedIn&amp;urlHash=rsBt")</f>
        <v/>
      </c>
      <c r="G62" t="inlineStr">
        <is>
          <t>Charlotte, NC</t>
        </is>
      </c>
      <c r="H62" t="inlineStr"/>
      <c r="I62"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**Data Platform Engineer (** 
 to design, build, and maintain
 **agentic AI systems** 
 that automate and accelerate the creation of enterprise Data Products. This role blends modern data engineering with emerging AI agent technologies to enable end‑to‑end automation across our data lifecycle.
 You will join the Enterprise Data Engineering organization and work closely with architects, AI engineers, and platform teams to shape the next generation of Data Product automation at The Hartford.
 This role will have a Hybrid work schedule, with the expectation of working in an office (Columbus, OH, Chicago, IL, Hartford, CT or Charlotte, NC) 3 days a week (Tuesday through Thursday). Candidates who do not live near an office will have a remote work arrangement, with the expectation of coming into an office as business needs arise.
**What You’ll Do**
* Build, deploy, and operate agentic AI systems that assist in Data Product development from inception through production.
* Collaborate with Data Engineering, Architecture, and AI teams to define patterns, guardrails, and reusable services.
* Ensure systems are reliable, observable, secure, and compliant with enterprise governance standards.
* Support and maintain existing AI agents and automation tools in production.
* Contribute to Data Platform Engineering standards and reference architectures
**What You Bring**
* 2\+ years of experience in data engineering, data platforms, or distributed systems.
* Hands‑on experience developing production‑grade AI agents, automation systems, or generative AI‑powered applications.
* Strong proficiency in Python, SQL, and modern data engineering frameworks.
* Experience with cloud‑native data platforms and services (GCP preferred).
* Experience with IDMC and Snowflake data platforms.
* Expertise in building and operating ETL/ELT pipelines, orchestration, and metadata‑driven systems.
* Knowledge of CI/CD, containerization, and DevOps patterns.
* Strong problem‑solving skills and the ability to collaborate across engineering, AI, and platform teams.
* Ability to influence architecture and system design at
**Nice to Have**
* Experience with MCP, and/or custom agent frameworks.
* Familiarity with vector databases, embeddings, or retrieval frameworks.
* Experience building Data Products or supporting data architectures.
* Prior work with monitoring/observability for AI systems.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
 About Us \| Our Culture \| What It’s Like to Work Here \| Perks \&amp; Benefits</t>
        </is>
      </c>
    </row>
    <row r="63">
      <c r="A63" t="inlineStr">
        <is>
          <t>li-4365001121</t>
        </is>
      </c>
      <c r="B63" t="inlineStr">
        <is>
          <t>Remote Data Engineer</t>
        </is>
      </c>
      <c r="C63" t="inlineStr">
        <is>
          <t>Jobgether</t>
        </is>
      </c>
      <c r="D63" t="inlineStr">
        <is>
          <t>linkedin</t>
        </is>
      </c>
      <c r="E63">
        <f>HYPERLINK("https://www.linkedin.com/jobs/view/4365001121", "https://www.linkedin.com/jobs/view/4365001121")</f>
        <v/>
      </c>
      <c r="F63" t="inlineStr"/>
      <c r="G63" t="inlineStr">
        <is>
          <t>Florida, United States</t>
        </is>
      </c>
      <c r="H63" t="inlineStr"/>
      <c r="I63" t="inlineStr">
        <is>
          <t>This position is posted by Jobgether on behalf of a partner company. We are currently looking for a Remote Data Engineer. In this role, you will significantly impact data integration and analytics initiatives, collaborating with diverse teams to ensure quality data deliverables. You will design and develop innovative data integration pipelines, contributing to improved business insights through advanced analytics techniques. This position offers the opportunity to leverage your expertise in cloud and legacy systems while supporting critical go\-live activities and ongoing data quality improvements. Join us out of the ordinary in creating impactful data solutions in a flexible remote environment.
**Accountabilities**
* Design and develop data integration pipelines across cloud and legacy systems
* Lead and support data engineering implementation efforts
* Maintain data mappings, catalogs, and integration documentation
* Participate in design reviews, data profiling, and deployment activities
* Define data standards and ensure quality, governed data deliverables
* Support go\-live activities and continuous data quality improvements
* Apply advanced analytics techniques to support business insights and decision\-making
**Requirements**
* 5\+ years of database development experience (Snowflake, SQL Server, Oracle)
* 5\+ years designing and coding ETL workflows (Matillion preferred; Informatica, Ab Initio, DataStage)
* Experience with data modeling, integration pipelines, and cloud data architectures
* Strong communication skills and ability to work with cross\-functional teams
* Proficient in Microsoft Office
* Agile/Lean experience preferred
* SaaS platform experience (Salesforce, ESRI, Workforce) a plus
**Benefits**
* Competitive salary ranging from $85,000 to $95,000
* Comprehensive benefits package
* Opportunities for professional development
* Flexible working environment
* Collaborative culture with a diverse team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4">
      <c r="A64" t="inlineStr">
        <is>
          <t>li-4354115946</t>
        </is>
      </c>
      <c r="B64" t="inlineStr">
        <is>
          <t>Senior Data Engineer</t>
        </is>
      </c>
      <c r="C64" t="inlineStr">
        <is>
          <t>UST</t>
        </is>
      </c>
      <c r="D64" t="inlineStr">
        <is>
          <t>linkedin</t>
        </is>
      </c>
      <c r="E64">
        <f>HYPERLINK("https://www.linkedin.com/jobs/view/4354115946", "https://www.linkedin.com/jobs/view/4354115946")</f>
        <v/>
      </c>
      <c r="F64" t="inlineStr"/>
      <c r="G64" t="inlineStr">
        <is>
          <t>San Jose, CA</t>
        </is>
      </c>
      <c r="H64" t="inlineStr"/>
      <c r="I64" t="inlineStr">
        <is>
          <t>**Role Description**
**Senior Data Engineer**
**Lead I \- Data Engineering**
**Who We Are**
 Born digital, UST transforms lives through the power of technology. We walk alongside our clients and partners, embedding innovation and agility into everything they do. We help them create transformative experiences and human\-centered solutions for a better world.
 UST is a mission\-driven group of 29,000\+ practical problem solvers and creative thinkers in more than 30 countries. Our entrepreneurial teams are empowered to innovate, act nimbly, and create a lasting and sustainable impact for our clients, their customers, and the communities in which we live.
 With us, you’ll create a boundless impact that transforms your career—and the lives of people across the world.
 Visit us at UST.com.
**You Are**
 You will be responsible for creating and maintaining optimal data pipeline architecture. Gathering large and complex datasets that meet business, functional, and non\-functional requirements.
**The Opportunity**
* Identifying, designing, and implementing internal process improvements: auditing the root causes of problems, indicating improvements to components or applications, and proposing better models for recurring issues.
* Creating analytics tools that utilize the data pipeline to provide actionable insights into customer acquisition, operational efficiency, and other key business performance metrics.
* Working with stakeholders, including executive, product, and data consumer teams, to assist with data\-related technical issues and support their data consumption needs.
* Working with data and analytics experts to strive for greater functionality in our data systems.
 This position description identifies the responsibilities and tasks typically associated with the performance of the position. Other relevant essential functions may be required.
**What You Need**
* Minimum of 4 years of experience as a Data Engineer, degree in computer science, statistics, information systems, or a related field.
* Advanced knowledge of SQL and experience working with relational and non\-relational databases, as well as familiarity with a variety of databases.
* Experience in creating and optimizing data pipelines, architectures, and big data sets.
* Experience performing root cause analysis on internal and external data and processes to answer specific business questions and identify opportunities for improvement.
* Experience and analytical skills related to working with unstructured data sets.
* Experience managing message queues, flow processing, and highly scalable data warehouses.
* Experience supporting and working with cross\-functional teams in a dynamic environment.
* Solid experience using software tools such as Haddop, Spark, Kafka, etc.
* Experience with SQL and NoSQL relational models
* Experience with Azure Cloud and services such as Cosmos DB, Azure Data Lake, and Azure SQL
* Experience managing streaming processing systems like Storm and Spark Streaming
* Experience with object\-oriented languages such as Python, Scala, C\+\+, Java, and Go Experience with Continuous Integration/Continuous Delivery (CI/CD)
* Experience managing software containers and automation using Docker/Kubernetes and Ansible/Puppet
* Experience using data flow and extraction tools such as Airflow and BigQuery
* Experience with agile frameworks
* English B1\-B2
**Benefits**
 Employees receive eleven (11\) paid holidays, two (2\) weeks of paid vacation per year, and are eligible for health, dental, disability and life insurance.
**What We Believe**
 We proudly embrace the values that have shaped UST since day one. We build our culture of Humility, Humanity, and Integrity. These values inspire us to nurture a people\-first, human centric culture that fosters diversity, prioritizes sustainable solutions, and keeps our people and clients at the forefront of all decisions.
**Humility**
 We will listen, learn, be empathetic and help selflessly in our interactions with everyone.
**Humanity**
 Through business, we will better the lives of those less fortunate than ourselves.
**Integrity**
 We honor our commitments and act with responsibility in all our relationships.
**An Equal Opportunity Workplace, Free of Discrimination and Harassment**
 At UST, we strive to provide a work environment free of discrimination and harassment. We are an equal opportunity employer and employment decisions are based on merit and business needs. Our Human Rights Policy further illustrates our stand on this. We are committed to following fair employment practices that provide equal opportunities to all employees. We do not discriminate or allow harassment on the basis of race, color, religion, disability, gender, national origin, sexual orientation, gender identity, gender expression, age, genetic information, military status, or any other legally protected status. At UST, we value diversity and believe that a diverse workplace builds a competitive advantage.
**Un lugar de trabajo con igualdad de oportunidades y libre de discriminación y acoso**
 En UST, nos esforzamos por proporcionar un ambiente de trabajo libre de discriminación y acoso. Somos un empleador que ofrece igualdad de oportunidades y basa las decisiones de empleo en los méritos y las necesidades del negocio. Estamos comprometidos a seguir prácticas de empleo justas que brinden igualdad de oportunidades a todos los empleados. No discriminamos ni permitimos el acoso por motivos de raza, color, religión, discapacidad, género, origen nacional, orientación sexual, identidad de género, expresión de género, edad, información genética, estado militar o cualquier otro estado legalmente protegido. En UST, valoramos la diversidad y creemos que un lugar de trabajo diverso construye una ventaja competitiva.
 UST reserves the right to periodically redefine your roles and responsibilities based on the requirements of the organization and/or your performance.
 \#UST
**Skills**
 data engineering,sql,big data,data transformation,metadata</t>
        </is>
      </c>
    </row>
    <row r="65">
      <c r="A65" t="inlineStr">
        <is>
          <t>li-4365008014</t>
        </is>
      </c>
      <c r="B65" t="inlineStr">
        <is>
          <t>Sr. Data Engineer - Remote</t>
        </is>
      </c>
      <c r="C65" t="inlineStr">
        <is>
          <t>Jobgether</t>
        </is>
      </c>
      <c r="D65" t="inlineStr">
        <is>
          <t>linkedin</t>
        </is>
      </c>
      <c r="E65">
        <f>HYPERLINK("https://www.linkedin.com/jobs/view/4365008014", "https://www.linkedin.com/jobs/view/4365008014")</f>
        <v/>
      </c>
      <c r="F65" t="inlineStr"/>
      <c r="G65" t="inlineStr">
        <is>
          <t>Illinois, United States</t>
        </is>
      </c>
      <c r="H65" t="inlineStr"/>
      <c r="I65" t="inlineStr">
        <is>
          <t>This position is posted by Jobgether on behalf of a partner company. We are currently looking for a Remote Data Engineer. In this role, you will significantly impact data integration and analytics initiatives, collaborating with diverse teams to ensure quality data deliverables. You will design and develop innovative data integration pipelines, contributing to improved business insights through advanced analytics techniques. This position offers the opportunity to leverage your expertise in cloud and legacy systems while supporting critical go\-live activities and ongoing data quality improvements. Join us out of the ordinary in creating impactful data solutions in a flexible remote environment.
**Accountabilities**
* Design and develop data integration pipelines across cloud and legacy systems
* Lead and support data engineering implementation efforts
* Maintain data mappings, catalogs, and integration documentation
* Participate in design reviews, data profiling, and deployment activities
* Define data standards and ensure quality, governed data deliverables
* Support go\-live activities and continuous data quality improvements
* Apply advanced analytics techniques to support business insights and decision\-making
**Requirements**
* 5\+ years of database development experience (Snowflake, SQL Server, Oracle)
* 5\+ years designing and coding ETL workflows (Matillion preferred; Informatica, Ab Initio, DataStage)
* Experience with data modeling, integration pipelines, and cloud data architectures
* Strong communication skills and ability to work with cross\-functional teams
* Proficient in Microsoft Office
* Agile/Lean experience preferred
* SaaS platform experience (Salesforce, ESRI, Workforce) a plus
**Benefits**
* Competitive salary ranging from $85,000 to $95,000
* Comprehensive benefits package
* Opportunities for professional development
* Flexible working environment
* Collaborative culture with a diverse team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6">
      <c r="A66" t="inlineStr">
        <is>
          <t>li-4364979660</t>
        </is>
      </c>
      <c r="B66" t="inlineStr">
        <is>
          <t>Azure Data Engineer</t>
        </is>
      </c>
      <c r="C66" t="inlineStr">
        <is>
          <t>Lensa</t>
        </is>
      </c>
      <c r="D66" t="inlineStr">
        <is>
          <t>linkedin</t>
        </is>
      </c>
      <c r="E66">
        <f>HYPERLINK("https://www.linkedin.com/jobs/view/4364979660", "https://www.linkedin.com/jobs/view/4364979660")</f>
        <v/>
      </c>
      <c r="F66" t="inlineStr"/>
      <c r="G66" t="inlineStr">
        <is>
          <t>Morristown, NJ</t>
        </is>
      </c>
      <c r="H66" t="inlineStr"/>
      <c r="I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Accenture. Clicking "Apply Now" or "Read more" on Lensa redirects you to the job board/employer site. Any information collected there is subject to their terms and privacy notice.
 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(https://www.accenture.com/us\-en/careers/local/total\-rewards)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(https://www.accenture.com/content/dam/accenture/final/accenture\-com/document\-3/Accenture\-Equal\-Employment\-Opportunity\-Statement.pdf\#zoom\=50\)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
 If you have questions about this posting, please contact support@lensa.com</t>
        </is>
      </c>
    </row>
    <row r="67">
      <c r="A67" t="inlineStr">
        <is>
          <t>li-4365016525</t>
        </is>
      </c>
      <c r="B67" t="inlineStr">
        <is>
          <t>Senior Data Engineer - Online</t>
        </is>
      </c>
      <c r="C67" t="inlineStr">
        <is>
          <t>Zoom</t>
        </is>
      </c>
      <c r="D67" t="inlineStr">
        <is>
          <t>linkedin</t>
        </is>
      </c>
      <c r="E67">
        <f>HYPERLINK("https://www.linkedin.com/jobs/view/4365016525", "https://www.linkedin.com/jobs/view/4365016525")</f>
        <v/>
      </c>
      <c r="F67" t="inlineStr"/>
      <c r="G67" t="inlineStr">
        <is>
          <t>San Jose, CA</t>
        </is>
      </c>
      <c r="H67" t="inlineStr"/>
      <c r="I67" t="inlineStr">
        <is>
          <t>**Senior Data Engineer – Online**
**What You Can Expect**
 We are seeking a Senior Data Engineer to build and scale a modern data platform supporting product analytics, lifecycle marketing, ecommerce insights, and machine learning pipelines in a SaaS environment. The role requires solid hands\-on experience with cloud data stacks and close collaboration with product, marketing, and ML teams.
 The work includes a mix of new pipeline development and the maintenance and evolution of long\-lived pipelines, with a strong emphasis on correctness, stability, and thoughtful iteration. You’ll operate in areas where data issues can directly affect product workflows or customer experiences, making high data quality, proactive monitoring, and operational rigor essential.
**About The Team**
 The Online Data team owns the data foundations that support online product experiences, lifecycle marketing, and revenue analytics. Our domain includes workflows that directly affect product operations and customer interactions, not just reporting.
 We work primarily in Snowflake ,Databricks , DBT, with Airflow\-based orchestration, and place a solid emphasis on proper dimensional modeling, consistent business definitions, and clearly defined ownership boundaries. The team values engineer who take a long\-term view of data systems and help raise the bar through thoughtful design, code reviews, and shared standards.
**Responsibilities**
* Designing, building, and maintaining scalable data pipelines using Airflow, Spark, and Databricks, including ML pipelines for feature engineering, training, and inference
* Developing ELT workflows and analytics\-ready data models with dbt, architecting and optimizing Snowflake schemas for performance and cost
* Building and managing pipelines for product telemetry and event\-based data (users, sessions, events), supporting ecommerce metrics such as orders, subscriptions, revenue, and LTV
* Enabling lifecycle marketing analytics (acquisition, activation, retention, churn) with reliable, high\-quality data
* Ensuring data quality, reliability, monitoring, and cost optimization across the data platform
* Collaborating with Product, Marketing, Analytics, and ML teams, mentoring junior engineers, and contributing to data architecture decisions
**What We’re Looking For**
* Possess experience with Snowflake, dbt, Apache Airflow, solid SQL, and data modeling, working with Apache Spark / PySpark and Databricks
* Handle event\-driven, telemetry, and product analytics data, including ecommerce data models and SaaS business metrics (MRR, ARR, churn, retention)
* Apply workflow orchestration, monitoring, data quality best practices, and using data observability tools
* Build and maintain machine learning model pipelines and supports lifecycle marketing analytics
* Operate across cloud platforms (AWS, Azure, GCP) and implementing CI/CD for data pipelines
* Leverage streaming platforms such as Kafka and Kinesis
**Minimum**
**Salary Range or On Target Earnings:**
 $98,900\.00
**Maximum**
 $228,700\.00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04/01/26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68">
      <c r="A68" t="inlineStr">
        <is>
          <t>li-4316327002</t>
        </is>
      </c>
      <c r="B68" t="inlineStr">
        <is>
          <t>Data Engineer</t>
        </is>
      </c>
      <c r="C68" t="inlineStr">
        <is>
          <t>Robert Half</t>
        </is>
      </c>
      <c r="D68" t="inlineStr">
        <is>
          <t>linkedin</t>
        </is>
      </c>
      <c r="E68">
        <f>HYPERLINK("https://www.linkedin.com/jobs/view/4316327002", "https://www.linkedin.com/jobs/view/4316327002")</f>
        <v/>
      </c>
      <c r="F68" t="inlineStr"/>
      <c r="G68" t="inlineStr">
        <is>
          <t>Brookfield, WI</t>
        </is>
      </c>
      <c r="H68" t="inlineStr"/>
      <c r="I68" t="inlineStr">
        <is>
          <t>We are looking for an experienced Data Engineer to join our team in Brookfield, Wisconsin. This role offers the opportunity to work in a dynamic environment, tackling diverse data engineering challenges while contributing to impactful projects. As a valued team member, you will leverage advanced tools and technologies to design, optimize, and implement data solutions that support organizational goals.
 Responsibilities:
 • Develop, maintain, and optimize data pipelines to ensure efficient data flow and integration.
 • Design and implement data models and relational database systems to support analytics and reporting.
 • Collaborate with cross\-functional teams to gather requirements and deliver data solutions aligned with business needs.
 • Utilize tools such as Apache Spark, Hadoop, and Kafka to process and manage large\-scale data.
 • Perform Extract, Transform, Load (ETL) operations to prepare data for analysis and decision\-making.
 • Create and maintain documentation for data architecture, processes, and workflows.
 • Monitor and troubleshoot data systems to ensure optimal performance and reliability.
 • Integrate cloud\-based data storage solutions like Snowflake or Azure into existing infrastructure.
 • Work with data visualization tools, such as Power BI and Tableau, to provide actionable insights.
 • Stay updated on emerging technologies and trends in data engineering to enhance system capabilities.
 • At least 2 years of relevant experience in a data\-specific role.
 • Proficiency in Python and strong knowledge of scripting languages.
 • Hands\-on expertise with Apache Spark, Hadoop, Kafka, and similar frameworks.
 • Solid understanding of data integration and ETL processes.
 • Experience with data modeling and relational database design.
 • Familiarity with cloud data storage platforms like Snowflake or Azure.
 • Knowledge of data visualization tools such as Power BI or Tableau.
 • Strong problem\-solving skills and the ability to work independently or within a team.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69">
      <c r="A69" t="inlineStr">
        <is>
          <t>li-4361994548</t>
        </is>
      </c>
      <c r="B69" t="inlineStr">
        <is>
          <t>Data Platform Engineer - AI Development</t>
        </is>
      </c>
      <c r="C69" t="inlineStr">
        <is>
          <t>The Hartford</t>
        </is>
      </c>
      <c r="D69" t="inlineStr">
        <is>
          <t>linkedin</t>
        </is>
      </c>
      <c r="E69">
        <f>HYPERLINK("https://www.linkedin.com/jobs/view/4361994548", "https://www.linkedin.com/jobs/view/4361994548")</f>
        <v/>
      </c>
      <c r="F69" t="inlineStr"/>
      <c r="G69" t="inlineStr">
        <is>
          <t>Hartford, CT</t>
        </is>
      </c>
      <c r="H69" t="inlineStr"/>
      <c r="I69" t="inlineStr">
        <is>
          <t>Data Engineer \- GE08AE
 We’re determined to make a difference and are proud to be an insurance company that goes well beyond coverages and policies. Working here means having every opportunity to achieve your goals – and to help others accomplish theirs, too. Join our team as we help shape the future.
 We are seeking a highly skilled
 **Data Platform Engineer (** 
 to design, build, and maintain
 **agentic AI systems** 
 that automate and accelerate the creation of enterprise Data Products. This role blends modern data engineering with emerging AI agent technologies to enable end‑to‑end automation across our data lifecycle.
 You will join the Enterprise Data Engineering organization and work closely with architects, AI engineers, and platform teams to shape the next generation of Data Product automation at The Hartford.
 This role will have a Hybrid work schedule, with the expectation of working in an office (Columbus, OH, Chicago, IL, Hartford, CT or Charlotte, NC) 3 days a week (Tuesday through Thursday). Candidates who do not live near an office will have a remote work arrangement, with the expectation of coming into an office as business needs arise.
**What You’ll Do**
* Build, deploy, and operate agentic AI systems that assist in Data Product development from inception through production.
* Collaborate with Data Engineering, Architecture, and AI teams to define patterns, guardrails, and reusable services.
* Ensure systems are reliable, observable, secure, and compliant with enterprise governance standards.
* Support and maintain existing AI agents and automation tools in production.
* Contribute to Data Platform Engineering standards and reference architectures
**What You Bring**
* 2\+ years of experience in data engineering, data platforms, or distributed systems.
* Hands‑on experience developing production‑grade AI agents, automation systems, or generative AI‑powered applications.
* Strong proficiency in Python, SQL, and modern data engineering frameworks.
* Experience with cloud‑native data platforms and services (GCP preferred).
* Experience with IDMC and Snowflake data platforms.
* Expertise in building and operating ETL/ELT pipelines, orchestration, and metadata‑driven systems.
* Knowledge of CI/CD, containerization, and DevOps patterns.
* Strong problem‑solving skills and the ability to collaborate across engineering, AI, and platform teams.
* Ability to influence architecture and system design at
**Nice to Have**
* Experience with MCP, and/or custom agent frameworks.
* Familiarity with vector databases, embeddings, or retrieval frameworks.
* Experience building Data Products or supporting data architectures.
* Prior work with monitoring/observability for AI systems.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$100,960 \- $151,440
 Equal Opportunity Employer/Sex/Race/Color/Veterans/Disability/Sexual Orientation/Gender Identity or Expression/Religion/Age
 About Us \| Our Culture \| What It’s Like to Work Here \| Perks \&amp; Benefits</t>
        </is>
      </c>
    </row>
    <row r="70">
      <c r="A70" t="inlineStr">
        <is>
          <t>li-4365004070</t>
        </is>
      </c>
      <c r="B70" t="inlineStr">
        <is>
          <t>Senior Data Engineer - REMOTE</t>
        </is>
      </c>
      <c r="C70" t="inlineStr">
        <is>
          <t>Jobgether</t>
        </is>
      </c>
      <c r="D70" t="inlineStr">
        <is>
          <t>linkedin</t>
        </is>
      </c>
      <c r="E70">
        <f>HYPERLINK("https://www.linkedin.com/jobs/view/4365004070", "https://www.linkedin.com/jobs/view/4365004070")</f>
        <v/>
      </c>
      <c r="F70" t="inlineStr"/>
      <c r="G70" t="inlineStr">
        <is>
          <t>New York, United States</t>
        </is>
      </c>
      <c r="H70" t="inlineStr"/>
      <c r="I70" t="inlineStr">
        <is>
          <t>This position is posted by Jobgether on behalf of a partner company. We are currently looking for a Remote Data Engineer. In this role, you will significantly impact data integration and analytics initiatives, collaborating with diverse teams to ensure quality data deliverables. You will design and develop innovative data integration pipelines, contributing to improved business insights through advanced analytics techniques. This position offers the opportunity to leverage your expertise in cloud and legacy systems while supporting critical go\-live activities and ongoing data quality improvements. Join us out of the ordinary in creating impactful data solutions in a flexible remote environment.
**Accountabilities**
* Design and develop data integration pipelines across cloud and legacy systems
* Lead and support data engineering implementation efforts
* Maintain data mappings, catalogs, and integration documentation
* Participate in design reviews, data profiling, and deployment activities
* Define data standards and ensure quality, governed data deliverables
* Support go\-live activities and continuous data quality improvements
* Apply advanced analytics techniques to support business insights and decision\-making
**Requirements**
* 5\+ years of database development experience (Snowflake, SQL Server, Oracle)
* 5\+ years designing and coding ETL workflows (Matillion preferred; Informatica, Ab Initio, DataStage)
* Experience with data modeling, integration pipelines, and cloud data architectures
* Strong communication skills and ability to work with cross\-functional teams
* Proficient in Microsoft Office
* Agile/Lean experience preferred
* SaaS platform experience (Salesforce, ESRI, Workforce) a plus
**Benefits**
* Competitive salary ranging from $85,000 to $95,000
* Comprehensive benefits package
* Opportunities for professional development
* Flexible working environment
* Collaborative culture with a diverse team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1">
      <c r="A71" t="inlineStr">
        <is>
          <t>li-4364994860</t>
        </is>
      </c>
      <c r="B71" t="inlineStr">
        <is>
          <t>Software Developer/Data Engineer -- Entry Level</t>
        </is>
      </c>
      <c r="C71" t="inlineStr">
        <is>
          <t>CGI</t>
        </is>
      </c>
      <c r="D71" t="inlineStr">
        <is>
          <t>linkedin</t>
        </is>
      </c>
      <c r="E71">
        <f>HYPERLINK("https://www.linkedin.com/jobs/view/4364994860", "https://www.linkedin.com/jobs/view/4364994860")</f>
        <v/>
      </c>
      <c r="F71">
        <f>HYPERLINK("https://cgi.njoyn.com/corp/xweb/xweb.asp?clid=21001&amp;page=jobdetails&amp;jobid=J0825-1367&amp;BRID=1230597&amp;SBDID=943&amp;lang=1&amp;urlHash=wHBu", "https://cgi.njoyn.com/corp/xweb/xweb.asp?clid=21001&amp;page=jobdetails&amp;jobid=J0825-1367&amp;BRID=1230597&amp;SBDID=943&amp;lang=1&amp;urlHash=wHBu")</f>
        <v/>
      </c>
      <c r="G71" t="inlineStr">
        <is>
          <t>Mobile, AL</t>
        </is>
      </c>
      <c r="H71" t="inlineStr"/>
      <c r="I71" t="inlineStr">
        <is>
          <t>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Mobile, AL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72">
      <c r="A72" t="inlineStr">
        <is>
          <t>li-4364985917</t>
        </is>
      </c>
      <c r="B72" t="inlineStr">
        <is>
          <t>Software Developer/Data Engineer -- Entry Level</t>
        </is>
      </c>
      <c r="C72" t="inlineStr">
        <is>
          <t>CGI</t>
        </is>
      </c>
      <c r="D72" t="inlineStr">
        <is>
          <t>linkedin</t>
        </is>
      </c>
      <c r="E72">
        <f>HYPERLINK("https://www.linkedin.com/jobs/view/4364985917", "https://www.linkedin.com/jobs/view/4364985917")</f>
        <v/>
      </c>
      <c r="F72">
        <f>HYPERLINK("https://cgi.njoyn.com/corp/xweb/xweb.asp?clid=21001&amp;page=jobdetails&amp;jobid=J0825-1365&amp;BRID=1230593&amp;SBDID=943&amp;lang=1&amp;urlHash=B7bG", "https://cgi.njoyn.com/corp/xweb/xweb.asp?clid=21001&amp;page=jobdetails&amp;jobid=J0825-1365&amp;BRID=1230593&amp;SBDID=943&amp;lang=1&amp;urlHash=B7bG")</f>
        <v/>
      </c>
      <c r="G72" t="inlineStr">
        <is>
          <t>Birmingham, AL</t>
        </is>
      </c>
      <c r="H72" t="inlineStr"/>
      <c r="I72" t="inlineStr">
        <is>
          <t>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Birmingham, AL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73">
      <c r="A73" t="inlineStr">
        <is>
          <t>li-4362023793</t>
        </is>
      </c>
      <c r="B73" t="inlineStr">
        <is>
          <t>Spark Data Engineer (Remote)</t>
        </is>
      </c>
      <c r="C73" t="inlineStr">
        <is>
          <t>Zachary Piper Solutions</t>
        </is>
      </c>
      <c r="D73" t="inlineStr">
        <is>
          <t>linkedin</t>
        </is>
      </c>
      <c r="E73">
        <f>HYPERLINK("https://www.linkedin.com/jobs/view/4362023793", "https://www.linkedin.com/jobs/view/4362023793")</f>
        <v/>
      </c>
      <c r="F73" t="inlineStr"/>
      <c r="G73" t="inlineStr">
        <is>
          <t>Washington, DC</t>
        </is>
      </c>
      <c r="H73" t="inlineStr"/>
      <c r="I73" t="inlineStr">
        <is>
          <t>Zachary Piper Solutions is seeking an
 **Spark Data Engineer (DoD Secret)** 
 to support a variety of federal customer. This role focuses on big data engineering, optimization, and performance tuning using Apache Spark. The ideal candidate will have strong experience in data engineering, SQL query optimization, and distributed computing. Customer\-facing skills and excellent communication are essential for success in this position.
**Work Environment:** 
 Remote \- Full
**Clearance:** 
 Minimum for a DoD Secret but can hold up to TS/SCI
**Responsibilities:**
* Design and implement scalable data pipelines and architectures using Apache Spark.
* Optimize Spark jobs for performance and efficiency across large datasets.
* Collaborate with clients to understand requirements and deliver technical solutions.
* Support data engineering tasks including ETL, data warehousing, and query optimization.
* Assist with integration of Spark\-based solutions into cloud environments (AWS, Azure, GCP).
* Provide technical guidance on best practices for big data processing and analytics.
* Participate in short\- to medium\-term customer engagements, ensuring successful delivery of projects.
**Qualifications:**
* Bachelor’s degree in Computer Science or related field required.
* Minimum 5 years of experience in data engineering and distributed computing.
* Strong expertise in Apache Spark and performance optimization techniques.
* Proficiency in SQL and experience with data warehousing and query tuning.
* Familiarity with Python or Scala programming languages.
* Working knowledge of cloud ecosystems (AWS, Azure, or GCP).
* Excellent communication and customer\-facing skills.
* Ability to manage scope, timelines, and deliverables in technical projects.
**Preferred:**
* Experience with machine learning and data science concepts.
* Familiarity with CI/CD pipelines and MLOps practices.
* Knowledge of Databricks platform and big data architecture design.
**Compensation:**
* Salary Range: $150,000 \- $220,000 (based on experience).
* Benefits: Cigna medical, dental, vision, 401k, up to 20 days paid time off, 11 federal holidays, and sick leave as required by law.
**Application Period: Opens on 01/20/2025 and will be accepted for at least 30 days from the posting date.**
 ﻿</t>
        </is>
      </c>
    </row>
    <row r="74">
      <c r="A74" t="inlineStr">
        <is>
          <t>li-4364993892</t>
        </is>
      </c>
      <c r="B74" t="inlineStr">
        <is>
          <t>Health Data Engineer</t>
        </is>
      </c>
      <c r="C74" t="inlineStr">
        <is>
          <t>Booz Allen Hamilton</t>
        </is>
      </c>
      <c r="D74" t="inlineStr">
        <is>
          <t>linkedin</t>
        </is>
      </c>
      <c r="E74">
        <f>HYPERLINK("https://www.linkedin.com/jobs/view/4364993892", "https://www.linkedin.com/jobs/view/4364993892")</f>
        <v/>
      </c>
      <c r="F74">
        <f>HYPERLINK("https://careers.boozallen.com/careers/JobDetail?jobId=119728&amp;source=JB-16500&amp;urlHash=qwh3", "https://careers.boozallen.com/careers/JobDetail?jobId=119728&amp;source=JB-16500&amp;urlHash=qwh3")</f>
        <v/>
      </c>
      <c r="G74" t="inlineStr">
        <is>
          <t>Bethesda, MD</t>
        </is>
      </c>
      <c r="H74" t="inlineStr"/>
      <c r="I74" t="inlineStr">
        <is>
          <t>**Job Number: R0232422**
 Health Data Engineer
**The Opportunity:**
 As a data engineer, you know that organizing big data can yield pivotal insights when it’s gathered from disparate sources. We need a data professional like you to help our clients find answers in their big data to impact important missions.
 As a Health Data Engineer at Booz Allen, you’ll use your skills and experience to implement data engineering activities on some of the most mission\-driven projects in the healthcare management, delivery, research, and public health space.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development, and maintenance of scalable platforms for your clients.
 Join us. The world can’t wait.
**You Have:** 
* 3\+ years of experience designing, developing, operationalizing, and maintaining complex data applications at enterprise scale
* 3\+ years of experience creating software for retrieving, parsing, and processing structured and unstructured data
* 2\+ years of experience with distributed data and computing tools, including Databricks, PySpark, and Spark
* Ability to develop scripts and programs for converting various types of data into usable formats and support project team to scale, monitor, and operate data platforms
* Ability to obtain and maintain a Public Trust or Suitability/Fitness determination based on client requirements
* Bachelor’s degree
**Nice If You Have:** 
* Experience with application development using SQL or Scala
* Experience with a public cloud, including AWS, Microsoft Azure, or Google Cloud
* Experience working on real\-time data and streaming applications
* Experience with NoSQL implementation using MongoDB or Cassandra
* Experience with data warehousing, including AWS Redshift, MySQL, or Snowflake
* Experience with UNIX and Linux, including basic commands and Shell scripting
*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5">
      <c r="A75" t="inlineStr">
        <is>
          <t>li-4358521115</t>
        </is>
      </c>
      <c r="B75" t="inlineStr">
        <is>
          <t>Lead Data Platform Engineer</t>
        </is>
      </c>
      <c r="C75" t="inlineStr">
        <is>
          <t>Harnham</t>
        </is>
      </c>
      <c r="D75" t="inlineStr">
        <is>
          <t>linkedin</t>
        </is>
      </c>
      <c r="E75">
        <f>HYPERLINK("https://www.linkedin.com/jobs/view/4358521115", "https://www.linkedin.com/jobs/view/4358521115")</f>
        <v/>
      </c>
      <c r="F75" t="inlineStr"/>
      <c r="G75" t="inlineStr">
        <is>
          <t>Austin, Texas Metropolitan Area</t>
        </is>
      </c>
      <c r="H75" t="inlineStr"/>
      <c r="I75" t="inlineStr">
        <is>
          <t>**Role Overview** 
 Lead the architecture and development of a high\-performance compute platform that powers Simulation and ML engineering teams. This role combines deep technical hands\-on work with engineering leadership, requiring expertise in distributed computing frameworks and data processing at scale.
**Key Responsibilities** 
* Design, build, and scale a user\-friendly compute platform supporting Simulation and ML workflows across the organization
* Lead architecture design and development of distributed data processing infrastructures, balancing performance and cost optimization
* Drive technical direction for infrastructure engineering, establishing coding best practices and system design patterns
* Manage and mentor an infrastructure engineering team while remaining deeply hands\-on in implementation and troubleshooting
* Optimize distributed computing frameworks for cost and performance, ensuring efficient resource utilization at scale
* Collaborate cross\-functionally with Simulation, ML, and Product teams to translate requirements into scalable infrastructure solutions
* Build and maintain CI/CD pipelines, monitoring systems, and observability tools for platform reliability
**Requirements** 
* 5\+ years of professional software engineering experience with production\-level distributed systems
* Extensive experience in Python and C\+\+ for building high\-performance data processing pipelines
* Deep hands\-on experience with distributed computing frameworks (e.g., Spark, Ray, Dask, Kubernetes, or similar)
* Proven track record optimizing cost and performance within large\-scale compute environments
* Technical leadership experience: architecture design, code reviews, mentoring engineers, and setting engineering standards
* Experience building and scaling data processing infrastructures that support ML training, simulation, or analytics workloads
* Demonstrated ability to lead engineering teams while maintaining significant hands\-on contributions to the codebase
**Nice to Have** 
* Experience working with sensor data pipelines (e.g., LiDAR, camera, radar) or robotics data workflows
* Background in autonomous systems, robotics, or related compute\-intensive domains
* Familiarity with GPU optimization and accelerated computing frameworks</t>
        </is>
      </c>
    </row>
    <row r="76">
      <c r="A76" t="inlineStr">
        <is>
          <t>li-4354151548</t>
        </is>
      </c>
      <c r="B76" t="inlineStr">
        <is>
          <t>Principal Data Engineer</t>
        </is>
      </c>
      <c r="C76" t="inlineStr">
        <is>
          <t>Consumer Cellular, Inc.</t>
        </is>
      </c>
      <c r="D76" t="inlineStr">
        <is>
          <t>linkedin</t>
        </is>
      </c>
      <c r="E76">
        <f>HYPERLINK("https://www.linkedin.com/jobs/view/4354151548", "https://www.linkedin.com/jobs/view/4354151548")</f>
        <v/>
      </c>
      <c r="F76" t="inlineStr"/>
      <c r="G76" t="inlineStr">
        <is>
          <t>Scottsdale, AZ</t>
        </is>
      </c>
      <c r="H76" t="inlineStr"/>
      <c r="I76" t="inlineStr">
        <is>
          <t>**Position Information**
 Consumer Cellular is seeking skilled
 **Principal Data Engineers** 
 who thrive in a highly collaborative, agile team environment. Engineers at Consumer Cellular design elegant technical solutions for complex product requirements, deliver high quality code as part of a fast\-moving agile team, and own the stability and quality of their domain. We would love to hear from talented engineers who share our passion for leveraging the latest technology to provide a best\-in\-class experience to our customers.
**You will need to reside within 50 miles of our Corporate Headquarters in Scottsdale, AZ as this role has the option of hybrid or onsite.**
**Responsibilities**
* Collaborate with fellow data engineering and cross\-functional data teams to build and deliver custom enterprise data warehousing and database applications.
* Accurately estimate tasks, bugs, and spikes in your domain.
* Develop software that meets code quality standards and metrics.
* Build productive internal/external working relationships.
* Effectively manage risk, change, and uncertainty with support from your leader and peers.
* Build a solid understanding of inter\-team functional data dependencies and navigate appropriate communication channels for solving issues as they arise.
* Design and implement new features while continuously improving quality of technical data products and database applications.
* Act as a technical expert and engineer on an agile squad.
* Create and execute long term vision of technical data products and database applications.
* Drive the architectural solutions across data warehousing and database applications.
* Develop and Lead communities of practice by mentoring engineers, creating, and enforcing standards, reviewing others code, and sharing knowledge and know\-hows.
* Remain current on new cloud data solutions, design patterns, products, and development trends.
* Assist with problem resolution for customers and end users.
* Other duties, as maybe assigned.
**Skills And Experience**
* Expert knowledge of data engineering, database solution design, solid principles of data modeling.
* Experience 10\+ years in data engineering and database technologies
* Expert in developing reusable common component data artifacts.
* Expert with Data Engineering and Cloud products
* Expert in various Data Engineering Methodologies
* Expert in data security best practices
* Expert in data accessibility best practices
* Strong problem solving and collaboration skills
* Excellent verbal and written communication skills
* Strong Team Player
* Bachelor’s degree in Computer Science/Information Systems or comparable.
**Technology Requirements**
* Required:
+ Expert in SQL and Enterprise Data Warehousing
+ Expert in Azure or similar cloud technologies
+ Proficient in building out ELT (Extract Load Transform) solutions
+ Proficient in SQL Server, Azure Synapse or similar.
+ Proficient in writing SQL Queries
* Preferred:
+ Knowledge of one or more modern database design and Reporting Data frameworks such as ELT, ETL or similar.
+ Git HUB – Enterprise or similar
+ Cloud Technologies – Azure Resources for Data Engineering
**Physical Demands \&amp; Work Environment**
 The physical demands and work environment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and walk. Specific vision abilities required by this job include close vision, distance vision, color vision, peripheral vision, depth perception and ability to adjust focus.
 The noise level in the work environment is usually moderate.
**Disclaimer**
 The above statements are intended to describe the general nature and level of work performed and not to be construed as an exhaustive list of all responsibilities, duties, and skills required of personnel assigned to this job. All personnel may be required to perform duties outside of their normal responsibilities from time to time, as needed.
**About Consumer Cellular**
 Founded in 1995, Consumer Cellular is the first wireless provider unapologetically built for Americans 50\+. An approved wireless partner of AARP, Consumer Cellular is trusted by more than 4 million subscribers for affordable plans, popular phones and devices, and great nationwide coverage, all backed by top\-rated, 100% U.S. based customer support. Based in Scottsdale, AZ, with 3,000 employees in company locations throughout the U.S., Consumer Cellular has earned recognition as the most awarded wireless brand for customer service. The company has been honored as \#1 in customer service in its industry numerous times and, in 2024, ranked \#1 in network coverage and customer satisfaction among wireless carriers by American Customer Satisfaction Index (ACSI). Additionally, the company has been featured 12 times on the Inc. 5000 list of the fastest\-growing privately held U.S. companies. Consumer Cellular phones, devices and plans are available nationwide through more than 50 company\-owned neighborhood stores, online at ConsumerCellular.com, by telephone at (888\) 345\-5509, and at leading retailers including Target and Walmart. Connect with Consumer Cellular on Facebook, Instagram, and Youtube. for tutorials, features, applications, and company news.
**Pay \&amp; Benefits Data (in accordance with the Equal Pay and Opportunities Act)**
* Minimum Salary:$138,600
* Maximum Salary:$200,550
 This information reflects the anticipated base salary range for this position based on current national data. Minimums and maximums may vary based on location. Individual pay is based on skills, experience and other relevant factors. Our Talent Acquisition team are able to answer any additional questions you may have as you move through the selection process. As part of our Total Rewards package, Consumer Cellular, Inc. offers a broad range of Health, Life, Voluntary Lifestyle and other benefits and perks that enhance your physical, mental, and emotional wellbeing.
* Competitive base pay with potential for shift differential, overtime and bonus pay
* Medical insurance (98% company\-paid for full\-time employee only coverage)
* Dental and Vision insurance (100% company\-paid for full\-time employee only coverage)
* 401(k) company match of 100% up to 6% of your pay
* Discounted Consumer Cellular wireless phone plan for employees
* Paid Time Off (PTO) available following a 30\-day waiting period\*
* 6 company\-paid holidays plus 16 hours of floating holiday accrual per year
* Flexible Spending Accounts (FSA) for health care and dependent care expenses
* Life and AD\&amp;D insurance equal to 1x your annual earnings (100% company\-paid)
* Long\-Term Disability insurance (100% company\-paid)
* Employee Assistance Program (100% company\-paid)
* Education reimbursement
* Employee rewards program
* Accrue up to 40 hours in 1st year for hourly positions and up to 120 hours for salaried positions.
**Pre\-employment Background Check And Drug Screen Is Required.**
**Primary Location**
 United States\-Arizona\-Scottsdale
**Job**
 Information Technology
**Schedule**
 Full\-time
**Travel**
 No
**Job Posting**
 Jan 20, 2026
**Unposting Date**
 Feb 3, 2026</t>
        </is>
      </c>
    </row>
    <row r="77">
      <c r="A77" t="inlineStr">
        <is>
          <t>li-4364998685</t>
        </is>
      </c>
      <c r="B77" t="inlineStr">
        <is>
          <t>Data Engineer - Viasat Government</t>
        </is>
      </c>
      <c r="C77" t="inlineStr">
        <is>
          <t>Viasat</t>
        </is>
      </c>
      <c r="D77" t="inlineStr">
        <is>
          <t>linkedin</t>
        </is>
      </c>
      <c r="E77">
        <f>HYPERLINK("https://www.linkedin.com/jobs/view/4364998685", "https://www.linkedin.com/jobs/view/4364998685")</f>
        <v/>
      </c>
      <c r="F77" t="inlineStr"/>
      <c r="G77" t="inlineStr">
        <is>
          <t>Germantown, MD</t>
        </is>
      </c>
      <c r="H77" t="inlineStr"/>
      <c r="I77"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this Data Engineering role, you will be accountable for building datasets and dashboarding capabilities based on real time streaming data and large data sets. You will be responsible for creating streaming and batch ETLs in a cloud environment. You will architect datasets that enable the use of AI and support ML initiatives. The data sets you create will provide business intelligence and informative insights to our business leaders and deliver game changing value to our customers.
**The day\-to\-day**
 As a senior member of our Data Engineering team, you’ll help set direction, mentor junior team members, and build datasets and visualizations that power business intelligence and empower data driven decision making.
 We look for:
* The ability to communicate clearly and work well with both technical and non\-technical teams.
* The ability to take on projects with vague requirements, distill them into data engineering tasks, and complete them with the help of junior engineers.
* Proven ability to develop data architectures that scale well and provide meaningful insights.
* The ability to construct well\-organized schemas and data interfaces for consumption by data reporting teams, data scientists, or AI systems
**What You'll Need**
* 5\+ years proven data engineering experience using common data engineering languages (Java or Python) and common data engineering framework and tools like DBT, Spark, and Flink.
* Familiarity with RDBMS technologies (PostgreSQL, MySQL, Oracle, etc.)
* Experience in Linux based systems, docker, and code versioning tooling (Git/CI/CD).
* Familiarity with at least one cloud provider such as AWS, GCP, or Azure.
* Experience with at least one of Looker, Tableau, or Palantir
* Experience in design and implementation of robust and highly scalable Data services
* Proven team player with the ability to manage multiple projects simultaneously in a fast\-paced dynamic agile work environment.
* Bachelor’s degree in computer science, computer engineering, or electrical engineering or equivalent technical background and experience.
* Ability to travel up to 10%.
* Must be a US Citizen and eligible to obtain a US Security Clearance
**What Will Help You On The Job**
* Understanding of distributed and parallel computing architectures.
* Experience with Big Data and Streaming technologies like Kafka, Flink, Spark, DBT, Airflow, Big Query, and Trino.
* Knowledge/Understanding of Satellite systems and technologies.
* Previous work in business or customer analytics.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78">
      <c r="A78" t="inlineStr">
        <is>
          <t>li-4354115534</t>
        </is>
      </c>
      <c r="B78" t="inlineStr">
        <is>
          <t>Principal Data Engineer - Central Product Insights</t>
        </is>
      </c>
      <c r="C78" t="inlineStr">
        <is>
          <t>Riot Games</t>
        </is>
      </c>
      <c r="D78" t="inlineStr">
        <is>
          <t>linkedin</t>
        </is>
      </c>
      <c r="E78">
        <f>HYPERLINK("https://www.linkedin.com/jobs/view/4354115534", "https://www.linkedin.com/jobs/view/4354115534")</f>
        <v/>
      </c>
      <c r="F78">
        <f>HYPERLINK("https://www.riotgames.com/en/work-with-us/job/6353059?gh_jid=6353059?gh_src=nslt3m&amp;urlHash=1TTd", "https://www.riotgames.com/en/work-with-us/job/6353059?gh_jid=6353059?gh_src=nslt3m&amp;urlHash=1TTd")</f>
        <v/>
      </c>
      <c r="G78" t="inlineStr">
        <is>
          <t>Los Angeles, CA</t>
        </is>
      </c>
      <c r="H78" t="inlineStr"/>
      <c r="I78" t="inlineStr">
        <is>
          <t>Riot’s Data Engineers harness petabytes of data and state\-of\-the\-art processing technologies to build products that elevate the player experience at massive scale. Turning this data into meaningful insights is a complex challenge, and our engineers meet it by staying deeply player\-focused and collaborating across diverse teams to improve the lives of millions of players worldwide.
 As a
 **Principal Data Engineer** 
 within the
 **Product Insights** 
 team supporting
 **Publishing and eSports** 
 , you will design, build, and maintain scalable data pipelines and models that power critical data products, including centralized player data models, esports viewership analytics, player support insights, and publishing activity data systems. These systems support understanding of player onboarding funnels, engagement patterns, support efficiency, and content effectiveness. You will collaborate with product managers, analysts, and engineers to ensure our data infrastructure is reliable, performant, and directly tied to delivering better player experiences.
**Responsibilities**
* Design, build, and optimize scalable ETL pipelines for structured and semi\-structured data supporting Insights use cases, growth metrics, pubsports, and other out\-of\-game data sets.
* Design and implement data models using industry best practices that capture a complete ecosystem view of in\- and out\-of\-game experiences, while ensuring accuracy, scalability, and long\-term usability.
* Architect and implement robust, maintainable, and high\-performance data solutions.
* Automate workflows to reduce manual intervention and enhance data processing efficiency, including automation for content, growth, and pubsports areas of coverage.
* Mentor data engineers across all levels, setting best practices and fostering technical growth.
* Optimize query performance and resolve pipeline bottlenecks to improve data accessibility.
* Evaluate and adopt new tools, frameworks, and methodologies to advance data engineering capabilities.
* Support cost optimization by ensuring scalable and efficient data solutions.
* Ensure data quality, governance, and compliance with regulatory standards (e.g., GDPR, CCPA).
* Contribute to Riot’s Data Engineering discipline shaping infrastructure, craft standards, tooling, and organizational best practices
**Required Qualifications**
* Bachelor's or Master’s degree in Computer Science, Information Systems, Engineering, or a related field.
* 8\+ years experience in data engineering or a related field.
* Strong Expertise in big\-data technologies, including Python, GoLang, Spark, Scala, SQL, and tools like Airflow and dbt.
* Proficiency in cloud infrastructure (AWS or GCP) and Databricks.
* Expertise in designing efficient and scalable data models with large data sets across multiple teams and in collaboration with insights or data stakeholders.
* Demonstrated ability to work cross\-functionally with engineering, analytics, and product teams.
* Proven experience mentoring and guiding other engineers.
*For this role, you'll find success through craft expertise, a collaborative spirit, and decision\-making that prioritizes the delight of players. We will be looking at your past studies, experience, and your personal relationship with games. If you embody player empathy and care about players' experiences, this could be your role!*
**Our Perks**
 Riot focuses on work/life balance, shown by our open paid time off policy and other perks such as flexible work schedules. We offer medical, dental, and life insurance, parental leave for you, your spouse/domestic partner, and children, and a 401k with company match. Check out our
 **benefits pages** 
 for more information.
 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
*It’s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We consider for employment all qualified applicants, including those with criminal histories, in a manner consistent with applicable federal, state and local law, including the California Fair Chance Act, the City of Los Angeles Fair Chance Initiative for Hiring Ordinance, the Los Angeles County Fair Chance Ordinance for Employers, the San Francisco Fair Chance Ordinance, and the Washington Fair Chance Act.*
**Duties**
*Per the Los Angeles County Fair Chance Ordinance, the following core duties may create a basis for disqualifying candidates with relevant criminal histories:*
* Safeguarding confidential and sensitive Company data
* Communication with others, including Rioters and third parties such as vendors, and/or players, including minors
* Accessing Company assets, secure digital systems, and networks
* Ensuring a safe interactive environment for players and other Rioters
*These duties are directly related to essential operations, safety, trust, and compliance obligations within our organization. Please note that job duties may evolve based on business needs and additional responsibilities may be assigned as necessary to maintain operational efficiency and security.*</t>
        </is>
      </c>
    </row>
    <row r="79">
      <c r="A79" t="inlineStr">
        <is>
          <t>li-4365018252</t>
        </is>
      </c>
      <c r="B79" t="inlineStr">
        <is>
          <t>Data Engineer - Viasat Government</t>
        </is>
      </c>
      <c r="C79" t="inlineStr">
        <is>
          <t>Viasat</t>
        </is>
      </c>
      <c r="D79" t="inlineStr">
        <is>
          <t>linkedin</t>
        </is>
      </c>
      <c r="E79">
        <f>HYPERLINK("https://www.linkedin.com/jobs/view/4365018252", "https://www.linkedin.com/jobs/view/4365018252")</f>
        <v/>
      </c>
      <c r="F79">
        <f>HYPERLINK("https://careers.viasat.com/jobs/5566?lang=en-us&amp;iis=Job+Board&amp;iisn=LinkedIn&amp;source=LinkedIn&amp;urlHash=mL-o", "https://careers.viasat.com/jobs/5566?lang=en-us&amp;iis=Job+Board&amp;iisn=LinkedIn&amp;source=LinkedIn&amp;urlHash=mL-o")</f>
        <v/>
      </c>
      <c r="G79" t="inlineStr">
        <is>
          <t>Tempe, AZ</t>
        </is>
      </c>
      <c r="H79" t="inlineStr"/>
      <c r="I79"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this Data Engineering role, you will be accountable for building datasets and dashboarding capabilities based on real time streaming data and large data sets. You will be responsible for creating streaming and batch ETLs in a cloud environment. You will architect datasets that enable the use of AI and support ML initiatives. The data sets you create will provide business intelligence and informative insights to our business leaders and deliver game changing value to our customers.
**The day\-to\-day**
 As a senior member of our Data Engineering team, you’ll help set direction, mentor junior team members, and build datasets and visualizations that power business intelligence and empower data driven decision making.
 We look for:
* The ability to communicate clearly and work well with both technical and non\-technical teams.
* The ability to take on projects with vague requirements, distill them into data engineering tasks, and complete them with the help of junior engineers.
* Proven ability to develop data architectures that scale well and provide meaningful insights.
* The ability to construct well\-organized schemas and data interfaces for consumption by data reporting teams, data scientists, or AI systems
**What You'll Need**
* 5\+ years proven data engineering experience using common data engineering languages (Java or Python) and common data engineering framework and tools like DBT, Spark, and Flink.
* Familiarity with RDBMS technologies (PostgreSQL, MySQL, Oracle, etc.)
* Experience in Linux based systems, docker, and code versioning tooling (Git/CI/CD).
* Familiarity with at least one cloud provider such as AWS, GCP, or Azure.
* Experience with at least one of Looker, Tableau, or Palantir
* Experience in design and implementation of robust and highly scalable Data services
* Proven team player with the ability to manage multiple projects simultaneously in a fast\-paced dynamic agile work environment.
* Bachelor’s degree in computer science, computer engineering, or electrical engineering or equivalent technical background and experience.
* Ability to travel up to 10%.
* Must be a US Citizen and eligible to obtain a US Security Clearance
**What Will Help You On The Job**
* Understanding of distributed and parallel computing architectures.
* Experience with Big Data and Streaming technologies like Kafka, Flink, Spark, DBT, Airflow, Big Query, and Trino.
* Knowledge/Understanding of Satellite systems and technologies.
* Previous work in business or customer analytics.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80">
      <c r="A80" t="inlineStr">
        <is>
          <t>li-4362091606</t>
        </is>
      </c>
      <c r="B80" t="inlineStr">
        <is>
          <t>Network Data Engineer</t>
        </is>
      </c>
      <c r="C80" t="inlineStr">
        <is>
          <t>Tata Consultancy Services</t>
        </is>
      </c>
      <c r="D80" t="inlineStr">
        <is>
          <t>linkedin</t>
        </is>
      </c>
      <c r="E80">
        <f>HYPERLINK("https://www.linkedin.com/jobs/view/4362091606", "https://www.linkedin.com/jobs/view/4362091606")</f>
        <v/>
      </c>
      <c r="F80" t="inlineStr"/>
      <c r="G80" t="inlineStr">
        <is>
          <t>Palm Beach Gardens, FL</t>
        </is>
      </c>
      <c r="H80" t="inlineStr"/>
      <c r="I80" t="inlineStr">
        <is>
          <t>**Job Description**
 Must Have Technical/Functional Skills
* Strong experience with Cisco IOS/XE, Arista EOS, and network automation tools
* Hands\-on experience with SD\-WAN technologies and centralized management platforms
* Proficiency in wireless networking (802\.11 standards, RF fundamentals, site surveys)
* Solid understanding of routing protocols (OSPF, BGP, EIGRP) and Layer 2 technologies (VLANs, STP)
* Familiarity with network monitoring tools (e.g., NetScout, Cisco DNAC, NetFlow, SNMP)
* Experience with network security concepts and integration with firewalls and NAC
* Certifications such as CCNP, Arista ACE, CWNA, or SD\-WAN vendor certifications
* Experience with scripting and automation (Python, Ansible)
* Knowledge of cloud networking (AWS, Azure, GCP) is a plus
* Strong analytical and problem\-solving skills
* Excellent communication and documentation abilities
* Experience with integration with firewalls, load balancers, and cloud networking
* Experience with NetFlow, SNMP, and Syslog for monitoring
 Salary Range $100,000\-$110,000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**Qualifications:** 
 BACHELOR OF COMPUTER SCIENCE</t>
        </is>
      </c>
    </row>
    <row r="81">
      <c r="A81" t="inlineStr">
        <is>
          <t>li-4362004098</t>
        </is>
      </c>
      <c r="B81" t="inlineStr">
        <is>
          <t>Data engineer (SAP BW) only W2</t>
        </is>
      </c>
      <c r="C81" t="inlineStr">
        <is>
          <t>Jobs via Dice</t>
        </is>
      </c>
      <c r="D81" t="inlineStr">
        <is>
          <t>linkedin</t>
        </is>
      </c>
      <c r="E81">
        <f>HYPERLINK("https://www.linkedin.com/jobs/view/4362004098", "https://www.linkedin.com/jobs/view/4362004098")</f>
        <v/>
      </c>
      <c r="F81">
        <f>HYPERLINK("https://click.appcast.io/t/3xSgcAdTAYLd9RPZm3hH6i76YpdFtRwgnp6ZTBwt8Oc=&amp;urlHash=czK5", "https://click.appcast.io/t/3xSgcAdTAYLd9RPZm3hH6i76YpdFtRwgnp6ZTBwt8Oc=&amp;urlHash=czK5")</f>
        <v/>
      </c>
      <c r="G81" t="inlineStr"/>
      <c r="H81" t="inlineStr"/>
      <c r="I81" t="inlineStr">
        <is>
          <t>Dice is the leading career destination for tech experts at every stage of their careers. Our client, Nasscomm, Inc., is seeking the following. Apply via Dice today!
* 6\-10 years of Technical Experience
* Azure Synapse \&amp; Azure Data Factory Expertise
* Data Modeling
* SAP BW Concepts: Data models (InfoCubes, DSOs, CompositeProviders), extraction mechanisms (Open Hub, ODP), BW Queries
* SAP data familiarity – Supply chain, Ops,
* Python / ML Experience (preferred)
* ETL tool experience: SAP Data Services, Azure Data Factory (ADF), or 3rd\-party connectors like Theobald Xtract or SDI.
* SQL
 Understanding of Both Source and Target Platforms
* SAP BW Concepts: Data models (InfoCubes, DSOs, CompositeProviders), extraction mechanisms (Open Hub, ODP), BW Queries.
* Azure Synapse Analytics: Synapse workspace, dedicated SQL pools vs. serverless SQL, integration pipelines, Synapse Studio usage.</t>
        </is>
      </c>
    </row>
    <row r="82">
      <c r="A82" t="inlineStr">
        <is>
          <t>li-4361905038</t>
        </is>
      </c>
      <c r="B82" t="inlineStr">
        <is>
          <t>Data Analytics Contractor (AWS Data Engineer)</t>
        </is>
      </c>
      <c r="C82" t="inlineStr">
        <is>
          <t>Jobs via Dice</t>
        </is>
      </c>
      <c r="D82" t="inlineStr">
        <is>
          <t>linkedin</t>
        </is>
      </c>
      <c r="E82">
        <f>HYPERLINK("https://www.linkedin.com/jobs/view/4361905038", "https://www.linkedin.com/jobs/view/4361905038")</f>
        <v/>
      </c>
      <c r="F82" t="inlineStr"/>
      <c r="G82" t="inlineStr">
        <is>
          <t>Malvern, PA</t>
        </is>
      </c>
      <c r="H82" t="inlineStr"/>
      <c r="I82" t="inlineStr">
        <is>
          <t>Dice is the leading career destination for tech experts at every stage of their careers. Our client, HCM Staffing and Consulting, is seeking the following. Apply via Dice today!
**Description**
 As a Data Analytics Contractor, you will analyze and interpret complex data sets to provide actionable insights and support decision\-making processes. Collect, process, and analyze large datasets to identify trends, patterns, and insights. Develop and maintain data models, dashboards, and reports to visualize data findings.Utilize statistical and analytical tools to perform data analysis and generate insights. Collaborate with project teams to understand data requirements and deliver relevant analytical solutions. Ensure data accuracy and integrity by performing data validation and quality checks.
**Primary Skill Required for the Role:** 
 AWS Data Engineer
**Level Required for Primary Skill:** 
 Advanced (6\-9 years experience)
**Additional Details for Role:**
* Client is looking for the candidate to be onsite Tuesday thru Thursday in Malvern, PA
**Data Engineer:**
* Someone who has been primarily focused on AWS Glue and PySpark data engineering for the last few years.
* The candidate will work along side the client team using AWS,Python, Pyspark, Glue, Python, Redshift, Aurora to build a system to extract data for a third party application.
* AWS, Python Pyspark, Glue, Python, Redshift, Aurora.</t>
        </is>
      </c>
    </row>
    <row r="83">
      <c r="A83" t="inlineStr">
        <is>
          <t>li-4361954401</t>
        </is>
      </c>
      <c r="B83" t="inlineStr">
        <is>
          <t>AWS Data Engineer</t>
        </is>
      </c>
      <c r="C83" t="inlineStr">
        <is>
          <t>Jobs via Dice</t>
        </is>
      </c>
      <c r="D83" t="inlineStr">
        <is>
          <t>linkedin</t>
        </is>
      </c>
      <c r="E83">
        <f>HYPERLINK("https://www.linkedin.com/jobs/view/4361954401", "https://www.linkedin.com/jobs/view/4361954401")</f>
        <v/>
      </c>
      <c r="F83">
        <f>HYPERLINK("https://click.appcast.io/t/9xBXkxR3vkg0Zaz9lIK5k8Cahf1DV8Kg6A8Kw_X2j2g=&amp;urlHash=_lgB", "https://click.appcast.io/t/9xBXkxR3vkg0Zaz9lIK5k8Cahf1DV8Kg6A8Kw_X2j2g=&amp;urlHash=_lgB")</f>
        <v/>
      </c>
      <c r="G83" t="inlineStr">
        <is>
          <t>Malvern, PA</t>
        </is>
      </c>
      <c r="H83" t="inlineStr"/>
      <c r="I83" t="inlineStr">
        <is>
          <t>Dice is the leading career destination for tech experts at every stage of their careers. Our client, Nasscomm, Inc., is seeking the following. Apply via Dice today!
**AWS Data Engineer:**
**12 months**
**Client is looking for the candidate to be onsite Tuesday thru Thursday in Malvern, PA**
 Job description:
 They are looking for someone who has been primarily focused on AWS Glue and PySpark data engineering for the last few years.
 – The candidate will along side the client team using AWS,Python, Pyspark, Glue, Python, Redshift, Aurora to build a system to extract data for a third party application.
 AWS, Python Pyspark, Glue, Python, Redshift, Aurora.</t>
        </is>
      </c>
    </row>
    <row r="84">
      <c r="A84" t="inlineStr">
        <is>
          <t>li-4364961767</t>
        </is>
      </c>
      <c r="B84" t="inlineStr">
        <is>
          <t>Lead Data Engineer</t>
        </is>
      </c>
      <c r="C84" t="inlineStr">
        <is>
          <t>Capital One</t>
        </is>
      </c>
      <c r="D84" t="inlineStr">
        <is>
          <t>linkedin</t>
        </is>
      </c>
      <c r="E84">
        <f>HYPERLINK("https://www.linkedin.com/jobs/view/4364961767", "https://www.linkedin.com/jobs/view/4364961767")</f>
        <v/>
      </c>
      <c r="F84">
        <f>HYPERLINK("https://dsp.prng.co/BTwPoHb&amp;urlHash=L0oj", "https://dsp.prng.co/BTwPoHb&amp;urlHash=L0oj")</f>
        <v/>
      </c>
      <c r="G84" t="inlineStr">
        <is>
          <t>New York, NY</t>
        </is>
      </c>
      <c r="H84" t="inlineStr"/>
      <c r="I8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New York, NY: $215,200 \- $245,600 for Lead Data Engineer
 Plano, TX: $179,400 \- $204,700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5">
      <c r="A85" t="inlineStr">
        <is>
          <t>li-4364953826</t>
        </is>
      </c>
      <c r="B85" t="inlineStr">
        <is>
          <t>Lead Data Engineer</t>
        </is>
      </c>
      <c r="C85" t="inlineStr">
        <is>
          <t>Capital One</t>
        </is>
      </c>
      <c r="D85" t="inlineStr">
        <is>
          <t>linkedin</t>
        </is>
      </c>
      <c r="E85">
        <f>HYPERLINK("https://www.linkedin.com/jobs/view/4364953826", "https://www.linkedin.com/jobs/view/4364953826")</f>
        <v/>
      </c>
      <c r="F85" t="inlineStr"/>
      <c r="G85" t="inlineStr">
        <is>
          <t>Plano, TX</t>
        </is>
      </c>
      <c r="H85" t="inlineStr"/>
      <c r="I8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New York, NY: $215,200 \- $245,600 for Lead Data Engineer
 Plano, TX: $179,400 \- $204,700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6">
      <c r="A86" t="inlineStr">
        <is>
          <t>li-4360986039</t>
        </is>
      </c>
      <c r="B86" t="inlineStr">
        <is>
          <t>Azure data Engineer with Collibra - Hybrid role in NY</t>
        </is>
      </c>
      <c r="C86" t="inlineStr">
        <is>
          <t>Jobs via Dice</t>
        </is>
      </c>
      <c r="D86" t="inlineStr">
        <is>
          <t>linkedin</t>
        </is>
      </c>
      <c r="E86">
        <f>HYPERLINK("https://www.linkedin.com/jobs/view/4360986039", "https://www.linkedin.com/jobs/view/4360986039")</f>
        <v/>
      </c>
      <c r="F86" t="inlineStr"/>
      <c r="G86" t="inlineStr">
        <is>
          <t>New York, NY</t>
        </is>
      </c>
      <c r="H86" t="inlineStr"/>
      <c r="I86" t="inlineStr">
        <is>
          <t>Dice is the leading career destination for tech experts at every stage of their careers. Our client, Empower Professionals, is seeking the following. Apply via Dice today!
 Hi,
 This is Jaydeep Singh from Empower Professionals, we have an opportunity for Azure Data Engineer with Collibra experience.
**Role: Azure data Engineering**
**Location: NYC, NY (Hybrid)**
**Duration: 12\+ Months**
**Must have:**
* Collibra
* DIP
* Azure Data
 Summary:
 We are looking for an onsite resource with expertise in the Collibra Data Intelligence Platform (DIP), Python, and Azure.
 The ideal candidate should have at least 10 years of experience.
 Skills required:
* At least one implementation of Collibra DIP Platform Setup and Governance.
* Azure Data Engineering experience.
* Python
* SQL
* AKS
**Thanks**
**Jaydeep Singh** 
**Technical Recruiter \| Empower Professionals**
 Fax:
 **\|** 
 100 Franklin Square Drive Suite 104
 **\|** 
 Somerset, NJ 08873
 Certified NJ and NY Minority Business Enterprise (NMSDC)
 Note: We respect your Online Privacy. This is not an unsolicited mail. Under Bills.1618 Title III passed by the 105th U.S. Congress this mail cannot be considered Spam as long as we include Contact information and a method to be removed from our mailing list. If you are not interested in receiving our e\-mails then please reply with a "REMOVE" in the subject line and mention all the e\-mail addresses to be removed with any e\-mail addresses, which might be diverting the e\-mails to you. We are sorry for the inconvenience.</t>
        </is>
      </c>
    </row>
    <row r="87">
      <c r="A87" t="inlineStr">
        <is>
          <t>li-4361944360</t>
        </is>
      </c>
      <c r="B87" t="inlineStr">
        <is>
          <t>Senior Security Data Engineer (SIEM Data Pipeline)_Remote(w2only)</t>
        </is>
      </c>
      <c r="C87" t="inlineStr">
        <is>
          <t>Jobs via Dice</t>
        </is>
      </c>
      <c r="D87" t="inlineStr">
        <is>
          <t>linkedin</t>
        </is>
      </c>
      <c r="E87">
        <f>HYPERLINK("https://www.linkedin.com/jobs/view/4361944360", "https://www.linkedin.com/jobs/view/4361944360")</f>
        <v/>
      </c>
      <c r="F87">
        <f>HYPERLINK("https://click.appcast.io/t/bIU1ou0yKr7-hHK-uF1ZNjUzN1UlNh2R6N4pwTLfwv8=&amp;urlHash=U-ps", "https://click.appcast.io/t/bIU1ou0yKr7-hHK-uF1ZNjUzN1UlNh2R6N4pwTLfwv8=&amp;urlHash=U-ps")</f>
        <v/>
      </c>
      <c r="G87" t="inlineStr"/>
      <c r="H87" t="inlineStr"/>
      <c r="I87" t="inlineStr">
        <is>
          <t>Dice is the leading career destination for tech experts at every stage of their careers. Our client, Prudent Technologies and Consulting, is seeking the following. Apply via Dice today!
**Senior Security Data Engineer (SIEM Data Pipeline)\_Remote**
**Contract :12 Months\+**
 We are seeking two Senior Data Engineers to lead efforts in orchestrating and transforming complex security telemetry data flows. These individuals will be responsible for high\-level architecture, governance, and ensuring secure and reliable movement of data between systems, particularly for legacy and non\-standard log sources. There are 100\+ data sources including existing and new that are specific to Cyber Security workloads that are in\-scope. These tasks will be performed on one or more data ingestion pipelines (Cribl, Vector, NiFi)
 Experience Required:
* 10\+ Years of experience working in Cybersecurity
* 5\+ Years of experience on CRIBL/Vector/Datadog/Splunk or other data pipeline platforms
* 5\+ Years of experience on JavaScript, python, or other scripting language</t>
        </is>
      </c>
    </row>
    <row r="88">
      <c r="A88" t="inlineStr">
        <is>
          <t>li-4364965736</t>
        </is>
      </c>
      <c r="B88" t="inlineStr">
        <is>
          <t>Lead Data Engineer</t>
        </is>
      </c>
      <c r="C88" t="inlineStr">
        <is>
          <t>Capital One</t>
        </is>
      </c>
      <c r="D88" t="inlineStr">
        <is>
          <t>linkedin</t>
        </is>
      </c>
      <c r="E88">
        <f>HYPERLINK("https://www.linkedin.com/jobs/view/4364965736", "https://www.linkedin.com/jobs/view/4364965736")</f>
        <v/>
      </c>
      <c r="F88" t="inlineStr"/>
      <c r="G88" t="inlineStr">
        <is>
          <t>McLean, VA</t>
        </is>
      </c>
      <c r="H88" t="inlineStr"/>
      <c r="I8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Data Engineer
 New York, NY: $215,200 \- $245,600 for Lead Data Engineer
 Plano, TX: $179,400 \- $204,700 for Lead Data Engineer
 Richmond, VA: $179,400 \- $204,700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2026-01-21T05:43:12Z</dcterms:created>
  <dcterms:modified xsi:type="dcterms:W3CDTF">2026-01-21T05:43:12Z</dcterms:modified>
</cp:coreProperties>
</file>