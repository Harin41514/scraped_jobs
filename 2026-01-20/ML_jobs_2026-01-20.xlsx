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in-c40b84068ce64bc0</t>
        </is>
      </c>
      <c r="B2" t="inlineStr">
        <is>
          <t>AI Engineer</t>
        </is>
      </c>
      <c r="C2" t="inlineStr">
        <is>
          <t>Amplify</t>
        </is>
      </c>
      <c r="D2" t="inlineStr">
        <is>
          <t>indeed</t>
        </is>
      </c>
      <c r="E2" t="inlineStr"/>
      <c r="F2" t="inlineStr"/>
      <c r="G2" t="inlineStr">
        <is>
          <t>Brooklyn, NY, US</t>
        </is>
      </c>
      <c r="H2" s="2" t="n">
        <v>46041</v>
      </c>
      <c r="I2"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Our Research and Measurement team is looking for an AI Engineer. The Research and Measurement team experiments with and develops cutting\-edge statistical techniques to power Amplify’s instruction and assessments programs. The AI Engineer is crucial for integrating sophisticated AI technologies, including generative AI, into our products and internal processes.
**Essential Responsibilities****:**
* AI Solutions Engineering: Develop and implement cutting\-edge AI solutions to augment our product suite, focusing on functionality and efficiency.
* Machine Learning Implementation: Design and deploy intricate machine learning models to address complex challenges, contributing to product development and strategy.
* Cross\-functional Collaboration: Work closely with diverse teams including learning scientists, data scientists, content experts, product managers, and engineers.
* Technical Communication: Effectively communicate AI concepts and implementations to diverse audiences; create clear and understandable technical documentation.
* Innovation and Growth: Stay current with AI advancements and integrate these into our models and strategies.
* Knowledge Sharing: Help other teams at Amplify understand generative AI's applications and limitations.
**Required Qualifications:**
* MS degree in Computer Science, AI, Machine Learning, or related field with a strong programming background.
* 3\+ years of experience in AI and software development in a commercial environment.
* Understanding of ethical implications of AI, including fairness, accountability, data privacy concerns, especially as they pertain to educational environments
* Demonstrated experience in applying AI solutions to a variety of problem domains.
* Proficiency in languages like Python, Java, R, etc.
* Proven experience with PyTorch, TensorFlow, and similar machine learning frameworks is essential.
* Experience with cloud platforms (AWS, Google Cloud, etc.) for AI development and deployment, and with devops tooling.
* Strong ability to communicate complex technical concepts to non\-technical audiences.
* Lifelong interest in contributing to the field of education.
* Demonstrated ability to work in small teams, independently, creatively, with a “can\-do” attitude.
**Preferred Qualifications:**
* PhD in a relevant field.
* Advanced proficiency in deep learning frameworks (TensorFlow, PyTorch, Keras, etc.).
* Knowledge of natural language processing and related fields.
* Exposure to or knowledge of the education sector or EdTech industry.
**What we offer:**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$135,000 \- $175,000\.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3">
      <c r="A3" t="inlineStr">
        <is>
          <t>in-5ca3989fcf3046bd</t>
        </is>
      </c>
      <c r="B3" t="inlineStr">
        <is>
          <t>Sr. Applied Scientist, AGI Foundations</t>
        </is>
      </c>
      <c r="C3" t="inlineStr">
        <is>
          <t>Amazon.com</t>
        </is>
      </c>
      <c r="D3" t="inlineStr">
        <is>
          <t>indeed</t>
        </is>
      </c>
      <c r="E3" t="inlineStr"/>
      <c r="F3" t="inlineStr"/>
      <c r="G3" t="inlineStr">
        <is>
          <t>Bellevue, WA,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in-eded772a7cabe7a9</t>
        </is>
      </c>
      <c r="B4" t="inlineStr">
        <is>
          <t>Sr. Applied Scientist, AGI Foundations</t>
        </is>
      </c>
      <c r="C4" t="inlineStr">
        <is>
          <t>Amazon.com</t>
        </is>
      </c>
      <c r="D4" t="inlineStr">
        <is>
          <t>indeed</t>
        </is>
      </c>
      <c r="E4" t="inlineStr"/>
      <c r="F4" t="inlineStr"/>
      <c r="G4" t="inlineStr">
        <is>
          <t>Boston, MA,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in-ef2ce7fcc3f9524d</t>
        </is>
      </c>
      <c r="B5" t="inlineStr">
        <is>
          <t>Applied Scientist II, Prime Video - Personalization and Discovery Science, Personalization and Discovery Science</t>
        </is>
      </c>
      <c r="C5" t="inlineStr">
        <is>
          <t>Amazon.com</t>
        </is>
      </c>
      <c r="D5" t="inlineStr">
        <is>
          <t>indeed</t>
        </is>
      </c>
      <c r="E5" t="inlineStr"/>
      <c r="F5" t="inlineStr"/>
      <c r="G5" t="inlineStr">
        <is>
          <t>Seattle, WA,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in-f2fb99637ce329bd</t>
        </is>
      </c>
      <c r="B6" t="inlineStr">
        <is>
          <t>Applied Scientist II, Prime Video - Personalization and Discovery Science, Personalization and Discovery Science</t>
        </is>
      </c>
      <c r="C6" t="inlineStr">
        <is>
          <t>Amazon.com</t>
        </is>
      </c>
      <c r="D6" t="inlineStr">
        <is>
          <t>indeed</t>
        </is>
      </c>
      <c r="E6" t="inlineStr"/>
      <c r="F6" t="inlineStr"/>
      <c r="G6" t="inlineStr">
        <is>
          <t>Sunnyvale, CA,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in-7e42e72721afb8c6</t>
        </is>
      </c>
      <c r="B7" t="inlineStr">
        <is>
          <t>Applied Scientist II, Prime Video - Personalization and Discovery Science, Personalization and Discovery Science</t>
        </is>
      </c>
      <c r="C7" t="inlineStr">
        <is>
          <t>Amazon.com</t>
        </is>
      </c>
      <c r="D7" t="inlineStr">
        <is>
          <t>indeed</t>
        </is>
      </c>
      <c r="E7" t="inlineStr"/>
      <c r="F7" t="inlineStr"/>
      <c r="G7" t="inlineStr">
        <is>
          <t>New York, NY,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in-793d5f72c72225e1</t>
        </is>
      </c>
      <c r="B8" t="inlineStr">
        <is>
          <t>Applied Scientist II, Prime Video - Personalization and Discovery Science</t>
        </is>
      </c>
      <c r="C8" t="inlineStr">
        <is>
          <t>Amazon.com</t>
        </is>
      </c>
      <c r="D8" t="inlineStr">
        <is>
          <t>indeed</t>
        </is>
      </c>
      <c r="E8" t="inlineStr"/>
      <c r="F8" t="inlineStr"/>
      <c r="G8" t="inlineStr">
        <is>
          <t>Sunnyvale, CA,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in-2a91684313ad238a</t>
        </is>
      </c>
      <c r="B9" t="inlineStr">
        <is>
          <t>Applied Scientist II, Prime Video - Personalization and Discovery Science</t>
        </is>
      </c>
      <c r="C9" t="inlineStr">
        <is>
          <t>Amazon.com</t>
        </is>
      </c>
      <c r="D9" t="inlineStr">
        <is>
          <t>indeed</t>
        </is>
      </c>
      <c r="E9" t="inlineStr"/>
      <c r="F9" t="inlineStr"/>
      <c r="G9" t="inlineStr">
        <is>
          <t>New York, NY,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in-aaec12174f690f60</t>
        </is>
      </c>
      <c r="B10" t="inlineStr">
        <is>
          <t>Applied Scientist II, Prime Video - Personalization and Discovery Science</t>
        </is>
      </c>
      <c r="C10" t="inlineStr">
        <is>
          <t>Amazon.com</t>
        </is>
      </c>
      <c r="D10" t="inlineStr">
        <is>
          <t>indeed</t>
        </is>
      </c>
      <c r="E10" t="inlineStr"/>
      <c r="F10" t="inlineStr"/>
      <c r="G10" t="inlineStr">
        <is>
          <t>Seattle, WA,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in-b1dc2cf4105a00bb</t>
        </is>
      </c>
      <c r="B11" t="inlineStr">
        <is>
          <t>Sr. Applied Scientist, Prime Video - Personalization and Discovery Science</t>
        </is>
      </c>
      <c r="C11" t="inlineStr">
        <is>
          <t>Amazon.com</t>
        </is>
      </c>
      <c r="D11" t="inlineStr">
        <is>
          <t>indeed</t>
        </is>
      </c>
      <c r="E11" t="inlineStr"/>
      <c r="F11" t="inlineStr"/>
      <c r="G11" t="inlineStr">
        <is>
          <t>Seattle, WA,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in-e20bf88a01b61c00</t>
        </is>
      </c>
      <c r="B12" t="inlineStr">
        <is>
          <t>Sr. Applied Scientist, Prime Video - Personalization and Discovery Science</t>
        </is>
      </c>
      <c r="C12" t="inlineStr">
        <is>
          <t>Amazon.com</t>
        </is>
      </c>
      <c r="D12" t="inlineStr">
        <is>
          <t>indeed</t>
        </is>
      </c>
      <c r="E12" t="inlineStr"/>
      <c r="F12" t="inlineStr"/>
      <c r="G12" t="inlineStr">
        <is>
          <t>New York, NY,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in-f39c27fae5ca7098</t>
        </is>
      </c>
      <c r="B13" t="inlineStr">
        <is>
          <t>Sr. Applied Scientist, Prime Video - Personalization and Discovery Science</t>
        </is>
      </c>
      <c r="C13" t="inlineStr">
        <is>
          <t>Amazon.com</t>
        </is>
      </c>
      <c r="D13" t="inlineStr">
        <is>
          <t>indeed</t>
        </is>
      </c>
      <c r="E13" t="inlineStr"/>
      <c r="F13" t="inlineStr"/>
      <c r="G13" t="inlineStr">
        <is>
          <t>Sunnyvale, CA,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in-a85a090aa6f5cfe1</t>
        </is>
      </c>
      <c r="B14" t="inlineStr">
        <is>
          <t>Sr. Applied Scientist, Prime Video - Personalization and Discovery Science</t>
        </is>
      </c>
      <c r="C14" t="inlineStr">
        <is>
          <t>Amazon.com</t>
        </is>
      </c>
      <c r="D14" t="inlineStr">
        <is>
          <t>indeed</t>
        </is>
      </c>
      <c r="E14" t="inlineStr"/>
      <c r="F14" t="inlineStr"/>
      <c r="G14" t="inlineStr">
        <is>
          <t>Sunnyvale, CA, US</t>
        </is>
      </c>
      <c r="H14" s="2" t="n">
        <v>45881</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in-496c49714d6d3420</t>
        </is>
      </c>
      <c r="B15" t="inlineStr">
        <is>
          <t>Applied Scientist II, Prime Video - Personalization and Discovery Science</t>
        </is>
      </c>
      <c r="C15" t="inlineStr">
        <is>
          <t>Amazon.com</t>
        </is>
      </c>
      <c r="D15" t="inlineStr">
        <is>
          <t>indeed</t>
        </is>
      </c>
      <c r="E15" t="inlineStr"/>
      <c r="F15" t="inlineStr"/>
      <c r="G15" t="inlineStr">
        <is>
          <t>Seattle, WA,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in-48afee2719e7a7ed</t>
        </is>
      </c>
      <c r="B16" t="inlineStr">
        <is>
          <t>Sr. Applied Scientist, Prime Video - Personalization and Discovery Science</t>
        </is>
      </c>
      <c r="C16" t="inlineStr">
        <is>
          <t>Amazon.com</t>
        </is>
      </c>
      <c r="D16" t="inlineStr">
        <is>
          <t>indeed</t>
        </is>
      </c>
      <c r="E16" t="inlineStr"/>
      <c r="F16" t="inlineStr"/>
      <c r="G16" t="inlineStr">
        <is>
          <t>Seattle, WA,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in-96d966921a378f01</t>
        </is>
      </c>
      <c r="B17" t="inlineStr">
        <is>
          <t>Sr. Applied Scientist, Prime Video - Personalization and Discovery Science</t>
        </is>
      </c>
      <c r="C17" t="inlineStr">
        <is>
          <t>Amazon.com</t>
        </is>
      </c>
      <c r="D17" t="inlineStr">
        <is>
          <t>indeed</t>
        </is>
      </c>
      <c r="E17" t="inlineStr"/>
      <c r="F17" t="inlineStr"/>
      <c r="G17" t="inlineStr">
        <is>
          <t>New York, NY, US</t>
        </is>
      </c>
      <c r="H17" s="2"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in-60831636b317addb</t>
        </is>
      </c>
      <c r="B18" t="inlineStr">
        <is>
          <t>Applied Scientist II, Prime Video - Personalization and Discovery Science</t>
        </is>
      </c>
      <c r="C18" t="inlineStr">
        <is>
          <t>Amazon.com</t>
        </is>
      </c>
      <c r="D18" t="inlineStr">
        <is>
          <t>indeed</t>
        </is>
      </c>
      <c r="E18" t="inlineStr"/>
      <c r="F18" t="inlineStr"/>
      <c r="G18" t="inlineStr">
        <is>
          <t>New York, NY, US</t>
        </is>
      </c>
      <c r="H18" s="2"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in-98f3db41c46b4d9f</t>
        </is>
      </c>
      <c r="B19" t="inlineStr">
        <is>
          <t>Applied Scientist II, Prime Video - Personalization and Discovery Science</t>
        </is>
      </c>
      <c r="C19" t="inlineStr">
        <is>
          <t>Amazon.com</t>
        </is>
      </c>
      <c r="D19" t="inlineStr">
        <is>
          <t>indeed</t>
        </is>
      </c>
      <c r="E19" t="inlineStr"/>
      <c r="F19" t="inlineStr"/>
      <c r="G19" t="inlineStr">
        <is>
          <t>Sunnyvale, CA, US</t>
        </is>
      </c>
      <c r="H19" s="2"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in-804f6aa3f85a73c7</t>
        </is>
      </c>
      <c r="B20" t="inlineStr">
        <is>
          <t>Applied Scientist, Prime Video - Personalization and Discovery Science</t>
        </is>
      </c>
      <c r="C20" t="inlineStr">
        <is>
          <t>Amazon.com</t>
        </is>
      </c>
      <c r="D20" t="inlineStr">
        <is>
          <t>indeed</t>
        </is>
      </c>
      <c r="E20" t="inlineStr"/>
      <c r="F20" t="inlineStr"/>
      <c r="G20" t="inlineStr">
        <is>
          <t>Sunnyvale, CA, US</t>
        </is>
      </c>
      <c r="H20" s="2" t="n">
        <v>45845</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in-2a8fad4fd3954306</t>
        </is>
      </c>
      <c r="B21" t="inlineStr">
        <is>
          <t>Applied Scientist, Prime Video - Personalization and Discovery Science</t>
        </is>
      </c>
      <c r="C21" t="inlineStr">
        <is>
          <t>Amazon.com</t>
        </is>
      </c>
      <c r="D21" t="inlineStr">
        <is>
          <t>indeed</t>
        </is>
      </c>
      <c r="E21" t="inlineStr"/>
      <c r="F21" t="inlineStr"/>
      <c r="G21" t="inlineStr">
        <is>
          <t>Seattle, WA, US</t>
        </is>
      </c>
      <c r="H21" s="2" t="n">
        <v>45845</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in-9ef33aff5eef01a7</t>
        </is>
      </c>
      <c r="B22" t="inlineStr">
        <is>
          <t>Applied Scientist, Prime Video - Personalization and Discovery Science</t>
        </is>
      </c>
      <c r="C22" t="inlineStr">
        <is>
          <t>Amazon.com</t>
        </is>
      </c>
      <c r="D22" t="inlineStr">
        <is>
          <t>indeed</t>
        </is>
      </c>
      <c r="E22" t="inlineStr"/>
      <c r="F22" t="inlineStr"/>
      <c r="G22" t="inlineStr">
        <is>
          <t>New York, NY, US</t>
        </is>
      </c>
      <c r="H22" s="2" t="n">
        <v>45845</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in-47246299c9006b62</t>
        </is>
      </c>
      <c r="B23" t="inlineStr">
        <is>
          <t>Senior Machine Learning Engineer - Ads</t>
        </is>
      </c>
      <c r="C23" t="inlineStr">
        <is>
          <t>Uber</t>
        </is>
      </c>
      <c r="D23" t="inlineStr">
        <is>
          <t>indeed</t>
        </is>
      </c>
      <c r="E23" t="inlineStr"/>
      <c r="F23" t="inlineStr"/>
      <c r="G23" t="inlineStr">
        <is>
          <t>New York, NY, US</t>
        </is>
      </c>
      <c r="H23" s="2" t="n">
        <v>46041</v>
      </c>
      <c r="I23" t="inlineStr">
        <is>
          <t>**About the Role**  
The Ads Machine Learning (Ads ML) team at Uber is responsible for providing relevant ad recommendations to the users across the different applications within the Uber ecosystem. We focus on building a deep understanding of both user and merchant behavior to generate accurate ML signals that enhance the Ads auction system providing accurate pricing for our advertisers. Our goal is to maximize the benefits for both users and merchants within Uber's Ads distribution system.
You will directly impact Uber's Ads systems by defining and executing the Ads ML roadmap, with a focus on enabling and accelerating large\-scale improvements to our recommendation and auction systems. Developing relevant, robust, and observable ad recommendations is crucial to Uber's fast growing Ads Business strategy, making this a highly impactful role.
**\- What the Candidate Will Do \-**  
* Design and implement machine learning models and algorithms to optimize ad recommendations and auction mechanisms.
* Develop and maintain scalable ML pipelines and data infrastructure to support real\-time and batch processing of large\-scale datasets.
* Apply advanced statistical and machine learning techniques to generate insights and improve the effectiveness of ad targeting and delivery.
* Collaborate with data scientists and engineers to build and refine predictive models that enhance user engagement and merchant benefits.
* Conduct rigorous experimentation and A/B testing to validate model performance and iterate on improvements.
* Define success metrics and develop dashboards to monitor and visualize the performance of ML models in production.
* Work closely with cross\-functional teams, including Product, Engineering, and Data Science, to translate business requirements into ML solutions.
* Mentor and provide technical guidance to junior ML engineers and data scientists.
Stay up\-to\-date with the latest research and advancements in machine learning, recommendation systems, and ad auction techniques.  
* 
**\- Basic Qualifications \-**  
* Bachelor's degree or equivalent experience in Computer Science, Computer Engineering, Data Science, ML, Statistics, or other quantitative fields.
* Proven experience with designing and implementing machine learning models in production environments.
* Proficiency in using Python for developing ML models and handling large\-scale data sets.
* Solid understanding of SQL and experience using it in a production environment.
* Strong grasp of Big Data architecture and experience with ETL frameworks and platforms.
* Hands\-on experience with building batch data pipelines using technologies like Spark or other map\-reduce frameworks.
* Expertise in experimental design and analysis, including A/B testing, exploratory data analysis, and statistical analysis.
* Experience with data visualization tools and creating insightful dashboards.
* Proficiency with methodologies such as sampling, statistical estimates, and descriptive statistics.
* Ability to synthesize complex data analyses into clear and actionable insights to influence product direction.
* Experience with recommendation systems.
* Fast learner with a passion for solving complex problems and asking thoughtful questions to ensure effective solutions.
* Strong communication skills to engage with technical, non\-technical, and executive audiences effectively.
Commitment to seeking and providing timely feedback to drive continuous improvement.  
* 
**\- Preferred Qualifications \-**  
* 5 years of industry experience as an ML engineer or equivalent.
* Expertise in building sophisticated systems and knowledge of Hadoop\-related technologies such as HDFS, Kafka, Hive, and Presto.
* Experience managing projects across large, ambiguous scopes and driving initiatives in a fast\-moving, cross\-functional environment.
* Experience with enabling production\-scale and maintaining large ML models.
* Experience in one or more object\-oriented programming languages (e.g. Python, Go, Java, C\+\+).
* Experience with REST APIs and Distributed Messaging / Kafka.
* Familiarity with recommendation systems and modern ad auction techniques.
* Experience with ad auctioning systems.
* Experience with state\-of\-the\-art deep learning techniques.
Advanced degree (Ph.D. or M.S.) in Data Science, ML, or related disciplines.  
* 
For New York, NY\-based roles: The base salary range for this role is USD$198,000 per year \- USD$220,000 per year. For San Francisco,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4">
      <c r="A24" t="inlineStr">
        <is>
          <t>in-50aef104a50ee702</t>
        </is>
      </c>
      <c r="B24" t="inlineStr">
        <is>
          <t>Senior Machine Learning Engineer - Ads</t>
        </is>
      </c>
      <c r="C24" t="inlineStr">
        <is>
          <t>Uber</t>
        </is>
      </c>
      <c r="D24" t="inlineStr">
        <is>
          <t>indeed</t>
        </is>
      </c>
      <c r="E24" t="inlineStr"/>
      <c r="F24" t="inlineStr"/>
      <c r="G24" t="inlineStr">
        <is>
          <t>San Francisco, CA, US</t>
        </is>
      </c>
      <c r="H24" s="2" t="n">
        <v>46041</v>
      </c>
      <c r="I24" t="inlineStr">
        <is>
          <t>**About the Role**  
The Ads Machine Learning (Ads ML) team at Uber is responsible for providing relevant ad recommendations to the users across the different applications within the Uber ecosystem. We focus on building a deep understanding of both user and merchant behavior to generate accurate ML signals that enhance the Ads auction system providing accurate pricing for our advertisers. Our goal is to maximize the benefits for both users and merchants within Uber's Ads distribution system.
You will directly impact Uber's Ads systems by defining and executing the Ads ML roadmap, with a focus on enabling and accelerating large\-scale improvements to our recommendation and auction systems. Developing relevant, robust, and observable ad recommendations is crucial to Uber's fast growing Ads Business strategy, making this a highly impactful role.
**\- What the Candidate Will Do \-**  
* Design and implement machine learning models and algorithms to optimize ad recommendations and auction mechanisms.
* Develop and maintain scalable ML pipelines and data infrastructure to support real\-time and batch processing of large\-scale datasets.
* Apply advanced statistical and machine learning techniques to generate insights and improve the effectiveness of ad targeting and delivery.
* Collaborate with data scientists and engineers to build and refine predictive models that enhance user engagement and merchant benefits.
* Conduct rigorous experimentation and A/B testing to validate model performance and iterate on improvements.
* Define success metrics and develop dashboards to monitor and visualize the performance of ML models in production.
* Work closely with cross\-functional teams, including Product, Engineering, and Data Science, to translate business requirements into ML solutions.
* Mentor and provide technical guidance to junior ML engineers and data scientists.
Stay up\-to\-date with the latest research and advancements in machine learning, recommendation systems, and ad auction techniques.  
* 
**\- Basic Qualifications \-**  
* Bachelor's degree or equivalent experience in Computer Science, Computer Engineering, Data Science, ML, Statistics, or other quantitative fields.
* Proven experience with designing and implementing machine learning models in production environments.
* Proficiency in using Python for developing ML models and handling large\-scale data sets.
* Solid understanding of SQL and experience using it in a production environment.
* Strong grasp of Big Data architecture and experience with ETL frameworks and platforms.
* Hands\-on experience with building batch data pipelines using technologies like Spark or other map\-reduce frameworks.
* Expertise in experimental design and analysis, including A/B testing, exploratory data analysis, and statistical analysis.
* Experience with data visualization tools and creating insightful dashboards.
* Proficiency with methodologies such as sampling, statistical estimates, and descriptive statistics.
* Ability to synthesize complex data analyses into clear and actionable insights to influence product direction.
* Experience with recommendation systems.
* Fast learner with a passion for solving complex problems and asking thoughtful questions to ensure effective solutions.
* Strong communication skills to engage with technical, non\-technical, and executive audiences effectively.
Commitment to seeking and providing timely feedback to drive continuous improvement.  
* 
**\- Preferred Qualifications \-**  
* 5 years of industry experience as an ML engineer or equivalent.
* Expertise in building sophisticated systems and knowledge of Hadoop\-related technologies such as HDFS, Kafka, Hive, and Presto.
* Experience managing projects across large, ambiguous scopes and driving initiatives in a fast\-moving, cross\-functional environment.
* Experience with enabling production\-scale and maintaining large ML models.
* Experience in one or more object\-oriented programming languages (e.g. Python, Go, Java, C\+\+).
* Experience with REST APIs and Distributed Messaging / Kafka.
* Familiarity with recommendation systems and modern ad auction techniques.
* Experience with ad auctioning systems.
* Experience with state\-of\-the\-art deep learning techniques.
Advanced degree (Ph.D. or M.S.) in Data Science, ML, or related disciplines.  
* 
For New York, NY\-based roles: The base salary range for this role is USD$198,000 per year \- USD$220,000 per year. For San Francisco,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5">
      <c r="A25" t="inlineStr">
        <is>
          <t>in-7eda155cb7ee296f</t>
        </is>
      </c>
      <c r="B25" t="inlineStr">
        <is>
          <t>Applied Scientist, AGI</t>
        </is>
      </c>
      <c r="C25" t="inlineStr">
        <is>
          <t>Amazon.com</t>
        </is>
      </c>
      <c r="D25" t="inlineStr">
        <is>
          <t>indeed</t>
        </is>
      </c>
      <c r="E25" t="inlineStr"/>
      <c r="F25" t="inlineStr"/>
      <c r="G25" t="inlineStr">
        <is>
          <t>Bellevue, WA, US</t>
        </is>
      </c>
      <c r="H25" s="2" t="n">
        <v>45998</v>
      </c>
      <c r="I2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in-4055be4ca64c212d</t>
        </is>
      </c>
      <c r="B26" t="inlineStr">
        <is>
          <t>Applied Scientist, AGI</t>
        </is>
      </c>
      <c r="C26" t="inlineStr">
        <is>
          <t>Amazon.com</t>
        </is>
      </c>
      <c r="D26" t="inlineStr">
        <is>
          <t>indeed</t>
        </is>
      </c>
      <c r="E26" t="inlineStr"/>
      <c r="F26" t="inlineStr"/>
      <c r="G26" t="inlineStr">
        <is>
          <t>Sunnyvale, CA, US</t>
        </is>
      </c>
      <c r="H26" s="2" t="n">
        <v>45998</v>
      </c>
      <c r="I2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in-49c298b647798597</t>
        </is>
      </c>
      <c r="B27" t="inlineStr">
        <is>
          <t>Applied Scientist, AGI</t>
        </is>
      </c>
      <c r="C27" t="inlineStr">
        <is>
          <t>Amazon.com</t>
        </is>
      </c>
      <c r="D27" t="inlineStr">
        <is>
          <t>indeed</t>
        </is>
      </c>
      <c r="E27" t="inlineStr"/>
      <c r="F27" t="inlineStr"/>
      <c r="G27" t="inlineStr">
        <is>
          <t>Cambridge, MA, US</t>
        </is>
      </c>
      <c r="H27" s="2" t="n">
        <v>45998</v>
      </c>
      <c r="I2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in-ebb7ac1d035e0300</t>
        </is>
      </c>
      <c r="B28" t="inlineStr">
        <is>
          <t>Applied Scientist, AGI</t>
        </is>
      </c>
      <c r="C28" t="inlineStr">
        <is>
          <t>Amazon.com</t>
        </is>
      </c>
      <c r="D28" t="inlineStr">
        <is>
          <t>indeed</t>
        </is>
      </c>
      <c r="E28" t="inlineStr"/>
      <c r="F28" t="inlineStr"/>
      <c r="G28" t="inlineStr">
        <is>
          <t>New York, NY, US</t>
        </is>
      </c>
      <c r="H28" s="2" t="n">
        <v>45998</v>
      </c>
      <c r="I2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in-f985c31b62c10491</t>
        </is>
      </c>
      <c r="B29" t="inlineStr">
        <is>
          <t>Sr. Applied Scientist, Amazon Ads</t>
        </is>
      </c>
      <c r="C29" t="inlineStr">
        <is>
          <t>Amazon.com</t>
        </is>
      </c>
      <c r="D29" t="inlineStr">
        <is>
          <t>indeed</t>
        </is>
      </c>
      <c r="E29" t="inlineStr"/>
      <c r="F29" t="inlineStr"/>
      <c r="G29" t="inlineStr">
        <is>
          <t>Corvallis, OR, US</t>
        </is>
      </c>
      <c r="H29" s="2" t="n">
        <v>45998</v>
      </c>
      <c r="I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
      <c r="A30" t="inlineStr">
        <is>
          <t>in-b571e754f6f5853c</t>
        </is>
      </c>
      <c r="B30" t="inlineStr">
        <is>
          <t>Sr. Applied Scientist, Amazon Ads</t>
        </is>
      </c>
      <c r="C30" t="inlineStr">
        <is>
          <t>Amazon.com</t>
        </is>
      </c>
      <c r="D30" t="inlineStr">
        <is>
          <t>indeed</t>
        </is>
      </c>
      <c r="E30" t="inlineStr"/>
      <c r="F30" t="inlineStr"/>
      <c r="G30" t="inlineStr">
        <is>
          <t>Boulder, CO,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in-989c81fe478cba8e</t>
        </is>
      </c>
      <c r="B31" t="inlineStr">
        <is>
          <t>Sr. Applied Scientist, Amazon Ads</t>
        </is>
      </c>
      <c r="C31" t="inlineStr">
        <is>
          <t>Amazon.com</t>
        </is>
      </c>
      <c r="D31" t="inlineStr">
        <is>
          <t>indeed</t>
        </is>
      </c>
      <c r="E31" t="inlineStr"/>
      <c r="F31" t="inlineStr"/>
      <c r="G31" t="inlineStr">
        <is>
          <t>New York, NY,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in-cabc609a50d25836</t>
        </is>
      </c>
      <c r="B32" t="inlineStr">
        <is>
          <t>Sr. Applied Scientist, Amazon Ads</t>
        </is>
      </c>
      <c r="C32" t="inlineStr">
        <is>
          <t>Amazon.com</t>
        </is>
      </c>
      <c r="D32" t="inlineStr">
        <is>
          <t>indeed</t>
        </is>
      </c>
      <c r="E32" t="inlineStr"/>
      <c r="F32" t="inlineStr"/>
      <c r="G32" t="inlineStr">
        <is>
          <t>Tukwila, WA, US</t>
        </is>
      </c>
      <c r="H32" s="2" t="n">
        <v>45998</v>
      </c>
      <c r="I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3">
      <c r="A33" t="inlineStr">
        <is>
          <t>in-44c86a6ea3ad4599</t>
        </is>
      </c>
      <c r="B33" t="inlineStr">
        <is>
          <t>Sr. Applied Scientist, Amazon Ads</t>
        </is>
      </c>
      <c r="C33" t="inlineStr">
        <is>
          <t>Amazon.com</t>
        </is>
      </c>
      <c r="D33" t="inlineStr">
        <is>
          <t>indeed</t>
        </is>
      </c>
      <c r="E33" t="inlineStr"/>
      <c r="F33" t="inlineStr"/>
      <c r="G33" t="inlineStr">
        <is>
          <t>Seattle, WA, US</t>
        </is>
      </c>
      <c r="H33" s="2" t="n">
        <v>45998</v>
      </c>
      <c r="I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4">
      <c r="A34" t="inlineStr">
        <is>
          <t>in-d68d868a963fd764</t>
        </is>
      </c>
      <c r="B34" t="inlineStr">
        <is>
          <t>Sr. Applied Scientist, Amazon Ads</t>
        </is>
      </c>
      <c r="C34" t="inlineStr">
        <is>
          <t>Amazon.com</t>
        </is>
      </c>
      <c r="D34" t="inlineStr">
        <is>
          <t>indeed</t>
        </is>
      </c>
      <c r="E34" t="inlineStr"/>
      <c r="F34" t="inlineStr"/>
      <c r="G34" t="inlineStr">
        <is>
          <t>Brooklyn, NY, US</t>
        </is>
      </c>
      <c r="H34" s="2"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in-45fab55659c3d9d5</t>
        </is>
      </c>
      <c r="B35" t="inlineStr">
        <is>
          <t>Sr. Applied Scientist, Amazon Ads</t>
        </is>
      </c>
      <c r="C35" t="inlineStr">
        <is>
          <t>Amazon.com</t>
        </is>
      </c>
      <c r="D35" t="inlineStr">
        <is>
          <t>indeed</t>
        </is>
      </c>
      <c r="E35" t="inlineStr"/>
      <c r="F35" t="inlineStr"/>
      <c r="G35" t="inlineStr">
        <is>
          <t>Palo Alto, CA,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in-43d68c289b2fb717</t>
        </is>
      </c>
      <c r="B36" t="inlineStr">
        <is>
          <t>Sr. Applied Scientist, Amazon Ads</t>
        </is>
      </c>
      <c r="C36" t="inlineStr">
        <is>
          <t>Amazon.com</t>
        </is>
      </c>
      <c r="D36" t="inlineStr">
        <is>
          <t>indeed</t>
        </is>
      </c>
      <c r="E36" t="inlineStr"/>
      <c r="F36" t="inlineStr"/>
      <c r="G36" t="inlineStr">
        <is>
          <t>Santa Monica, CA,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in-ac17a176e956509e</t>
        </is>
      </c>
      <c r="B37" t="inlineStr">
        <is>
          <t>Sr. Applied Scientist, Amazon Ads</t>
        </is>
      </c>
      <c r="C37" t="inlineStr">
        <is>
          <t>Amazon.com</t>
        </is>
      </c>
      <c r="D37" t="inlineStr">
        <is>
          <t>indeed</t>
        </is>
      </c>
      <c r="E37" t="inlineStr"/>
      <c r="F37" t="inlineStr"/>
      <c r="G37" t="inlineStr">
        <is>
          <t>Sunnyvale, CA,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in-c5d58884466bb934</t>
        </is>
      </c>
      <c r="B38" t="inlineStr">
        <is>
          <t>Sr. Applied Scientist, Amazon Ads</t>
        </is>
      </c>
      <c r="C38" t="inlineStr">
        <is>
          <t>Amazon.com</t>
        </is>
      </c>
      <c r="D38" t="inlineStr">
        <is>
          <t>indeed</t>
        </is>
      </c>
      <c r="E38" t="inlineStr"/>
      <c r="F38" t="inlineStr"/>
      <c r="G38" t="inlineStr">
        <is>
          <t>Boston, MA,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in-02c9b50fb986c3ad</t>
        </is>
      </c>
      <c r="B39" t="inlineStr">
        <is>
          <t>Applied Scientist, ML Compiler</t>
        </is>
      </c>
      <c r="C39" t="inlineStr">
        <is>
          <t>Amazon Web Services</t>
        </is>
      </c>
      <c r="D39" t="inlineStr">
        <is>
          <t>indeed</t>
        </is>
      </c>
      <c r="E39" t="inlineStr"/>
      <c r="F39" t="inlineStr"/>
      <c r="G39" t="inlineStr">
        <is>
          <t>Cupertino, CA, US</t>
        </is>
      </c>
      <c r="H39" s="2" t="n">
        <v>45993</v>
      </c>
      <c r="I39"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in-f9bb2e5ab34a8523</t>
        </is>
      </c>
      <c r="B40" t="inlineStr">
        <is>
          <t>Applied Scientist, ML Compiler</t>
        </is>
      </c>
      <c r="C40" t="inlineStr">
        <is>
          <t>Amazon Web Services</t>
        </is>
      </c>
      <c r="D40" t="inlineStr">
        <is>
          <t>indeed</t>
        </is>
      </c>
      <c r="E40" t="inlineStr"/>
      <c r="F40" t="inlineStr"/>
      <c r="G40" t="inlineStr">
        <is>
          <t>Seattle, WA, US</t>
        </is>
      </c>
      <c r="H40" s="2" t="n">
        <v>45993</v>
      </c>
      <c r="I4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in-6a1eaeb6a0cb15e0</t>
        </is>
      </c>
      <c r="B41" t="inlineStr">
        <is>
          <t>Applied Scientist, Model Customization, Generative AI Innovation Center, Model Customization</t>
        </is>
      </c>
      <c r="C41" t="inlineStr">
        <is>
          <t>Amazon Web Services</t>
        </is>
      </c>
      <c r="D41" t="inlineStr">
        <is>
          <t>indeed</t>
        </is>
      </c>
      <c r="E41" t="inlineStr"/>
      <c r="F41" t="inlineStr"/>
      <c r="G41" t="inlineStr">
        <is>
          <t>Bellevue, WA, US</t>
        </is>
      </c>
      <c r="H41" s="2" t="n">
        <v>45993</v>
      </c>
      <c r="I4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in-afad4dc8d7601ada</t>
        </is>
      </c>
      <c r="B42" t="inlineStr">
        <is>
          <t>Applied Scientist, Model Customization, Generative AI Innovation Center, Model Customization</t>
        </is>
      </c>
      <c r="C42" t="inlineStr">
        <is>
          <t>Amazon Web Services</t>
        </is>
      </c>
      <c r="D42" t="inlineStr">
        <is>
          <t>indeed</t>
        </is>
      </c>
      <c r="E42" t="inlineStr"/>
      <c r="F42" t="inlineStr"/>
      <c r="G42" t="inlineStr">
        <is>
          <t>New York, NY, US</t>
        </is>
      </c>
      <c r="H42" s="2" t="n">
        <v>45993</v>
      </c>
      <c r="I4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in-3eef564968e97d44</t>
        </is>
      </c>
      <c r="B43" t="inlineStr">
        <is>
          <t>Applied Scientist, Model Customization, Generative AI Innovation Center, Model Customization</t>
        </is>
      </c>
      <c r="C43" t="inlineStr">
        <is>
          <t>Amazon Web Services</t>
        </is>
      </c>
      <c r="D43" t="inlineStr">
        <is>
          <t>indeed</t>
        </is>
      </c>
      <c r="E43" t="inlineStr"/>
      <c r="F43" t="inlineStr"/>
      <c r="G43" t="inlineStr">
        <is>
          <t>Arlington, VA, US</t>
        </is>
      </c>
      <c r="H43" s="2" t="n">
        <v>45993</v>
      </c>
      <c r="I4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with Machine Learning and Large Language Model fundamentals, including architecture, training/inference lifecycles, and optimization of model execution, or experience in development in the last 3 years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in-91ebb5ea277578b8</t>
        </is>
      </c>
      <c r="B44" t="inlineStr">
        <is>
          <t>Principal Applied Scientist, Amazon Special Projects</t>
        </is>
      </c>
      <c r="C44" t="inlineStr">
        <is>
          <t>Amazon.com</t>
        </is>
      </c>
      <c r="D44" t="inlineStr">
        <is>
          <t>indeed</t>
        </is>
      </c>
      <c r="E44" t="inlineStr"/>
      <c r="F44" t="inlineStr"/>
      <c r="G44" t="inlineStr">
        <is>
          <t>Seattle, WA, US</t>
        </is>
      </c>
      <c r="H44" s="2" t="n">
        <v>45982</v>
      </c>
      <c r="I4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in-7a93469e1d54e690</t>
        </is>
      </c>
      <c r="B45" t="inlineStr">
        <is>
          <t>Principal Applied Scientist, Amazon Special Projects</t>
        </is>
      </c>
      <c r="C45" t="inlineStr">
        <is>
          <t>Amazon.com</t>
        </is>
      </c>
      <c r="D45" t="inlineStr">
        <is>
          <t>indeed</t>
        </is>
      </c>
      <c r="E45" t="inlineStr"/>
      <c r="F45" t="inlineStr"/>
      <c r="G45" t="inlineStr">
        <is>
          <t>Boston, MA, US</t>
        </is>
      </c>
      <c r="H45" s="2" t="n">
        <v>45982</v>
      </c>
      <c r="I4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in-83607876e2e14fb6</t>
        </is>
      </c>
      <c r="B46" t="inlineStr">
        <is>
          <t>Senior Applied Scientist, Generative AI Innovation Center</t>
        </is>
      </c>
      <c r="C46" t="inlineStr">
        <is>
          <t>Amazon Web Services</t>
        </is>
      </c>
      <c r="D46" t="inlineStr">
        <is>
          <t>indeed</t>
        </is>
      </c>
      <c r="E46" t="inlineStr"/>
      <c r="F46" t="inlineStr"/>
      <c r="G46" t="inlineStr">
        <is>
          <t>Bellevue, WA, US</t>
        </is>
      </c>
      <c r="H46" s="2" t="n">
        <v>45981</v>
      </c>
      <c r="I46"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in-93df0ae7ca42b9d9</t>
        </is>
      </c>
      <c r="B47" t="inlineStr">
        <is>
          <t>Senior Applied Scientist, Generative AI Innovation Center</t>
        </is>
      </c>
      <c r="C47" t="inlineStr">
        <is>
          <t>Amazon Web Services</t>
        </is>
      </c>
      <c r="D47" t="inlineStr">
        <is>
          <t>indeed</t>
        </is>
      </c>
      <c r="E47" t="inlineStr"/>
      <c r="F47" t="inlineStr"/>
      <c r="G47" t="inlineStr">
        <is>
          <t>Houston, TX, US</t>
        </is>
      </c>
      <c r="H47" s="2" t="n">
        <v>45981</v>
      </c>
      <c r="I47"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in-5bef06e12dad19c0</t>
        </is>
      </c>
      <c r="B48" t="inlineStr">
        <is>
          <t>Senior Applied Scientist, Generative AI Innovation Center</t>
        </is>
      </c>
      <c r="C48" t="inlineStr">
        <is>
          <t>Amazon Web Services</t>
        </is>
      </c>
      <c r="D48" t="inlineStr">
        <is>
          <t>indeed</t>
        </is>
      </c>
      <c r="E48" t="inlineStr"/>
      <c r="F48" t="inlineStr"/>
      <c r="G48" t="inlineStr">
        <is>
          <t>Boston, MA, US</t>
        </is>
      </c>
      <c r="H48" s="2" t="n">
        <v>45981</v>
      </c>
      <c r="I48"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in-36da33c40cf17e25</t>
        </is>
      </c>
      <c r="B49" t="inlineStr">
        <is>
          <t>Senior Applied Scientist, Generative AI Innovation Center</t>
        </is>
      </c>
      <c r="C49" t="inlineStr">
        <is>
          <t>Amazon Web Services</t>
        </is>
      </c>
      <c r="D49" t="inlineStr">
        <is>
          <t>indeed</t>
        </is>
      </c>
      <c r="E49" t="inlineStr"/>
      <c r="F49" t="inlineStr"/>
      <c r="G49" t="inlineStr">
        <is>
          <t>New York, NY, US</t>
        </is>
      </c>
      <c r="H49" s="2" t="n">
        <v>45981</v>
      </c>
      <c r="I49"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in-94a708b4f446a929</t>
        </is>
      </c>
      <c r="B50" t="inlineStr">
        <is>
          <t>Senior Applied Scientist, Generative AI Innovation Center</t>
        </is>
      </c>
      <c r="C50" t="inlineStr">
        <is>
          <t>Amazon Web Services</t>
        </is>
      </c>
      <c r="D50" t="inlineStr">
        <is>
          <t>indeed</t>
        </is>
      </c>
      <c r="E50" t="inlineStr"/>
      <c r="F50" t="inlineStr"/>
      <c r="G50" t="inlineStr">
        <is>
          <t>Austin, TX, US</t>
        </is>
      </c>
      <c r="H50" s="2" t="n">
        <v>45981</v>
      </c>
      <c r="I50"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in-24019cab89ebc548</t>
        </is>
      </c>
      <c r="B51" t="inlineStr">
        <is>
          <t>Senior Applied Scientist, Generative AI Innovation Center</t>
        </is>
      </c>
      <c r="C51" t="inlineStr">
        <is>
          <t>Amazon Web Services</t>
        </is>
      </c>
      <c r="D51" t="inlineStr">
        <is>
          <t>indeed</t>
        </is>
      </c>
      <c r="E51" t="inlineStr"/>
      <c r="F51" t="inlineStr"/>
      <c r="G51" t="inlineStr">
        <is>
          <t>Seattle, WA, US</t>
        </is>
      </c>
      <c r="H51" s="2" t="n">
        <v>45981</v>
      </c>
      <c r="I51" t="inlineStr">
        <is>
          <t>**DESCRIPTION**
---------------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in-39b242743230b1bd</t>
        </is>
      </c>
      <c r="B52" t="inlineStr">
        <is>
          <t>Sr. Applied Scientist, SPB Advertiser Guidance</t>
        </is>
      </c>
      <c r="C52" t="inlineStr">
        <is>
          <t>Amazon.com</t>
        </is>
      </c>
      <c r="D52" t="inlineStr">
        <is>
          <t>indeed</t>
        </is>
      </c>
      <c r="E52" t="inlineStr"/>
      <c r="F52" t="inlineStr"/>
      <c r="G52" t="inlineStr">
        <is>
          <t>Palo Alto, CA, US</t>
        </is>
      </c>
      <c r="H52" s="2" t="n">
        <v>45981</v>
      </c>
      <c r="I5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in-d54f911b1ec28213</t>
        </is>
      </c>
      <c r="B53" t="inlineStr">
        <is>
          <t>Sr. Applied Scientist, SPB Advertiser Guidance</t>
        </is>
      </c>
      <c r="C53" t="inlineStr">
        <is>
          <t>Amazon.com</t>
        </is>
      </c>
      <c r="D53" t="inlineStr">
        <is>
          <t>indeed</t>
        </is>
      </c>
      <c r="E53" t="inlineStr"/>
      <c r="F53" t="inlineStr"/>
      <c r="G53" t="inlineStr">
        <is>
          <t>New York, NY, US</t>
        </is>
      </c>
      <c r="H53" s="2" t="n">
        <v>45981</v>
      </c>
      <c r="I5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in-7c0f52cc26fc3a38</t>
        </is>
      </c>
      <c r="B54" t="inlineStr">
        <is>
          <t>Sr. Applied Scientist, SPB Advertiser Guidance</t>
        </is>
      </c>
      <c r="C54" t="inlineStr">
        <is>
          <t>Amazon.com</t>
        </is>
      </c>
      <c r="D54" t="inlineStr">
        <is>
          <t>indeed</t>
        </is>
      </c>
      <c r="E54" t="inlineStr"/>
      <c r="F54" t="inlineStr"/>
      <c r="G54" t="inlineStr">
        <is>
          <t>Seattle, WA, US</t>
        </is>
      </c>
      <c r="H54" s="2" t="n">
        <v>45981</v>
      </c>
      <c r="I5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in-864fc8fb85107f60</t>
        </is>
      </c>
      <c r="B55" t="inlineStr">
        <is>
          <t>Senior Applied Scientist, Artificial General Intelligence</t>
        </is>
      </c>
      <c r="C55" t="inlineStr">
        <is>
          <t>Amazon.com</t>
        </is>
      </c>
      <c r="D55" t="inlineStr">
        <is>
          <t>indeed</t>
        </is>
      </c>
      <c r="E55" t="inlineStr"/>
      <c r="F55" t="inlineStr"/>
      <c r="G55" t="inlineStr">
        <is>
          <t>Boston, MA, US</t>
        </is>
      </c>
      <c r="H55" s="2" t="n">
        <v>45980</v>
      </c>
      <c r="I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in-00f40915034ae5b1</t>
        </is>
      </c>
      <c r="B56" t="inlineStr">
        <is>
          <t>Senior Applied Scientist, Artificial General Intelligence</t>
        </is>
      </c>
      <c r="C56" t="inlineStr">
        <is>
          <t>Amazon.com</t>
        </is>
      </c>
      <c r="D56" t="inlineStr">
        <is>
          <t>indeed</t>
        </is>
      </c>
      <c r="E56" t="inlineStr"/>
      <c r="F56" t="inlineStr"/>
      <c r="G56" t="inlineStr">
        <is>
          <t>New York, NY, US</t>
        </is>
      </c>
      <c r="H56" s="2" t="n">
        <v>45980</v>
      </c>
      <c r="I5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in-cb2b8801d49e33ca</t>
        </is>
      </c>
      <c r="B57" t="inlineStr">
        <is>
          <t>Senior Applied Scientist, Artificial General Intelligence</t>
        </is>
      </c>
      <c r="C57" t="inlineStr">
        <is>
          <t>Amazon.com</t>
        </is>
      </c>
      <c r="D57" t="inlineStr">
        <is>
          <t>indeed</t>
        </is>
      </c>
      <c r="E57" t="inlineStr"/>
      <c r="F57" t="inlineStr"/>
      <c r="G57" t="inlineStr">
        <is>
          <t>Seattle, WA, US</t>
        </is>
      </c>
      <c r="H57" s="2" t="n">
        <v>45980</v>
      </c>
      <c r="I5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in-a5b570370e43b197</t>
        </is>
      </c>
      <c r="B58" t="inlineStr">
        <is>
          <t>Senior Applied Scientist, Artificial General Intelligence</t>
        </is>
      </c>
      <c r="C58" t="inlineStr">
        <is>
          <t>Amazon.com</t>
        </is>
      </c>
      <c r="D58" t="inlineStr">
        <is>
          <t>indeed</t>
        </is>
      </c>
      <c r="E58" t="inlineStr"/>
      <c r="F58" t="inlineStr"/>
      <c r="G58" t="inlineStr">
        <is>
          <t>Sunnyvale, CA, US</t>
        </is>
      </c>
      <c r="H58" s="2" t="n">
        <v>45980</v>
      </c>
      <c r="I5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in-461ac54ba520b69c</t>
        </is>
      </c>
      <c r="B59" t="inlineStr">
        <is>
          <t>Applied Scientist II, SPB Advertiser Guidance</t>
        </is>
      </c>
      <c r="C59" t="inlineStr">
        <is>
          <t>Amazon.com</t>
        </is>
      </c>
      <c r="D59" t="inlineStr">
        <is>
          <t>indeed</t>
        </is>
      </c>
      <c r="E59" t="inlineStr"/>
      <c r="F59" t="inlineStr"/>
      <c r="G59" t="inlineStr">
        <is>
          <t>Seattle, WA, US</t>
        </is>
      </c>
      <c r="H59" s="2" t="n">
        <v>45980</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in-2c37755a68ea4b32</t>
        </is>
      </c>
      <c r="B60" t="inlineStr">
        <is>
          <t>Applied Scientist II, SPB Advertiser Guidance</t>
        </is>
      </c>
      <c r="C60" t="inlineStr">
        <is>
          <t>Amazon.com</t>
        </is>
      </c>
      <c r="D60" t="inlineStr">
        <is>
          <t>indeed</t>
        </is>
      </c>
      <c r="E60" t="inlineStr"/>
      <c r="F60" t="inlineStr"/>
      <c r="G60" t="inlineStr">
        <is>
          <t>Palo Alto, CA, US</t>
        </is>
      </c>
      <c r="H60" s="2" t="n">
        <v>45980</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in-f6fa1f149449b40e</t>
        </is>
      </c>
      <c r="B61" t="inlineStr">
        <is>
          <t>Applied Scientist II, SPB Advertiser Guidance</t>
        </is>
      </c>
      <c r="C61" t="inlineStr">
        <is>
          <t>Amazon.com</t>
        </is>
      </c>
      <c r="D61" t="inlineStr">
        <is>
          <t>indeed</t>
        </is>
      </c>
      <c r="E61" t="inlineStr"/>
      <c r="F61" t="inlineStr"/>
      <c r="G61" t="inlineStr">
        <is>
          <t>New York, NY, US</t>
        </is>
      </c>
      <c r="H61" s="2" t="n">
        <v>45980</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in-e021ed09be71fcbd</t>
        </is>
      </c>
      <c r="B62" t="inlineStr">
        <is>
          <t>Principal Applied Scientist, Sponsored Products and Brands</t>
        </is>
      </c>
      <c r="C62" t="inlineStr">
        <is>
          <t>Amazon.com</t>
        </is>
      </c>
      <c r="D62" t="inlineStr">
        <is>
          <t>indeed</t>
        </is>
      </c>
      <c r="E62" t="inlineStr"/>
      <c r="F62" t="inlineStr"/>
      <c r="G62" t="inlineStr">
        <is>
          <t>New York, NY, US</t>
        </is>
      </c>
      <c r="H62" s="2" t="n">
        <v>45979</v>
      </c>
      <c r="I6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in-91bab4c8b7ab0097</t>
        </is>
      </c>
      <c r="B63" t="inlineStr">
        <is>
          <t>Principal Applied Scientist, Sponsored Products and Brands</t>
        </is>
      </c>
      <c r="C63" t="inlineStr">
        <is>
          <t>Amazon.com</t>
        </is>
      </c>
      <c r="D63" t="inlineStr">
        <is>
          <t>indeed</t>
        </is>
      </c>
      <c r="E63" t="inlineStr"/>
      <c r="F63" t="inlineStr"/>
      <c r="G63" t="inlineStr">
        <is>
          <t>Seattle, WA, US</t>
        </is>
      </c>
      <c r="H63" s="2" t="n">
        <v>45979</v>
      </c>
      <c r="I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in-85740b4f2dc73e06</t>
        </is>
      </c>
      <c r="B64" t="inlineStr">
        <is>
          <t>Sr. Applied Scientist, AGI Foundations</t>
        </is>
      </c>
      <c r="C64" t="inlineStr">
        <is>
          <t>Amazon.com</t>
        </is>
      </c>
      <c r="D64" t="inlineStr">
        <is>
          <t>indeed</t>
        </is>
      </c>
      <c r="E64" t="inlineStr"/>
      <c r="F64" t="inlineStr"/>
      <c r="G64" t="inlineStr">
        <is>
          <t>Bellevue, WA, US</t>
        </is>
      </c>
      <c r="H64" s="2" t="n">
        <v>45978</v>
      </c>
      <c r="I6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in-7462ecf4884e0a80</t>
        </is>
      </c>
      <c r="B65" t="inlineStr">
        <is>
          <t>Sr. Applied Scientist, AGI Foundations</t>
        </is>
      </c>
      <c r="C65" t="inlineStr">
        <is>
          <t>Amazon.com</t>
        </is>
      </c>
      <c r="D65" t="inlineStr">
        <is>
          <t>indeed</t>
        </is>
      </c>
      <c r="E65" t="inlineStr"/>
      <c r="F65" t="inlineStr"/>
      <c r="G65" t="inlineStr">
        <is>
          <t>Sunnyvale, CA, US</t>
        </is>
      </c>
      <c r="H65" s="2" t="n">
        <v>45978</v>
      </c>
      <c r="I6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in-7c7b14172200a634</t>
        </is>
      </c>
      <c r="B66" t="inlineStr">
        <is>
          <t>Sr. Applied Scientist, AGI Foundations</t>
        </is>
      </c>
      <c r="C66" t="inlineStr">
        <is>
          <t>Amazon.com</t>
        </is>
      </c>
      <c r="D66" t="inlineStr">
        <is>
          <t>indeed</t>
        </is>
      </c>
      <c r="E66" t="inlineStr"/>
      <c r="F66" t="inlineStr"/>
      <c r="G66" t="inlineStr">
        <is>
          <t>New York, NY, US</t>
        </is>
      </c>
      <c r="H66" s="2" t="n">
        <v>45978</v>
      </c>
      <c r="I6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in-3d7089714a998fc4</t>
        </is>
      </c>
      <c r="B67" t="inlineStr">
        <is>
          <t>Sr. Applied Scientist, AGI Foundations</t>
        </is>
      </c>
      <c r="C67" t="inlineStr">
        <is>
          <t>Amazon.com</t>
        </is>
      </c>
      <c r="D67" t="inlineStr">
        <is>
          <t>indeed</t>
        </is>
      </c>
      <c r="E67" t="inlineStr"/>
      <c r="F67" t="inlineStr"/>
      <c r="G67" t="inlineStr">
        <is>
          <t>Boston, MA, US</t>
        </is>
      </c>
      <c r="H67" s="2" t="n">
        <v>45978</v>
      </c>
      <c r="I6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in-3e5f7eb7f02d2473</t>
        </is>
      </c>
      <c r="B68" t="inlineStr">
        <is>
          <t>Principal Applied Scientist, Amazon AGI</t>
        </is>
      </c>
      <c r="C68" t="inlineStr">
        <is>
          <t>Amazon.com</t>
        </is>
      </c>
      <c r="D68" t="inlineStr">
        <is>
          <t>indeed</t>
        </is>
      </c>
      <c r="E68" t="inlineStr"/>
      <c r="F68" t="inlineStr"/>
      <c r="G68" t="inlineStr">
        <is>
          <t>Boston, MA, US</t>
        </is>
      </c>
      <c r="H68" s="2" t="n">
        <v>45964</v>
      </c>
      <c r="I6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in-cf85817065bad466</t>
        </is>
      </c>
      <c r="B69" t="inlineStr">
        <is>
          <t>Principal Applied Scientist, Amazon AGI</t>
        </is>
      </c>
      <c r="C69" t="inlineStr">
        <is>
          <t>Amazon.com</t>
        </is>
      </c>
      <c r="D69" t="inlineStr">
        <is>
          <t>indeed</t>
        </is>
      </c>
      <c r="E69" t="inlineStr"/>
      <c r="F69" t="inlineStr"/>
      <c r="G69" t="inlineStr">
        <is>
          <t>San Francisco, CA, US</t>
        </is>
      </c>
      <c r="H69" s="2" t="n">
        <v>45964</v>
      </c>
      <c r="I6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in-dbdffc235e62900e</t>
        </is>
      </c>
      <c r="B70" t="inlineStr">
        <is>
          <t>Sr. Applied Scientist, AGI Foundations</t>
        </is>
      </c>
      <c r="C70" t="inlineStr">
        <is>
          <t>Amazon.com</t>
        </is>
      </c>
      <c r="D70" t="inlineStr">
        <is>
          <t>indeed</t>
        </is>
      </c>
      <c r="E70" t="inlineStr"/>
      <c r="F70" t="inlineStr"/>
      <c r="G70" t="inlineStr">
        <is>
          <t>New York, NY, US</t>
        </is>
      </c>
      <c r="H70" s="2" t="n">
        <v>45963</v>
      </c>
      <c r="I7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in-70f0197c567555ba</t>
        </is>
      </c>
      <c r="B71" t="inlineStr">
        <is>
          <t>Principal Applied Scientist, AWS Agentic AI Science</t>
        </is>
      </c>
      <c r="C71" t="inlineStr">
        <is>
          <t>Amazon Web Services</t>
        </is>
      </c>
      <c r="D71" t="inlineStr">
        <is>
          <t>indeed</t>
        </is>
      </c>
      <c r="E71" t="inlineStr"/>
      <c r="F71" t="inlineStr"/>
      <c r="G71" t="inlineStr">
        <is>
          <t>Santa Clara, CA, US</t>
        </is>
      </c>
      <c r="H71" s="2" t="n">
        <v>45963</v>
      </c>
      <c r="I7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in-5fae47515f3fc03f</t>
        </is>
      </c>
      <c r="B72" t="inlineStr">
        <is>
          <t>Principal Applied Scientist, AWS Agentic AI Science</t>
        </is>
      </c>
      <c r="C72" t="inlineStr">
        <is>
          <t>Amazon Web Services</t>
        </is>
      </c>
      <c r="D72" t="inlineStr">
        <is>
          <t>indeed</t>
        </is>
      </c>
      <c r="E72" t="inlineStr"/>
      <c r="F72" t="inlineStr"/>
      <c r="G72" t="inlineStr">
        <is>
          <t>New York, NY, US</t>
        </is>
      </c>
      <c r="H72" s="2" t="n">
        <v>45963</v>
      </c>
      <c r="I72"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in-ce71a7b0a9b02f87</t>
        </is>
      </c>
      <c r="B73" t="inlineStr">
        <is>
          <t>Applied Scientist, AWS Agentic AI</t>
        </is>
      </c>
      <c r="C73" t="inlineStr">
        <is>
          <t>Amazon Web Services</t>
        </is>
      </c>
      <c r="D73" t="inlineStr">
        <is>
          <t>indeed</t>
        </is>
      </c>
      <c r="E73" t="inlineStr"/>
      <c r="F73" t="inlineStr"/>
      <c r="G73" t="inlineStr">
        <is>
          <t>New York, NY, US</t>
        </is>
      </c>
      <c r="H73" s="2" t="n">
        <v>45962</v>
      </c>
      <c r="I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in-19d26646db92fbf3</t>
        </is>
      </c>
      <c r="B74" t="inlineStr">
        <is>
          <t>Applied Scientist, AWS Agentic AI</t>
        </is>
      </c>
      <c r="C74" t="inlineStr">
        <is>
          <t>Amazon Web Services</t>
        </is>
      </c>
      <c r="D74" t="inlineStr">
        <is>
          <t>indeed</t>
        </is>
      </c>
      <c r="E74" t="inlineStr"/>
      <c r="F74" t="inlineStr"/>
      <c r="G74" t="inlineStr">
        <is>
          <t>Santa Clara, CA, US</t>
        </is>
      </c>
      <c r="H74" s="2" t="n">
        <v>45962</v>
      </c>
      <c r="I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in-ea750576c32de1b6</t>
        </is>
      </c>
      <c r="B75" t="inlineStr">
        <is>
          <t>Applied Scientist, AWS Agentic AI</t>
        </is>
      </c>
      <c r="C75" t="inlineStr">
        <is>
          <t>Amazon Web Services</t>
        </is>
      </c>
      <c r="D75" t="inlineStr">
        <is>
          <t>indeed</t>
        </is>
      </c>
      <c r="E75" t="inlineStr"/>
      <c r="F75" t="inlineStr"/>
      <c r="G75" t="inlineStr">
        <is>
          <t>Seattle, WA, US</t>
        </is>
      </c>
      <c r="H75" s="2" t="n">
        <v>45962</v>
      </c>
      <c r="I7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in-7e5ec3f79b8c8c41</t>
        </is>
      </c>
      <c r="B76" t="inlineStr">
        <is>
          <t>Principal Applied Scientist, Advertiser Growth, Amazon Sponsored Products &amp; Brands</t>
        </is>
      </c>
      <c r="C76" t="inlineStr">
        <is>
          <t>Amazon.com</t>
        </is>
      </c>
      <c r="D76" t="inlineStr">
        <is>
          <t>indeed</t>
        </is>
      </c>
      <c r="E76" t="inlineStr"/>
      <c r="F76" t="inlineStr"/>
      <c r="G76" t="inlineStr">
        <is>
          <t>Seattle, WA, US</t>
        </is>
      </c>
      <c r="H76" s="2"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in-9bfb433daf611815</t>
        </is>
      </c>
      <c r="B77" t="inlineStr">
        <is>
          <t>Principal Applied Scientist, Advertiser Growth, Amazon Sponsored Products &amp; Brands</t>
        </is>
      </c>
      <c r="C77" t="inlineStr">
        <is>
          <t>Amazon.com</t>
        </is>
      </c>
      <c r="D77" t="inlineStr">
        <is>
          <t>indeed</t>
        </is>
      </c>
      <c r="E77" t="inlineStr"/>
      <c r="F77" t="inlineStr"/>
      <c r="G77" t="inlineStr">
        <is>
          <t>Palo Alto, CA, US</t>
        </is>
      </c>
      <c r="H77" s="2" t="n">
        <v>45942</v>
      </c>
      <c r="I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in-422d3b67c8051cfd</t>
        </is>
      </c>
      <c r="B78" t="inlineStr">
        <is>
          <t>Principal Applied Scientist, Advertiser Growth, Amazon Sponsored Products &amp; Brands</t>
        </is>
      </c>
      <c r="C78" t="inlineStr">
        <is>
          <t>Amazon.com</t>
        </is>
      </c>
      <c r="D78" t="inlineStr">
        <is>
          <t>indeed</t>
        </is>
      </c>
      <c r="E78" t="inlineStr"/>
      <c r="F78" t="inlineStr"/>
      <c r="G78" t="inlineStr">
        <is>
          <t>New York, NY, US</t>
        </is>
      </c>
      <c r="H78" s="2"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in-7ad1ac769f1cebed</t>
        </is>
      </c>
      <c r="B79" t="inlineStr">
        <is>
          <t>Sr. Applied Scientist, SPB Advertiser Guidance</t>
        </is>
      </c>
      <c r="C79" t="inlineStr">
        <is>
          <t>Amazon.com</t>
        </is>
      </c>
      <c r="D79" t="inlineStr">
        <is>
          <t>indeed</t>
        </is>
      </c>
      <c r="E79" t="inlineStr"/>
      <c r="F79" t="inlineStr"/>
      <c r="G79" t="inlineStr">
        <is>
          <t>Seattle, WA, US</t>
        </is>
      </c>
      <c r="H79" s="2" t="n">
        <v>45939</v>
      </c>
      <c r="I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in-03a53bfb02fb25f3</t>
        </is>
      </c>
      <c r="B80" t="inlineStr">
        <is>
          <t>Applied Scientist</t>
        </is>
      </c>
      <c r="C80" t="inlineStr">
        <is>
          <t>Amazon.com</t>
        </is>
      </c>
      <c r="D80" t="inlineStr">
        <is>
          <t>indeed</t>
        </is>
      </c>
      <c r="E80" t="inlineStr"/>
      <c r="F80" t="inlineStr"/>
      <c r="G80" t="inlineStr">
        <is>
          <t>New York, NY, US</t>
        </is>
      </c>
      <c r="H80" s="2" t="n">
        <v>45939</v>
      </c>
      <c r="I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in-1dd540a0c93c622e</t>
        </is>
      </c>
      <c r="B81" t="inlineStr">
        <is>
          <t>Sr. Applied Scientist, SPB Advertiser Guidance</t>
        </is>
      </c>
      <c r="C81" t="inlineStr">
        <is>
          <t>Amazon.com</t>
        </is>
      </c>
      <c r="D81" t="inlineStr">
        <is>
          <t>indeed</t>
        </is>
      </c>
      <c r="E81" t="inlineStr"/>
      <c r="F81" t="inlineStr"/>
      <c r="G81" t="inlineStr">
        <is>
          <t>Palo Alto, CA, US</t>
        </is>
      </c>
      <c r="H81" s="2" t="n">
        <v>45939</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in-2cf4d40b05332b2a</t>
        </is>
      </c>
      <c r="B82" t="inlineStr">
        <is>
          <t>Applied Scientist</t>
        </is>
      </c>
      <c r="C82" t="inlineStr">
        <is>
          <t>Amazon.com</t>
        </is>
      </c>
      <c r="D82" t="inlineStr">
        <is>
          <t>indeed</t>
        </is>
      </c>
      <c r="E82" t="inlineStr"/>
      <c r="F82" t="inlineStr"/>
      <c r="G82" t="inlineStr">
        <is>
          <t>Seattle, WA, US</t>
        </is>
      </c>
      <c r="H82" s="2" t="n">
        <v>45939</v>
      </c>
      <c r="I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in-53fba73db9b7bc8b</t>
        </is>
      </c>
      <c r="B83" t="inlineStr">
        <is>
          <t>Applied Scientist</t>
        </is>
      </c>
      <c r="C83" t="inlineStr">
        <is>
          <t>Amazon.com</t>
        </is>
      </c>
      <c r="D83" t="inlineStr">
        <is>
          <t>indeed</t>
        </is>
      </c>
      <c r="E83" t="inlineStr"/>
      <c r="F83" t="inlineStr"/>
      <c r="G83" t="inlineStr">
        <is>
          <t>Palo Alto, CA, US</t>
        </is>
      </c>
      <c r="H83" s="2" t="n">
        <v>45939</v>
      </c>
      <c r="I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in-21a4f91734ecab3a</t>
        </is>
      </c>
      <c r="B84" t="inlineStr">
        <is>
          <t>Sr. Applied Scientist, SPB Advertiser Guidance</t>
        </is>
      </c>
      <c r="C84" t="inlineStr">
        <is>
          <t>Amazon.com</t>
        </is>
      </c>
      <c r="D84" t="inlineStr">
        <is>
          <t>indeed</t>
        </is>
      </c>
      <c r="E84" t="inlineStr"/>
      <c r="F84" t="inlineStr"/>
      <c r="G84" t="inlineStr">
        <is>
          <t>New York, NY, US</t>
        </is>
      </c>
      <c r="H84" s="2" t="n">
        <v>45939</v>
      </c>
      <c r="I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in-6dff0cf56aecf237</t>
        </is>
      </c>
      <c r="B85" t="inlineStr">
        <is>
          <t>Principal Applied Scientist, Amazon - Sponsored Products</t>
        </is>
      </c>
      <c r="C85" t="inlineStr">
        <is>
          <t>Amazon.com</t>
        </is>
      </c>
      <c r="D85" t="inlineStr">
        <is>
          <t>indeed</t>
        </is>
      </c>
      <c r="E85" t="inlineStr"/>
      <c r="F85" t="inlineStr"/>
      <c r="G85" t="inlineStr">
        <is>
          <t>Seattle, WA, US</t>
        </is>
      </c>
      <c r="H85" s="2" t="n">
        <v>45924</v>
      </c>
      <c r="I85"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in-35df367ab3fd47d0</t>
        </is>
      </c>
      <c r="B86" t="inlineStr">
        <is>
          <t>Principal Applied Scientist, Amazon - Sponsored Products</t>
        </is>
      </c>
      <c r="C86" t="inlineStr">
        <is>
          <t>Amazon.com</t>
        </is>
      </c>
      <c r="D86" t="inlineStr">
        <is>
          <t>indeed</t>
        </is>
      </c>
      <c r="E86" t="inlineStr"/>
      <c r="F86" t="inlineStr"/>
      <c r="G86" t="inlineStr">
        <is>
          <t>Palo Alto, CA, US</t>
        </is>
      </c>
      <c r="H86" s="2" t="n">
        <v>45924</v>
      </c>
      <c r="I86"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in-9b185fbe2a88d124</t>
        </is>
      </c>
      <c r="B87" t="inlineStr">
        <is>
          <t>Principal Applied Scientist, Amazon - Sponsored Products</t>
        </is>
      </c>
      <c r="C87" t="inlineStr">
        <is>
          <t>Amazon.com</t>
        </is>
      </c>
      <c r="D87" t="inlineStr">
        <is>
          <t>indeed</t>
        </is>
      </c>
      <c r="E87" t="inlineStr"/>
      <c r="F87" t="inlineStr"/>
      <c r="G87" t="inlineStr">
        <is>
          <t>New York, NY, US</t>
        </is>
      </c>
      <c r="H87" s="2" t="n">
        <v>45924</v>
      </c>
      <c r="I87"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in-9f77adae49c75cad</t>
        </is>
      </c>
      <c r="B88" t="inlineStr">
        <is>
          <t>Applied Scientist II, Creative X - RAPID</t>
        </is>
      </c>
      <c r="C88" t="inlineStr">
        <is>
          <t>Amazon.com</t>
        </is>
      </c>
      <c r="D88" t="inlineStr">
        <is>
          <t>indeed</t>
        </is>
      </c>
      <c r="E88" t="inlineStr"/>
      <c r="F88" t="inlineStr"/>
      <c r="G88" t="inlineStr">
        <is>
          <t>New York, NY, US</t>
        </is>
      </c>
      <c r="H88" s="2" t="n">
        <v>45908</v>
      </c>
      <c r="I88"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in-c0a99a2ed8dff870</t>
        </is>
      </c>
      <c r="B89" t="inlineStr">
        <is>
          <t>Applied Scientist II, Creative X - RAPID</t>
        </is>
      </c>
      <c r="C89" t="inlineStr">
        <is>
          <t>Amazon.com</t>
        </is>
      </c>
      <c r="D89" t="inlineStr">
        <is>
          <t>indeed</t>
        </is>
      </c>
      <c r="E89" t="inlineStr"/>
      <c r="F89" t="inlineStr"/>
      <c r="G89" t="inlineStr">
        <is>
          <t>Seattle, WA, US</t>
        </is>
      </c>
      <c r="H89" s="2" t="n">
        <v>45908</v>
      </c>
      <c r="I89"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in-c0b7a8f4a2d25b0d</t>
        </is>
      </c>
      <c r="B90" t="inlineStr">
        <is>
          <t>Senior Applied Scientist, Agentic AI for Data Analytics and Science, Speed Analytics and Science</t>
        </is>
      </c>
      <c r="C90" t="inlineStr">
        <is>
          <t>Amazon.com</t>
        </is>
      </c>
      <c r="D90" t="inlineStr">
        <is>
          <t>indeed</t>
        </is>
      </c>
      <c r="E90" t="inlineStr"/>
      <c r="F90" t="inlineStr"/>
      <c r="G90" t="inlineStr">
        <is>
          <t>Bellevue, WA, US</t>
        </is>
      </c>
      <c r="H90" s="2" t="n">
        <v>45880</v>
      </c>
      <c r="I90"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in-c671bd7ecc9e197e</t>
        </is>
      </c>
      <c r="B91" t="inlineStr">
        <is>
          <t>Senior Applied Scientist, Agentic AI for Data Analytics and Science, Speed Analytics and Science</t>
        </is>
      </c>
      <c r="C91" t="inlineStr">
        <is>
          <t>Amazon.com</t>
        </is>
      </c>
      <c r="D91" t="inlineStr">
        <is>
          <t>indeed</t>
        </is>
      </c>
      <c r="E91" t="inlineStr"/>
      <c r="F91" t="inlineStr"/>
      <c r="G91" t="inlineStr">
        <is>
          <t>Tempe, AZ, US</t>
        </is>
      </c>
      <c r="H91" s="2" t="n">
        <v>45880</v>
      </c>
      <c r="I91" t="inlineStr">
        <is>
          <t>**DESCRIPTION**
---------------
Are you passionate about building intelligent AI systems that deliver insights and shape strategic decisions at scale? Do you want to redefine how analytics is done by leveraging generative AI and autonomous agents?  
Amazon’s North American Transportation Data Science \&amp; Analytics team is looking for an exceptional Applied Scientist to lead the development of agentic AI solutions that simulate, reason, and deliver insights across our complex transportation network. You will build intelligent agents that act as data analysts—identifying patterns, generating hypotheses, and accelerating decision\-making for high\-impact logistics and delivery challenges.  
This is a high\-impact role that combines deep scientific thinking with practical system building. You'll work closely with product, engineering, and science teams across domains—including planning, forecasting, supply chain, and operations—to shape the future of how Amazon analyzes and improves delivery speed to customers. Delivery speed is one of Amazon’s key differentiators and a critical driver of customer satisfaction. This is a fast\-moving, customer\-obsessed space where the work you do will have direct and measurable impact on the customer experience across North America.  
Key job responsibilities  
* Design, build, and deploy autonomous AI agents that support advanced analytics and experimentation workflows in transportation.
* Develop agents that can interact with APIs, query internal data/knowledge sources, and reason over structured and unstructured data.
* Collaborate with Data Scientists, BIEs, and Engineers to integrate agentic systems into existing analytical pipelines and business tools.
* Use agentic AI to simulate customer or system behavior and define new performance and quality metrics for delivery experience.
* Develop evaluation frameworks to measure agent performance, scalability, and business impact.
* Contribute to the development of shared infrastructure for agent development—such as reusable APIs, prompt libraries, and model registries.
* Partner with internal AWS teams to stay aligned with best\-in\-class tools and infrastructure for generative and agentic AI.
* Stay current on emerging AI/ML technologies and act as an evangelist within the team—driving adoption of new approaches and ensuring scalable, modern solutions are leveraged where appropriate.
* Guide quality improvement programs through data\-driven insights generated by agentic systems.
About the team  
We enable data\-driven decision\-making for Amazon’s North American Transportation network by combining deep analytics, causal modeling, and experimentation. Our team supports business and tech stakeholders across planning, delivery, and customer experience by developing scalable tools, dashboards, and metrics. As we evolve toward agentic and generative AI, we are reimagining how insights are produced—moving from static reports to intelligent, autonomous systems that proactively surface opportunities and drive operational excellence.**BASIC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in-6f83579e85ee8442</t>
        </is>
      </c>
      <c r="B92" t="inlineStr">
        <is>
          <t>Sr. Applied Scientist, Amazon Advertising</t>
        </is>
      </c>
      <c r="C92" t="inlineStr">
        <is>
          <t>Amazon.com</t>
        </is>
      </c>
      <c r="D92" t="inlineStr">
        <is>
          <t>indeed</t>
        </is>
      </c>
      <c r="E92" t="inlineStr"/>
      <c r="F92" t="inlineStr"/>
      <c r="G92" t="inlineStr">
        <is>
          <t>Los Angeles, CA,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in-588da902fa2e127c</t>
        </is>
      </c>
      <c r="B93" t="inlineStr">
        <is>
          <t>Sr. Applied Scientist, Amazon Advertising</t>
        </is>
      </c>
      <c r="C93" t="inlineStr">
        <is>
          <t>Amazon.com</t>
        </is>
      </c>
      <c r="D93" t="inlineStr">
        <is>
          <t>indeed</t>
        </is>
      </c>
      <c r="E93" t="inlineStr"/>
      <c r="F93" t="inlineStr"/>
      <c r="G93" t="inlineStr">
        <is>
          <t>Simi Valley, CA,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in-829741e189e0db3b</t>
        </is>
      </c>
      <c r="B94" t="inlineStr">
        <is>
          <t>Sr. Applied Scientist, Amazon Advertising</t>
        </is>
      </c>
      <c r="C94" t="inlineStr">
        <is>
          <t>Amazon.com</t>
        </is>
      </c>
      <c r="D94" t="inlineStr">
        <is>
          <t>indeed</t>
        </is>
      </c>
      <c r="E94" t="inlineStr"/>
      <c r="F94" t="inlineStr"/>
      <c r="G94" t="inlineStr">
        <is>
          <t>Arlington, VA,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in-5247a3aa9888bce0</t>
        </is>
      </c>
      <c r="B95" t="inlineStr">
        <is>
          <t>Sr. Applied Scientist, Amazon Advertising</t>
        </is>
      </c>
      <c r="C95" t="inlineStr">
        <is>
          <t>Amazon.com</t>
        </is>
      </c>
      <c r="D95" t="inlineStr">
        <is>
          <t>indeed</t>
        </is>
      </c>
      <c r="E95" t="inlineStr"/>
      <c r="F95" t="inlineStr"/>
      <c r="G95" t="inlineStr">
        <is>
          <t>New York, NY,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in-16b4adbabe9eafb9</t>
        </is>
      </c>
      <c r="B96" t="inlineStr">
        <is>
          <t>Sr. Applied Scientist, Amazon Advertising</t>
        </is>
      </c>
      <c r="C96" t="inlineStr">
        <is>
          <t>Amazon.com</t>
        </is>
      </c>
      <c r="D96" t="inlineStr">
        <is>
          <t>indeed</t>
        </is>
      </c>
      <c r="E96" t="inlineStr"/>
      <c r="F96" t="inlineStr"/>
      <c r="G96" t="inlineStr">
        <is>
          <t>Seattle, WA,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in-bfc20375eef3be32</t>
        </is>
      </c>
      <c r="B97" t="inlineStr">
        <is>
          <t>Sr. Applied Scientist, Amazon Advertising</t>
        </is>
      </c>
      <c r="C97" t="inlineStr">
        <is>
          <t>Amazon.com</t>
        </is>
      </c>
      <c r="D97" t="inlineStr">
        <is>
          <t>indeed</t>
        </is>
      </c>
      <c r="E97" t="inlineStr"/>
      <c r="F97" t="inlineStr"/>
      <c r="G97" t="inlineStr">
        <is>
          <t>Austin, TX,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in-9f2c05cea7b02f23</t>
        </is>
      </c>
      <c r="B98" t="inlineStr">
        <is>
          <t>Sr. Applied Scientist, Amazon Advertising</t>
        </is>
      </c>
      <c r="C98" t="inlineStr">
        <is>
          <t>Amazon.com</t>
        </is>
      </c>
      <c r="D98" t="inlineStr">
        <is>
          <t>indeed</t>
        </is>
      </c>
      <c r="E98" t="inlineStr"/>
      <c r="F98" t="inlineStr"/>
      <c r="G98" t="inlineStr">
        <is>
          <t>Palo Alto, CA,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in-0c1ab12be8ce0791</t>
        </is>
      </c>
      <c r="B99" t="inlineStr">
        <is>
          <t>Sr. Applied Scientist, Amazon Advertising</t>
        </is>
      </c>
      <c r="C99" t="inlineStr">
        <is>
          <t>Amazon.com</t>
        </is>
      </c>
      <c r="D99" t="inlineStr">
        <is>
          <t>indeed</t>
        </is>
      </c>
      <c r="E99" t="inlineStr"/>
      <c r="F99" t="inlineStr"/>
      <c r="G99" t="inlineStr">
        <is>
          <t>West Hollywood, CA,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in-f7a97d50982ab99f</t>
        </is>
      </c>
      <c r="B100" t="inlineStr">
        <is>
          <t>Senior Applied Scientist, Artificial General Intelligence</t>
        </is>
      </c>
      <c r="C100" t="inlineStr">
        <is>
          <t>Amazon.com</t>
        </is>
      </c>
      <c r="D100" t="inlineStr">
        <is>
          <t>indeed</t>
        </is>
      </c>
      <c r="E100" t="inlineStr"/>
      <c r="F100" t="inlineStr"/>
      <c r="G100" t="inlineStr">
        <is>
          <t>New York, NY, US</t>
        </is>
      </c>
      <c r="H100" s="2" t="n">
        <v>45838</v>
      </c>
      <c r="I10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in-b917a64b5442cd94</t>
        </is>
      </c>
      <c r="B101" t="inlineStr">
        <is>
          <t>Senior Applied Scientist, Artificial General Intelligence</t>
        </is>
      </c>
      <c r="C101" t="inlineStr">
        <is>
          <t>Amazon.com</t>
        </is>
      </c>
      <c r="D101" t="inlineStr">
        <is>
          <t>indeed</t>
        </is>
      </c>
      <c r="E101" t="inlineStr"/>
      <c r="F101" t="inlineStr"/>
      <c r="G101" t="inlineStr">
        <is>
          <t>Boston, MA, US</t>
        </is>
      </c>
      <c r="H101" s="2" t="n">
        <v>45838</v>
      </c>
      <c r="I10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in-aa8b3a0b2347df40</t>
        </is>
      </c>
      <c r="B102" t="inlineStr">
        <is>
          <t>Senior Applied Scientist, Artificial General Intelligence</t>
        </is>
      </c>
      <c r="C102" t="inlineStr">
        <is>
          <t>Amazon.com</t>
        </is>
      </c>
      <c r="D102" t="inlineStr">
        <is>
          <t>indeed</t>
        </is>
      </c>
      <c r="E102" t="inlineStr"/>
      <c r="F102" t="inlineStr"/>
      <c r="G102" t="inlineStr">
        <is>
          <t>Sunnyvale, CA, US</t>
        </is>
      </c>
      <c r="H102" s="2" t="n">
        <v>45838</v>
      </c>
      <c r="I10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in-64b07a049b798513</t>
        </is>
      </c>
      <c r="B103" t="inlineStr">
        <is>
          <t>Sr. Applied Scientist, Sales AI</t>
        </is>
      </c>
      <c r="C103" t="inlineStr">
        <is>
          <t>Amazon.com</t>
        </is>
      </c>
      <c r="D103" t="inlineStr">
        <is>
          <t>indeed</t>
        </is>
      </c>
      <c r="E103" t="inlineStr"/>
      <c r="F103" t="inlineStr"/>
      <c r="G103" t="inlineStr">
        <is>
          <t>Seattle, WA, US</t>
        </is>
      </c>
      <c r="H103" s="2" t="n">
        <v>45830</v>
      </c>
      <c r="I1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in-c333f41e6cd6bb3a</t>
        </is>
      </c>
      <c r="B104" t="inlineStr">
        <is>
          <t>Sr. Applied Scientist, Sales AI</t>
        </is>
      </c>
      <c r="C104" t="inlineStr">
        <is>
          <t>Amazon.com</t>
        </is>
      </c>
      <c r="D104" t="inlineStr">
        <is>
          <t>indeed</t>
        </is>
      </c>
      <c r="E104" t="inlineStr"/>
      <c r="F104" t="inlineStr"/>
      <c r="G104" t="inlineStr">
        <is>
          <t>Sunnyvale, CA, US</t>
        </is>
      </c>
      <c r="H104" s="2" t="n">
        <v>45830</v>
      </c>
      <c r="I10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in-91ad9e4627934bb4</t>
        </is>
      </c>
      <c r="B105" t="inlineStr">
        <is>
          <t>Sr. Applied Scientist, Sales AI</t>
        </is>
      </c>
      <c r="C105" t="inlineStr">
        <is>
          <t>Amazon.com</t>
        </is>
      </c>
      <c r="D105" t="inlineStr">
        <is>
          <t>indeed</t>
        </is>
      </c>
      <c r="E105" t="inlineStr"/>
      <c r="F105" t="inlineStr"/>
      <c r="G105" t="inlineStr">
        <is>
          <t>New York, NY, US</t>
        </is>
      </c>
      <c r="H105" s="2" t="n">
        <v>45830</v>
      </c>
      <c r="I10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in-f7c147d12ff6aacb</t>
        </is>
      </c>
      <c r="B106" t="inlineStr">
        <is>
          <t>Sr. Applied Scientist, AGI Info</t>
        </is>
      </c>
      <c r="C106" t="inlineStr">
        <is>
          <t>Amazon.com</t>
        </is>
      </c>
      <c r="D106" t="inlineStr">
        <is>
          <t>indeed</t>
        </is>
      </c>
      <c r="E106" t="inlineStr"/>
      <c r="F106" t="inlineStr"/>
      <c r="G106" t="inlineStr">
        <is>
          <t>Sunnyvale, CA, US</t>
        </is>
      </c>
      <c r="H106" s="2" t="n">
        <v>45811</v>
      </c>
      <c r="I106"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in-e91ac6b8e747caee</t>
        </is>
      </c>
      <c r="B107" t="inlineStr">
        <is>
          <t>Sr. Applied Scientist, AGI Info</t>
        </is>
      </c>
      <c r="C107" t="inlineStr">
        <is>
          <t>Amazon.com</t>
        </is>
      </c>
      <c r="D107" t="inlineStr">
        <is>
          <t>indeed</t>
        </is>
      </c>
      <c r="E107" t="inlineStr"/>
      <c r="F107" t="inlineStr"/>
      <c r="G107" t="inlineStr">
        <is>
          <t>Bellevue, WA, US</t>
        </is>
      </c>
      <c r="H107" s="2" t="n">
        <v>45811</v>
      </c>
      <c r="I107"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in-a51e4f2cc41220fb</t>
        </is>
      </c>
      <c r="B108" t="inlineStr">
        <is>
          <t>Principal Applied Scientist, Delivery Foundation Model</t>
        </is>
      </c>
      <c r="C108" t="inlineStr">
        <is>
          <t>Amazon.com</t>
        </is>
      </c>
      <c r="D108" t="inlineStr">
        <is>
          <t>indeed</t>
        </is>
      </c>
      <c r="E108" t="inlineStr"/>
      <c r="F108" t="inlineStr"/>
      <c r="G108" t="inlineStr">
        <is>
          <t>Bellevue, WA, US</t>
        </is>
      </c>
      <c r="H108" s="2" t="n">
        <v>45810</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in-73e26ec613f8f78f</t>
        </is>
      </c>
      <c r="B109" t="inlineStr">
        <is>
          <t>Principal Applied Scientist, Delivery Foundation Model</t>
        </is>
      </c>
      <c r="C109" t="inlineStr">
        <is>
          <t>Amazon.com</t>
        </is>
      </c>
      <c r="D109" t="inlineStr">
        <is>
          <t>indeed</t>
        </is>
      </c>
      <c r="E109" t="inlineStr"/>
      <c r="F109" t="inlineStr"/>
      <c r="G109" t="inlineStr">
        <is>
          <t>New York, NY, US</t>
        </is>
      </c>
      <c r="H109" s="2" t="n">
        <v>45810</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in-f9436c77d1125b9f</t>
        </is>
      </c>
      <c r="B110" t="inlineStr">
        <is>
          <t>Principal Applied Scientist, Delivery Foundation Model</t>
        </is>
      </c>
      <c r="C110" t="inlineStr">
        <is>
          <t>Amazon.com</t>
        </is>
      </c>
      <c r="D110" t="inlineStr">
        <is>
          <t>indeed</t>
        </is>
      </c>
      <c r="E110" t="inlineStr"/>
      <c r="F110" t="inlineStr"/>
      <c r="G110" t="inlineStr">
        <is>
          <t>Austin, TX, US</t>
        </is>
      </c>
      <c r="H110" s="2" t="n">
        <v>45810</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in-65ce0ec8f5b446e5</t>
        </is>
      </c>
      <c r="B111" t="inlineStr">
        <is>
          <t>Principal Applied Scientist, Delivery Foundation Model</t>
        </is>
      </c>
      <c r="C111" t="inlineStr">
        <is>
          <t>Amazon.com</t>
        </is>
      </c>
      <c r="D111" t="inlineStr">
        <is>
          <t>indeed</t>
        </is>
      </c>
      <c r="E111" t="inlineStr"/>
      <c r="F111" t="inlineStr"/>
      <c r="G111" t="inlineStr">
        <is>
          <t>Santa Clara, CA, US</t>
        </is>
      </c>
      <c r="H111" s="2" t="n">
        <v>45810</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in-20d8240fcd5dccb6</t>
        </is>
      </c>
      <c r="B112" t="inlineStr">
        <is>
          <t>Principal Applied Scientist, Delivery Foundation Model</t>
        </is>
      </c>
      <c r="C112" t="inlineStr">
        <is>
          <t>Amazon.com</t>
        </is>
      </c>
      <c r="D112" t="inlineStr">
        <is>
          <t>indeed</t>
        </is>
      </c>
      <c r="E112" t="inlineStr"/>
      <c r="F112" t="inlineStr"/>
      <c r="G112" t="inlineStr">
        <is>
          <t>Santa Clara, CA, US</t>
        </is>
      </c>
      <c r="H112" s="2" t="n">
        <v>45757</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in-1b4cb02b76577d92</t>
        </is>
      </c>
      <c r="B113" t="inlineStr">
        <is>
          <t>Principal Applied Scientist, Delivery Foundation Model</t>
        </is>
      </c>
      <c r="C113" t="inlineStr">
        <is>
          <t>Amazon.com</t>
        </is>
      </c>
      <c r="D113" t="inlineStr">
        <is>
          <t>indeed</t>
        </is>
      </c>
      <c r="E113" t="inlineStr"/>
      <c r="F113" t="inlineStr"/>
      <c r="G113" t="inlineStr">
        <is>
          <t>New York, NY, US</t>
        </is>
      </c>
      <c r="H113" s="2" t="n">
        <v>45757</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in-546ddb3efc56968f</t>
        </is>
      </c>
      <c r="B114" t="inlineStr">
        <is>
          <t>Principal Applied Scientist, Delivery Foundation Model</t>
        </is>
      </c>
      <c r="C114" t="inlineStr">
        <is>
          <t>Amazon.com</t>
        </is>
      </c>
      <c r="D114" t="inlineStr">
        <is>
          <t>indeed</t>
        </is>
      </c>
      <c r="E114" t="inlineStr"/>
      <c r="F114" t="inlineStr"/>
      <c r="G114" t="inlineStr">
        <is>
          <t>Bellevue, WA, US</t>
        </is>
      </c>
      <c r="H114" s="2" t="n">
        <v>45757</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in-d50deadd27900bf9</t>
        </is>
      </c>
      <c r="B115" t="inlineStr">
        <is>
          <t>Principal Applied Scientist, FAR (Frontier AI &amp; Robotics)</t>
        </is>
      </c>
      <c r="C115" t="inlineStr">
        <is>
          <t>Amazon.com</t>
        </is>
      </c>
      <c r="D115" t="inlineStr">
        <is>
          <t>indeed</t>
        </is>
      </c>
      <c r="E115" t="inlineStr"/>
      <c r="F115" t="inlineStr"/>
      <c r="G115" t="inlineStr">
        <is>
          <t>Seattle, WA, US</t>
        </is>
      </c>
      <c r="H115" s="2" t="n">
        <v>45740</v>
      </c>
      <c r="I11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in-ca319efc490683e7</t>
        </is>
      </c>
      <c r="B116" t="inlineStr">
        <is>
          <t>Principal Applied Scientist, FAR (Frontier AI &amp; Robotics)</t>
        </is>
      </c>
      <c r="C116" t="inlineStr">
        <is>
          <t>Amazon.com</t>
        </is>
      </c>
      <c r="D116" t="inlineStr">
        <is>
          <t>indeed</t>
        </is>
      </c>
      <c r="E116" t="inlineStr"/>
      <c r="F116" t="inlineStr"/>
      <c r="G116" t="inlineStr">
        <is>
          <t>San Francisco, CA, US</t>
        </is>
      </c>
      <c r="H116" s="2" t="n">
        <v>45740</v>
      </c>
      <c r="I11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in-8a1ef16ab5ddc7c6</t>
        </is>
      </c>
      <c r="B117" t="inlineStr">
        <is>
          <t>Ai Engineer</t>
        </is>
      </c>
      <c r="C117" t="inlineStr">
        <is>
          <t>Humboldt Park Health</t>
        </is>
      </c>
      <c r="D117" t="inlineStr">
        <is>
          <t>indeed</t>
        </is>
      </c>
      <c r="E117" t="inlineStr"/>
      <c r="F117" t="inlineStr"/>
      <c r="G117" t="inlineStr">
        <is>
          <t>Chicago, IL, US</t>
        </is>
      </c>
      <c r="H117" s="2" t="n">
        <v>46042</v>
      </c>
      <c r="I117" t="inlineStr">
        <is>
          <t>Partners with clinicians, informatics, and IT to translate workflows and evidence\-based practices into secure, explainable, and compliant decision\-support tools, including real\-time in\-workflow CDS integrations, LLM\-enabled clinical assistance (e.g., summarization, guideline interpretation, clinical text analysis), and production\-grade machine learning services. Accountable for end\-to\-end delivery: requirements, build, validation, deployment, monitoring, and continuous improvement \- aligned with Humboldt Park Health’s mission. Ensures secure handling of PHI when using LLMs, including on\-premise or HIPAA\-compliant deployment patterns and vendor risk assessments.
Implements safeguards for LLM use in healthcare, including prompt governance, output validation, and audit logging.
Designs, fine\-tunes, evaluates, and deploys Large Language Model (LLM) solutions for clinical use cases such as clinical note summarization, clinical guideline interpretation, patient education content, and decision\-support augmentation.
**Essential Duties and Responsibilities:**
Designs, integrates, and supports CDS and AI solutions within the MEDITECH EHER environment, including clinical documentation workflows, order management, results review, and interoperability interfaces.
* Designs, builds, and maintains CDS applications integrated with Humboldt Park Health’s EHR and clinical workflows (e.g., triage, order entry, discharge, chronic care follow\-up).
* Implements real\-time CDS interoperability patterns (e.g., CDS Hooks / SMART on FHIR where applicable) and develops secure APIs/services for decision support.
* Develops, validates, and deploys machine learning models for clinical and operational use cases (e.g., ED risk stratification, readmission risk, diabetes care gaps, wound care risk flags).
* Builds and maintains data pipelines for clinical data ingestion, data quality checks, feature engineering, and dataset/version control while protecting PHI.
* Applies explain ability methods (e.g., SHAP/LIME) and human\-centered design to ensure outputs are interpretable, actionable, and reduce alert fatigue.
* Partners with clinicians and governance stakeholders to define requirements, acceptance criteria, validation plans, and clinical safety guardrails.
* Produces technical documentation for build, validation, and change control; supports audit readiness and aligned documentation when applicable.
* Ensures compliance with HIPAA, least\-privilege access controls, security standards, and hospital data governance; participates in incident response as needed.
* Collaborates with vendors, community partners, and internal teams to integrate and support CDS/AI solutions across on\-site and mobile care settings.
**Other Responsibilities:**
* Adheres to established departmental policies, procedures, and objectives.
* Performs both essential and non\-essential job functions safely as identified by Humboldt Park Health.
* Demonstrates an understanding of and models the mission and core values of Humboldt Park Health.
* Enhances professional growth and development by accessing educational programs, job\-related literature, in\-service meetings, and workshops/seminars.
* Performs other related duties as assigned.
Associate's Degree preferred in the specialty areas of Information Technology Services, Computer Sciences, or Technical degrees and certifications a plus; A\+, MCP, MCSE, MCITP certification or equivalent</t>
        </is>
      </c>
    </row>
    <row r="118">
      <c r="A118" t="inlineStr">
        <is>
          <t>in-9d3e75ef88a2dd16</t>
        </is>
      </c>
      <c r="B118" t="inlineStr">
        <is>
          <t>Machine Learning Engineer I</t>
        </is>
      </c>
      <c r="C118" t="inlineStr">
        <is>
          <t>Harris</t>
        </is>
      </c>
      <c r="D118" t="inlineStr">
        <is>
          <t>indeed</t>
        </is>
      </c>
      <c r="E118" t="inlineStr"/>
      <c r="F118" t="inlineStr"/>
      <c r="G118" t="inlineStr">
        <is>
          <t>Saint Paul, MN, US</t>
        </is>
      </c>
      <c r="H118" s="2" t="n">
        <v>46042</v>
      </c>
      <c r="I118" t="inlineStr">
        <is>
          <t>**The purpose of your role as a Machine Learning Engineer I**
We are seeking a Machine Learning Engineer I (MLE) to join our Business Intelligence team. In this entry\-level role, the MLE will primarily assist with building and maintaining data structures to support ongoing AI initiatives and related administrative tasks. The MLE will work under the guidance of the Data Scientist and peer Database Developer, helping with the organization and management of databases, preparation of data for analytics, and routine administrative responsibilities. As part of the team, the MLE will gain hands\-on experience in modern data systems and cloud environments while supporting broader digital transformation objectives.
System and Business Knowledge
* Build and maintain strong technical knowledge of enterprise software platforms, including CMiC, WennSoft, Adaptive, and Salesforce  
 o Work with front\-end user interfaces to improve usability and workflows  
 o Understand back\-end database structures, including schemas and ERDs
Machine Learning and AI Engineering
* Contribute to the design, development, and ongoing enhancement of machine learning models  
 o Perform feature engineering on data from multiple sources  
 o Train, evaluate, and deploy models for real\-world business applications  
 o Develop visualizations and dashboards to effectively communicate insights to stakeholders
* Implement and integrate generative AI solutions  
 o Fine\-tune generative AI models using domain\-specific data  
 o Build systems and pipelines that connect AI outputs to internal applications, such as chatbots
Custom Development
* Write and maintain code under the direction of a Data Scientist and peer Database Developer
* Identify and resolve bugs, and complete break/fix tasks promptly
* Follow established software development lifecycle methodologies
* Adhere to company coding standards and industry best practices
* Collaborate within a version\-controlled development environment
* Continuously enhance coding skills and technical knowledge
Data Administration
* Maintain large relational data sets across SQL and other databases  
 o Perform SQL Server and SSMS DBA administration, including permissions, backups, and other maintenance tasks
* Work with data warehouse and data lake platforms, including Snowflake and Azure
* Monitor and audit data flows between databases and other applications
* Assist with data migration efforts
* Troubleshoot and resolve data quality and performance issues
Emerging Trends
* Stay current on process improvement and technology trends that could enhance company operations
* Recommend practical solutions to leadership to improve efficiency and effectiveness
Continuing Education
* Maintain relevant knowledge through seminars, trade shows, industry publications, certifications, and other learning opportunities
* Keep up\-to\-date on project management, process improvement, and change management methodologies and best practices
**What we’re looking for in you**
* Bachelor’s degree in Computer Science or a related technology (required); advanced degree preferred
* Hands\-on experience with at least one ERP system, such as CMIC, COINS OA, IFS, SAP, or Microsoft Dynamics
* Strong experience with vector databases, big data tools (e.g., Spark), and data visualization and reporting platforms including Power BI and SSRS
* Demonstrated competency in LLM and Retrieval\-Augmented Generation (RAG) development
* Solid understanding of Azure resources and Azure SQL administration
* Proficiency in programming and data querying, including SQL and Python
* Proven knowledge of data structures and advanced SQL concepts
* Experience with ETL processes and pipelines, including data ingestion, transformation, and integration across enterprise systems
* Track record of diagnosing, analyzing, and resolving business process issues and translating technical solutions into meaningful business outcomes
**Your life at Harris**
As one of the country's leading mechanical contractors, Harris offers the stability, resources, and opportunities of a national company along with the team culture, creative spirit, and customer loyalty of a local business. If you thrive on variety and enjoy new challenges, we want to meet you. From stadiums to manufacturing facilities, power plants to hospitals, and concert halls to classrooms, we handle projects of all sizes and complexity across multiple regional locations throughout the country.
**Harris Benefits \+ Compensation**
* Medical, dental, vision, and life insurance
* 401K with company match
* Vacation time, sick time, and paid holidays
* Paid parental leave
* Short\-Term Incentive Plan
Visit our Careers Page for additional benefits details: https://www.harriscompany.com/careers/employee\-benefits\-at\-a\-glance
**Pay Range:** $71,079 to $106,618 per year
The actual salary offer will vary by candidate based on a wide range of factors, including skills, qualifications, experience, and location</t>
        </is>
      </c>
    </row>
    <row r="119">
      <c r="A119" t="inlineStr">
        <is>
          <t>in-9570b017c9164d23</t>
        </is>
      </c>
      <c r="B119" t="inlineStr">
        <is>
          <t>Machine Learning Engineer, Computer Vision</t>
        </is>
      </c>
      <c r="C119" t="inlineStr">
        <is>
          <t>Google</t>
        </is>
      </c>
      <c r="D119" t="inlineStr">
        <is>
          <t>indeed</t>
        </is>
      </c>
      <c r="E119" t="inlineStr"/>
      <c r="F119" t="inlineStr"/>
      <c r="G119" t="inlineStr">
        <is>
          <t>Mountain View, CA, US</t>
        </is>
      </c>
      <c r="H119" s="2" t="n">
        <v>46041</v>
      </c>
      <c r="I119" t="inlineStr">
        <is>
          <t>### **Minimum qualifications:**
* Bachelor's degree in Electrical Engineering, Computer Science, relevant technical field or equivalent practical experience.
* 2 years of experience with software development in one or more programming languages (e.g., Java, Python, C/C\+\+).
* Experience with image processing, computer vision, and machine learning algorithms.
* Experience with machine learning computer vision algorithm development and tools (e.g., tensorflow, flume, machine learning libraries), artificial intelligence, deep learning.
* Experience with ML infrastructure (e.g., model deployment, model evaluation, data processing, debugging).
### **Preferred qualifications:**
* Master or PhD degree in Engineering with a focus on Computer Vision or Camera, or equivalent practical experience.
* Experience in building and testing consumer electronic products for manufacturing including design for manufacturing (DFM) and design for test (DFT).
* Experience in building machine learning powered automatic\-optical\-inspection (AOI) systems including hardware, software, and algorithms.
* Experience with Machine Learning infrastructure (e.g., model deployment, model evaluation, model serving, data processing, debugging, fine tuning).
* Experience with generative AI and LLM related skills (e.g. Gemini AI suite, Vertex AI).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scope of the Central Test Engineering team spans hardware and software, and across Engineering and Operations as the team that knows the secrets to successfully shipping high\-volume consumer products while balancing engineering and operational priorities.  
In this role, you will be in one or all of the following product families: virtual reality (VR), wearables, phones, and home. You will own one of the key consumer satisfaction metrics such as functional performance of the device. As a key member of the cross\-functional team that will launch the product, you will be an integral part of Google's hardware success. You will use your computer vision experience to develop multiple machine learning based automatic optical inspections stations for production lines.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Develop solutions in artificial intelligence and machine learning applications for smart manufacturing.
* Implement and adapt deep learning architecture and the goal to land the factory test stations with a focus on automatic optical inspection solutions for production lines from new product introduction (NPI) to mass production (MP) stage.
* Understand and be able to debug the computer vision or image processing algorithms to investigate camera or assembly failures.
* Design and develop components of scalable Machine Learning infrastructure for manufacturing.
* Maintain and improve existing AI platform to support advanced automatic optical inspection.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0">
      <c r="A120" t="inlineStr">
        <is>
          <t>in-1de4f27c378e991a</t>
        </is>
      </c>
      <c r="B120" t="inlineStr">
        <is>
          <t>Sr. Machine Learning Engineer, AGIF | Finetuning</t>
        </is>
      </c>
      <c r="C120" t="inlineStr">
        <is>
          <t>Amazon.com</t>
        </is>
      </c>
      <c r="D120" t="inlineStr">
        <is>
          <t>indeed</t>
        </is>
      </c>
      <c r="E120" t="inlineStr"/>
      <c r="F120" t="inlineStr"/>
      <c r="G120" t="inlineStr">
        <is>
          <t>New York, NY, US</t>
        </is>
      </c>
      <c r="H120" s="2" t="n">
        <v>45984</v>
      </c>
      <c r="I12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in-c82f92756f017b08</t>
        </is>
      </c>
      <c r="B121" t="inlineStr">
        <is>
          <t>Sr. Machine Learning Engineer, AGIF | Finetuning</t>
        </is>
      </c>
      <c r="C121" t="inlineStr">
        <is>
          <t>Amazon.com</t>
        </is>
      </c>
      <c r="D121" t="inlineStr">
        <is>
          <t>indeed</t>
        </is>
      </c>
      <c r="E121" t="inlineStr"/>
      <c r="F121" t="inlineStr"/>
      <c r="G121" t="inlineStr">
        <is>
          <t>Sunnyvale, CA, US</t>
        </is>
      </c>
      <c r="H121" s="2" t="n">
        <v>45984</v>
      </c>
      <c r="I12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in-ce14ca1ad2ea09ee</t>
        </is>
      </c>
      <c r="B122" t="inlineStr">
        <is>
          <t>Sr. Machine Learning Engineer, AGIF | Finetuning</t>
        </is>
      </c>
      <c r="C122" t="inlineStr">
        <is>
          <t>Amazon.com</t>
        </is>
      </c>
      <c r="D122" t="inlineStr">
        <is>
          <t>indeed</t>
        </is>
      </c>
      <c r="E122" t="inlineStr"/>
      <c r="F122" t="inlineStr"/>
      <c r="G122" t="inlineStr">
        <is>
          <t>Bellevue, WA, US</t>
        </is>
      </c>
      <c r="H122" s="2" t="n">
        <v>45984</v>
      </c>
      <c r="I12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in-3c5c3d0687b8bcae</t>
        </is>
      </c>
      <c r="B123" t="inlineStr">
        <is>
          <t>GenAI- Data Scientist / ML Engineer - AI &amp; Analytic</t>
        </is>
      </c>
      <c r="C123" t="inlineStr">
        <is>
          <t>Capgemini</t>
        </is>
      </c>
      <c r="D123" t="inlineStr">
        <is>
          <t>indeed</t>
        </is>
      </c>
      <c r="E123">
        <f>HYPERLINK("https://www.indeed.com/viewjob?jk=3c5c3d0687b8bcae", "https://www.indeed.com/viewjob?jk=3c5c3d0687b8bcae")</f>
        <v/>
      </c>
      <c r="F123">
        <f>HYPERLINK("https://www.capgemini.com/jobs/392697-en_US+sap_btp/", "https://www.capgemini.com/jobs/392697-en_US+sap_btp/")</f>
        <v/>
      </c>
      <c r="G123" t="inlineStr">
        <is>
          <t>Seattle, WA, US</t>
        </is>
      </c>
      <c r="H123" s="3" t="n">
        <v>46041</v>
      </c>
      <c r="I123" t="inlineStr">
        <is>
          <t>Seattle, WA
GenAI\- Data Scientist / ML Engineer \- AI \&amp; Analytic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Description**About the job you’re considering**
The Data Scientist / ML Engineer will demonstrate excellent knowledge of ML algorithms (e.g., Linear Regression, Logistic Regression, Clustering/Segmentation, Decision Tree, Random Forest, GBM, DNN, Naive Bayes, Support Vector Machine, etc.) to lead efforts, teams, projects, and engage with customers.
About the Role
* Responsible for developing and implementing AI\-assisted marketing analytics solutions that address customer needs using data science and machine learning.
* Work closely with multi\-functional teams to deliver innovative solutions that drive business growth and improve customer engagement.
Job Description \- Grade Specific
Your Roles \&amp; Responsibilities
* Design, implement, and optimize machine learning models (supervised, unsupervised, and reinforcement learning).
* Work on projects involving NLP, computer vision, recommendation systems, and predictive analytics.
* Perform feature engineering, data preprocessing, and model selection.
* Collaborate with Data Engineers to acquire and preprocess large datasets.
* Build and maintain data pipelines to support model training, testing, and deployment.
* Ensure data quality, consistency, and reliability.
* Deploy ML models into production environments using CI/CD and MLOps practices.
* Monitor model performance, retrain models, and manage model versioning.
* Optimize inference performance and resource utilization.
* Stay current with emerging ML/AI technologies, frameworks, and research.
* Evaluate new algorithms, tools, and libraries to improve model performance.
* Experiment with novel approaches to solve complex business problems.
* Work with software engineers, data scientists, and product managers to integrate ML solutions into applications.
* Mentor junior engineers and share best practices in ML development and deployment.
The base compensation range for this role in the posted location is $65,000 to $90,000\.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392697\-en\_US
Posted on
20 Jan 2026
Experience level
Students/Graduates
Contract type
Permanent
Location
Seattle, WA
Business unit
I and D Global Business Line
Brand
Capgemini
Professional communities
Data \&amp; AI</t>
        </is>
      </c>
    </row>
    <row r="124">
      <c r="A124" t="inlineStr">
        <is>
          <t>in-707581c5bd15549e</t>
        </is>
      </c>
      <c r="B124" t="inlineStr">
        <is>
          <t>Generative AI Engineer</t>
        </is>
      </c>
      <c r="C124" t="inlineStr">
        <is>
          <t>Capgemini</t>
        </is>
      </c>
      <c r="D124" t="inlineStr">
        <is>
          <t>indeed</t>
        </is>
      </c>
      <c r="E124">
        <f>HYPERLINK("https://www.indeed.com/viewjob?jk=707581c5bd15549e", "https://www.indeed.com/viewjob?jk=707581c5bd15549e")</f>
        <v/>
      </c>
      <c r="F124">
        <f>HYPERLINK("https://www.capgemini.com/jobs/396100-en_GB+sap_btp/", "https://www.capgemini.com/jobs/396100-en_GB+sap_btp/")</f>
        <v/>
      </c>
      <c r="G124" t="inlineStr">
        <is>
          <t>Seattle, WA, US</t>
        </is>
      </c>
      <c r="H124" s="3" t="n">
        <v>46041</v>
      </c>
      <c r="I124" t="inlineStr">
        <is>
          <t>Seattle, WA
Generative AI Engineer
Job Description
We are seeking a passionate and innovative GenAI Engineer/Data Scientist to join our team. This role involves developing GEN AI solutions and predictive AI models, deploying them in production environments, and driving the integration of AI technologies across our business operations. As a key member of our AI team, you will collaborate with diverse teams to design solutions that deliver tangible business value through AI\-driven insights.
Key Responsibilities:
* Application Architecture Design, Development, \&amp; Integration:
o Familiarity with API architecture, and components such as external interfacing, traffic control, runtime execution of business logic, data access, authentication, deployment.
o Key skills to include Understanding of URLs and API Endpoints, HTTP Requests, Authentication Methods, Response Types, JSON/REST, Parameters and Data Filtering, Error Handling, Debugging, Rate Limits, Tokens, Integration, and Documentation.
* AI \&amp; Machine Learning Models Development:
o Develop generative and predictive AI models (including NLP, computer vision, etc.).
o Familiarity with cloud platforms (e.g., Azure, AWS, GCP) and big data tools (e.g., Databricks, PySpark) to develop AI solutions.
o Familiarity with intelligent autonomous agents for complex tasks and multimodal interactions.
o Familiarity with agentic workflows that utilize AI agents to automate tasks and improve operational efficiency.
* Model Deployment \&amp; Maintenance:
o Deploy AI models into production environments, ensuring scalability, performance, and optimization.
o Monitor and troubleshoot deployed models and pipelines for optimal performance.
o Design and maintain data pipelines for efficient data collection, processing, and storage (e.g., data lakes, data warehouses).
* Emerging Technologies:
o maintain involvement with internal and external training and relevant discussions; stay at the forefront of emerging AI techniques, tools, and trends.
* Collaboration \&amp; Communication:
o Collaborate with cross\-functional teams to align AI projects with business requirements and strategic goals.
o Willingness to contribute to and participate in developing and harvesting resuable assets and demos, sales pitches.
o Communicate complex AI concepts and results to non\-technical stakeholders.
Required Qualifications:
* Education:
o Bachelor’s or greater degree in Machine Learning, AI, or equivalent professional experience.
* Experience:
o Minimum of 1 year of professional experience in AI, application development, machine learning, or a similar role.
o Experience in model deployment, MLOps, model monitoring, and managing data/model drift.
o Experience with predictive AI (e.g., regression, classification, clustering) and generative AI models (e.g., GPT, Claude LLM, Stable Diffusion).
* Technical Skills:
o Proficiency in programming languages such as Python and SQL.
o Proficiency in URLs and API Endpoints, HTTP Requests, Authentication Methods, Response Types, JSON/REST, Parameters and Data Filtering, Error Handling, Debugging, Rate Limits, Tokens, Integration, and Documentation.
o Proficiency with cloud platforms (e.g., AWS, Azure) and big data tools (e.g., Databricks, PySpark).
o Familiarity with AI frameworks such as LangChain and machine learning libraries like TensorFlow, PyTorch, and scikit\-learn.
o Knowledge of deployment tools (e.g., Azure DevOps, Docker, AWS ECS/EKS/Fargate) and CI/CD pipelines (AWS CloudFormation, CodeDeploy).
o Understanding of data engineering principles, including experience with SQL and NoSQL databases (e.g., MySQL, MongoDB, Redis).
* Additional Skills:
o Strong problem\-solving and troubleshooting skills.
o Familiarity with generative AI techniques, such as retrieval\-augmented generation (RAG) patterns.
o Experience with Graph database technology a plus. (e.g. Neo4J, Ontotext)
o Ability to collaborate effectively across teams.
o Excellent communication skills, with the ability to explain complex technical concepts to non\-technical stakeholders.
Job Description
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Job Description \- Grade Specific
The primary responsibilities involves assisting with data cleaning, analysis, model development, visualization, and collaborating with the team to support data driven decision making.
The base compensation range for this role in the posted location is up to $75,000 USD.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396100\-en\_GB
Posted on
20 Jan 2026
Experience level
Experienced Professionals
Contract type
Permanent
Location
Seattle, WA
Business unit
I and D Global Business Line
Brand
Capgemini
Professional communities
Data \&amp; AI</t>
        </is>
      </c>
    </row>
    <row r="125">
      <c r="A125" t="inlineStr">
        <is>
          <t>in-d1afca29ea7b26a7</t>
        </is>
      </c>
      <c r="B125" t="inlineStr">
        <is>
          <t>Senior AI Engineer</t>
        </is>
      </c>
      <c r="C125" t="inlineStr">
        <is>
          <t>Strider Technologies</t>
        </is>
      </c>
      <c r="D125" t="inlineStr">
        <is>
          <t>indeed</t>
        </is>
      </c>
      <c r="E125">
        <f>HYPERLINK("https://www.indeed.com/viewjob?jk=d1afca29ea7b26a7", "https://www.indeed.com/viewjob?jk=d1afca29ea7b26a7")</f>
        <v/>
      </c>
      <c r="F125">
        <f>HYPERLINK("https://jobs.ashbyhq.com/strider-technologies/5766525c-bf5d-48f4-a39b-f315f62325ae", "https://jobs.ashbyhq.com/strider-technologies/5766525c-bf5d-48f4-a39b-f315f62325ae")</f>
        <v/>
      </c>
      <c r="G125" t="inlineStr">
        <is>
          <t>South Jordan, UT, US</t>
        </is>
      </c>
      <c r="H125" s="3" t="n">
        <v>46041</v>
      </c>
      <c r="I125" t="inlineStr">
        <is>
          <t>Location
Tysons Corner, VA, South Jordan, UT
Employment Type
Full time
Department
Technology
Overview
Strider Technologies delivers strategic intelligence that helps organizations make faster, more confident decisions in an increasingly complex global environment. Using cutting\-edge AI and proprietary methodologies, we transform open\-source data into actionable insights that help protect technology, talent, and supply chains from nation\-state risks.**Job Description:**
Our methodologies rely on billions of documents we’ve accumulated since our founding, with tens of millions more added daily. LLMs along with machine learning models we develop are integral to organizing and processing this data. As an AI Engineer at Strider you will:
* Optimize prompts for NLP tasks
* Extract data from unstructured documents
* Finetune LLMs for internal use cases
* Automate batch inference work flows
* Develop AI features for internal and customer facing products
* Research new use cases for applying LLMs
* Author design documents
* Participate in code reviews
* Collaborate with a talented cross\-functional team of engineers, data scientists and subject\-matter experts
**What makes you a great fit:**
* Experience building and shipping solutions using LLMs
* Previously worked in a data heavy role
* Are a natural problem solver with an affinity for data
* Up to date with the latest techniques for utilizing LLMs
* Deep understanding of capabilities and limitations of current foundation models
* 6\+ years in AI and data heavy roles.
**Technologies You’ll Work With**
At Strider, you’ll use a mix of the following tools and technologies:
* **Languages:** Python
* **Frameworks and Libraries:** Flask, DSPy, various embedding, reranker and LLM APIs
* **Databases and Search:** Elasticsearch, RDS, DynamoDB
**Benefits:**
* Competitive Compensation
* Company Equity Options
* Flexible PTO
* Wellness Reimbursement
* US Holidays (Office Closed)
* Paid Parental Leave
* Comprehensive Medical, Dental, and Vision Insurance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t>
        </is>
      </c>
    </row>
    <row r="126">
      <c r="A126" t="inlineStr">
        <is>
          <t>in-8ba6618edaefa483</t>
        </is>
      </c>
      <c r="B126" t="inlineStr">
        <is>
          <t>Lead AI Engineer</t>
        </is>
      </c>
      <c r="C126" t="inlineStr">
        <is>
          <t>Strider Technologies</t>
        </is>
      </c>
      <c r="D126" t="inlineStr">
        <is>
          <t>indeed</t>
        </is>
      </c>
      <c r="E126">
        <f>HYPERLINK("https://www.indeed.com/viewjob?jk=8ba6618edaefa483", "https://www.indeed.com/viewjob?jk=8ba6618edaefa483")</f>
        <v/>
      </c>
      <c r="F126">
        <f>HYPERLINK("https://jobs.ashbyhq.com/strider-technologies/c23d747e-f558-4cb3-9d2f-b77741a61fe0", "https://jobs.ashbyhq.com/strider-technologies/c23d747e-f558-4cb3-9d2f-b77741a61fe0")</f>
        <v/>
      </c>
      <c r="G126" t="inlineStr">
        <is>
          <t>South Jordan, UT, US</t>
        </is>
      </c>
      <c r="H126" s="3" t="n">
        <v>46041</v>
      </c>
      <c r="I126" t="inlineStr">
        <is>
          <t>Location
Tysons Corner, VA, South Jordan, UT
Employment Type
Full time
Location Type
Hybrid
Department
Technology
Overview
Strider Technologies delivers strategic intelligence that helps organizations make faster, more confident decisions in an increasingly complex global environment. Using cutting\-edge AI and proprietary methodologies, we transform open\-source data into actionable insights that help protect technology, talent, and supply chains from nation\-state risks.**Job Description:**
Our methodologies rely on billions of documents we’ve accumulated since our founding, with tens of millions more added daily. LLMs along with machine learning models we develop are integral to organizing and processing this data. As an AI Engineer at Strider you will:
* Optimize prompts for NLP tasks
* Extract data from unstructured documents
* Finetune LLMs for internal use cases
* Automate batch inference work flows
* Develop AI features for internal and customer facing products
* Research new use cases for applying LLMs
* Author design documents
* Participate in code reviews
* Collaborate with a talented cross\-functional team of engineers, data scientists and subject\-matter experts
**What makes you a great fit:**
* Experience building and shipping solutions using LLMs
* Previously worked in a data heavy role
* Are a natural problem solver with an affinity for data
* Up to date with the latest techniques for utilizing LLMs
* Deep understanding of capabilities and limitations of current foundation models
* 8\+ years in AI and data heavy roles.
**Technologies You’ll Work With**
At Strider, you’ll use a mix of the following tools and technologies:
* **Languages:** Python
* **Frameworks and Libraries:** Flask, DSPy, various embedding, reranker and LLM APIs
* **Databases and Search:** Elasticsearch, RDS, DynamoDB
**Benefits:**
* Competitive Compensation
* Company Equity Options
* Flexible PTO
* Wellness Reimbursement
* US Holidays (Office Closed)
* Paid Parental Leave
* Comprehensive Medical, Dental, and Vision Insurance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t>
        </is>
      </c>
    </row>
    <row r="127">
      <c r="A127" t="inlineStr">
        <is>
          <t>in-c40b80cba86d13f9</t>
        </is>
      </c>
      <c r="B127" t="inlineStr">
        <is>
          <t>Staff AI Engineer</t>
        </is>
      </c>
      <c r="C127" t="inlineStr">
        <is>
          <t>VASION</t>
        </is>
      </c>
      <c r="D127" t="inlineStr">
        <is>
          <t>indeed</t>
        </is>
      </c>
      <c r="E127">
        <f>HYPERLINK("https://www.indeed.com/viewjob?jk=c40b80cba86d13f9", "https://www.indeed.com/viewjob?jk=c40b80cba86d13f9")</f>
        <v/>
      </c>
      <c r="F127">
        <f>HYPERLINK("https://apply.workable.com/j/0184A9A7C8", "https://apply.workable.com/j/0184A9A7C8")</f>
        <v/>
      </c>
      <c r="G127" t="inlineStr">
        <is>
          <t>Remote, US</t>
        </is>
      </c>
      <c r="H127" s="3" t="n">
        <v>46041</v>
      </c>
      <c r="I127" t="inlineStr">
        <is>
          <t>Vasion is seeking a Staff AI Engineer who embodies our core values and is eager to join our dynamic team. We are dedicated to enabling digital transformation for everyone by providing an affordable, integrated SaaS solution that simplifies business operations. Vasion offers a flexible working environment for our 400\+ employees around the globe, including at our headquarters in St. George, Utah, and offices in the UK, Germany, and Lehi, Utah.
### **Role Overview**
We are seeking a highly skilled Staff AI Engineer to lead the development of next\-generation agentic AI systems that seamlessly integrate with enterprise tools, workflows, and services. This role emphasizes building robust orchestration frameworks, leveraging modern connectivity standards, and deploying scalable solutions across leading cloud AI platforms. As a senior technical leader, you will define architectural best practices, mentor engineering teams, and drive innovation in model fine\-tuning, retrieval pipelines, and agentic design patterns. You will work cross\-functionally to deliver transformative AI capabilities with measurable business impact, while ensuring systems are scalable, secure, and responsible.
### **Responsibilities**
* Agentic AI Orchestration: Architect, implement, and optimize agent workflows using frameworks such as LangGraph, LangChain, LlamaIndex, AutoGen, Semantic Kernel, CrewAI, or similar platforms for multi\-step reasoning, planning, and execution.
* Connectivity \&amp; Tooling: Build integrations with enterprise systems through standards such as MCP (Model Context Protocol), function calling APIs (e.g., OpenAI Assistants, Anthropic Claude), and custom APIs (FastAPI, GraphQL, gRPC).
* Cloud AI Deployment: Design, deploy, and optimize AI solutions on enterprise\-grade platforms including Azure AI Foundry, AWS Bedrock, GCP Vertex AI, Databricks Mosaic AI, and Snowflake Cortex AI.
* Knowledge \&amp; Retrieval Systems: Develop retrieval\-augmented generation (RAG) pipelines leveraging vector databases (Pinecone, Weaviate, Milvus, FAISS) and hybrid search/knowledge graph solutions.
* Model Lifecycle Management: Lead efforts in fine\-tuning foundation models, embeddings, prompt engineering, and evaluation for domain\-specific use cases.
* Infrastructure \&amp; Scalability: Collaborate with platform and DevOps teams to ensure secure, performant, and cloud\-native AI deployments using Kubernetes, Docker, and workflow orchestration tools (Airflow, Prefect, Dagster, Temporal).
* Observability \&amp; Governance: Establish monitoring and evaluation frameworks using LangSmith, Weights \&amp; Biases, MLflow, Arize, or Evidently AI to ensure reliability, transparency, and compliance.
* Innovation \&amp; Research: Explore emerging trends in agentic AI, orchestration, and generative systems, applying them to improve intelligence, reliability, and efficiency.
* Mentorship \&amp; Leadership: Provide technical direction, mentor engineers and data scientists, and set engineering standards for scalable AI system development.
* Responsible AI: Advocate for and implement responsible AI practices, ensuring transparency, safety, and fairness in AI\-driven systems.
**Requirements**
* Bachelor’s or Master’s degree in Computer Science, Engineering, or related field; Masters preferred.
* 6\+ years of professional experience in AI/ML engineering, with at least 3 years in a staff/principal\-level role.
### **Preferred Qualifications**
* Agentic AI Systems: Hands\-on experience with agent\-based AI orchestration using LangGraph, LangChain, LlamaIndex, AutoGen, Semantic Kernel, CrewAI, or similar frameworks.
* Tool Connectivity \&amp; APIs: Experience with MCP or equivalent protocols, function/tool APIs (OpenAI, Anthropic), and custom system integrations.
* Cloud AI Platforms: Deep experience with Azure AI Foundry, AWS Bedrock, GCP Vertex AI, Databricks Mosaic AI, or Snowflake Cortex AI.
* Knowledge \&amp; Retrieval: Familiarity with vector databases (Pinecone, Weaviate, Milvus, FAISS), knowledge graphs, and hybrid retrieval systems.
* Model Development: Expertise in fine\-tuning, embeddings, RAG pipelines, and evaluation frameworks for production models.
* MLOps \&amp; Observability: Familiarity with LangSmith, MLflow, Weights \&amp; Biases, Arize, or Evidently AI for monitoring, evaluation, and governance.
* Infrastructure: Strong background in cloud\-native architecture, containerization (Docker, Kubernetes), and workflow orchestration (Airflow, Prefect, Dagster, Temporal).
* Machine Learning Knowledge (Plus): Understanding of ML techniques (supervised/unsupervised learning, deep learning, reinforcement learning). Experience with ML frameworks such as PyTorch or TensorFlow is a plus but not required.
### **Leadership and Communication**
* Demonstrated ability to set technical vision, lead cross\-functional initiatives, and mentor engineering teams.
* Excellent written and verbal communication skills with the ability to convey complex technical concepts to both technical and non\-technical audiences.
* Strong problem\-solving skills and a proven track record of delivering scalable, enterprise\-grade AI solutions.
**Benefits**
* Flexible work environment
* Vacation Bonus
* Flexible paid time off
* Paid parental leave
* Competitive pay
* A full suite of traditional benefits
* Training/Advancement opportunities
* 401k with company match and immediate vesting
* Financial wellness education
* Company\-contributed HSA
* Onsite perks include gym, pickleball, snacks \&amp; drinks, arcade, theater room, etc.
### **Our Core Values**
Vasion looks for people who will exemplify its four core values and are driven to become:
* Action Owners, with principles drawn from Extreme Ownership by Jocko Willink and Leif Babin
* Candor Seekers, illustrated in Radical Candor by Kim Scott
* People Builders, as detailed in Leadership and Self\-deception by The Arbinger Institute
* Storytellers, guided by principles from Building a StoryBrand: Clarify Your Message So Customers Will Listen by Donald Miller
### **More about Vasion**
Visit https://www.vasion.com to learn more about Vasion.
### **Additional Information**
Vasion is an equal opportunity employer. We evaluate qualified applicants without regard to race, age, color, religion, sex, national origin, disability, veteran status, gender identity, sexual orientation and other legally protected characteristics.</t>
        </is>
      </c>
    </row>
    <row r="128">
      <c r="A128" t="inlineStr">
        <is>
          <t>in-3c219b41b3e81fa4</t>
        </is>
      </c>
      <c r="B128" t="inlineStr">
        <is>
          <t>Applied AI Engineer Pro</t>
        </is>
      </c>
      <c r="C128" t="inlineStr">
        <is>
          <t>Humana</t>
        </is>
      </c>
      <c r="D128" t="inlineStr">
        <is>
          <t>indeed</t>
        </is>
      </c>
      <c r="E128">
        <f>HYPERLINK("https://www.indeed.com/viewjob?jk=3c219b41b3e81fa4", "https://www.indeed.com/viewjob?jk=3c219b41b3e81fa4")</f>
        <v/>
      </c>
      <c r="F128">
        <f>HYPERLINK("https://click.appcast.io/t/DBHWcdB_1dSSyOunjj00JuHFyJpqcQdm__UEd7zHIHo=", "https://click.appcast.io/t/DBHWcdB_1dSSyOunjj00JuHFyJpqcQdm__UEd7zHIHo=")</f>
        <v/>
      </c>
      <c r="G128" t="inlineStr">
        <is>
          <t>Frisco, TX, US</t>
        </is>
      </c>
      <c r="H128" s="3" t="n">
        <v>46041</v>
      </c>
      <c r="I128" t="inlineStr">
        <is>
          <t>**Become a part of our caring community and help us put health first**
======================================================================
Join our mission to advance AI\-powered healthcare. We are seeking a Professional Applied AI Engineer to help design and implement next\-generation solutions within our AI platform team. In this role, you will contribute to the development of scalable, pragmatic, and effective AI systems that support our core business objectives.**What You’ll Do**
* Collaborate in the design and development of generative AI systems, including LLM\-powered applications, multi\-agent workflows, RAG, and domain\-specific reasoning engines.
* Develop, test, and maintain APIs and platform features that integrate AI into business workflows.
* Build and optimize data, feature, and evaluation pipelines to support reliable and evolving AI behavior.
* Work closely with data scientists, platform engineers, and product managers to translate conceptual solutions into robust, testable, and observable production systems.
* Adhere to established engineering standards and contribute to a culture of quality, clarity, and continuous improvement.
* Participate in code reviews, documentation, and team knowledge sharing.
* Support observability, measurement, and operational excellence to ensure deployed systems are maintainable and high\-performing.
* Stay informed on AI/ML advancements and support adoption of relevant new technologies.
* Help drive improvements in healthcare delivery and member satisfaction through technical contributions.
**Use your skills to make an impact**
=====================================
**Required Qualifications**
* Bachelor’s degree in Computer Science, Engineering, or a related quantitative field.
* 2–5 years of professional experience in software or platform engineering.
* Proficient in Python, with experience building production services or libraries.
* Hands\-on experience with applied AI systems, such as LLM integration, RAG, or embeddings.
* Familiarity with machine learning engineering concepts, such as model deployment, monitoring, and evaluation.
* Working knowledge of FastAPI, Flask, or similar frameworks, and REST/gRPC service design.
* Experience with cloud development on AWS, GCP, or Azure.
* Exposure to containerization and orchestration technologies (e.g., Docker, Kubernetes).
* Experience with CI/CD pipelines, version control, and DevOps practices.
* Ability to work independently and as part of a team to deliver quality solutions.
**Preferred Qualifications**
* Exposure to generative AI tooling (e.g., LangChain, LlamaIndex, PydanticAI).
* Understanding of deep learning frameworks (PyTorch, TensorFlow).
* Experience with distributed systems or platforms.
* Experience working on platform development or complex production applications.
* Demonstrated problem\-solving skills and the ability to balance innovation with maintainability.
**Additional Information**
This position follows a hybrid work style and must be performed at one of our designated IT hub locations: Louisville, KY; Tampa, FL; Dallas, TX; Boston, MA; New York City; or Washington, D.C.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$97,900 \- $133,500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29">
      <c r="A129" t="inlineStr">
        <is>
          <t>in-9ef1610bd02724f0</t>
        </is>
      </c>
      <c r="B129" t="inlineStr">
        <is>
          <t>Principal Applied AI Engineer</t>
        </is>
      </c>
      <c r="C129" t="inlineStr">
        <is>
          <t>Humana</t>
        </is>
      </c>
      <c r="D129" t="inlineStr">
        <is>
          <t>indeed</t>
        </is>
      </c>
      <c r="E129">
        <f>HYPERLINK("https://www.indeed.com/viewjob?jk=9ef1610bd02724f0", "https://www.indeed.com/viewjob?jk=9ef1610bd02724f0")</f>
        <v/>
      </c>
      <c r="F129">
        <f>HYPERLINK("https://click.appcast.io/t/5hksMSPNWeaQ8r5JVxRI0c4uY0iLWgikkM9vQ457MOw=", "https://click.appcast.io/t/5hksMSPNWeaQ8r5JVxRI0c4uY0iLWgikkM9vQ457MOw=")</f>
        <v/>
      </c>
      <c r="G129" t="inlineStr">
        <is>
          <t>New York, NY, US</t>
        </is>
      </c>
      <c r="H129" s="3" t="n">
        <v>46041</v>
      </c>
      <c r="I129" t="inlineStr">
        <is>
          <t>**Become a part of our caring community and help us put health first**
======================================================================
Become a key driver in shaping the future of AI\-powered healthcare. We are looking for a Principal Applied AI Engineer, a technical leader who thrives in ambiguous, high\-impact environments and is motivated by solving real problems with pragmatic, elegant, and scalable solutions. This position reports into the AI platform team, ensuring close alignment with platform strategy and delivery. It is for someone who wants autonomy, influence, and the responsibility of setting a high bar for engineering excellence.
Become a key driver in shaping the future of AI\-powered healthcare. We are looking for a Principal Applied AI Engineer, a technical leader who thrives in ambiguous, high\-impact environments and is motivated by solving real problems with pragmatic, elegant, and scalable solutions. This position reports into the AI platform team, ensuring close alignment with platform strategy and delivery. It is for someone who wants autonomy, influence, and the responsibility of setting a high bar for engineering excellence.
**What You’ll Do**
* Lead the design and build of advanced generative AI systems, spanning LLM\-powered applications, multi\-agent workflows, RAG, and domain\-specific reasoning engines.
* Architect and own robust APIs and platform capabilities that bring AI to real business workflows at enterprise scale.
* Drive the engineering of high\-quality data, feature, and evaluation pipelines that support reliable and continuously improving AI behavior.
* Partner with data scientists, platform engineers, and product leaders to transform conceptual ideas into resilient, testable, observable production systems.
* Set engineering standards and elevate team culture, emphasizing clarity, craftsmanship, iteration, and objective measures of excellence.
* Mentor other engineers and guide teams through complex technical decision\-making.
* Serve as a thought leader on the practical application of generative AI technologies, emerging patterns, and their fit within our ecosystem.
* Champion observability, measurement, and operational excellence, ensuring deployed systems are trustworthy, maintainable, and high\-performing.
* Stay at the forefront of AI/ML advancements and help the organization understand the right time, and the right way, to adopt new technologies.
The successful candidate will help drive key business outcomes, including measurable improvements in healthcare delivery and member satisfaction.  
* 
**Use your skills to make an impact**
=====================================
**Required Qualifications**
* Bachelor’s or Master’s in Computer Science, Engineering, or a related quantitative field.
* 10\+ years of professional software or platform engineering experience.
* Deep expertise in Python, including building production services and shared libraries used by others.
* Hands\-on experience with modern AI systems, including LLM integration, RAG, embeddings, and applied generative AI patterns.
* Strong background in machine learning engineering, including model deployment, monitoring, evaluation, and lifecycle management.
* Expert\-level understanding of FastAPI, Flask, or similar frameworks, and REST/gRPC service design.
* Strong proficiency with cloud\-native development on AWS, GCP, or Azure.
* Minimum 5 years of containerization and orchestration experience (Docker, Kubernetes).
* Production experience with CI/CD pipelines, version control, and modern DevOps practices.
* Demonstrated ability to own large, ambiguous problems and deliver high\-value, high\-quality solutions.
**Preferred Qualifications**
* Experience shaping engineering culture or influencing architectural direction across teams.
* Experience with generative AI tooling (e.g., LangChain, LlamaIndex, PydanticAI, or similar).
* Strong understanding of deep learning frameworks (PyTorch, TensorFlow).
* Experience with distributed systems (Akka, Flink, or similar).
* Prior work building platforms rather than one\-off applications.
* A track record of pragmatic decision\-making, balancing innovation with maintainability and long\-term value.
**Additional Information**
This position follows a hybrid work style and must be performed at one of our designated IT hub locations: Louisville, KY; Tampa, FL; Dallas, TX; Boston, MA; New York City; or Washington, D.C.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$172,200 \- $236,900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30">
      <c r="A130" t="inlineStr">
        <is>
          <t>in-90a0169e74bf6c68</t>
        </is>
      </c>
      <c r="B130" t="inlineStr">
        <is>
          <t>Principal Applied AI Engineer</t>
        </is>
      </c>
      <c r="C130" t="inlineStr">
        <is>
          <t>Humana</t>
        </is>
      </c>
      <c r="D130" t="inlineStr">
        <is>
          <t>indeed</t>
        </is>
      </c>
      <c r="E130">
        <f>HYPERLINK("https://www.indeed.com/viewjob?jk=90a0169e74bf6c68", "https://www.indeed.com/viewjob?jk=90a0169e74bf6c68")</f>
        <v/>
      </c>
      <c r="F130">
        <f>HYPERLINK("https://click.appcast.io/t/3JMnvVCkXRkowQQywAXPB3X5mNbuHyYlI9lDEgwxrk4=", "https://click.appcast.io/t/3JMnvVCkXRkowQQywAXPB3X5mNbuHyYlI9lDEgwxrk4=")</f>
        <v/>
      </c>
      <c r="G130" t="inlineStr">
        <is>
          <t>Louisville, KY, US</t>
        </is>
      </c>
      <c r="H130" s="3" t="n">
        <v>46041</v>
      </c>
      <c r="I130" t="inlineStr">
        <is>
          <t>**Become a part of our caring community and help us put health first**
======================================================================
Become a key driver in shaping the future of AI\-powered healthcare. We are looking for a Principal Applied AI Engineer, a technical leader who thrives in ambiguous, high\-impact environments and is motivated by solving real problems with pragmatic, elegant, and scalable solutions. This position reports into the AI platform team, ensuring close alignment with platform strategy and delivery. It is for someone who wants autonomy, influence, and the responsibility of setting a high bar for engineering excellence.
Become a key driver in shaping the future of AI\-powered healthcare. We are looking for a Principal Applied AI Engineer, a technical leader who thrives in ambiguous, high\-impact environments and is motivated by solving real problems with pragmatic, elegant, and scalable solutions. This position reports into the AI platform team, ensuring close alignment with platform strategy and delivery. It is for someone who wants autonomy, influence, and the responsibility of setting a high bar for engineering excellence.
**What You’ll Do**
* Lead the design and build of advanced generative AI systems, spanning LLM\-powered applications, multi\-agent workflows, RAG, and domain\-specific reasoning engines.
* Architect and own robust APIs and platform capabilities that bring AI to real business workflows at enterprise scale.
* Drive the engineering of high\-quality data, feature, and evaluation pipelines that support reliable and continuously improving AI behavior.
* Partner with data scientists, platform engineers, and product leaders to transform conceptual ideas into resilient, testable, observable production systems.
* Set engineering standards and elevate team culture, emphasizing clarity, craftsmanship, iteration, and objective measures of excellence.
* Mentor other engineers and guide teams through complex technical decision\-making.
* Serve as a thought leader on the practical application of generative AI technologies, emerging patterns, and their fit within our ecosystem.
* Champion observability, measurement, and operational excellence, ensuring deployed systems are trustworthy, maintainable, and high\-performing.
* Stay at the forefront of AI/ML advancements and help the organization understand the right time, and the right way, to adopt new technologies.
The successful candidate will help drive key business outcomes, including measurable improvements in healthcare delivery and member satisfaction.  
* 
**Use your skills to make an impact**
=====================================
**Required Qualifications**
* Bachelor’s or Master’s in Computer Science, Engineering, or a related quantitative field.
* 10\+ years of professional software or platform engineering experience.
* Deep expertise in Python, including building production services and shared libraries used by others.
* Hands\-on experience with modern AI systems, including LLM integration, RAG, embeddings, and applied generative AI patterns.
* Strong background in machine learning engineering, including model deployment, monitoring, evaluation, and lifecycle management.
* Expert\-level understanding of FastAPI, Flask, or similar frameworks, and REST/gRPC service design.
* Strong proficiency with cloud\-native development on AWS, GCP, or Azure.
* Minimum 5 years of containerization and orchestration experience (Docker, Kubernetes).
* Production experience with CI/CD pipelines, version control, and modern DevOps practices.
* Demonstrated ability to own large, ambiguous problems and deliver high\-value, high\-quality solutions.
**Preferred Qualifications**
* Experience shaping engineering culture or influencing architectural direction across teams.
* Experience with generative AI tooling (e.g., LangChain, LlamaIndex, PydanticAI, or similar).
* Strong understanding of deep learning frameworks (PyTorch, TensorFlow).
* Experience with distributed systems (Akka, Flink, or similar).
* Prior work building platforms rather than one\-off applications.
* A track record of pragmatic decision\-making, balancing innovation with maintainability and long\-term value.
**Additional Information**
This position follows a hybrid work style and must be performed at one of our designated IT hub locations: Louisville, KY; Tampa, FL; Dallas, TX; Boston, MA; New York City; or Washington, D.C.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$172,200 \- $236,900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31">
      <c r="A131" t="inlineStr">
        <is>
          <t>in-78511ef5cedc2d87</t>
        </is>
      </c>
      <c r="B131" t="inlineStr">
        <is>
          <t>Applied AI Engineer Pro</t>
        </is>
      </c>
      <c r="C131" t="inlineStr">
        <is>
          <t>Humana</t>
        </is>
      </c>
      <c r="D131" t="inlineStr">
        <is>
          <t>indeed</t>
        </is>
      </c>
      <c r="E131">
        <f>HYPERLINK("https://www.indeed.com/viewjob?jk=78511ef5cedc2d87", "https://www.indeed.com/viewjob?jk=78511ef5cedc2d87")</f>
        <v/>
      </c>
      <c r="F131">
        <f>HYPERLINK("https://click.appcast.io/t/aODHKGEmI0SNF0m6WxEFYWPbB0CG0ggr-ZJCIEfQMoE=", "https://click.appcast.io/t/aODHKGEmI0SNF0m6WxEFYWPbB0CG0ggr-ZJCIEfQMoE=")</f>
        <v/>
      </c>
      <c r="G131" t="inlineStr">
        <is>
          <t>New York, NY, US</t>
        </is>
      </c>
      <c r="H131" s="3" t="n">
        <v>46041</v>
      </c>
      <c r="I131" t="inlineStr">
        <is>
          <t>**Become a part of our caring community and help us put health first**
======================================================================
Join our mission to advance AI\-powered healthcare. We are seeking a Professional Applied AI Engineer to help design and implement next\-generation solutions within our AI platform team. In this role, you will contribute to the development of scalable, pragmatic, and effective AI systems that support our core business objectives.**What You’ll Do**
* Collaborate in the design and development of generative AI systems, including LLM\-powered applications, multi\-agent workflows, RAG, and domain\-specific reasoning engines.
* Develop, test, and maintain APIs and platform features that integrate AI into business workflows.
* Build and optimize data, feature, and evaluation pipelines to support reliable and evolving AI behavior.
* Work closely with data scientists, platform engineers, and product managers to translate conceptual solutions into robust, testable, and observable production systems.
* Adhere to established engineering standards and contribute to a culture of quality, clarity, and continuous improvement.
* Participate in code reviews, documentation, and team knowledge sharing.
* Support observability, measurement, and operational excellence to ensure deployed systems are maintainable and high\-performing.
* Stay informed on AI/ML advancements and support adoption of relevant new technologies.
* Help drive improvements in healthcare delivery and member satisfaction through technical contributions.
**Use your skills to make an impact**
=====================================
**Required Qualifications**
* Bachelor’s degree in Computer Science, Engineering, or a related quantitative field.
* 2–5 years of professional experience in software or platform engineering.
* Proficient in Python, with experience building production services or libraries.
* Hands\-on experience with applied AI systems, such as LLM integration, RAG, or embeddings.
* Familiarity with machine learning engineering concepts, such as model deployment, monitoring, and evaluation.
* Working knowledge of FastAPI, Flask, or similar frameworks, and REST/gRPC service design.
* Experience with cloud development on AWS, GCP, or Azure.
* Exposure to containerization and orchestration technologies (e.g., Docker, Kubernetes).
* Experience with CI/CD pipelines, version control, and DevOps practices.
* Ability to work independently and as part of a team to deliver quality solutions.
**Preferred Qualifications**
* Exposure to generative AI tooling (e.g., LangChain, LlamaIndex, PydanticAI).
* Understanding of deep learning frameworks (PyTorch, TensorFlow).
* Experience with distributed systems or platforms.
* Experience working on platform development or complex production applications.
* Demonstrated problem\-solving skills and the ability to balance innovation with maintainability.
**Additional Information**
This position follows a hybrid work style and must be performed at one of our designated IT hub locations: Louisville, KY; Tampa, FL; Dallas, TX; Boston, MA; New York City; or Washington, D.C.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$97,900 \- $133,500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32">
      <c r="A132" t="inlineStr">
        <is>
          <t>in-38d693da128ab469</t>
        </is>
      </c>
      <c r="B132" t="inlineStr">
        <is>
          <t>Applied AI Engineer Pro</t>
        </is>
      </c>
      <c r="C132" t="inlineStr">
        <is>
          <t>Humana</t>
        </is>
      </c>
      <c r="D132" t="inlineStr">
        <is>
          <t>indeed</t>
        </is>
      </c>
      <c r="E132">
        <f>HYPERLINK("https://www.indeed.com/viewjob?jk=38d693da128ab469", "https://www.indeed.com/viewjob?jk=38d693da128ab469")</f>
        <v/>
      </c>
      <c r="F132">
        <f>HYPERLINK("https://click.appcast.io/t/TIL5fSLE6L-9m5h_XHiMMDHMSCsYDX8AiEWeP8SnEgY=", "https://click.appcast.io/t/TIL5fSLE6L-9m5h_XHiMMDHMSCsYDX8AiEWeP8SnEgY=")</f>
        <v/>
      </c>
      <c r="G132" t="inlineStr">
        <is>
          <t>Louisville, KY, US</t>
        </is>
      </c>
      <c r="H132" s="3" t="n">
        <v>46041</v>
      </c>
      <c r="I132" t="inlineStr">
        <is>
          <t>**Become a part of our caring community and help us put health first**
======================================================================
Join our mission to advance AI\-powered healthcare. We are seeking a Professional Applied AI Engineer to help design and implement next\-generation solutions within our AI platform team. In this role, you will contribute to the development of scalable, pragmatic, and effective AI systems that support our core business objectives.**What You’ll Do**
* Collaborate in the design and development of generative AI systems, including LLM\-powered applications, multi\-agent workflows, RAG, and domain\-specific reasoning engines.
* Develop, test, and maintain APIs and platform features that integrate AI into business workflows.
* Build and optimize data, feature, and evaluation pipelines to support reliable and evolving AI behavior.
* Work closely with data scientists, platform engineers, and product managers to translate conceptual solutions into robust, testable, and observable production systems.
* Adhere to established engineering standards and contribute to a culture of quality, clarity, and continuous improvement.
* Participate in code reviews, documentation, and team knowledge sharing.
* Support observability, measurement, and operational excellence to ensure deployed systems are maintainable and high\-performing.
* Stay informed on AI/ML advancements and support adoption of relevant new technologies.
* Help drive improvements in healthcare delivery and member satisfaction through technical contributions.
**Use your skills to make an impact**
=====================================
**Required Qualifications**
* Bachelor’s degree in Computer Science, Engineering, or a related quantitative field.
* 2–5 years of professional experience in software or platform engineering.
* Proficient in Python, with experience building production services or libraries.
* Hands\-on experience with applied AI systems, such as LLM integration, RAG, or embeddings.
* Familiarity with machine learning engineering concepts, such as model deployment, monitoring, and evaluation.
* Working knowledge of FastAPI, Flask, or similar frameworks, and REST/gRPC service design.
* Experience with cloud development on AWS, GCP, or Azure.
* Exposure to containerization and orchestration technologies (e.g., Docker, Kubernetes).
* Experience with CI/CD pipelines, version control, and DevOps practices.
* Ability to work independently and as part of a team to deliver quality solutions.
**Preferred Qualifications**
* Exposure to generative AI tooling (e.g., LangChain, LlamaIndex, PydanticAI).
* Understanding of deep learning frameworks (PyTorch, TensorFlow).
* Experience with distributed systems or platforms.
* Experience working on platform development or complex production applications.
* Demonstrated problem\-solving skills and the ability to balance innovation with maintainability.
**Additional Information**
This position follows a hybrid work style and must be performed at one of our designated IT hub locations: Louisville, KY; Tampa, FL; Dallas, TX; Boston, MA; New York City; or Washington, D.C.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$97,900 \- $133,500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33">
      <c r="A133" t="inlineStr">
        <is>
          <t>in-1ca07e9e4da272e0</t>
        </is>
      </c>
      <c r="B133" t="inlineStr">
        <is>
          <t>Principal Applied AI Engineer</t>
        </is>
      </c>
      <c r="C133" t="inlineStr">
        <is>
          <t>Humana</t>
        </is>
      </c>
      <c r="D133" t="inlineStr">
        <is>
          <t>indeed</t>
        </is>
      </c>
      <c r="E133">
        <f>HYPERLINK("https://www.indeed.com/viewjob?jk=1ca07e9e4da272e0", "https://www.indeed.com/viewjob?jk=1ca07e9e4da272e0")</f>
        <v/>
      </c>
      <c r="F133">
        <f>HYPERLINK("https://click.appcast.io/t/j3S63DiDq5OwUtQ-FL3o0tGVc6jknEHvLlgolxIF1uo=", "https://click.appcast.io/t/j3S63DiDq5OwUtQ-FL3o0tGVc6jknEHvLlgolxIF1uo=")</f>
        <v/>
      </c>
      <c r="G133" t="inlineStr">
        <is>
          <t>Tampa, FL, US</t>
        </is>
      </c>
      <c r="H133" s="3" t="n">
        <v>46041</v>
      </c>
      <c r="I133" t="inlineStr">
        <is>
          <t>**Become a part of our caring community and help us put health first**
======================================================================
Become a key driver in shaping the future of AI\-powered healthcare. We are looking for a Principal Applied AI Engineer, a technical leader who thrives in ambiguous, high\-impact environments and is motivated by solving real problems with pragmatic, elegant, and scalable solutions. This position reports into the AI platform team, ensuring close alignment with platform strategy and delivery. It is for someone who wants autonomy, influence, and the responsibility of setting a high bar for engineering excellence.
Become a key driver in shaping the future of AI\-powered healthcare. We are looking for a Principal Applied AI Engineer, a technical leader who thrives in ambiguous, high\-impact environments and is motivated by solving real problems with pragmatic, elegant, and scalable solutions. This position reports into the AI platform team, ensuring close alignment with platform strategy and delivery. It is for someone who wants autonomy, influence, and the responsibility of setting a high bar for engineering excellence.
**What You’ll Do**
* Lead the design and build of advanced generative AI systems, spanning LLM\-powered applications, multi\-agent workflows, RAG, and domain\-specific reasoning engines.
* Architect and own robust APIs and platform capabilities that bring AI to real business workflows at enterprise scale.
* Drive the engineering of high\-quality data, feature, and evaluation pipelines that support reliable and continuously improving AI behavior.
* Partner with data scientists, platform engineers, and product leaders to transform conceptual ideas into resilient, testable, observable production systems.
* Set engineering standards and elevate team culture, emphasizing clarity, craftsmanship, iteration, and objective measures of excellence.
* Mentor other engineers and guide teams through complex technical decision\-making.
* Serve as a thought leader on the practical application of generative AI technologies, emerging patterns, and their fit within our ecosystem.
* Champion observability, measurement, and operational excellence, ensuring deployed systems are trustworthy, maintainable, and high\-performing.
* Stay at the forefront of AI/ML advancements and help the organization understand the right time, and the right way, to adopt new technologies.
The successful candidate will help drive key business outcomes, including measurable improvements in healthcare delivery and member satisfaction.  
* 
**Use your skills to make an impact**
=====================================
**Required Qualifications**
* Bachelor’s or Master’s in Computer Science, Engineering, or a related quantitative field.
* 10\+ years of professional software or platform engineering experience.
* Deep expertise in Python, including building production services and shared libraries used by others.
* Hands\-on experience with modern AI systems, including LLM integration, RAG, embeddings, and applied generative AI patterns.
* Strong background in machine learning engineering, including model deployment, monitoring, evaluation, and lifecycle management.
* Expert\-level understanding of FastAPI, Flask, or similar frameworks, and REST/gRPC service design.
* Strong proficiency with cloud\-native development on AWS, GCP, or Azure.
* Minimum 5 years of containerization and orchestration experience (Docker, Kubernetes).
* Production experience with CI/CD pipelines, version control, and modern DevOps practices.
* Demonstrated ability to own large, ambiguous problems and deliver high\-value, high\-quality solutions.
**Preferred Qualifications**
* Experience shaping engineering culture or influencing architectural direction across teams.
* Experience with generative AI tooling (e.g., LangChain, LlamaIndex, PydanticAI, or similar).
* Strong understanding of deep learning frameworks (PyTorch, TensorFlow).
* Experience with distributed systems (Akka, Flink, or similar).
* Prior work building platforms rather than one\-off applications.
* A track record of pragmatic decision\-making, balancing innovation with maintainability and long\-term value.
**Additional Information**
This position follows a hybrid work style and must be performed at one of our designated IT hub locations: Louisville, KY; Tampa, FL; Dallas, TX; Boston, MA; New York City; or Washington, D.C.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$172,200 \- $236,900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34">
      <c r="A134" t="inlineStr">
        <is>
          <t>in-105f20cefdd93f02</t>
        </is>
      </c>
      <c r="B134" t="inlineStr">
        <is>
          <t>Sr. Machine Learning Engineer, AI Infrastructure</t>
        </is>
      </c>
      <c r="C134" t="inlineStr">
        <is>
          <t>Tesla</t>
        </is>
      </c>
      <c r="D134" t="inlineStr">
        <is>
          <t>indeed</t>
        </is>
      </c>
      <c r="E134">
        <f>HYPERLINK("https://www.indeed.com/viewjob?jk=105f20cefdd93f02", "https://www.indeed.com/viewjob?jk=105f20cefdd93f02")</f>
        <v/>
      </c>
      <c r="F134">
        <f>HYPERLINK("https://www.tesla.com/careers/search/job/248791?source=Indeed", "https://www.tesla.com/careers/search/job/248791?source=Indeed")</f>
        <v/>
      </c>
      <c r="G134" t="inlineStr">
        <is>
          <t>Palo Alto, CA, US</t>
        </is>
      </c>
      <c r="H134" s="3" t="n">
        <v>46042</v>
      </c>
      <c r="I134" t="inlineStr">
        <is>
          <t>**What to Expect**
As a Machine Learning Engineer on the Bottle Rocket team, you will play a critical role in developing innovative, data\-driven solutions on Tesla’s generative AI platform. You will focus on leveraging machine learning models and deep learning techniques to solve complex problems and deliver impactful insights. Collaborating with cross\-functional teams, you’ll translate research concepts into scalable data products and drive data\-centric strategies for optimizing AI applications. Your work will ensure the effective use of generative AI across diverse business challenges, enabling transformative outcomes that align with Tesla’s innovative mission.
Expect a dynamic, fast\-paced environment where innovation and collaboration are paramount, and every improvement you make has a direct impact on advancing some of the most ambitious technological goals in the industry.
 **What You'll Do*** Design, develop, train, and deploy machine learning solutions that leverage generative AI technologies, such as Large Language Models (LLMs)
* Analyze and improve the accuracy, efficiency, and scalability of AI models through rigorous data\-driven experimentation, evaluation, and iterative model training processes
* Work closely with software engineers to productionize machine learning models and integrate them into scalable, reliable systems
* Optimize data pipelines and workflows to enable high\-performance AI applications, leveraging specialized hardware when appropriate
* Deliver robust, high\-impact data products that inform decision\-making and enhance the capabilities of the generative AI platform
* Conduct research and remain up\-to\-date on the latest developments in AI/ML, with a special focus on generative AI, to rapidly test and prototype new ideas
* Convert complex business requirements and research findings into actionable insights and data\-driven solutions
**What You'll Bring*** Proven experience in applying machine learning and AI techniques to solve real\-world problems, particularly with generative AI and LLMs
* Strong proficiency with Python\-based machine learning and deep learning frameworks (e.g., TensorFlow, PyTorch, JAX, TGI/vLLM, NumPy)
* Demonstrated ability to take research prototypes and deploy them as scalable, production\-grade systems
* Expertise in working with and optimizing large datasets, data pipelines, and AI models
* Experience building robust, reliable solutions that minimize downtime and maximize user impact
* A problem\-solving mindset, with strong attention to detail and a true follower of Occam's razor when designing and implementing solutions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$120,000 \- $210,000/annual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35">
      <c r="A135" t="inlineStr">
        <is>
          <t>in-8c4e7460e99185eb</t>
        </is>
      </c>
      <c r="B135" t="inlineStr">
        <is>
          <t>Senior AI Engineer</t>
        </is>
      </c>
      <c r="C135" t="inlineStr">
        <is>
          <t>cpg.io eCommerce Distributors</t>
        </is>
      </c>
      <c r="D135" t="inlineStr">
        <is>
          <t>indeed</t>
        </is>
      </c>
      <c r="E135">
        <f>HYPERLINK("https://www.indeed.com/viewjob?jk=8c4e7460e99185eb", "https://www.indeed.com/viewjob?jk=8c4e7460e99185eb")</f>
        <v/>
      </c>
      <c r="F135">
        <f>HYPERLINK("http://www.indeed.com/job/senior-ai-engineer-8c4e7460e99185eb", "http://www.indeed.com/job/senior-ai-engineer-8c4e7460e99185eb")</f>
        <v/>
      </c>
      <c r="G135" t="inlineStr">
        <is>
          <t>Addison, IL, US</t>
        </is>
      </c>
      <c r="H135" s="3" t="n">
        <v>46042</v>
      </c>
      <c r="I135" t="inlineStr">
        <is>
          <t>**Job Description**
CPGIO is seeking a **Senior\-level AI Engineer** who thrives in modern, high\-velocity development environments using tools like **Claude Code, Cursor, and other AI\-assisted coding workflows**. This role is for someone who can **build real\-world applications end\-to\-end**, move quickly without breaking fundamentals, and help push our platform into the future of **agentic commerce intelligence**.
CPGIO has been operating for **13\+ years** and is building the next generation of **multichannel ecommerce solutions** — including **AI reasoning agents, machine learning, and data science systems** — supporting **100,000\+ active listings** across top U.S. retailers such as **Amazon, Walmart, TikTok, Shopify, and Target\+**.
You’ll work directly inside our internal task management dashboard and platform systems, developing features, optimizing performance, refactoring architecture, and building production\-ready AI systems that power real business outcomes.
**Key Responsibilities — What You’ll Do**
* Build and improve our **internal task management dashboard and operator tooling**
* Create new features, refactor code, optimize performance, and improve UI/UX
* Rapidly prototype and iterate on **complex visualization concepts**
* Balance user feature requests with technical feasibility and maintainability
* Design pragmatic, scalable **event\-driven architectures**
* Make build\-vs\-buy\-vs\-generate decisions for system components and services
* Write detailed technical specs that other developers can execute cleanly
* Prototype complex **React components** and data visualizations
* Design and maintain **database schemas**, migrations, and ETL pipelines
* Build proofs\-of\-concept and production deployments for **AI / LLM integration**
* Implement **unit and integration testing**, ensuring reliability as the system scales
* Manage large datasets, data modeling, database performance, and long\-term maintainability
**Required \&amp; Preferred Qualifications — What You’ll Need Think Like This:**
* **“Let’s keep exploring.”** You iterate until it’s right — not just “done”
* **“What makes this easier to maintain?”** You build for long\-term productivity
* **“No coding yet—let me think.”** You plan before you build
* You love shipping, but you don’t ship chaos
**Must Have Experience With:**
**AI\-Assisted Engineering**
* Claude Code, Cursor, or comparable AI engineering workflows
* Building real applications using “vibe coding” style environments — **but still clean, testable, scalable**
**Frontend**
* React
* Next.js
* TypeScript
* Complex UI systems and data visualization
**Backend**
* Python (FastAPI and/or Django strongly preferred)
* Node.js (nice\-to\-have)
* REST APIs and/or GraphQL APIs
**Data \&amp; Systems**
* Managing large datasets
* PostgreSQL (or strong relational DB experience)
* Database migrations \+ schema evolution
* ETL pipelines, transformations, and data integrity systems
* Cloud databases and production deployments
**Quality**
* Unit testing and integration testing
* Familiarity with CI/CD workflows and maintaining reliable systems
**Huge Plus (Preferred):**
* LangChain / tool calling / agent frameworks
* RAG systems and vector databases (Pinecone, Weaviate, pgvector, etc.)
* Event sourcing and microservices
* Real\-time systems and stream processing
* Strong design instincts for turning complexity into intuitive UI
**What Makes You Different**
* You can visualize complex systems as clean interfaces
* You challenge requirements and propose better alternatives
* You research deeply but decide decisively
* You document your thinking process — not just your code
* You can demonstrate **real\-world application development** (not just tutorials)
**What We Offer:**
* **Salary Range:** **$80,000 – $120,000**
* **Performance Bonus:** **Eligible for performance\-based bonuses** *(amount varies by impact \&amp; role scope)*
**Benefits**
* 401(k)
* Dental insurance
* Flexible schedule
* Flexible spending account
* Happy hour
* Health insurance
* Health savings account
* Life insurance
* On\-site gym
* Paid holidays
* Paid time off
* Referral program
* Vision insurance
**Work Schedule**
This position requires on\-site presence **Monday through Thursday** for 8\-hour shifts from **8:00 AM – 4:00 PM**. **Remote work is permitted on Fridays**, allowing employees to work from home.
**About Us — Company Overview**
At CPGIO, we're revolutionizing commerce intelligence. With a legacy as one of the top eCommerce operators globally and a bootstrapped revenue of **$100M/year**, we are now pivoting toward high\-tech, **agent\-reasoning information products** that empower over **500 leading household brands**.
Our platform converges **project management, analytical reporting, and supply chain intelligence** into actionable insights that help brand managers and ecommerce leaders make smarter, faster decisions — without compromising security or customer trust.
**Join Our Team — Our Values \&amp; Culture**
At CPGIO, we thrive on collaboration and innovation, connecting quality brands with good people. We are guided by values of:
* Integrity
* Respect
* Accountability
Our culture is vibrant, supportive, and highly execution\-focused — offering work\-from\-home Fridays, competitive compensation, and rewarding corporate events.
Thank you for considering joining our team and for taking the time to apply!
Job Type: Full\-time
Pay: $80,000\.00 \- $120,000\.00 per year
Benefits:
* 401(k)
* 401(k) matching
* Dental insurance
* Employee assistance program
* Employee discount
* Flexible schedule
* Flexible spending account
* Health insurance
* Health savings account
* Life insurance
* Paid time off
* Parental leave
* Referral program
* Vision insurance
Ability to Commute:
* Addison, IL 60101 (Required)
Work Location: In person</t>
        </is>
      </c>
    </row>
    <row r="136">
      <c r="A136" t="inlineStr">
        <is>
          <t>in-8019f63a090ff251</t>
        </is>
      </c>
      <c r="B136" t="inlineStr">
        <is>
          <t>Machine Learning Engineer</t>
        </is>
      </c>
      <c r="C136" t="inlineStr">
        <is>
          <t>Verita AI</t>
        </is>
      </c>
      <c r="D136" t="inlineStr">
        <is>
          <t>indeed</t>
        </is>
      </c>
      <c r="E136">
        <f>HYPERLINK("https://www.indeed.com/viewjob?jk=8019f63a090ff251", "https://www.indeed.com/viewjob?jk=8019f63a090ff251")</f>
        <v/>
      </c>
      <c r="F136">
        <f>HYPERLINK("http://www.indeed.com/job/machine-learning-engineer-8019f63a090ff251", "http://www.indeed.com/job/machine-learning-engineer-8019f63a090ff251")</f>
        <v/>
      </c>
      <c r="G136" t="inlineStr">
        <is>
          <t>Remote, US</t>
        </is>
      </c>
      <c r="H136" s="3" t="n">
        <v>46042</v>
      </c>
      <c r="I136" t="inlineStr">
        <is>
          <t>**Verita AI** is at the forefront of next\-generation artificial intelligence, emphasizing nuance, multimodal reasoning, and human judgment. We are dedicated to building high\-trust data pipelines for training and evaluating models.
Our founding team comes from Mercor, Stanford, HRT, Citadel, Stripe and Yale. We partner with world\-class researchers and engineers to advance experimentation, rigor, and reliability in the field of AI.
https://www.verita\-ai.com/
**Brief Description:**
We’re hiring RL Environments Engineers to design and build MLE environments. The goal is to teach LLMs advanced concepts from modern AI/ML.
**Compensation:**
* $50–$150 USD per hour(dependent on the expertise level and quality of take\-home assignment).
* $500 bonus for the take\-home assignment if offered a job.
**Technical Evaluation:**
If you are interested in exploring this role, please complete:
Verita AI \| RL Environment Engineer Technical Screening
https://form.typeform.com/to/OFHwbf2E
**Requirements:**
* Master’s degree in Computer Science, Artificial Intelligence, Machine Learning, or a related technical field.
* Strong Python skills (engineering\-quality, not notebook\-only).
* Production mindset including debugging, reliability, and iteration speed.
* Clear understanding of LLMs and their current limitations.
* Advanced English proficiency (C1/C2\).
* Ability to meet throughput expectations and respond quickly to feedback.
* Complete an average of two tasks each week.
* Turn the take\-home assignment into a complete task using company tools and guidelines upon onboarding.
**You may be a good fit if:**
* You have a deep understanding of transformer internals, training/inference of modern LLMs, or experience with inference libraries (vLLM, SGLang, etc).
* Expertise in **CUDA** or **Pallas** kernel development optimizing non\-trivial neural modules to specific hardware
* Expert knowledge in an active DL/ML research area, with publications or public code to show for it.
* You have **strong fundamentals** and **broad research interests**, you read many papers, understand them deeply and have **creativity** to translate them into RLVR problems
* You have built **complex interactive RL environments** and have strong insights into **open\-ended** RL\-based learning systems
**Additional Details**
* Time Commitment: At least 4 hours overlap to UTC\-8 (PST 9am–5pm).
* Process: Includes a HackerRank take\-home assignment (2–5 hours average) with a one\-week turnaround.
* Any questions, reach out to saahith@verita\-ai.com or recruiting@verita\-ai.com
Job Type: Contract
Pay: $80\.00 \- $150\.00 per hour
Work Location: Remote</t>
        </is>
      </c>
    </row>
    <row r="137">
      <c r="A137" t="inlineStr">
        <is>
          <t>in-b64e5541b19b77a6</t>
        </is>
      </c>
      <c r="B137" t="inlineStr">
        <is>
          <t>Machine Learning Engineer</t>
        </is>
      </c>
      <c r="C137" t="inlineStr">
        <is>
          <t>Capgemini</t>
        </is>
      </c>
      <c r="D137" t="inlineStr">
        <is>
          <t>indeed</t>
        </is>
      </c>
      <c r="E137">
        <f>HYPERLINK("https://www.indeed.com/viewjob?jk=b64e5541b19b77a6", "https://www.indeed.com/viewjob?jk=b64e5541b19b77a6")</f>
        <v/>
      </c>
      <c r="F137">
        <f>HYPERLINK("https://www.capgemini.com/jobs/389164-en_GB+sap_btp/", "https://www.capgemini.com/jobs/389164-en_GB+sap_btp/")</f>
        <v/>
      </c>
      <c r="G137" t="inlineStr">
        <is>
          <t>Dallas, TX, US</t>
        </is>
      </c>
      <c r="H137" s="3" t="n">
        <v>46041</v>
      </c>
      <c r="I137" t="inlineStr">
        <is>
          <t>Dallas, TX
Machine Learning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The role of a machine learning professional involves applying machine learning techniques and algorithms to solve complex problems, analyze data, and develop intelligent systems.
Job Description \- Grade Specific
The role brings deep technical knowledge and expertise in machine learning to help clients or organizations navigate the complex landscape of AI. Plays a crucial role in providing designing solutions and ensuring successful implementation of machine learning projects to drive business impact. Also, assist in testing, deploying and monitoring models in production environments
The base compensation range for this role in the posted location is:$100,000 to $130,000/YR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389164\-en\_GB
Posted on
20 Jan 2026
Experience level
Experienced Professionals
Contract type
Permanent
Location
Dallas, TX
Business unit
I and D Global Business Line
Brand
Capgemini
Professional communities
Data \&amp; AI</t>
        </is>
      </c>
    </row>
    <row r="138">
      <c r="A138" t="inlineStr">
        <is>
          <t>in-3b51cc8bb7b2bbe1</t>
        </is>
      </c>
      <c r="B138" t="inlineStr">
        <is>
          <t>Sr. Machine Learning Engineer</t>
        </is>
      </c>
      <c r="C138" t="inlineStr"/>
      <c r="D138" t="inlineStr">
        <is>
          <t>indeed</t>
        </is>
      </c>
      <c r="E138">
        <f>HYPERLINK("https://www.indeed.com/viewjob?jk=3b51cc8bb7b2bbe1", "https://www.indeed.com/viewjob?jk=3b51cc8bb7b2bbe1")</f>
        <v/>
      </c>
      <c r="F138">
        <f>HYPERLINK("https://jsco.re/h4f1s", "https://jsco.re/h4f1s")</f>
        <v/>
      </c>
      <c r="G138" t="inlineStr">
        <is>
          <t>Palo Alto, CA, US</t>
        </is>
      </c>
      <c r="H138" s="3" t="n">
        <v>46041</v>
      </c>
      <c r="I138" t="inlineStr">
        <is>
          <t>Predactiv, Inc. is recruiting for our Palo Alto, CA office: Sr. Machine Learning Engineer: Design, train, and evaluate machine learning models for code understanding and generation using transformer\-based architectures and large language models. Develop scalable data preprocessing and augmentation pipelines to prepare structured and unstructured programming data for training and inference. Implement and fine\-tune model components such as attention mechanisms and causal convolutions to enhance contextual understanding of code sequences. Conduct large\-scale distributed training using deep learning frameworks such as TensorFlow and PyTorch, leveraging cloud\-based computer resources including multiple Tensor Processing Units (TPUs). Collaborate with engineering teams to integrate models into interactive AI applications, ensuring low\-latency inference and alignment with production requirements. $174,304/yr.
**Education and Experience Required:**
Master's degree in Statistics or a related field and 0 months of experience.
Job code \#44458 must be referenced when applying to this position.</t>
        </is>
      </c>
    </row>
    <row r="139">
      <c r="A139" t="inlineStr">
        <is>
          <t>in-7eddadb77cb84dd4</t>
        </is>
      </c>
      <c r="B139" t="inlineStr">
        <is>
          <t>Machine Learning Engineer (Modeling), Families Risk</t>
        </is>
      </c>
      <c r="C139" t="inlineStr">
        <is>
          <t>Block</t>
        </is>
      </c>
      <c r="D139" t="inlineStr">
        <is>
          <t>indeed</t>
        </is>
      </c>
      <c r="E139">
        <f>HYPERLINK("https://www.indeed.com/viewjob?jk=7eddadb77cb84dd4", "https://www.indeed.com/viewjob?jk=7eddadb77cb84dd4")</f>
        <v/>
      </c>
      <c r="F139">
        <f>HYPERLINK("https://block.xyz/careers/jobs/5078716008", "https://block.xyz/careers/jobs/5078716008")</f>
        <v/>
      </c>
      <c r="G139" t="inlineStr">
        <is>
          <t>Boston, MA, US</t>
        </is>
      </c>
      <c r="H139" s="3" t="n">
        <v>46041</v>
      </c>
      <c r="I139"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 **The Role**
Machine Learning is an integral part of how we at Cash App design products, operate, and pursue our mission to serve the unbanked as well as disrupt traditional financial institutions. Our massive scale and deep trove of transaction data create an endless number of opportunities to use ML and AI methods to better understand our customers and offer new products and experiences that can improve their lives. We are a highly creative group that prefers to solve problems from first principles; we move quickly, make incremental changes, and deploy to production every day.
As part of the Risk ML team, you will help shape the future of teen banking by developing models that enable safe and trustworthy financial experiences for teens and their parents. Your work will focus on building machine learning systems that detect and prevent risky or abusive activity, strengthen account integrity, and ensure a secure ecosystem for families on Cash App.
You'll experiment with state\-of\-the\-art algorithms to identify emerging risk behaviors, detect potential abuse in real time, and help ensure that millions of customers can use Cash App safely and confidently.
### **You Will**
* Build machine learning models to detect and act against risky or abusive activity across the Cash Families product
* Collaborate cross\-functionally with engineering, product, and operations teams to design systems and features to protect and maintain trust with our customers
* Work closely with the ML Engineering teams who build the systems that allow our models to operate at scale and in real time
* Research emerging risks and behavioral patterns in financial activity to proactively shape safeguards and policy
* Contribute to the growth of our modelling capabilities through mentoring and supporting fellow modellers
* Exercise a high level of autonomy and responsibility, owning your solutions from design through to operation
### **You Have**
* Bachelor's degree in a quantitative field such as Mathematics/Statistics/Physics or Machine Learning. Masters or PhD preferred
* 5\+ years of experience in machine learning, artificial intelligence, or a related field
* Strong knowledge of machine learning algorithms and data analysis techniques
* Excellent problem\-solving skills and attention to detail
* Strong communication skills, with the ability to explain complex concepts to non\-technical stakeholders
### **Technologies We Use and Teach**
* Python (NumPy, Pandas, sklearn, xgboost, TensorFlow, keras, etc.)
* MySQL, Snowflake, Tableau, Mode
* GCP/AWS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$228,700—$343,100 USD
Zone B:
$217,300—$325,900 USD
Zone C:
$205,900—$308,900 USD
Zone D:
$194,500—$291,700 USD**Use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140">
      <c r="A140" t="inlineStr">
        <is>
          <t>in-a2e37c2c79fb400a</t>
        </is>
      </c>
      <c r="B140" t="inlineStr">
        <is>
          <t>Machine Learning Engineer (Modeling), Families Risk</t>
        </is>
      </c>
      <c r="C140" t="inlineStr">
        <is>
          <t>Block</t>
        </is>
      </c>
      <c r="D140" t="inlineStr">
        <is>
          <t>indeed</t>
        </is>
      </c>
      <c r="E140">
        <f>HYPERLINK("https://www.indeed.com/viewjob?jk=a2e37c2c79fb400a", "https://www.indeed.com/viewjob?jk=a2e37c2c79fb400a")</f>
        <v/>
      </c>
      <c r="F140">
        <f>HYPERLINK("https://block.xyz/careers/jobs/5078690008", "https://block.xyz/careers/jobs/5078690008")</f>
        <v/>
      </c>
      <c r="G140" t="inlineStr">
        <is>
          <t>Seattle, WA, US</t>
        </is>
      </c>
      <c r="H140" s="3" t="n">
        <v>46041</v>
      </c>
      <c r="I140"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 **The Role**
Machine Learning is an integral part of how we at Cash App design products, operate, and pursue our mission to serve the unbanked as well as disrupt traditional financial institutions. Our massive scale and deep trove of transaction data create an endless number of opportunities to use ML and AI methods to better understand our customers and offer new products and experiences that can improve their lives. We are a highly creative group that prefers to solve problems from first principles; we move quickly, make incremental changes, and deploy to production every day.
As part of the Risk ML team, you will help shape the future of teen banking by developing models that enable safe and trustworthy financial experiences for teens and their parents. Your work will focus on building machine learning systems that detect and prevent risky or abusive activity, strengthen account integrity, and ensure a secure ecosystem for families on Cash App.
You'll experiment with state\-of\-the\-art algorithms to identify emerging risk behaviors, detect potential abuse in real time, and help ensure that millions of customers can use Cash App safely and confidently.
### **You Will**
* Build machine learning models to detect and act against risky or abusive activity across the Cash Families product
* Collaborate cross\-functionally with engineering, product, and operations teams to design systems and features to protect and maintain trust with our customers
* Work closely with the ML Engineering teams who build the systems that allow our models to operate at scale and in real time
* Research emerging risks and behavioral patterns in financial activity to proactively shape safeguards and policy
* Contribute to the growth of our modelling capabilities through mentoring and supporting fellow modellers
* Exercise a high level of autonomy and responsibility, owning your solutions from design through to operation
### **You Have**
* Bachelor's degree in a quantitative field such as Mathematics/Statistics/Physics or Machine Learning. Masters or PhD preferred
* 5\+ years of experience in machine learning, artificial intelligence, or a related field
* Strong knowledge of machine learning algorithms and data analysis techniques
* Excellent problem\-solving skills and attention to detail
* Strong communication skills, with the ability to explain complex concepts to non\-technical stakeholders
### **Technologies We Use and Teach**
* Python (NumPy, Pandas, sklearn, xgboost, TensorFlow, keras, etc.)
* MySQL, Snowflake, Tableau, Mode
* GCP/AWS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$228,700—$343,100 USD
Zone B:
$217,300—$325,900 USD
Zone C:
$205,900—$308,900 USD
Zone D:
$194,500—$291,700 USD**Use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141">
      <c r="A141" t="inlineStr">
        <is>
          <t>in-d3d40f68755f6a2b</t>
        </is>
      </c>
      <c r="B141" t="inlineStr">
        <is>
          <t>Machine Learning Engineer (Modeling), Families Risk</t>
        </is>
      </c>
      <c r="C141" t="inlineStr">
        <is>
          <t>Block</t>
        </is>
      </c>
      <c r="D141" t="inlineStr">
        <is>
          <t>indeed</t>
        </is>
      </c>
      <c r="E141">
        <f>HYPERLINK("https://www.indeed.com/viewjob?jk=d3d40f68755f6a2b", "https://www.indeed.com/viewjob?jk=d3d40f68755f6a2b")</f>
        <v/>
      </c>
      <c r="F141">
        <f>HYPERLINK("https://block.xyz/careers/jobs/5078688008", "https://block.xyz/careers/jobs/5078688008")</f>
        <v/>
      </c>
      <c r="G141" t="inlineStr">
        <is>
          <t>New York, NY, US</t>
        </is>
      </c>
      <c r="H141" s="3" t="n">
        <v>46041</v>
      </c>
      <c r="I141"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 **The Role**
Machine Learning is an integral part of how we at Cash App design products, operate, and pursue our mission to serve the unbanked as well as disrupt traditional financial institutions. Our massive scale and deep trove of transaction data create an endless number of opportunities to use ML and AI methods to better understand our customers and offer new products and experiences that can improve their lives. We are a highly creative group that prefers to solve problems from first principles; we move quickly, make incremental changes, and deploy to production every day.
As part of the Risk ML team, you will help shape the future of teen banking by developing models that enable safe and trustworthy financial experiences for teens and their parents. Your work will focus on building machine learning systems that detect and prevent risky or abusive activity, strengthen account integrity, and ensure a secure ecosystem for families on Cash App.
You'll experiment with state\-of\-the\-art algorithms to identify emerging risk behaviors, detect potential abuse in real time, and help ensure that millions of customers can use Cash App safely and confidently.
### **You Will**
* Build machine learning models to detect and act against risky or abusive activity across the Cash Families product
* Collaborate cross\-functionally with engineering, product, and operations teams to design systems and features to protect and maintain trust with our customers
* Work closely with the ML Engineering teams who build the systems that allow our models to operate at scale and in real time
* Research emerging risks and behavioral patterns in financial activity to proactively shape safeguards and policy
* Contribute to the growth of our modelling capabilities through mentoring and supporting fellow modellers
* Exercise a high level of autonomy and responsibility, owning your solutions from design through to operation
### **You Have**
* Bachelor's degree in a quantitative field such as Mathematics/Statistics/Physics or Machine Learning. Masters or PhD preferred
* 5\+ years of experience in machine learning, artificial intelligence, or a related field
* Strong knowledge of machine learning algorithms and data analysis techniques
* Excellent problem\-solving skills and attention to detail
* Strong communication skills, with the ability to explain complex concepts to non\-technical stakeholders
### **Technologies We Use and Teach**
* Python (NumPy, Pandas, sklearn, xgboost, TensorFlow, keras, etc.)
* MySQL, Snowflake, Tableau, Mode
* GCP/AWS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$228,700—$343,100 USD
Zone B:
$217,300—$325,900 USD
Zone C:
$205,900—$308,900 USD
Zone D:
$194,500—$291,700 USD**Use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142">
      <c r="A142" t="inlineStr">
        <is>
          <t>in-37eadd5dec3733d7</t>
        </is>
      </c>
      <c r="B142" t="inlineStr">
        <is>
          <t>AI Engineer</t>
        </is>
      </c>
      <c r="C142" t="inlineStr">
        <is>
          <t>The Imagine Group</t>
        </is>
      </c>
      <c r="D142" t="inlineStr">
        <is>
          <t>indeed</t>
        </is>
      </c>
      <c r="E142">
        <f>HYPERLINK("https://www.indeed.com/viewjob?jk=37eadd5dec3733d7", "https://www.indeed.com/viewjob?jk=37eadd5dec3733d7")</f>
        <v/>
      </c>
      <c r="F142">
        <f>HYPERLINK("https://recruiting.paylocity.com/recruiting/jobs/Details/3839263/The-Imagine-Group/AI-Engineer?source=Indeed_Feed", "https://recruiting.paylocity.com/recruiting/jobs/Details/3839263/The-Imagine-Group/AI-Engineer?source=Indeed_Feed")</f>
        <v/>
      </c>
      <c r="G142" t="inlineStr">
        <is>
          <t>Shakopee, MN, US</t>
        </is>
      </c>
      <c r="H142" s="3" t="n">
        <v>46041</v>
      </c>
      <c r="I142" t="inlineStr">
        <is>
          <t>Description: **COMPANY OVERVIEW:**
At Imagine we go beyond print to help our clients deliver game\-changing visual communications from concept to delivery that set the standard for our industry. The first step in this process is hiring great employees! Our innovation teams are the most committed, highly experienced artisans in the business. We are committed to delivering high\-quality marketing solutions, in every environment and campaign, helping our clients capture the heart, minds, and loyalty of their customers. For more than 30 years, The Imagine Group has established itself as one of the most influential and innovative visual communications companies in the industry. Join us and let's Imagine a better way together.
**JOB SUMMARY:**
The AI Engineer is responsible for designing, developing, and deploying AI\-driven solutions. This role integrates machine learning models into scalable systems including researching and implementing algorithms in machine learning, deep learning, and natural language processing. This role will work on a variety of projects, from building recommended engines and predictive analytics tools to developing intelligent chatbots and computer vision applications. They will contribute to the development of AI infrastructure, including data pipelines, model training environments, and deployment frameworks.
**JOB DESCRIPTION:**
* Support AI strategy, research, and roadmap aligned with organizational goals.
* Build scalable AI solutions integrating with existing software infrastructure.
* Design and develop AI models and algorithms to solve business challenges. • Develop AI, ML, and LLM capabilities to enhance print design automation and customer experience platforms.
* Design, code, and test technical solutions using Test Driven Development methodologies.
* Partner with cross\-functional teams to translate technical and functional requirements into actionable designs.
* Collaborate with cross\-functional teams to integrate AI solutions.
* Evaluate and optimize model performance. • Deploy AI models into production environments.
* Participate in code reviews and knowledge sharing.
* Continuously improve AI systems based on feedback and metrics.
* Recommend best practices for AI governance, security, and responsible AI as a member of the AI council.
* Stay updated on emerging AI technologies and recommend their adoption.
* Document AI processes.
* Ensure ethical and responsible use of AI.
* Other duties as assigned.
**SUPERVISORY RESPONSIBILITIES**
* No but may manage outside consulting resources.
Requirements:
**MINIMUM QUALIFICATIONS OF POSITION**
* Bachelor's in computer science or related field or High School diploma and 4 years of related experience
* 3\+ years of software development experience, including web applications and data processing using Python, Java, or similar languages with full\-stack development capabilities.
* Experience with machine learning frameworks (e.g., TensorFlow, PyTorch)
* Knowledge of data structures and algorithms
* Demonstrated ability to work collaboratively in a team environment.
* Strong problem\-solving and analytical skills
* Excellent communication and documentation abilities
**PREFERRED QUALIFICATIONS OF POSITION**
* AI Engineer Certification
* 2\+ years of experience in deploying AI models to production environments (cloud/on\-prem)
* Comprehensive technical foundation including Python, REACT, SQL, JavaScript, and cloud platform experience (Google Cloud Platform, AWS, Microsoft Azure)
* 7\+ years of software development experience, including web applications and data processing using Python, Java, or similar languages with full\-stack development capabilities.
* Innovative problem\-solving approach, leveraging technology to address unique business challenges.
* Proven success collaborating across creative, business, and technical departments.
* Experience with version control systems like Git.
**KNOWLEDGE AND SKILLS**
* Critical thinking
* Aptitude for statistics and algorithms
* Ability to manage projects.
* In\-depth understanding of how artificial intelligence works.
* Exceptional communication abilities, capable of translating complex technical concepts for business stakeholders.
* Composure under tight deadlines while juggling multiple project priorities.
* Understanding of ethical AI principles and regulatory considerations
* Understanding of deep learning and NLP techniques
**WORKING CONDITIONS AND PHYSICAL REQUIREMENTS**
* Occasional walking
* Manual dexterity for repetitive work
* Frequent Sitting for prolonged periods of time
* Travel: Limited
* Chemicals: N/A
* Ability to lift, push and pull: N/A
**PAY STATEMENT**
The national pay range for this role is listed in the job posting. The pay range may be slightly lower or higher based on the geographic location. The actual pay offered may vary based upon, but not limited to: education, skills, experience, proficiency, performance, shift and location. In addition to base salary, depending on the role, the total compensation package may also include participation in a bonus, commission or incentive program. Imagine offers benefits including medical, dental, and vision coverage, paid time off, disability insurance, 401(k) with match, life insurance and other voluntary supplemental insurance coverages, plus tuition assistance, caregiver leave, adoption assistance, and employer/partner discounts.
**EEO STATEMENT**
The Imagine Group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43">
      <c r="A143" t="inlineStr">
        <is>
          <t>in-a205d39c072d8b80</t>
        </is>
      </c>
      <c r="B143" t="inlineStr">
        <is>
          <t>Principal Machine Learning Engineer</t>
        </is>
      </c>
      <c r="C143" t="inlineStr">
        <is>
          <t>Red Hat</t>
        </is>
      </c>
      <c r="D143" t="inlineStr">
        <is>
          <t>indeed</t>
        </is>
      </c>
      <c r="E143">
        <f>HYPERLINK("https://www.indeed.com/viewjob?jk=a205d39c072d8b80", "https://www.indeed.com/viewjob?jk=a205d39c072d8b80")</f>
        <v/>
      </c>
      <c r="F143">
        <f>HYPERLINK("https://redhat.wd5.myworkdayjobs.com/en-US/jobs/job/Boston/Principal-Machine-Learning-Engineer_R-053069-1", "https://redhat.wd5.myworkdayjobs.com/en-US/jobs/job/Boston/Principal-Machine-Learning-Engineer_R-053069-1")</f>
        <v/>
      </c>
      <c r="G143" t="inlineStr">
        <is>
          <t>Boston, MA, US</t>
        </is>
      </c>
      <c r="H143" s="3" t="n">
        <v>46041</v>
      </c>
      <c r="I143" t="inlineStr">
        <is>
          <t>Job Summary
At Red Hat we believe the future of AI is open and we are on a mission to bring the power of open\-source LLMs and vLLM to every enterprise. The Red Hat AI Inference Engineering team accelerates AI for the enterprise and brings operational simplicity to GenAI deployments. As leading developers, maintainers of the vLLM and LLM\-D projects, and inventors of state\-of\-the\-art techniques for model quantization and sparsification, our team provides a stable platform for enterprises to build, optimize, and scale LLM deployments.
As a Machine Learning Engineer focused on distributed vLLM infrastructure in the llm\-d project, you will be at the forefront of innovation, collaborating with our team to tackle the most pressing challenges in scalable inference systems and Kubernetes\-native deployments. Your work with machine learning, distributed systems, high performance computing, and cloud infrastructure will directly impact the development of our cutting\-edge software platform, helping to shape the future of AI deployment and utilization. If you want to solve cutting edge problems at the intersection of deep learning, distributed systems, and cloud\-native infrastructure the open\-source way, this is the role for you.
Join us in shaping the future of AI!
What you will do* Architect and lead implementation of new features and solutions for Red Hat AI Inference
* Lead and foster a healthy upstream open source community
* Design, develop, and maintain distributed inference infrastructure leveraging Kubernetes APIs, operators, and the Gateway Inference Extension API for scalable LLM deployments.
* Design, develop, and maintain system components in Go and/or Rust to integrate with the vLLM project and manage distributed inference workloads.
* Design, develop, and maintain KV cache\-aware routing and scoring algorithms to optimize memory utilization and request distribution in large\-scale inference deployments.
* Enhance the resource utilization, fault tolerance, and stability of the inference stack.
* Design, develop, and test various inference optimization algorithms.
* Actively lead and facilitate technical design discussions and propose innovative solutions to complex challenges for high impact projects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Mentor, influence, and coach a distributed team of engineers
* Provide timely and constructive code reviews
* Represent RHAI in external engagements including industry events, customer meetings, and open source communities
What you will bring* Strong proficiency in Python, GoLang and at least one of the following: Rust, C, or C\+\+.
* Strong experience with cloud\-native Kubernetes service mesh technologies/stacks such as Istio, Cilium, Envoy (WASM filters), and CNI.
* A solid understanding of Layer 7 networking, HTTP/2, gRPC, and the fundamentals of API gateways and reverse proxies.
* Knowledge of serving runtime technologies for hosting LLMs, such as vLLM, SGLang, TensorRT\-LLM, etc.
* Excellent written and verbal communication skills, capable of interacting effectively with both technical and non\-technical team members.
* Experience providing technical leadership in a global team and delivering on a vision
* Autonomous work ethic and the ability to thrive in a dynamic, fast\-paced environment
Following is considered a plus* Knowledge of high\-performance networking protocols and technologies including UCX, RoCE, InfiniBand, and RDMA is a plus.
* Deep experience with the Kubernetes ecosystem, including core concepts, custom APIs, operators, and the Gateway API inference extension for GenAI workloads.
* Experience with GPU performance benchmarking and profiling tools like NVIDIA Nsight or distributed tracing libraries/techniques like OpenTelemetry.
* Experience in writing high performance code for GPUs and deep knowledge of GPU hardware
* Strong understanding of computer architecture, parallel processing, and distributed computing concepts
* Bachelor's degree in computer science or related field is an advantage, though we prioritize hands\-on experience
* Active engagement in the ML research community (publications, conference participation, or open source contributions) is a significant advantage
\#LI\-MD2
\#AI\-HIRING
The salary range for this position is $189,600\.00 \- $312,730\.00\.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44">
      <c r="A144" t="inlineStr">
        <is>
          <t>in-a447954392a698c2</t>
        </is>
      </c>
      <c r="B144" t="inlineStr">
        <is>
          <t>Senior Machine Learning Engineer</t>
        </is>
      </c>
      <c r="C144" t="inlineStr">
        <is>
          <t>Red Hat</t>
        </is>
      </c>
      <c r="D144" t="inlineStr">
        <is>
          <t>indeed</t>
        </is>
      </c>
      <c r="E144">
        <f>HYPERLINK("https://www.indeed.com/viewjob?jk=a447954392a698c2", "https://www.indeed.com/viewjob?jk=a447954392a698c2")</f>
        <v/>
      </c>
      <c r="F144">
        <f>HYPERLINK("https://redhat.wd5.myworkdayjobs.com/en-US/jobs/job/Boston/Senior-Machine-Learning-Engineer_R-053071-1", "https://redhat.wd5.myworkdayjobs.com/en-US/jobs/job/Boston/Senior-Machine-Learning-Engineer_R-053071-1")</f>
        <v/>
      </c>
      <c r="G144" t="inlineStr">
        <is>
          <t>Boston, MA, US</t>
        </is>
      </c>
      <c r="H144" s="3" t="n">
        <v>46041</v>
      </c>
      <c r="I144" t="inlineStr">
        <is>
          <t>Job Summary
At Red Hat we believe the future of AI is open and we are on a mission to bring the power of open\-source LLMs and vLLM to every enterprise. The Red Hat AI Inference Engineering team accelerates AI for the enterprise and brings operational simplicity to GenAI deployments. As leading developers, maintainers of the vLLM and LLM\-D projects, and inventors of state\-of\-the\-art techniques for model quantization and sparsification, our team provides a stable platform for enterprises to build, optimize, and scale LLM deployments.
As a Senior Machine Learning Engineer focused on distributed vLLM infrastructure in the llm\-d project, you will be at the forefront of innovation, collaborating with our team to tackle the most pressing challenges in scalable inference systems and Kubernetes\-native deployments. Your work with machine learning, distributed systems, high performance computing, and cloud infrastructure will directly impact the development of our cutting\-edge software platform, helping to shape the future of AI deployment and utilization. If you want to solve cutting edge problems at the intersection of deep learning, distributed systems, and cloud\-native infrastructure the open\-source way, this is the role for you.
Join us in shaping the future of AI!
What you will do* Contribute to the design, development, and testing of new features and solutions for Red Hat AI Inference
* Innovate in the inference domain by participating in upstream communities
* Design, develop, and maintain distributed inference infrastructure leveraging Kubernetes APIs, operators, and the Gateway Inference Extension API for scalable LLM deployments.
* Develop and maintain system components in Go and/or Rust to integrate with the vLLM project and manage distributed inference workloads.
* Develop and maintain KV cache\-aware routing and scoring algorithms to optimize memory utilization and request distribution in large\-scale inference deployments.
* Enhance the resource utilization, fault tolerance, and stability of the inference stack.
* Develop and test various inference optimization algorithms.
* Actively participate in technical design discussions and propose innovative solutions to complex challenges for high impact projects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Mentor and coach a distributed team of engineers
* Provide timely and constructive code reviews
* Represent RHAI in external engagements including industry events, customer meetings, and open source communities
What you will bring* Strong proficiency in Python and GoLang or similar
* Experience with cloud\-native Kubernetes service mesh technologies/stacks such as Istio, Cilium, Envoy (WASM filters), and CNI.
* A solid understanding of Layer 7 networking, HTTP/2, gRPC, and the fundamentals of API gateways and reverse proxies.
* Knowledge of serving runtime technologies for hosting LLMs, such as vLLM, SGLang, TensorRT\-LLM, etc.
* Excellent written and verbal communication skills, capable of interacting effectively with both technical and non\-technical team members.
* Experience providing technical leadership in a global team
* Autonomous work ethic and the ability to thrive in a dynamic, fast\-paced environment
Following is considered a plus* Strong proficiency in Rust, C, or C\+\+
* Working knowledge of high\-performance networking protocols and technologies including UCX, RoCE, InfiniBand, and RDMA is a plus.
* Deep experience with the Kubernetes ecosystem, including core concepts, custom APIs, operators, and the Gateway API inference extension for GenAI workloads.
* Experience with GPU performance benchmarking and profiling tools like NVIDIA Nsight or distributed tracing libraries/techniques like OpenTelemetry.
* Experience in writing high performance code for GPUs and deep knowledge of GPU hardware
* Strong understanding of computer architecture, parallel processing, and distributed computing concepts
* Bachelor's degree in computer science or related field is an advantage, though we prioritize hands\-on experience
* Active engagement in the ML research community (publications, conference participation, or open source contributions) is a significant advantage
\#AI\-HIRING
\#LI\-MD2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45">
      <c r="A145" t="inlineStr">
        <is>
          <t>in-592bf6ea78125a8e</t>
        </is>
      </c>
      <c r="B145" t="inlineStr">
        <is>
          <t>Machine Learning Engineer</t>
        </is>
      </c>
      <c r="C145" t="inlineStr">
        <is>
          <t>Red Hat</t>
        </is>
      </c>
      <c r="D145" t="inlineStr">
        <is>
          <t>indeed</t>
        </is>
      </c>
      <c r="E145">
        <f>HYPERLINK("https://www.indeed.com/viewjob?jk=592bf6ea78125a8e", "https://www.indeed.com/viewjob?jk=592bf6ea78125a8e")</f>
        <v/>
      </c>
      <c r="F145">
        <f>HYPERLINK("https://redhat.wd5.myworkdayjobs.com/en-US/jobs/job/Boston/Machine-Learning-Engineer_R-053073-1", "https://redhat.wd5.myworkdayjobs.com/en-US/jobs/job/Boston/Machine-Learning-Engineer_R-053073-1")</f>
        <v/>
      </c>
      <c r="G145" t="inlineStr">
        <is>
          <t>Boston, MA, US</t>
        </is>
      </c>
      <c r="H145" s="3" t="n">
        <v>46041</v>
      </c>
      <c r="I145" t="inlineStr">
        <is>
          <t>Job Summary
At Red Hat we believe the future of AI is open and we are on a mission to bring the power of open\-source LLMs and vLLM to every enterprise. The Red Hat AI Inference Engineering team accelerates AI for the enterprise and brings operational simplicity to GenAI deployments. As leading developers, maintainers of the vLLM and LLM\-D projects, and inventors of state\-of\-the\-art techniques for model quantization and sparsification, our team provides a stable platform for enterprises to build, optimize, and scale LLM deployments.
As a Machine Learning Engineer focused on distributed vLLM infrastructure in the llm\-d project, you will be at the forefront of innovation, collaborating with our team to tackle the most pressing challenges in scalable inference systems and Kubernetes\-native deployments. Your work with machine learning, distributed systems, high performance computing, and cloud infrastructure will directly impact the development of our cutting\-edge software platform, helping to shape the future of AI deployment and utilization. If you want to solve cutting edge problems at the intersection of deep learning, distributed systems, and cloud\-native infrastructure the open\-source way, this is the role for you.
Join us in shaping the future of AI!
What you will do* Contribute to the design, development, and testing of new features and solutions for Red Hat AI Inference
* Innovate in the inference domain by participating in upstream communities
* Develop and maintain distributed inference infrastructure leveraging Kubernetes APIs, operators, and the Gateway Inference Extension API for scalable LLM deployments.
* Develop and maintain system components in Go and/or Rust to integrate with the vLLM project and manage distributed inference workloads.
* Develop and maintain KV cache\-aware routing and scoring algorithms to optimize memory utilization and request distribution in large\-scale inference deployments.
* Enhance the resource utilization, fault tolerance, and stability of the inference stack.
* Develop and test various inference optimization algorithms.
* Actively participate in technical design discussions
* Contribute to a culture of continuous improvement by sharing recommendations and technical knowledge with team members
* Collaborate with other engineering and cross\-functional teams to deliver on engineering deliverables
* Communicate effectively to team members to ensure proper visibility of development efforts
* Be taught, coached, and mentored by senior members of the team
* Provide timely and constructive code reviews
What you will bring* Strong proficiency in Python and/or GoLang or similar language
* Experience with cloud\-native Kubernetes service mesh technologies/stacks such as Istio, Cilium, Envoy (WASM filters), and CNI.
* Working understanding of Layer 7 networking, HTTP/2, gRPC, and the fundamentals of API gateways and reverse proxies.
* Knowledge of serving runtime technologies for hosting LLMs, such as vLLM, SGLang, TensorRT\-LLM, etc.
* Excellent written and verbal communication skills, capable of interacting effectively with both technical and non\-technical team members.
* Ability work independently in a dynamic, fast\-paced environment
Following is considered a plus* Proficiency in C, C\+\+, or Rust
* Experience with the Kubernetes ecosystem, including core concepts, custom APIs, operators, and the Gateway API inference extension for GenAI workloads.
* Working knowledge of high\-performance networking protocols and technologies including UCX, RoCE, InfiniBand, and RDMA is a plus.
* Experience with GPU performance benchmarking and profiling tools like NVIDIA Nsight or distributed tracing libraries/techniques like OpenTelemetry.
* Experience in writing high performance code for GPUs and deep knowledge of GPU hardware
* Strong understanding of computer architecture, parallel processing, and distributed computing concepts
* Bachelor's degree in computer science or related field is an advantage, though we prioritize hands\-on experience
* Active engagement in the ML research community (publications, conference participation, or open source contributions) is a significant advantage
\#LI\-MD2
\#AI\-HIRING
The salary range for this position is $133,650\.00 \- $220,680\.00\.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46">
      <c r="A146" t="inlineStr">
        <is>
          <t>in-9bdbdab676c65c42</t>
        </is>
      </c>
      <c r="B146" t="inlineStr">
        <is>
          <t>AI Engineer - Senior Associate</t>
        </is>
      </c>
      <c r="C146" t="inlineStr">
        <is>
          <t>MSCI Inc.</t>
        </is>
      </c>
      <c r="D146" t="inlineStr">
        <is>
          <t>indeed</t>
        </is>
      </c>
      <c r="E146">
        <f>HYPERLINK("https://www.indeed.com/viewjob?jk=9bdbdab676c65c42", "https://www.indeed.com/viewjob?jk=9bdbdab676c65c42")</f>
        <v/>
      </c>
      <c r="F146">
        <f>HYPERLINK("https://uscareers-msci.icims.com/jobs/4812/job?utm_source=indeed_integration&amp;iis=Job%20Board&amp;iisn=Indeed&amp;indeed-apply-token=73a2d2b2a8d6d5c0a62696875eaebd669103652d3f0c2cd5445d3e66b1592b0f", "https://uscareers-msci.icims.com/jobs/4812/job?utm_source=indeed_integration&amp;iis=Job%20Board&amp;iisn=Indeed&amp;indeed-apply-token=73a2d2b2a8d6d5c0a62696875eaebd669103652d3f0c2cd5445d3e66b1592b0f")</f>
        <v/>
      </c>
      <c r="G146" t="inlineStr">
        <is>
          <t>Norman, OK, US</t>
        </is>
      </c>
      <c r="H146" s="3" t="n">
        <v>46041</v>
      </c>
      <c r="I146" t="inlineStr">
        <is>
          <t>Your Team Responsibilities:
Our team is responsible for building and scaling enterprise\-grade AI platforms that transform how MSCI delivers analytics, insights, and client servicing workflows across multiple verticals including Analytics, Sustainability \&amp; Climate, Ratings, and Governance. We architect intelligent automation systems, AI agents, pre\-screening platforms, and client\-query solutions that significantly improve productivity, reduce operational overhead, and enhance data quality across the organization.  
As a core part of this transformation, the team develops multi\-tenant AI\-driven applications, integrates AI into critical decision workflows, and ensures our systems meet rigorous standards for accuracy, regulatory compliance, security, and scalability. The team also leads modernization efforts across cloud infrastructure (GCP/Azure), NLP pipelines, data services, and AI\-efficiency initiatives that support MSCI’s long\-term AI strategy.  
This role offers the unique opportunity to work on diverse, high\-impact AI applications that shape how the world's largest financial institutions understand and navigate complex market dynamics.
Your Key Ressponsibilities:
* Design and implement enterprise\-scale AI architectures for processing and analyzing complex, multi\-dimensional financial and alternative data
* Architect end\-to\-end AI/ML pipelines that handle multi\-modal data sources including structured market data, unstructured documents, and real\-time feeds
* Apply cutting\-edge AI techniques (including LLMs) to solve MSCI's diverse AI use cases
* Implement MLOps best practices and automated systems for model deployment, monitoring, and continuous improvement across multiple product lines
* Collaborate with product teams and domain experts to translate complex requirements into scalable technical solutions
* Provide technical guidance and mentorship to other engineers on AI/ML best practices and architectural decisions
* Partner with MSCI Research teams to advance the state of AI applications in financial analytics
* Drive technical excellence through code reviews, design documentation, and knowledge sharing across the organization
* Help improve AI Engg team's productivty by using AI agents to automate tasks
Your skills and experience that will help you excel:
* 6\+ years of experience designing, building, and deploying AI/ML systems at enterprise scale.
* Expert\-level proficiency in modern AI/ML frameworks (TensorFlow, PyTorch) and distributed computing platforms (Spark, Ray, Flink, Beam).
* Proven experience architecting and delivering large\-scale, production\-grade AI platforms handling complex and high\-volume data.
* Advanced knowledge of NLP, computer vision, and time\-series analysis, with hands\-on application in real\-world use cases.
* Experience working with financial data, risk modeling, or quantitative analytics (highly desirable).
* Strong background in system design and integration, including:
	+ MCP workflows
	+ DB/API orchestration
	+ Web frameworks
	+ Multi\-tenant data pipelines
* Expertise in cloud engineering across GCP and Azure, including:
	+ Cloud architecture
	+ Security compliance
	+ Disaster Recovery (DR)
	+ Kubernetes \&amp; serverless pipelines
	+ IaC using Terraform
* Solid understanding of MLOps practices, including model versioning, monitoring, A/B testing, CI/CD automation, and retraining pipelines.
* Excellent technical communication skills, with the ability to articulate complex AI concepts to varied stakeholders.
* Demonstrated cross\-functional collaboration with engineering, research, analytics, product, and governance teams.
* Prior experience publishing research or speaking at AI/ML conferences is a strong plus.
* Strong passion for solving complex analytical challenges with AI\-driven solutions in financial markets.
* Demonstrated commitment to AI innovation, including refinement of agentic frameworks, prompt engineering, and platform enhancements to improve product quality and efficiency.
About MSCI: **What we offer you*** Salary range: $81,000 \- $105,000 / year plus eligible for annual bonus
* Transparent compensation schemes and comprehensive employee benefits, tailored to your location, ensuring your financial security, health, and overall wellbeing.
* Flexible working arrangements, advanced technology, and collaborative workspaces.
* A culture of high performance and innovation where we experiment with new ideas and take responsibility for achieving results.
* A global network of talented colleagues, who inspire, support, and share their expertise to innovate and deliver for our clients.
* Global Orientation program to kickstart your journey, followed by access to our Learning@MSCI platform, AI Learning Center , LinkedIn Learning Pro and tailored learning opportunities for ongoing skills development.
* Multi\-directional career paths that offer professional growth and development through new challenges, internal mobility and expanded roles.
*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vision – to power better decisions. You’ll be part of an industry\-leading network of creative, curious, and entrepreneurial pioneers. This is a space where you can challenge yourself, set new standards and perform beyond expectations for yourself, our clients, and our industry.
MSCI strengthens global markets by connecting participants across the financial ecosystem with a common language. Our research\-based data, analytics and indexes, supported by advanced technology, set standards for global investors and help our clients understand risks and opportunities so they can make better decisions and unlock innovation. We serve asset managers and owners, private\-market sponsors and investors, hedge funds, wealth managers, banks, insurers and corporates.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is>
      </c>
    </row>
    <row r="147">
      <c r="A147" t="inlineStr">
        <is>
          <t>in-a293dca57a9797bc</t>
        </is>
      </c>
      <c r="B147" t="inlineStr">
        <is>
          <t>Senior AI Engineer</t>
        </is>
      </c>
      <c r="C147" t="inlineStr">
        <is>
          <t>KIZEN Technologies, Inc.</t>
        </is>
      </c>
      <c r="D147" t="inlineStr">
        <is>
          <t>indeed</t>
        </is>
      </c>
      <c r="E147">
        <f>HYPERLINK("https://www.indeed.com/viewjob?jk=a293dca57a9797bc", "https://www.indeed.com/viewjob?jk=a293dca57a9797bc")</f>
        <v/>
      </c>
      <c r="F147">
        <f>HYPERLINK("https://grnh.se/v8g3ejmg8us", "https://grnh.se/v8g3ejmg8us")</f>
        <v/>
      </c>
      <c r="G147" t="inlineStr">
        <is>
          <t>Austin, TX, US</t>
        </is>
      </c>
      <c r="H147" s="3" t="n">
        <v>46041</v>
      </c>
      <c r="I147" t="inlineStr">
        <is>
          <t>**Austin, TX \|** **Hybrid (Minimum 4 days in office) \| Full Time \| https://kizen.com**
-----------------------------------------------------------------------------------------
**About Us**
------------
At Kizen, we build technology that makes AI actually work for people.
Our platform helps organizations automate the workflows that matter most — from helping insurance agents manage contracting and commissions, to enabling healthcare providers to deliver proactive patient care, to empowering financial institutions to classify documents and extract data automatically.
And that's just the beginning. With Kizen, **developers can build** new enterprise applications, while **business users can customize** dashboards and agents using AI, low\-code, or code — all on the same platform. The possibilities are limited only by imagination.
What used to take months or years to build, configure, and connect now takes just days. Kizen combines powerful pre\-built agents and use cases with an enterprise platform for automation and data connection — all built on an AI\-first architecture that's easy to adopt, scale, and trust.
We're not chasing hype. We're solving real operational problems and helping the world's most complex organizations work faster, smarter, and more humanely.
Join us in transforming how industries work — one workflow, one agent, and one customer success story at a time.
**About the Role**
------------------
We are looking for a hands\-on **Senior AI Engineer** with a strong background in building scalable Python applications and a passion for the latest advancements in AI agent systems. This is an opportunity to be at the heart of the AI movement, working on cutting\-edge multi\-agent frameworks and tooling that power real enterprise solutions.
As a Senior AI Engineer, you'll be working directly with **Antoine Gargot, Director of Data Science**, to architect, build, and ship AI\-powered tools and systems that directly impact our customers. You'll join a talented team of Principal and Senior AI Engineers, contributing to a fast\-paced, innovation\-driven environment.
In this dynamic role, you'll:
* **Build AI Agent Tooling:** Design and develop extensive tools that enable sophisticated AI agent capabilities across our platform.
* **Work on Multi\-Agent Systems:** Contribute to our next\-generation multi\-agent framework, implementing robust orchestration and coordination patterns.
* **Own End\-to\-End Delivery:** Take full ownership of features from design through deployment, with a strong focus on quality, speed, and reliability.
**Key Responsibilities**
------------------------
**AI Agent Development**
* Build and maintain extensive tooling for AI agents, including tool\-calling interfaces, agent orchestration, and integration layers.
* Work hands\-on with our multi\-agent framework, implementing coordination strategies and communication protocols between agents.
**Prompt Engineering \&amp; Optimization**
* Design, test, and iterate on prompts to optimize agent behavior and reliability.
* Implement evaluation frameworks to measure and improve prompt performance.
**System Architecture \&amp; Design**
* Architect scalable systems based on clear product requirements, aligning with current architecture while proposing improvements over time.
* Design event\-driven systems with a focus on reliability, speed, and maintainability.
**Product Ownership \&amp; Quality**
* Take strong ownership of features with a product\-minded approach, ensuring excellent user experience.
* Implement comprehensive testing strategies including unit tests, integration tests, and end\-to\-end tests.
* Maintain high standards for code quality, documentation, and deliverability.
**Developer Experience**
* Build internal tools and utilities that improve the team's development workflow and productivity.
* Contribute to CI/CD pipelines and deployment automation.
**Requirements**
----------------
* **Bachelor's degree required; Master's degree in Computer Science preferred**
* **5\-6\+ years of experience** building scalable applications in Python
* **4\+ years of hands\-on Python experience** with deep fluency in the language
* **2\+ years of experience** with orchestration systems, preferably Kafka
* Strong experience with **Django** and **FastAPI** for building production APIs
* Deep expertise in **PostgreSQL** and database optimization (query optimization, indexing, schema design)
* Solid experience with **event\-driven architectures** and streaming data processing
* Proficiency with **Docker** and **Kubernetes** for containerization and orchestration
* Strong experience with **AWS** cloud services
* Deep understanding of **Git** workflows and version control best practices
* Experience with **CI/CD pipelines** and deployment automation
* Strong knowledge of **asynchronous programming**, threading, and concurrency patterns in Python
* Experience with **pytest** and end\-to\-end integration testing
* Familiarity with modern AI development tools (e.g., Claude Code, Cursor, or similar)
* Recent experience with **agent tool\-calling patterns** and awareness of current AI industry innovations
* Ability to build developer tools that improve team productivity
**Preferred Qualifications**
----------------------------
* Experience at AI startups or high\-growth technology companies
* Healthcare industry experience is a plus
* Experience with LLM APIs and prompt engineering
* Familiarity with observability and monitoring tools (Langfuse (or LangSmith) LiteLLM, etc.)
* Contributions to open\-source projects
**Why Kizen**
-------------
We're a fast\-growing company that values innovation, growth, and continuous improvement. By joining Kizen, you'll play a pivotal role in shaping the future of the company while enjoying a supportive, dynamic, and collaborative workplace. You'll have opportunities for professional development, impact, and career advancement.
**What We Offer**
-----------------
* Career Growth Opportunities
* Engaging Work Culture
* Top\-Tier Compensation
* Equity Package
* Healthcare Coverage
* Health and Fitness Stipend
* Professional Development Stipends
* PTO
Kizen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At Kizen, we fully comply with the Americans with Disabilities Act (ADA). We are dedicated to embracing challenges and creating an accessible, inclusive workplace for all individuals.
The base salary range for this position is **$180,000 \- $240,000**. However, base pay offered may vary depending on job\-related knowledge, skills, and experience. In addition to base salary, we also offer generous equity and benefits packages.
If you're excited about creating impactful experiences and contributing to a fast\-paced, people\-focused team, we'd love to meet you!
**OTE \- $207,000\-$276,000K**
**Location:** Domain (Austin office)
**Visa Sponsorship: Not available for this role**</t>
        </is>
      </c>
    </row>
    <row r="148">
      <c r="A148" t="inlineStr">
        <is>
          <t>in-ba3fbfefc9896404</t>
        </is>
      </c>
      <c r="B148" t="inlineStr">
        <is>
          <t>FPGA AI/ML Engineer</t>
        </is>
      </c>
      <c r="C148" t="inlineStr">
        <is>
          <t>Riverside Research</t>
        </is>
      </c>
      <c r="D148" t="inlineStr">
        <is>
          <t>indeed</t>
        </is>
      </c>
      <c r="E148">
        <f>HYPERLINK("https://www.indeed.com/viewjob?jk=ba3fbfefc9896404", "https://www.indeed.com/viewjob?jk=ba3fbfefc9896404")</f>
        <v/>
      </c>
      <c r="F148">
        <f>HYPERLINK("https://careers-riversideresearch.icims.com/jobs/4098/job?utm_source=indeed_integration&amp;iis=Job%20Board&amp;iisn=Indeed&amp;indeed-apply-token=73a2d2b2a8d6d5c0a62696875eaebd669103652d3f0c2cd5445d3e66b1592b0f", "https://careers-riversideresearch.icims.com/jobs/4098/job?utm_source=indeed_integration&amp;iis=Job%20Board&amp;iisn=Indeed&amp;indeed-apply-token=73a2d2b2a8d6d5c0a62696875eaebd669103652d3f0c2cd5445d3e66b1592b0f")</f>
        <v/>
      </c>
      <c r="G148" t="inlineStr">
        <is>
          <t>Fairborn, OH, US</t>
        </is>
      </c>
      <c r="H148" s="3" t="n">
        <v>46041</v>
      </c>
      <c r="I148" t="inlineStr">
        <is>
          <t>Riverside Overview: 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
Riverside Research is seeking an Artificial Intelligence / Machine Learning Engineer with expertise in real\-time processing and FPGA development. As a valued Riverside Research employee, you will be part of a highly skilled and integrated team that analyzes intelligence data and develops automation solutions to challenging Scientific \&amp; Technical problems.
Responsibilities:
**FPGA experience*** Design, implement, and optimize FPGA logic using AMD/Xilinx toolchains (Vivado, Vitis, HLS) development in VHDL/Verilog
* Integrate FPGA designs into larger systems, ensuring robust verification, documentation, and deployment across multiple platforms (Zynq, UltraScale\+, Versal)
**AI/ML Algorithm R\&amp;D*** Develop innovative machine learning and computer vision solutions to analyze and exploit large, complex datasets from remote sensing phenomenology
* Develop algorithms and associated software tools using C/C\+\+/Python and associated machine learning libraries (PyTorch, LibTorch)
* Train AI/ML models and tune their hyperparameters for a given dataset and algorithm objectives
* Provide solutions for data collection and data linting that enable rapid, automated curation of training data
* Keep up with the SoTA practices for AI/ML
**Software development, documentation, and coding best practices:*** Adhere to teams’ standards for reviewing source code, unit\-testing, source code control, and documentation practices
Utilize Python PEP8 standards
Qualifications:
**Required Qualifications:*** **TS/SCI clearance.**
* Bachelors’ degree in either Computer Engineering, Electrical Engineering, Mathematics, Statistics, Physics, Computer Science, or related field of study
* Four years’ experience with FPGA development
* Seven years' experience with computer vision and/or AI/ML R\&amp;D algorithm development
* Experience with Git version control, branches, and merge conflict resolution
* Proficient in collaborative Office 365 tools such as MS Word, Excel, and PowerPoint
* Ability to work closely with subject\-matter experts to develop tools, algorithms, and datasets needed for developing relevant and useful AI/ML prototype algorithms
* Self\-driven, strong analytic, inferencing, critical thinking, and creative problem\-solving skills
* Communicates highly technical results and methods clearly and succinctly
**Desired Qualifications:*** Advanced degree (MS/PhD) in Data Science, Mathematics, Statistics, Computer Science, a Physical Science or Engineering is strongly desired
* Experience with DoD intelligence production processes and workflows
* 3\+ years operational experience in radar signal processing analysis, overhead imagery analysis, orbital mechanics, and/or electronic warfare data analysis
* 2\+ years experience using data visualization tools and libraries in Python
* Experience with large (1 GB \+) image data and formats such as HDF5, JSON, GEOTIFF, TFRecords, etc.
* Experience in development of distributed, web\-based systems, service\-oriented architectures, front\-end user interfaces, and back\-end databases are a plus
* Experience with interpretability of deep learning computer vision models including visualization and reasoning about model latent spaces and activation maps to assess model effectiveness / weaknesses
Familiarity in differences of supervised learning vs. unsupervised learning techniques
Global Comp: $140,000\- $165,000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is>
      </c>
    </row>
    <row r="149">
      <c r="A149" t="inlineStr">
        <is>
          <t>in-51c0e1b5b88c6e03</t>
        </is>
      </c>
      <c r="B149" t="inlineStr">
        <is>
          <t>AI Engineer, Data Replication</t>
        </is>
      </c>
      <c r="C149" t="inlineStr">
        <is>
          <t>Airbyte</t>
        </is>
      </c>
      <c r="D149" t="inlineStr">
        <is>
          <t>indeed</t>
        </is>
      </c>
      <c r="E149">
        <f>HYPERLINK("https://www.indeed.com/viewjob?jk=51c0e1b5b88c6e03", "https://www.indeed.com/viewjob?jk=51c0e1b5b88c6e03")</f>
        <v/>
      </c>
      <c r="F149">
        <f>HYPERLINK("https://jobs.ashbyhq.com/airbyte/8cf7890e-7959-4176-9482-5db2f8173472?utm_source=WdaX49dKBA", "https://jobs.ashbyhq.com/airbyte/8cf7890e-7959-4176-9482-5db2f8173472?utm_source=WdaX49dKBA")</f>
        <v/>
      </c>
      <c r="G149" t="inlineStr">
        <is>
          <t>San Francisco, CA, US</t>
        </is>
      </c>
      <c r="H149" s="3" t="n">
        <v>46041</v>
      </c>
      <c r="I149" t="inlineStr">
        <is>
          <t>Airbyte is the open‑source standard for data movement. We've enabled data teams to move data from applications, APIs, unstructured sources and databases to data warehouses, lakes, and AI applications. With tens of thousands of connectors built and hundreds of thousands of companies adopting Airbyte, we've proven the economics of data integration at scale. And now Airbyte is building the frontier agentic data infrastructure, purpose\-built for AI agents that need fast, accurate access to data across hundreds of sources. Our mission: make data available and actionable, everywhere.
We've raised $181M from the world's top investors (Benchmark, Accel, Altimeter, Coatue, Y Combinator, etc.) and we believe in product\-led growth, where we build something awesome that all our users love. We’ve raised enough capital to explore boldly, but we still choose to move quickly, stay scrappy, and experiment constantly as we find the right paths in an AI\-native landscape.
**The Role:**
-------------
As a Software Engineer on our Data Replication team, you will design and build intelligent systems that dramatically improve how data moves through Airbyte. From first deployment and initial sync to ongoing execution at scale. You’ll leverage LLM\-based tools, agentic workflows, and automation to accelerate connector rollout, improve sync reliability, reduce TCO (total cost of ownership), and make the data movement experience seamless for both OSS and Cloud users.
This role sits at the intersection of AI systems, distributed data platforms, and developer experience. Your work will directly impact sync performance, operational excellence, and how quickly Airbyte can ship improvements across its control plane, data plane, and connector ecosystem.
**What You’ll Do:**
-------------------
* Build AI\-driven systems for data replication and connector lifecycle management, accelerating connector development, rollout, testing, and upgrades across OSS, Enterprise, and Cloud
* Design and implement agentic workflows that assist with diagnosing sync failures, schema evolution issues, performance regressions, and rollout risks across large fleets of connectors
* Build connectors and frameworks with AI to scale a wide range of reliable integrations
* Develop observability, anomaly detection, and automated remediation systems (ML \+ LLM hybrid) for data sync execution, job correctness, and CDC pipelines
* Improve control plane and data plane operations by automating deployment validation, release qualification, and environment testing (AWS, GCP, local, KIND)
* Own AI systems across the full lifecycle: design, prompt engineering, evaluation, deployment, monitoring, and iteration in production (LLMOps)
* Partner closely with platform, infra, and product teams to embed AI\-powered capabilities into Airbyte’s deployment flows, APIs, and Cloud self\-serve experience
* Build high\-leverage internal tooling that helps Airbyte ship connector and CDK changes faster while maintaining correctness, performance, and cost efficiency
**What You’ll Need:**
---------------------
* 5\+ years of engineering experience (backend, platform, or distributed systems) with strong proficiency in Python and/or Kotlin
* Hands\-on experience building or operating data pipelines, replication systems, or ETL/ELT platforms
* Experience designing systems that integrate LLMs with structured data, logs, APIs, or retrieval systems
* Familiarity with agentic or orchestration frameworks (e.g., LangChain, Pydantic AI, Temporal\-style workflows)
* Experience deploying and monitoring production systems, including LLMOps, observability, and alerting
* Experience running services on Kubernetes, Helm, Terraform, and major cloud providers
* Strong understanding of APIs, databases, connectors, schemas, and telemetry in distributed environments
* Systems\-level thinking with an emphasis on performance, reliability, cost, and scalability
* A startup\-ready mindset: comfortable with ambiguity, moving fast, and owning problems end\-to\-end
* A builder’s instinct for automation, leverage, and developer experience
**Nice To Have:**
-----------------
* Experience with open\-source platforms, especially in data integration or infrastructure tooling
* Familiarity with Airbyte, CDKs, or connector\-based architectures
* Exposure to large\-scale connector fleets, schema evolution, CDC, or long\-running sync execution
* Background in control plane/data plane architectures or internal developer platforms
**Location:**
-------------
* Onsite 5 days/week in San Francisco, CA
If you find this role exciting, we encourage you to apply even if you think you don’t meet all of the requirements!
*Airbyte is an equal opportunity employer that does not discriminate on the basis of actual or perceived race, creed, color, religion, national origin, ancestry, age, physical or mental disability, pregnancy, genetic information, sex, sexual orientation, gender identity or expression, marital status, familial status, domestic violence victim status, veteran or military status, or any other legally recognized protected basis under federal, state or local laws. Pursuant to the San Francisco Fair Chance Ordinance, we will consider for employment qualified applicants with arrest and conviction records.*
*Airbyte is committed to providing reasonable accommodations for qualified individuals with disabilities in our job application procedures. Please let us know if you need assistance or accommodation due to a disability.*
Compensation Range: $230K \- $260K</t>
        </is>
      </c>
    </row>
    <row r="150">
      <c r="A150" t="inlineStr">
        <is>
          <t>in-41ee0af7d3965457</t>
        </is>
      </c>
      <c r="B150" t="inlineStr">
        <is>
          <t>AI Machine Learning Engineer</t>
        </is>
      </c>
      <c r="C150" t="inlineStr">
        <is>
          <t>Cayuse Holdings</t>
        </is>
      </c>
      <c r="D150" t="inlineStr">
        <is>
          <t>indeed</t>
        </is>
      </c>
      <c r="E150">
        <f>HYPERLINK("https://www.indeed.com/viewjob?jk=41ee0af7d3965457", "https://www.indeed.com/viewjob?jk=41ee0af7d3965457")</f>
        <v/>
      </c>
      <c r="F150">
        <f>HYPERLINK("https://careers-cayuseholdings.icims.com/jobs/3185/job?utm_source=indeed_integration&amp;iis=Job%20Board&amp;iisn=Indeed&amp;indeed-apply-token=73a2d2b2a8d6d5c0a62696875eaebd669103652d3f0c2cd5445d3e66b1592b0f", "https://careers-cayuseholdings.icims.com/jobs/3185/job?utm_source=indeed_integration&amp;iis=Job%20Board&amp;iisn=Indeed&amp;indeed-apply-token=73a2d2b2a8d6d5c0a62696875eaebd669103652d3f0c2cd5445d3e66b1592b0f")</f>
        <v/>
      </c>
      <c r="G150" t="inlineStr">
        <is>
          <t>Austin, TX, US</t>
        </is>
      </c>
      <c r="H150" s="3" t="n">
        <v>46041</v>
      </c>
      <c r="I150" t="inlineStr">
        <is>
          <t>Overview:
***JOB TITLE:***  
AI Machine Learning Engineer ***CAYUSE COMPANY:***  
Cayuse Civil Services, LLC ***LOCATION***  
Austin, TX \- Hybrid (3 day remote \| Mon \&amp; Fri Onsite) ***SALARY:***  
Based on experience and position level  
\*\*This position is posted for future opportunities. Please submit your application to be considered for similar upcoming roles\*\*
Responsibilities:
**The Work**
The AI/ML Engineer enhances data collection procedures to include information that is relevant for building analytics and machine learning systems. Processing, cleansing, and verifying the integrity of data used for analysis. Doing ad\-hoc analysis and presenting results in a clear manner. Focused on generating, maintaining and delivering detailed and accurate reporting on the information gathered and reported by artificial intelligence systems, with the goal of maximizing ROI from the rush of new data generated.  
This position performs all duties and responsibilities in accordance with the Mission, Vision, and Core Values of Cayuse. **Key Responsibilities*** Develop, test, and optimize machine learning models for classification, regression, clustering, or recommendation tasks.
* Collaborate with cross\-functional teams to integrate AI solutions into existing systems to align with business needs.
* Stay updated on the latest advancements in AI technologies and methodologies.
* Deploy trained models into production environments using APIs, containers (e.g., Docker), or cloud services (AWS, GCP, or Azure).
* Monitor model performance, detect drift, and implement improvements or retraining strategies to ensure models remain accurate over time. Fine\-tune models for performance and efficiency.
* Troubleshoot and resolve issues related to AI models and implementations.
* Document and share improvements and experiences in product troubleshooting and technical solutions.
* Develop automated pipelines for continuous integration, delivery, and model retraining (CI/CD).
* Ensure AI models comply with industry regulations, address biases, and adhere to ethical standards.
* Other duties as assigned.
Qualifications:
**Qualifications – Here’s What You Need**
The qualifications and skills listed below are intended to provide a general overview of the requirements for this position. However, due to the anticipated nature of the contract and the absence of a finalized task order from the client, this list should not be considered all\-encompassing. Additional qualifications, certifications, skills, or experience specific to the client’s requirements may be identified and requested upon award of the task order. Candidates should demonstrate flexibility and a willingness to adapt to evolving responsibilities as outlined by the client.
* **Level 1:** 1\-3 years of experience in the field or in a related area. Has knowledge of commonly used concepts, practices, and procedures within a particular field. Relies on instructions and pre\-established guidelines to perform the functions of the job. Primary job functions do not typically require exercising independent judgment.
* **Level 2:** 4\-7 years of experience in the field or in a related area. Familiar with standard concepts, practices, and procedures within a particular field. Relies on limited experience and judgment to plan and accomplish goals. A certain degree of creativity and latitude is required. Works under limited supervision with considerable latitude for the use of initiative and independent judgment.
* **Level 3:** 8 or more years of experience, relies on experience and judgment to plan and accomplish goals, independently performs a variety of complicated tasks; may lead and direct the work of others. A wide degree of creativity and latitude is expected.
* **All Levels**
* Strong knowledge of programming languages (e.g., Java, Python, C\#), software design patterns, and system architectures (e.g., microservices, service\-oriented architecture).
* Familiarity with cloud platforms (e.g., AWS, Azure, Google Cloud) and their architectural principles.
* Excellent analytical and problem\-solving skills to address complex technical challenges.
* Strong verbal and written communication skills to effectively collaborate with team members and stakeholders.
* Must be able to pass a background check. May require additional background checks as required by projects and/or clients at any time during employment.
**Minimum Skills:*** Proficiency in programming languages (e.g., Python, SQL).
* Proficiency in open\-source machine learning (ML) and artificial intelligence (AI) frameworks (e.g., TensorFlow, PyTorch, Scikit\-Learn).
* Exceptional understanding of data processing services
* Exceptional understanding of feature engineering and model tuning processes.
* Exceptional problem\-solving skills using algorithm optimization.
* Excellent data analysis skills
* Exceptional interpersonal skills with the ability to communicate in a clear, professional, and articulate manner.
* Exceptional verbal and written communication skills.
* Excellent organizational, analytical, and problem\-solving skills with high\-level attention to detail.
* Strong multitasking skills with the ability to manage multiple design streams across concurrent work effort.
* Must be self\-motivated and able to work well independently as well as on a multi\-functional team.
 **Desired Qualifications:*** Bachelor’s or master’s degree in Computer Science, Machine Learning, or related field.
* Proven experience as an AI/ML Engineer or similar role.
* Strong understanding of machine learning algorithms and principles.
* Familiarity with deep learning frameworks such as TensorFlow or PyTorch.
* Proficiency in programming languages like Python, R, or Java.
* Experience with data preprocessing and feature engineering.
* Strong analytical and problem\-solving skills.
 **Our Commitment to you / overview of benefits*** Medical, Dental and Vision Insurance; Wellness Program
* Flexible Spending Accounts (Healthcare, Dependent Care, Commuter)
* Short\-Term and Long\-Term Disability options
* Basic Life and AD\&amp;D Insurance (Company Provided)
* Voluntary Life and AD\&amp;D options
* 401(k) Retirement Savings Plan with matching after one year
* Paid Time Off
 **Reports to:**Program Manager **Working Conditions*** Professional office environment, with the ability to work on\-site in the main office.
* Must reside in the Austin area.
* Must be physically and mentally able to perform duties for extended periods of time.
* Ability to use a computer and other office productivity tools with sufficient speed to meet the demands of this position.
* Must be able to establish a productive and professional workspace.
* Must be able to sit for long periods of time looking at a computer screen.
* May be asked to work a flexible schedule which may include holidays.
* May be asked to travel for business or professional development purposes.
* May be asked to work hours outside of normal business hours.
* Travel costs, per diem, and other related expenses must be pre\-approved in compliance with State of Texas travel guidelines.
 **Other Duties:** *Please* *note* *this job description is not designed to cover or* *contain* *a comprehensive list of activities, duties or responsibilities that are* *required of* *the employee for this job**.*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
Pay Range: USD $120,000\.00 \- USD $175,000\.00 /Yr.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li-4342607286</t>
        </is>
      </c>
      <c r="B2" t="inlineStr">
        <is>
          <t>Applied Scientist, AGI</t>
        </is>
      </c>
      <c r="C2" t="inlineStr">
        <is>
          <t>Amazon</t>
        </is>
      </c>
      <c r="D2" t="inlineStr">
        <is>
          <t>linkedin</t>
        </is>
      </c>
      <c r="E2" t="inlineStr"/>
      <c r="F2" t="inlineStr"/>
      <c r="G2" t="inlineStr">
        <is>
          <t>Sunnyvale, CA</t>
        </is>
      </c>
      <c r="H2" t="inlineStr"/>
      <c r="I2"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A3139033</t>
        </is>
      </c>
    </row>
    <row r="3">
      <c r="A3" t="inlineStr">
        <is>
          <t>li-4342578980</t>
        </is>
      </c>
      <c r="B3" t="inlineStr">
        <is>
          <t>Sr. Applied Scientist, Amazon Ads</t>
        </is>
      </c>
      <c r="C3" t="inlineStr">
        <is>
          <t>Amazon</t>
        </is>
      </c>
      <c r="D3" t="inlineStr">
        <is>
          <t>linkedin</t>
        </is>
      </c>
      <c r="E3" t="inlineStr"/>
      <c r="F3" t="inlineStr"/>
      <c r="G3" t="inlineStr">
        <is>
          <t>New York, United States</t>
        </is>
      </c>
      <c r="H3" t="inlineStr"/>
      <c r="I3" t="inlineStr">
        <is>
          <t>**Description**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A3139328</t>
        </is>
      </c>
    </row>
    <row r="4">
      <c r="A4" t="inlineStr">
        <is>
          <t>li-4364671790</t>
        </is>
      </c>
      <c r="B4" t="inlineStr">
        <is>
          <t>Machine Learning Engineer</t>
        </is>
      </c>
      <c r="C4" t="inlineStr">
        <is>
          <t>Stripe</t>
        </is>
      </c>
      <c r="D4" t="inlineStr">
        <is>
          <t>linkedin</t>
        </is>
      </c>
      <c r="E4" t="inlineStr"/>
      <c r="F4" t="inlineStr"/>
      <c r="G4" t="inlineStr"/>
      <c r="H4" t="inlineStr"/>
      <c r="I4" t="inlineStr">
        <is>
          <t>**About The Company**
 Stripe is a leading financial infrastructure platform that empowers businesses of all sizes to accept payments, grow revenue, and explore new market opportunities. Serving millions of companies worldwide, from large multinational enterprises to innovative startups, Stripe is dedicated to increasing the GDP of the internet. Our mission is to make online commerce more accessible, efficient, and inclusive by providing seamless payment solutions and innovative financial tools. With a focus on technological excellence and customer\-centricity, Stripe continues to expand its capabilities, driving economic growth and fostering entrepreneurship globally.
**About The Role**
 We are seeking a highly skilled Machine Learning Engineer to join our Payments ML Accelerator team. In this role, you will develop and implement advanced machine learning solutions that directly influence Stripe’s payment products and core business metrics. You will be involved in the entire ML lifecycle, from research and experimentation to deploying scalable, production\-ready models. Your work will focus on high\-impact problems such as fraud detection, authorization optimization, and other complex payment challenges. As a key contributor, you will design reusable architectures, drive the ML roadmap, and collaborate closely with product and engineering teams to deliver innovative solutions that provide measurable business value. This position offers an exciting opportunity to work at the forefront of AI and machine learning, shaping the future of digital payments on a global scale.
**Qualifications**
* Minimum of 7 years of industry experience in end\-to\-end machine learning development and deployment
* Proficiency in Python, Scala, and Spark for data processing and model development
* Deep expertise in deep learning techniques and foundation models, including large language models (LLMs)
* Advanced knowledge of machine learning methodologies, optimization, and system design
* Experience building streaming feature pipelines and deploying models to production environments
* Strong technical judgment and problem\-solving skills
* Excellent collaboration and communication abilities with cross\-functional teams
* Bachelor’s degree in Computer Science, Mathematics, Physics, Statistics, or related quantitative field; MS/PhD preferred
* Knowledge of data manipulation, metric definition, and hypothesis testing for analysis
* Experience evaluating emerging ML solutions and industry best practices
**Responsibilities**
* Design and deploy deep learning architectures and foundation models tailored to key payment entities such as merchants, issuers, and customers
* Identify high\-impact opportunities and develop a strategic ML roadmap to support long\-term product growth
* Architect generalizable ML workflows that enable rapid scaling and optimize online model performance
* Deploy machine learning models in production environments, ensuring operational stability and reliability
* Experiment with cutting\-edge ML techniques and explore their applications to solve complex business problems
* Collaborate with ML infrastructure teams to shape and enhance platform capabilities for scalable ML deployment
* Partner with product teams to translate business needs into innovative ML solutions that deliver measurable impact
* Continuously evaluate industry advancements and integrate new methodologies to improve existing models and systems
**Benefits**
* Competitive salary package with annual US base salary range of $212,000 \- $318,000
* Equity options and potential for bonuses or sales commissions where applicable
* Comprehensive health, dental, and vision insurance plans
* 401(k) retirement savings plan with company matching
* Wellness stipends and other employee wellness programs
* Flexible work arrangements, including remote work options for eligible candidates
* Opportunities for professional development and career growth within a global technology leader
 Equal Opportunity
 Stripe is an equal opportunity employer. We celebrate diversity and are committed to creating an inclusive environment for all employees. We do not discriminate based on race, religion, gender, sexual orientation, age, disability, or any other characteristic protected by law. We encourage candidates from diverse backgrounds to apply and join us in our mission to increase the GDP of the internet and foster innovation worldwide.</t>
        </is>
      </c>
    </row>
    <row r="5">
      <c r="A5" t="inlineStr">
        <is>
          <t>li-4364913035</t>
        </is>
      </c>
      <c r="B5" t="inlineStr">
        <is>
          <t>AI/ML Engineer</t>
        </is>
      </c>
      <c r="C5" t="inlineStr">
        <is>
          <t>Summit Tech Partners</t>
        </is>
      </c>
      <c r="D5" t="inlineStr">
        <is>
          <t>linkedin</t>
        </is>
      </c>
      <c r="E5" t="inlineStr"/>
      <c r="F5" t="inlineStr"/>
      <c r="G5" t="inlineStr">
        <is>
          <t>Alpharetta, GA</t>
        </is>
      </c>
      <c r="H5" t="inlineStr"/>
      <c r="I5" t="inlineStr">
        <is>
          <t>**AI/ML Engineer** 
**Location:** 
 Alpharetta, GA (Hybrid Onsite)
**Employment Type:** 
 Full‑time / Consulting
**Work Authorization:** 
 Must work directly on W‑2\. No sponsorship available. No C2C, CTH, subcontracting, or third‑party vendors permitted.
**About the Role** 
 The AI/ML Engineer will design, build, and deploy machine learning models that power intelligent, data‑driven applications. You’ll work across the ML lifecycle—from data preparation to model training, evaluation, and production deployment. This role requires strong Python skills, familiarity with modern ML frameworks, and the ability to collaborate with engineering and product teams to deliver scalable AI solutions.
**Responsibilities** 
* Develop, train, and optimize machine learning models using Python and modern ML frameworks.
* Build and maintain end‑to‑end ML pipelines, including data preprocessing, feature engineering, and model evaluation.
* Deploy models into production environments and integrate them with REST APIs.
* Collaborate with engineering teams to design scalable, reliable ML systems.
* Leverage cloud‑based AI/ML services to accelerate development and deployment.
* Apply statistical and analytical techniques to solve complex business problems.
* Explore and implement advanced AI techniques including NLP, deep learning, and transformer‑based architectures.
**Minimum Qualifications** 
* Strong proficiency in
 **Python** 
 .
* Hands‑on experience with
 **TensorFlow** 
 or
 **PyTorch** 
 .
* Understanding of core
 **machine learning algorithms** 
 and concepts.
**Preferred Qualifications** 
* Experience with data preprocessing tools such as
 **Pandas** 
 and
 **NumPy** 
 .
* Familiarity with
 **cloud AI services** 
 (AWS, Azure, or GCP).
* Experience with
 **model deployment** 
 , MLOps practices, and REST API integration.
* Background in
 **NLP** 
 ,
 **deep learning** 
 , or neural network architectures.
* Experience with cloud ML platforms such as
 **AWS SageMaker** 
 or
 **Azure AI** 
 .
* Knowledge of
 **scalable ML system design** 
 and distributed training.
* Strong foundation in
 **advanced statistical modeling** 
 .
* Exposure to
 **transformer models** 
 ,
 **LLMs** 
 , and cutting‑edge AI frameworks.
* Ability to contribute to or lead
 **AI strategy** 
 and roadmap discussions.
**About You** 
 You’re passionate about building intelligent systems, experimenting with new ML techniques, and turning data into meaningful insights. You enjoy working across the full ML lifecycle and thrive in environments where innovation and scalability matter.</t>
        </is>
      </c>
    </row>
    <row r="6">
      <c r="A6" t="inlineStr">
        <is>
          <t>li-4364891422</t>
        </is>
      </c>
      <c r="B6" t="inlineStr">
        <is>
          <t>Machine Learning Engineer, Sr.</t>
        </is>
      </c>
      <c r="C6" t="inlineStr">
        <is>
          <t>Red Hat</t>
        </is>
      </c>
      <c r="D6" t="inlineStr">
        <is>
          <t>linkedin</t>
        </is>
      </c>
      <c r="E6" t="inlineStr"/>
      <c r="F6" t="inlineStr"/>
      <c r="G6" t="inlineStr"/>
      <c r="H6" t="inlineStr"/>
      <c r="I6" t="inlineStr">
        <is>
          <t>**About The Company** 
 Red Hat is a globally recognized leader in enterprise open source software solutions, committed to delivering high\-performance Linux, cloud, container, and Kubernetes technologies through a community\-powered approach. With a presence in over 40 countries, Red Hat fosters an inclusive and innovative environment where talented professionals collaborate to solve complex technical challenges. The company's open source philosophy emphasizes transparency, collaboration, and diversity, empowering employees to bring forward their ideas and contribute meaningfully to the evolution of open source technology. Red Hat’s mission is to enable organizations worldwide to embrace open source solutions that drive digital transformation, operational efficiency, and innovation.
**About The Role** 
 Red Hat is seeking a highly skilled Machine Learning Engineer specializing in vLLM to join our cutting\-edge AI inference team. In this role, you will be instrumental in advancing our open\-source projects, focusing on optimizing large language model (LLM) inference performance and efficiency. You will work on developing high\-performance machine learning primitives, contributing to the design and implementation of inference optimization algorithms, and mentoring external contributors within the vLLM open\-source community. Your expertise will directly influence the development of scalable, robust AI deployment platforms that simplify enterprise adoption of Generative AI technologies. This position offers an exciting opportunity to be at the forefront of AI innovation, working on impactful projects that shape the future of artificial intelligence and machine learning.
**Qualifications** 
* Bachelor's or Master’s degree in Computer Science, Computer Engineering, or a related field; a PhD in a machine learning domain is a plus
* Extensive experience in writing high\-performance code for GPUs, with deep knowledge of GPU hardware architectures
* Strong understanding of computer architecture, parallel processing, and distributed computing concepts
* Proficiency with tensor math libraries such as PyTorch
* Hands\-on experience with GPU performance optimization, kernel development, and deep neural network inference
* Knowledge of GPU profiling tools such as NVIDIA Nsight is advantageous
* Familiarity with LLM inference optimization techniques including quantization, continuous batching, tensor parallelism, and speculative decoding
* Experience with non\-NVIDIA hardware optimization (e.g., AMD ROCm, TPUs) is a plus
* Excellent communication skills for collaborating with technical and non\-technical team members
**Responsibilities** 
* Develop, optimize, and maintain high\-performance Python and C\+\+ codebases for vLLM systems and machine learning primitives
* Design, implement, and test inference optimization algorithms to improve model performance and efficiency
* Participate actively in technical design discussions, proposing innovative solutions to complex challenges
* Review pull requests, contribute to RFCs, and mentor external contributors within the open\-source community
* Collaborate with cross\-functional teams to integrate new features and enhancements into the vLLM project
* Conduct performance analysis and modeling to identify bottlenecks and optimize resource utilization
* Stay current with advancements in GPU hardware, deep learning techniques, and inference optimization strategies
* Foster a culture of continuous learning, mentorship, and knowledge sharing within the team
**Benefits** 
* Comprehensive medical, dental, and vision insurance coverage
* Flexible Spending Account (FSA) for healthcare and dependent care expenses
* Health Savings Account (HSA) with high deductible medical plans
* Retirement plan with employer matching contributions (401(k))
* Paid time off, holidays, and paid parental leave for new parents
* Additional benefits including disability leave, family medical leave, military leave, employee stock purchase plans, tuition reimbursement, and transportation allowances
 Equal Opportunity
 Red Hat is an equal opportunity employer committed to fostering a diverse and inclusive workplace. We do not discriminate based on race, color, religion, sex, sexual orientation, gender identity, national origin, age, veteran status, genetic information, physical or mental disability, medical condition, marital status, or any other protected characteristic.</t>
        </is>
      </c>
    </row>
    <row r="7">
      <c r="A7" t="inlineStr">
        <is>
          <t>li-4364635368</t>
        </is>
      </c>
      <c r="B7" t="inlineStr">
        <is>
          <t>Machine Learning Engineer</t>
        </is>
      </c>
      <c r="C7" t="inlineStr">
        <is>
          <t>Vero</t>
        </is>
      </c>
      <c r="D7" t="inlineStr">
        <is>
          <t>linkedin</t>
        </is>
      </c>
      <c r="E7" t="inlineStr"/>
      <c r="F7" t="inlineStr"/>
      <c r="G7" t="inlineStr">
        <is>
          <t>New York, NY</t>
        </is>
      </c>
      <c r="H7" t="inlineStr"/>
      <c r="I7" t="inlineStr">
        <is>
          <t>Join a pioneering start up at the forefront of quantum mechanics and AI \- developing novel ML models that redefine what’s possible. Backed by top\-tier investors, we rank among the top 1% of pre\-series start ups globally, offering a rare opportunity to shape the future of AI.
 If you’re an ambitious engineer eager to bridge research and real\-world applications, this is your chance to make a lasting impact as
 **ML/AI Engineer** 
 .
**What We Offer** 
* Up to $300,000 (Base \+ Bonus
* Equity in a rapidly growing AI start up
* Hybrid working 3 days onsite per week in New York
* Significant scope for professional growth and cross\-functional learning
**Your Role** 
* **Develop \&amp; Optimize novel ML Models** 
 – Work with real world data, design and benchmark ML experiments, and communicate insights that drive improvements
* **Blending Engineering \&amp; Research**
* Engineer: You’ll develop and refine ML pipelines, ensure reproducibility and scalability, and assist in integration and deployment.
* Researcher: You’ll conduct advanced experiments, test new ideas, and produce actionable insights for the Research team to incorporate into the core model
* **Benchmark \&amp; Experiment** 
 – Conduct rigorous benchmarking, performance evaluations, and model optimization to push the limits of ML performance.
* **Collaboration \&amp; Execution \-** 
 Collaborate with researchers, stakeholders, and client\-facing teams to ensure alignment on project requirements.
* **Deploy Scalable AI Systems** 
 – Build production\-ready ML that integrate seamlessly into real\-world applications.
**Requirements** 
* **Education \- Bachelor’s or Master’s** 
 in a related field
* 3\-7 years of experience
* Proven experience in
 **developing and deploying ML** 
 models at scale.
* **Times Series**
* **ML techniques** 
 – Some of: Neural Networks, Probabilistic Models, gen AI, Active Learning, Reinforcement Learning
* **Python**
* **ML frameworks** 
 (PyTorch, JAX, Tensorflow) and
 **deep learning industry developments**
* Strong understanding of
 **ML fundamentals** 
 (regression, classification, clustering, performance metrics) and scikit\-learn.
* **Quantum Enthusiasm** 
 – A background in quantum mechanics, complex linear algebra, or an interest in applying quantum concepts to ML is a strong plus.
* **Cloud** 
 (AWS, Azure or GCP)
* **Applied Research Skills** 
 – Ability to design experiments, analyze performance metrics, and iterate rapidly.
* **Collaborative \&amp; Impact\-Driven** 
 – Comfortable working in cross\-functional teams, translating research insights into practical AI solutions.
**Ready to Shape the Future?** 
 If you’re excited about working on a new ML paradigm that’s transforming multiple high\-impact sectors, apply now!</t>
        </is>
      </c>
    </row>
    <row r="8">
      <c r="A8" t="inlineStr">
        <is>
          <t>li-4361930218</t>
        </is>
      </c>
      <c r="B8" t="inlineStr">
        <is>
          <t>Machine Learning Engineer | Remote</t>
        </is>
      </c>
      <c r="C8" t="inlineStr">
        <is>
          <t>Crossing Hurdles</t>
        </is>
      </c>
      <c r="D8" t="inlineStr">
        <is>
          <t>linkedin</t>
        </is>
      </c>
      <c r="E8" t="inlineStr"/>
      <c r="F8" t="inlineStr"/>
      <c r="G8" t="inlineStr"/>
      <c r="H8" t="inlineStr"/>
      <c r="I8" t="inlineStr">
        <is>
          <t>**Position:** 
 Forward Deployed MTS
**Type:** 
 Full\-time (Core Team)
**Compensation:** 
 $500K–$800K/year
**Location:** 
 Remote
**Commitment:** 
 Full\-time
**Role Responsibilities**
* Partner directly with researchers at frontier AI labs to identify model gaps, define success metrics, and shape training strategies.
* Work embedded with customers to diagnose real\-world problems, define objectives, and drive execution end\-to\-end.
* Design task formats, evaluations, and training setups aligned with real\-world use cases and outcomes.
* Rapidly ship high\-quality outputs using off\-the\-shelf pipelines and own new pipelines from kickoff through production.
* Build and maintain production\-grade code, integrations, and automated data and training workflows.
* Serve as the technical owner of pipeline architecture, bridging researchers, customers, and internal platform teams.
* Translate real\-world signals and customer feedback into scalable, production\-ready AI systems.
**Requirements**
* Strong engineering background with ownership of complex systems from design through production.
* Proven experience owning end\-to\-end AI or data pipelines in production environments.
* Ability to operate effectively in ambiguous, fast\-paced environments while shipping iteratively.
* Strong communication skills with the ability to translate customer needs into technical execution.
* Demonstrated leadership in technical delivery and mentorship.
* Comfortable working at the intersection of customer delivery, applied research, and production engineering.
**Application Process (Takes 20 Min)**
* Upload resume
* Interview (15 min)
* Submit form</t>
        </is>
      </c>
    </row>
    <row r="9">
      <c r="A9" t="inlineStr">
        <is>
          <t>li-3981027173</t>
        </is>
      </c>
      <c r="B9" t="inlineStr">
        <is>
          <t>Machine Learning Engineer, Monetization Engineering</t>
        </is>
      </c>
      <c r="C9" t="inlineStr">
        <is>
          <t>Pinterest</t>
        </is>
      </c>
      <c r="D9" t="inlineStr">
        <is>
          <t>linkedin</t>
        </is>
      </c>
      <c r="E9" t="inlineStr"/>
      <c r="F9" t="inlineStr"/>
      <c r="G9" t="inlineStr">
        <is>
          <t>Palo Alto, CA</t>
        </is>
      </c>
      <c r="H9" t="inlineStr"/>
      <c r="I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0">
      <c r="A10" t="inlineStr">
        <is>
          <t>li-4344284803</t>
        </is>
      </c>
      <c r="B10" t="inlineStr">
        <is>
          <t>Machine Learning Engineer, Platform – Samsung Ads</t>
        </is>
      </c>
      <c r="C10" t="inlineStr">
        <is>
          <t>Samsung Electronics America</t>
        </is>
      </c>
      <c r="D10" t="inlineStr">
        <is>
          <t>linkedin</t>
        </is>
      </c>
      <c r="E10" t="inlineStr"/>
      <c r="F10" t="inlineStr"/>
      <c r="G10" t="inlineStr">
        <is>
          <t>Mountain View, CA</t>
        </is>
      </c>
      <c r="H10" t="inlineStr"/>
      <c r="I10" t="inlineStr">
        <is>
          <t>**Position Summary**
 Samsung Ads is an advanced advertising technology company in rapid growth that focuses on enabling advertisers to connect audiences from Samsung devices as they are exposed to digital media, using the industry’s most comprehensive data to build the world’s smartest advertising platform. Being part of an international company such as Samsung and doing business around the world means that we get to work on big, complex projects with stakeholders and teams located around the globe.
 We are proud to have built a world\-class organization grounded in an entrepreneurial and collaborative spirit. Working at Samsung Ads offers one of the best environments in the industry to learn just how fast you can grow, how much you can achieve, and how good you can be. We thrive on problem\-solving, breaking new ground, and enjoying every part of the journey.
**Role And Responsibilities**
 Machine learning lies at the core of the advertising industry, and this is no exception to Samsung Ads. At Samsung Ads, we are actively exploring the latest machine learning techniques to improve our existing systems and products and create new revenue streams. As a machine learning platform engineer of the Samsung Ads Platform Intelligence (PI) team, you will have access to unique Samsung proprietary data to develop and deploy a wide spectrum of large\-scale machine learning products with real\-world impact. You will work closely with and be supported by a talented engineering team and top\-notch researchers to work on exciting machine learning projects and state\-of\-the\-art technologies. You will be welcomed by a unique learning culture and creative work atmosphere. This is an exciting and unique opportunity to get deeply involved in envisioning, designing and implementing cutting\-edge machine learning products with a fast growing team.
**Responsibilities**
* Design and develop the next generation machine learning platform to support thousands of model training pipelines concurrently and trillions of daily batch predictions.
* Build a world\-class ML platform tailored for Samsung’s ML based advertising business, which can significantly improve the lead time for model end\-to\-end development and deployment process.
* Research the latest machine learning platform technologies in the industry and create quick prototypes / proof\-of\-concepts.
* Closely work with different internal ML teams (e.g., ML serving and MLOps teams) to improve our codebase, product health, and ensure the best engineering quality
* Closely work with cross\-functional partner teams in global settings to deliver new ML features and solutions and achieve business objectives.
* Mentor junior engineers and provide technical guidance.
* Learn quickly and adapt to a fast\-paced working environment.
 Experience Requirements:
* 6\+ years of industry experience with a Master's degree or 3\+ years of industry experience with a PhD degree in Computer Science or related fields such as Statistics, Data Science, Technology, Engineering and Mathematics.
* Extensive industry experience with Infrastructure as Code (Terraform), orchestration tools ( Airflow, AWS Step/Lambda), building CI/CD pipelines using Github Actions, and real\-time monitoring/alerting framework such as Prometheus and Grafana.
* Familiarity with CI/CD, ETL, big data tools, and mainstream ML libraries (e.g., MapReduce, Spark, Flink, Kafka, Docker, Kubernetes, TensorFlow, PyTorch, Spark ML, etc.).
* Hands\-on experience with machine learning related frameworks (e.g., TensorFlow, PyTorch, model registry, OpenMetadata, ML feature store).
* Solid theoretical background in machine learning or data mining and strong conceptual, problem solving, and analytical skills.
* Extensive programming experience in Python, Go or other OOP languages, SQL and database, and familiarity with data structures, algorithms and software engineering principles.
* Strong communication and interpersonal skills to drive cross\-functional partnerships.
* Ability to work in a fast\-paced environment, quickly debug issues, provide proof\-of\-concept solutions and apply the changes to production.
**Skills And Qualifications**
 Preferred Experience Requirements:
* Extensive knowledge of Amazon Web Services (AWS) is a huge plus.
* Extensive experience with Snowflake, Snowpark, and Redis/Aerospike.
* Experience with the advertising industry and real\-time bidding (RTB) ecosystem.
 Salary Range Pay Transparency: Compensation for this role, for candidates based in Mountain View, CA is expected to be between $240,000 and $280,000\. Actual pay will be determined considering factors such as relevant skills and experience, and comparison to other employees in the role. Regular full\-time employees (salaried or hourly) have access to benefits including: Medical, Dental, Vision, Life Insurance, 401(k), Employee Purchase Program, Tuition Assistance (after 6 months), Paid Time Off, Student Loan Program (after 6 months), Wellness Incentives, and many more.
* Please visit Samsung membership to see Privacy Policy, which defaults according to your location. You can change Country/Language at the bottom of the page. If you are European Economic Resident, please click here.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is>
      </c>
    </row>
    <row r="11">
      <c r="A11" t="inlineStr">
        <is>
          <t>li-4336503237</t>
        </is>
      </c>
      <c r="B11" t="inlineStr">
        <is>
          <t>Machine Learning Engineer (Modeling), Risk</t>
        </is>
      </c>
      <c r="C11" t="inlineStr">
        <is>
          <t>Square</t>
        </is>
      </c>
      <c r="D11" t="inlineStr">
        <is>
          <t>linkedin</t>
        </is>
      </c>
      <c r="E11" t="inlineStr"/>
      <c r="F11" t="inlineStr"/>
      <c r="G11" t="inlineStr"/>
      <c r="H11" t="inlineStr"/>
      <c r="I11"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Block's Chargeback Risk Machine Learning team members build machine learning models and systems to precisely detect, intervene on, and reduce fraudulent activity across Block's Cash App and Square ecosystems. As part of our team, you and your work will safeguard the Cash App and Square ecosystems from financial loss and provide trustworthy and seamless financial experiences for millions of customers and sellers.
**You Will**
* Partner with product, engineering, data science, policy, and operations to design and productionize ML\-driven solutions to fight fraud at scale
* Become a risk domain expert and expert to lead strategy and planning on your workstreams.
* Develop tooling and processes to improve the effectiveness and speed of the ML development lifecycle
* Investigate and use state\-of\-the\-art modeling algorithms and third\-party data sources to boost model performance
* Contribute positively to our team culture as a collaborative, empathetic, and reliable teammate.
**You Have**
* 3\+ years of machine learning experience
* A degree (preferably graduate level) in Computer Science, Engineering, Statistics, Physics, Applied Math or a related technical field
* Hands\-on experience independently designing, deploying, and troubleshooting ML solutions using methods such as tree\-based models, deep learning, transfer learning, or reinforcement learning.
* Proficiency in modern ML stacks such as: PySpark, PyTorch, MLflow, GCP Vertex AI, Workflow orchestration tools (i.e. Airflow, Prefect)
* Proficiency with containerization, cloud platforms (AWS, GCP), and CI/CD practices.
* Experience collaborating with cross\-functional teams to prioritize, scope, and deploy ML/AI solutions at scale
* Experience helping your teammates grow through mentorship and providing constructive feedback.
* A natural sense of curiosity, and experience with Block's mission of economic empowerment.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$189,000—$283,600 USD
**Zone B**
 $179,600—$269,400 USD
**Zone C**
 $170,100—$255,100 USD
**Zone D**
 $160,700—$241,100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2">
      <c r="A12" t="inlineStr">
        <is>
          <t>li-4336313971</t>
        </is>
      </c>
      <c r="B12" t="inlineStr">
        <is>
          <t>Machine Learning Engineer (Modeling), Risk</t>
        </is>
      </c>
      <c r="C12" t="inlineStr">
        <is>
          <t>Square</t>
        </is>
      </c>
      <c r="D12" t="inlineStr">
        <is>
          <t>linkedin</t>
        </is>
      </c>
      <c r="E12" t="inlineStr"/>
      <c r="F12" t="inlineStr"/>
      <c r="G12" t="inlineStr">
        <is>
          <t>New York, NY</t>
        </is>
      </c>
      <c r="H12" t="inlineStr"/>
      <c r="I12"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Block's Chargeback Risk Machine Learning team members build machine learning models and systems to precisely detect, intervene on, and reduce fraudulent activity across Block's Cash App and Square ecosystems. As part of our team, you and your work will safeguard the Cash App and Square ecosystems from financial loss and provide trustworthy and seamless financial experiences for millions of customers and sellers.
**You Will**
* Partner with product, engineering, data science, policy, and operations to design and productionize ML\-driven solutions to fight fraud at scale
* Become a risk domain expert and expert to lead strategy and planning on your workstreams.
* Develop tooling and processes to improve the effectiveness and speed of the ML development lifecycle
* Investigate and use state\-of\-the\-art modeling algorithms and third\-party data sources to boost model performance
* Contribute positively to our team culture as a collaborative, empathetic, and reliable teammate.
**You Have**
* 3\+ years of machine learning experience
* A degree (preferably graduate level) in Computer Science, Engineering, Statistics, Physics, Applied Math or a related technical field
* Hands\-on experience independently designing, deploying, and troubleshooting ML solutions using methods such as tree\-based models, deep learning, transfer learning, or reinforcement learning.
* Proficiency in modern ML stacks such as: PySpark, PyTorch, MLflow, GCP Vertex AI, Workflow orchestration tools (i.e. Airflow, Prefect)
* Proficiency with containerization, cloud platforms (AWS, GCP), and CI/CD practices.
* Experience collaborating with cross\-functional teams to prioritize, scope, and deploy ML/AI solutions at scale
* Experience helping your teammates grow through mentorship and providing constructive feedback.
* A natural sense of curiosity, and experience with Block's mission of economic empowerment.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$189,000—$283,600 USD
**Zone B**
 $179,600—$269,400 USD
**Zone C**
 $170,100—$255,100 USD
**Zone D**
 $160,700—$241,100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3">
      <c r="A13" t="inlineStr">
        <is>
          <t>li-4297979510</t>
        </is>
      </c>
      <c r="B13" t="inlineStr">
        <is>
          <t>AI/ML Engineer</t>
        </is>
      </c>
      <c r="C13" t="inlineStr">
        <is>
          <t>hackajob</t>
        </is>
      </c>
      <c r="D13" t="inlineStr">
        <is>
          <t>linkedin</t>
        </is>
      </c>
      <c r="E13" t="inlineStr"/>
      <c r="F13" t="inlineStr"/>
      <c r="G13" t="inlineStr"/>
      <c r="H13" t="inlineStr"/>
      <c r="I13" t="inlineStr">
        <is>
          <t>***hackajob** 
 is collaborating with
 **Leo Technologies** 
 to connect them with exceptional tech professionals for this role.*
 As an AI/NLP Engineer on our Data Science team, you will be at the forefront of leveraging Large Language Models (LLMs) and cutting\-edge AI techniques to create transformative solutions for public safety and intelligence workflows. You will apply your expertise in LLMs, Retrieval\-Augmented Generation (RAG), semantic search, Agentic AI, GraphRAG, and other advanced AI solutions to develop, enhance, and deploy robust features that enable real\-time decision\-making for our end users. You will work closely with product, engineering, and data science teams to translate real\-world problems into scalable, production\-grade solutions. This is an individual contributor (IC) role that emphasizes technical depth, experimentation, and hands\-on engineering. You will participate in all phases of the AI solution lifecycle, from architecture and design through prototyping, implementation, evaluation, productionization and continuous improvement.
* Design, build, and optimize AI\-powered solutions using LLMs, RAG pipelines, semantic search, GraphRAG, and Agentic AI architectures.
* Implement and experiment with the latest advancements in large\-scale language modeling, including prompt engineering, model fine\-tuning, evaluation, and monitoring.
* Collaborate with product, backend, and data engineering teams to define requirements, break down complex problems, and deliver high\-impact features aligned with business objectives.
* Inform robust data ingestion and retrieval pipelines that power real\-time and batch AI applications using open\-source and proprietary tools.
* Integrate external data sources (e.g., knowledge graphs, internal databases, third\-party APIs) to enhance the context\-awareness and capabilities of LLM\-based workflows.
* Evaluate and implement best practices for prompt design, model alignment, safety, and guardrails for responsible AI deployment.
* Stay on top of emerging AI research and contribute to internal knowledge\-sharing, tech talks, and proof\-of\-concept projects.
* Author clean, well\-documented, and testable code; participate in peer code reviews and engineering design discussions.
* Proactively identify bottlenecks and propose solutions to improve system scalability, efficiency, and reliability.
* Bachelor's or Master's degree in Computer Science, Artificial Intelligence, Data Science, or a related field.
* 5\+ years of hands\-on experience in applied AI, NLP, or ML engineering (with at least 2 years working directly with LLMs, RAG, semantic search and Agentic AI).
* Deep familiarity with LLMs (e.g. OpenAI, Claude, Gemini), prompt engineering, and responsible deployment in production settings.
* Experience designing, building, and optimizing RAG pipelines, semantic search, vector databases (e.g. ElasticSearch, Pinecone), and Agentic or multi\-agent AI workflows in in large scale production setup. Exposure to MCP and A2A protocol is a plus.
* Exposure to GraphRAG or graph\-based knowledge retrieval techniques is a strong plus.
* Strong proficiency with modern ML frameworks and libraries (e.g. LangChain, LlamaIndex, PyTorch, HuggingFace Transformers).
* Ability to design APIs and scalable backend services, with hands\-on experience in Python.
* Experience building, deploying, and monitoring AI/ML workloads in cloud environments (AWS, Azure) using services like AWS SageMaker, AWS Bedrock, AzureAI, etc. Experience with tools to load balance different LLMs providers is a plus.
* Familiarity with MLOps practices, CI/CD for AI, model monitoring, data versioning, and continuous integration.
* Demonstrated ability to work with large, complex datasets, perform data cleaning, feature engineering, and develop scalable data pipelines.
* Excellent problem\-solving, collaboration, and communication skills; able to work effectively across remote and distributed teams.
* Proven record of shipping robust, high\-impact AI solutions, ideally in fast\-paced or regulated environments.</t>
        </is>
      </c>
    </row>
    <row r="14">
      <c r="A14" t="inlineStr">
        <is>
          <t>li-4340290419</t>
        </is>
      </c>
      <c r="B14" t="inlineStr">
        <is>
          <t>Machine Learning Engineer</t>
        </is>
      </c>
      <c r="C14" t="inlineStr">
        <is>
          <t>Parker B Associates</t>
        </is>
      </c>
      <c r="D14" t="inlineStr">
        <is>
          <t>linkedin</t>
        </is>
      </c>
      <c r="E14" t="inlineStr"/>
      <c r="F14" t="inlineStr"/>
      <c r="G14" t="inlineStr"/>
      <c r="H14" t="inlineStr"/>
      <c r="I14" t="inlineStr">
        <is>
          <t>Machine Learning Engineer (Must be a green card holder or US citizen)
 New York City
 Permanent
 €130,000 – €250,000 \+ Bens
 Our client is a global Insurance business seeking a Machine Learning Engineer to join the team on a permanent basis.
 Are you interested in working on a brand\-new greenfield AI project that is built from the ground up?
 This opportunity involves building advanced insurance capabilities across the enterprise and developing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 Translate complex concepts into actionable business insights
* Research and apply the latest advancements for continuous improvement
 A full job spec will be provided upon request.
 Skills/ Experience:
* Background in data science \&amp; machine learning techniques
* Strong statistical knowledge
* Generative AI/ LLM expertise \- a bonus
* Python \&amp; SQL
* Developed end\-to\-end AI solutions
* Cloud
* Excellent communication skills (ability to present to C\-level)
 If you are interested or would like further information, please apply as soon as possible.
 Keywords – Senior Data Scientist, Senior AI engineer, AI engineer, Senior ML Engineer, ML Engineer, Machine Learning Engineer, Data Scientist</t>
        </is>
      </c>
    </row>
    <row r="15">
      <c r="A15" t="inlineStr">
        <is>
          <t>li-4364860085</t>
        </is>
      </c>
      <c r="B15" t="inlineStr">
        <is>
          <t>Machine Learning Engineer</t>
        </is>
      </c>
      <c r="C15" t="inlineStr">
        <is>
          <t>Best Job Tool</t>
        </is>
      </c>
      <c r="D15" t="inlineStr">
        <is>
          <t>linkedin</t>
        </is>
      </c>
      <c r="E15" t="inlineStr"/>
      <c r="F15" t="inlineStr"/>
      <c r="G15" t="inlineStr"/>
      <c r="H15" t="inlineStr"/>
      <c r="I15" t="inlineStr">
        <is>
          <t>**About The Company**
 Exact Sciences is a global leader in the development and commercialization of innovative diagnostic solutions aimed at transforming cancer detection and prevention. With a commitment to improving patient outcomes through early detection, the company leverages cutting\-edge technology and scientific expertise to deliver reliable, accessible, and actionable diagnostic tools. Exact Sciences operates with a focus on research and development, ensuring continuous innovation in the field of molecular diagnostics. Its dedication to advancing healthcare has positioned it as a trusted partner for healthcare providers, researchers, and patients worldwide.
**About The Role**
 We are seeking a highly motivated and detail\-oriented professional to join our team in the role of \[Job Title]. In this position, you will play a critical role in supporting our mission to revolutionize cancer diagnostics. You will be responsible for managing key projects, collaborating with cross\-functional teams, and ensuring the successful development and deployment of diagnostic solutions. The ideal candidate will possess strong analytical skills, a proactive approach, and a passion for innovation in healthcare. This role offers a unique opportunity to contribute to life\-changing advancements in medicine while working in a dynamic and collaborative environment.
**Qualifications**
 The ideal candidate will possess a bachelor's degree in a relevant field such as life sciences, biomedical engineering, or related disciplines; a master's degree or higher is preferred. Proven experience in diagnostics, healthcare, or a related industry is highly desirable. Strong communication and interpersonal skills are essential, along with the ability to work effectively in a team environment. Candidates should demonstrate excellent problem\-solving abilities, attention to detail, and proficiency with relevant software tools. Knowledge of regulatory requirements and quality standards in medical device or diagnostic development will be considered an asset.
**Responsibilities**
* Manage and oversee multiple projects related to diagnostic product development, ensuring timelines, budgets, and quality standards are met.
* Collaborate with research, engineering, regulatory, and commercial teams to facilitate seamless project execution.
* Conduct data analysis, prepare reports, and communicate findings to stakeholders to support decision\-making processes.
* Assist in the development and validation of diagnostic assays, ensuring compliance with industry standards and regulations.
* Support the preparation of documentation for regulatory submissions and quality assurance purposes.
* Stay updated on industry trends, technological advancements, and regulatory changes impacting diagnostic development.
* Participate in cross\-functional meetings, providing insights and recommendations for process improvements.
**Benefits**
 Exact Sciences offers a comprehensive benefits package designed to support the health, well\-being, and professional growth of our employees. This includes competitive salary packages, health insurance plans, retirement savings options, paid time off, and wellness programs. We also provide opportunities for continuous learning and development, including training sessions, workshops, and career advancement initiatives. Our inclusive work environment fosters collaboration, innovation, and respect, ensuring that every employee feels valued and empowered to contribute to our mission of transforming cancer diagnostics.
 Equal Opportunity
 Exact Sciences is an equal opportunity employer committed to fostering an inclusive and diverse workplace. We do not discriminate based on race, color, religion, gender, sexual orientation, gender identity or expression, age, national origin, disability, or any other protected characteristic. We believe that diversity drives innovation and excellence, and we are dedicated to providing equal employment opportunities to all qualified candidates. We encourage individuals from all backgrounds to apply and join us in our mission to improve healthcare worldwide.</t>
        </is>
      </c>
    </row>
    <row r="16">
      <c r="A16" t="inlineStr">
        <is>
          <t>li-4348833402</t>
        </is>
      </c>
      <c r="B16" t="inlineStr">
        <is>
          <t>Machine Learning Engineer - Behaviors</t>
        </is>
      </c>
      <c r="C16" t="inlineStr">
        <is>
          <t>Motional</t>
        </is>
      </c>
      <c r="D16" t="inlineStr">
        <is>
          <t>linkedin</t>
        </is>
      </c>
      <c r="E16" t="inlineStr"/>
      <c r="F16" t="inlineStr"/>
      <c r="G16" t="inlineStr"/>
      <c r="H16" t="inlineStr"/>
      <c r="I16" t="inlineStr">
        <is>
          <t>Join us in shaping the future of autonomous driving. As part of the
 **Behaviors** 
 team, you will work alongside world\-class ML engineers and research scientists to help make self\-driving vehicles a safe, reliable, and transformative reality. Our team builds the intelligence responsible for understanding complex driving environments and generating safe and comfortable trajectories for our robotaxi fleet using cutting\-edge deep learning and planning systems.
 We welcome
 **fresh graduates** 
 who are passionate about robotics, machine learning, and autonomous systems — and eager to grow in a fast\-moving, high\-impact team.
 This opportunity can support remote work within the United States, with occasional travel.
**What You’ll Be Doing:** 
 You will be directly responsible for training, evaluation, and deployment of our ML\-based scene understanding, behavior prediction, and planning models. Day\-to\-day responsibilities include:
* Designing and training large models for predicting surrounding agents, AV behaviors, and end\-to\-end planning systems by executing high\-value experiments based on collaborative input from other machine learning engineers
* Prototyping and implementing continuously improving metrics to evaluate the performance of our behavioral models across many desired scenarios and robotaxi capabilities
* Timely release of major model updates, including analysis of both off\-line and on\-road evaluation data
* Staying up to date with the latest trends in our fast\-moving industry, and proposing new architectures and network designs
* Maintaining a high\-quality training and evaluation code\-base, including portions of our training stack dedicated to dataset generation and evaluation
**What We’re Looking For:** 
* Masters or PhD in Machine Learning, Generative AI, Computer Science, Applied Mathematics, Statistics.
* In\-depth understanding of common Machine Learning and Deep Learning algorithms, especially transformer\-based architectures, autoregressive decoder architectures etc.
* Experience designing, training, and analyzing neural networks/transformer\-based models for at least one of the following applications: motion planning, object detection, sensor fusion, motion prediction, and/or multi\-object tracking, multi\-agent predictions.
* Knowledge of software engineering principles, including software design, source control management, build processes, code reviews, and testing methods
* Knowledge or course experience of generative models such as VLM, VLA etc.
* Experience with PyTorch or other Python\-based deep learning frameworks
* Experience working with large data sets, data curation, and augmentation.
**Bonus Points** 
* Publications in relevant conferences (CVPR, ICML, NeurIPS, ICCV, ECCV, ICRA, IROS etc.)
* Project or internship experience on VLM, VLA and other foundation models for robotics and self\-driving.
* PhD in machine learning, generative AI, computer vision, or robotics vision
* Project experience working on autonomous vehicles or related fields
* Experience in deploying models into real\-world environments
* Strong programming skills in C\+\+ and/or CUDA programming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$142,000 USD \- $190,000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17">
      <c r="A17" t="inlineStr">
        <is>
          <t>li-4348768101</t>
        </is>
      </c>
      <c r="B17" t="inlineStr">
        <is>
          <t>Machine Learning Engineer - Prediction</t>
        </is>
      </c>
      <c r="C17" t="inlineStr">
        <is>
          <t>Motional</t>
        </is>
      </c>
      <c r="D17" t="inlineStr">
        <is>
          <t>linkedin</t>
        </is>
      </c>
      <c r="E17" t="inlineStr"/>
      <c r="F17" t="inlineStr"/>
      <c r="G17" t="inlineStr"/>
      <c r="H17" t="inlineStr"/>
      <c r="I17" t="inlineStr">
        <is>
          <t>Join us in shaping the future of autonomous driving. As part of the
 **Behaviors** 
 team, you will work alongside world\-class ML engineers and research scientists to help make self\-driving vehicles a safe, reliable, and transformative reality. Our team builds the intelligence responsible for understanding complex driving environments and generating safe and comfortable trajectories for our robotaxi fleet using cutting\-edge deep learning and planning systems.
 We welcome
 **fresh graduates** 
 who are passionate about robotics, machine learning, and autonomous systems — and eager to grow in a fast\-moving, high\-impact team.
 This opportunity can support remote work within the United States, with occasional travel.
**What You’ll Be Doing:** 
 You will be directly responsible for training, evaluation, and deployment of our ML\-based scene understanding, behavior prediction, and planning models. Day\-to\-day responsibilities include:
* Designing and training large models for predicting surrounding agents, AV behaviors, and end\-to\-end planning systems by executing high\-value experiments based on collaborative input from other machine learning engineers
* Prototyping and implementing continuously improving metrics to evaluate the performance of our behavioral models across many desired scenarios and robotaxi capabilities
* Timely release of major model updates, including analysis of both off\-line and on\-road evaluation data
* Staying up to date with the latest trends in our fast\-moving industry, and proposing new architectures and network designs
* Maintaining a high\-quality training and evaluation code\-base, including portions of our training stack dedicated to dataset generation and evaluation
**What We’re Looking For:** 
* Masters or PhD in Machine Learning, Generative AI, Computer Science, Applied Mathematics, Statistics.
* In\-depth understanding of common Machine Learning and Deep Learning algorithms, especially transformer\-based architectures, autoregressive decoder architectures etc.
* Experience designing, training, and analyzing neural networks/transformer\-based models for at least one of the following applications: motion planning, object detection, sensor fusion, motion prediction, and/or multi\-object tracking, multi\-agent predictions.
* Knowledge of software engineering principles, including software design, source control management, build processes, code reviews, and testing methods
* Knowledge or course experience of generative models such as VLM, VLA etc.
* Experience with PyTorch or other Python\-based deep learning frameworks
* Experience working with large data sets, data curation, and augmentation.
**Bonus Points** 
* Publications in relevant conferences (CVPR, ICML, NeurIPS, ICCV, ECCV, ICRA, IROS etc.)
* Project or internship experience on VLM, VLA and other foundation models for robotics and self\-driving.
* PhD in machine learning, generative AI, computer vision, or robotics vision
* Project experience working on autonomous vehicles or related fields
* Experience in deploying models into real\-world environments
* Strong programming skills in C\+\+ and/or CUDA programming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$142,000 USD \- $190,000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18">
      <c r="A18" t="inlineStr">
        <is>
          <t>li-4360965393</t>
        </is>
      </c>
      <c r="B18" t="inlineStr">
        <is>
          <t>Machine Learning Engineer</t>
        </is>
      </c>
      <c r="C18" t="inlineStr">
        <is>
          <t>Data Capital Incorporation</t>
        </is>
      </c>
      <c r="D18" t="inlineStr">
        <is>
          <t>linkedin</t>
        </is>
      </c>
      <c r="E18" t="inlineStr"/>
      <c r="F18" t="inlineStr"/>
      <c r="G18" t="inlineStr"/>
      <c r="H18" t="inlineStr"/>
      <c r="I18" t="inlineStr">
        <is>
          <t>**Required Skills:** 
* 5\+ years of experience in ML Engineering or Applied Machine Learning.
* Strong Python skills and hands\-on experience with ML libraries (e.g., scikit\-learn, XGBoost, PyTorch, TensorFlow).
* Proficient with Databricks, MLflow, and PySpark.
* Solid understanding of model lifecycle and MLOps practices.
* Experience with AWS\-based data infrastructure and related DevOps practices.
* Demonstrated ability to productionize models and integrate with business system
* Strong understanding of mathematics and statistics relevant to machine learning and AI.
* Proven experience with machine learning models and algorithms (supervised, unsupervised, deep learning, etc.).
* Solid background in software engineering principles and best practices.
* Hands\-on experience with model training frameworks (e.g., TensorFlow, PyTorch, Hugging Face).
* Experience with MLOps tools and workflows, particularly on AWS (SageMaker, Lambda, S3, etc.).
* Practical experience with LLMs, RAGs, and AI agent architectures.
* Proficiency with the Databricks platform for data engineering and ML pipelines.
* Advanced programming skills in Python.
* Excellent communication and teamwork abilities.
**Preferred Skills:** 
* Experience building and deploying interactive UIs for AI models using Streamlit, Gradio, or similar frameworks for rapid prototyping and real\-time model interactions
* Business acumen and ability to align AI solutions with organizational goals.
* Optimize compute and storage resources for performance and cost\-efficiency.
**Role and Responsibilities** 
 Model Development
* Collaborate with data scientists and SMEs to develop ML models using curated datasets.
* Conduct experiments, prototypes, and proof\-of\-concepts to validate model performance.
* Create scalable and reusable training pipelines using Databricks notebooks and MLflow.
 Implementation and Optimisation
* LLMs (Large Language Models), RAGs, and AI agent systems for various business applications. Deployment \&amp; MLOps
* Operationalize models with robust CI/CD workflows.
* Deploy models usingMLflow, SageMaker, or custom APIs.
* Monitor production models for accuracy, drift, and latency; manage retraining schedules.
 Data Integration \&amp; Architecture Alignment
* Work closely with Data Engineering to align ML pipelines with the Bronze, Silver, Gold layers of a Medallion Architecture.
* Engineer high\-quality features and maintain training/inference pipelines.
 Cloud and Platform Engineering
* Leverage AWS services including S3, EC2, Lambda, SageMaker, and Step Functions.
 Collaboration \&amp; Documentation
* Document ML artifacts, processes, and performance outcomes.
* Contribute to agile project ceremonies and maintain a feedback loop with stakeholders.
* Share knowledge and mentor junior team members.</t>
        </is>
      </c>
    </row>
    <row r="19">
      <c r="A19" t="inlineStr">
        <is>
          <t>li-4342719595</t>
        </is>
      </c>
      <c r="B19" t="inlineStr">
        <is>
          <t>AI Engineer</t>
        </is>
      </c>
      <c r="C19" t="inlineStr">
        <is>
          <t>Best Buy</t>
        </is>
      </c>
      <c r="D19" t="inlineStr">
        <is>
          <t>linkedin</t>
        </is>
      </c>
      <c r="E19" t="inlineStr"/>
      <c r="F19" t="inlineStr"/>
      <c r="G19" t="inlineStr">
        <is>
          <t>Minneapolis, MN</t>
        </is>
      </c>
      <c r="H19" t="inlineStr"/>
      <c r="I19" t="inlineStr">
        <is>
          <t>As a Machine Learning Engineer, you’ll help shape the future of AI at Best Buy. You’ll work on real\-world problems that impact millions of customers, using your skills in machine learning and software engineering to build smart, scalable solutions. This is a hands\-on role where you’ll collaborate across teams, dive deep into data, and bring innovative ideas to life. If you love solving complex challenges and want to make a meaningful impact, this is the role for you.
 This role is hybrid, which means you will work some days at our corporate office in Richfield, Minnesota, and some days virtually from home or another non\-Best Buy location. The specific work arrangements vary by role and team. The recruiter or hiring manager will provide more details during the hiring process.
**What You’ll Do**
* Designing and developing large\-scale AI solutions leveraging state\-of\-the\-art techniques
* Utilizing broad and deep knowledge of machine learning and software engineering to contribute to the roadmap of Best Buy’s core AI capabilities
* Building real products that influence and enhance the lives of millions of people and drive and deliver tens of millions of dollars in impact to Best Buy’s bottom line
* Optimizing inference latency to enable real\-time ML serving for millions of Best Buy customers daily
* Working with both the ML Science and Data Engineering teams to design the training/serving data schema for input features as well as Request/Response data contracts during inference.
**Basic Qualifications**
* Bachelor’s degree in Computer Science, Engineering, Math, or related field (or equivalent experience)
* 3 years of experience in ML/AI, data engineering, or software development
* 3 years of experience building, deploying, and serving real\-time ML/AI models with ultra\-low latency and high throughput, as resilient, scalable, cloud native services
* 2 years of experience building data engineering pipelines, ML/AI driven products or other related functions (e.g. software engineering, data science)
* 2 years of Python and SQL skills
* 2 years of experience in software design, test\-driven development, and implementation using a general\-purpose programming language (e.g., Python, Scala, Rust, C\+\+, etc.)
* Solid understanding of supervised/unsupervised learning, deep learning, and Gen AI
**Preferred Qualifications**
* Master’s degree in a quantitative field plus 2 years experience in ML/AI
* 5 years of professional experience
* Experience with GCP, AWS, or multi\-cloud setups
* Familiarity with TensorFlow, PyTorch, MLFlow, Vertex AI, or similar tools
* Experience with CI/CD pipelines and GitHub actions
* Open source contributions or a strong GitHub portfolio
**What’s In It For You**
 We’re committed to helping our people thrive at work and at home. We offer generous benefits that support your total well\-being and provide help when you need it most.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 — 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Machine Learning Scientist, Location: Minneapolis, MN \- 55423</t>
        </is>
      </c>
    </row>
    <row r="20">
      <c r="A20" t="inlineStr">
        <is>
          <t>li-4240393406</t>
        </is>
      </c>
      <c r="B20" t="inlineStr">
        <is>
          <t>Senior Machine Learning Engineer</t>
        </is>
      </c>
      <c r="C20" t="inlineStr">
        <is>
          <t>Cresta</t>
        </is>
      </c>
      <c r="D20" t="inlineStr">
        <is>
          <t>linkedin</t>
        </is>
      </c>
      <c r="E20" t="inlineStr"/>
      <c r="F20" t="inlineStr"/>
      <c r="G20" t="inlineStr"/>
      <c r="H20" t="inlineStr"/>
      <c r="I20"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and co\-founder, Tim Shi, an early member of Open AI.
 Join us on this thrilling journey to revolutionize the workforce with AI. The future of work is here, and it's at Cresta.
**About The Role**
 At Cresta, we are dedicated to building state\-of\-the\-art Machine Learning systems that leverage Large Language Models (LLMs), Retrieval\-Augmented Generation (RAG), and other AI techniques to power our products. Our team develops models and platforms that process complex data, extract meaning, and deliver real\-time, actionable intelligence at scale. By combining cutting\-edge research with scalable engineering, we enable organizations to make data\-driven decisions and unlock the full potential of AI in their workflows.A key focus of this role is designing and developing agentic AI workflows that empower users to dynamically interact with machine learning systems, refining and guiding the discovery process in an iterative and interactive manner. You will also design and implement evaluation frameworks to assess model performance, reliability, and usability in real\-world applications. Our goal is to provide intelligent, context\-aware AI systems—enhanced by RAG techniques—that deliver accurate insights, adapt to user needs, and integrate seamlessly into enterprise applications.As a Machine Learning Engineer, you will be at the forefront of applying modern ML and NLP techniques to solve complex challenges. Your work will focus on building robust, scalable AI solutions, developing RAG\-powered systems, evaluating LLMs, and creating real\-time, agent\-driven workflows that bring AI into the hands of our customers in powerful and intuitive ways.
**Responsibilities**
* Build and optimize agentic AI workflows that enable users to dynamically interact with and refine outputs from ML systems.
* Research and implement advanced ML and NLP techniques, including transformer\-based models, embeddings, and retrieval\-augmented generation.
* Develop evaluation frameworks to assess accuracy, robustness, and usability of ML/LLM models in production environments.
* Design, train, and deploy machine learning models for tasks such as classification, entity identification, information extraction, retrieval, topic discovery, and structured insight generation.
* Architect and optimize RAG pipelines for grounding LLMs with enterprise data to ensure accuracy and reliability.
* Collaborate with engineers, UX designers, and product managers to integrate AI\-driven capabilities into Cresta’s platform.
* Optimize ML pipelines and data processing systems to operate efficiently at scale.
**Qualifications We Value**
* Master’s or Ph.D. in Computer Science, Machine Learning, AI, or a related field.
* 5\+ years of hands\-on experience building and deploying ML models in production.
* Strong knowledge of ML frameworks and NLP libraries (e.g., PyTorch, TensorFlow, Hugging Face, spaCy, NLTK).
* Solid experience with modern ML techniques including transformer architectures, embeddings, retrieval systems, and large\-scale model training.
* Experience designing and deploying Retrieval\-Augmented Generation pipelines for enterprise use cases.
* Familiarity with evaluation and benchmarking frameworks for ML/LLM models.
* Strong passion for AI\-driven innovation, with a proven ability to deliver impactful, production\-grade solutions.
**Perks \&amp; Benefits**
* We offer Cresta employees a variety of medical, dental, and vision plans, designed to fit you and your family’s needs
* Paid parental leave to support you and your family
* Monthly Health \&amp; Wellness allowance
* Work from home office stipend to help you succeed in a remote environment
* Lunch reimbursement for in\-office employees
* PTO: 3 weeks in Canada
 Compensation for this position includes a base salary, equity, and a variety of benefits. Actual base salaries will be based on candidate\-specific factors, including experience, skillset, and location, and local minimum pay requirements as applicable. We are actively hiring for this role in the US and Canada. Your recruiter can provide further details.
 This posting will be used to fill a newly\-created role.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21">
      <c r="A21" t="inlineStr">
        <is>
          <t>li-4251319178</t>
        </is>
      </c>
      <c r="B21" t="inlineStr">
        <is>
          <t>AI Engineer</t>
        </is>
      </c>
      <c r="C21" t="inlineStr">
        <is>
          <t>PepsiCo</t>
        </is>
      </c>
      <c r="D21" t="inlineStr">
        <is>
          <t>linkedin</t>
        </is>
      </c>
      <c r="E21" t="inlineStr"/>
      <c r="F21" t="inlineStr"/>
      <c r="G21" t="inlineStr">
        <is>
          <t>Chicago, IL</t>
        </is>
      </c>
      <c r="H21" t="inlineStr"/>
      <c r="I21"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2">
      <c r="A22" t="inlineStr">
        <is>
          <t>li-4326432230</t>
        </is>
      </c>
      <c r="B22" t="inlineStr">
        <is>
          <t>Perception Machine Learning Engineer – ADAS</t>
        </is>
      </c>
      <c r="C22" t="inlineStr">
        <is>
          <t>Lucid Motors</t>
        </is>
      </c>
      <c r="D22" t="inlineStr">
        <is>
          <t>linkedin</t>
        </is>
      </c>
      <c r="E22" t="inlineStr"/>
      <c r="F22" t="inlineStr"/>
      <c r="G22" t="inlineStr">
        <is>
          <t>Southfield, MI</t>
        </is>
      </c>
      <c r="H22" t="inlineStr"/>
      <c r="I2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Leading the Future in Luxury Electric Mobility
 At Lucid Motors, we aim to redefine the automotive experience by creating the most captivating, luxury electric vehicles that elevate human experience and push the boundaries of space, performance, and intelligence. Our vehicles are designed to be intuitive, liberating, and engineered for the future of mobility.
 We are committed to leading this new era of luxury electric mobility by returning to the fundamentals of great design — where every decision we make serves both the individual and the environment. Free from the constraints of convention, we empower you to define your own experience.
 Join a team of some of the most accomplished minds in the industry. In addition to competitive salaries, we offer a collaborative environment where innovators can make an immediate and meaningful impact. If you are passionate about building a better, more sustainable future, Lucid Motors is the place for you.
 Role and Responsibilities
* Develop and optimize perception algorithms for autonomous driving systems using camera and LiDAR data.
* Design and implement cutting\-edge deep learning algorithms for 2D/3D object detection, segmentation, tracking, and multi\-task learning.
* Research and integrate BEV\-based transformer models for perception tasks.
* Collaborate with cross\-functional teams to ensure seamless integration and robust implementation.
* Test, release, and deploy perception algorithms into Lucid production programs.
* Support validation and verification of perception algorithms using prototype and pre\-production vehicles.
* Propose innovative software algorithms to enhance future autonomous driving capabilities.
**Required Qualifications**
* Strong theoretical foundations and expertise in deep learning algorithms, including object detection, tracking, and segmentation.
* Proficient in Python with a focus on clean, efficient, and scalable software development.
* Comfortable working with large codebases and debugging complex machine learning models.
* Experience with PyTorch or other ML frameworks (e.g., TensorFlow, MXNet).
* Ability to design and construct evaluation pipelines to unit\-test ML models under diverse conditions and environments.
* Excellent communication skills and a strong team player.
* Bachelor’s degree in Computer Engineering, Electrical Engineering, Automotive Engineering, Mechanical Engineering, or a related field.
* Minimum of 3 years of relevant work experience, or a Ph.D. in a related field for a senior position.
* Advanced degrees are preferred.
**Preferred Qualifications**
* Experience developing BEV transformer models for perception.
* Proficiency in C\+\+ with experience writing efficient, maintainable code.
* Practical, hands\-on approach to solving complex problems in autonomous driving.
* Experience in testing and validating perception systems in real\-world conditions.
* Experience working in agile development teams.
* Expertise in component and system integration, testing, and verification at the system and vehicle levels.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23">
      <c r="A23" t="inlineStr">
        <is>
          <t>li-4364627957</t>
        </is>
      </c>
      <c r="B23" t="inlineStr">
        <is>
          <t>Senior AI Engineer</t>
        </is>
      </c>
      <c r="C23" t="inlineStr">
        <is>
          <t>Paper</t>
        </is>
      </c>
      <c r="D23" t="inlineStr">
        <is>
          <t>linkedin</t>
        </is>
      </c>
      <c r="E23" t="inlineStr"/>
      <c r="F23" t="inlineStr"/>
      <c r="G23" t="inlineStr"/>
      <c r="H23" t="inlineStr"/>
      <c r="I23" t="inlineStr">
        <is>
          <t>We are seeking a Senior AI Engineer to design, develop, and operationalize the first B2B In\-Classroom Tutor AI. Using cutting\-edge AI solutions that power critical product features across our platform. You’ll work hands\-on across the full machine learning lifecycle. From experimentation to deployment, you will be helping to shape the future of AI at scale for millions of learners and educators.
 In this role, you’ll collaborate closely with Product, Data, and Engineering teams to build both trained (supervised and unsupervised) and prompt\-based AI systems . You’ll balance technical depth with creativity, ensuring that our AI implementations are effective, scalable, and responsible.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**Key Responsibilities**
* AI Solution Development: Design, implement, and deploy AI\-powered features, including model training, fine\-tuning, and prompt engineering workflows (e.g., leveraging LLMs and multi\-modal architectures).
* Collaboration \&amp; Delivery: Work cross\-functionally with Product Managers, Software Engineers, and Data Scientists to translate product requirements into robust, production\-ready AI solutions.
* Technical Execution: Own the end\-to\-end lifecycle of AI initiatives—from data manipulation and model experimentation to deployment, monitoring, and continuous improvement.
* Performance \&amp; Reliability: Optimize models and infrastructure for scalability, latency, and cost efficiency. Partner with DevOps and MLOps to ensure reliable and maintainable AI pipelines.
* Innovation \&amp; Research: Stay current with the latest AI advancements (e.g., LLMs, RAG, multi\-modal models) and drive rapid experimentation to identify opportunities for impactful innovation.
**What We're Looking For**
**Experience:**
* Bachelor’s or Master’s degree in Computer Science, Engineering, Statistics, or related field.
* 5\+ years of experience developing production\-grade AI/ML systems.
* Proven success delivering both trained (supervised, unsupervised, etc.) and prompt\-based (LLM\-powered, few\-shot, etc.) solutions.
* Experience evaluating and monitoring model performance with robust testing and validation protocols.
**Technical Skills:**
* Strong programming skills in Python and experience with frameworks such as PyTorch, TensorFlow, Hugging Face, LangChain, or OpenAI APIs.
* Deep understanding of the full ML lifecycle—data pipelines, model training, inference, and monitoring.
* Experience operationalizing LLMs and prompt\-engineering workflows.
* Familiarity with distributed systems and cloud infrastructure for AI workloads (e.g., AWS, GCP, Azure).
* Experience with multi\-modal or retrieval\-augmented generation (RAG) systems is a plus.
* Collaboration \&amp; Impact:
* Excellent communication and collaboration skills; able to work effectively in cross\-functional environments.
* Strong problem\-solving abilities with a focus on translating complex AI concepts into real\-world product value.
* Proactive, detail\-oriented, and driven by continuous learning and experimentation.
****Preferred:****
* Experience in EdTech or education\-related products.
* Familiarity with regulatory or ethical considerations in ML model development and evaluation.
*The annual salary range for this position is $160,000 \- $190,000 USD or $145,000 \- $170,000 CAD, plus equity. Please note that the final offer amount is determined by multiple factors, including geographic location as well as candidate experience, and may vary from the amounts listed above .*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R\-100312</t>
        </is>
      </c>
    </row>
    <row r="24">
      <c r="A24" t="inlineStr">
        <is>
          <t>li-4364329681</t>
        </is>
      </c>
      <c r="B24" t="inlineStr">
        <is>
          <t>Applied AI Engineer</t>
        </is>
      </c>
      <c r="C24" t="inlineStr">
        <is>
          <t>Open Select Rec</t>
        </is>
      </c>
      <c r="D24" t="inlineStr">
        <is>
          <t>linkedin</t>
        </is>
      </c>
      <c r="E24" t="inlineStr"/>
      <c r="F24" t="inlineStr"/>
      <c r="G24" t="inlineStr">
        <is>
          <t>New York, United States</t>
        </is>
      </c>
      <c r="H24" t="inlineStr"/>
      <c r="I24" t="inlineStr">
        <is>
          <t>Location: New York City, NY (On\-site)
 Salary: Up to $325,000 \+ Equity
 Industry: AI / Enterprise Transformation
**What You’ll Drive** 
 Join a category\-defining AI transformation company backed by General Catalyst ’s multi\-billion\-dollar investment infrastructure. Drive AI adoption across critical industries (healthcare, manufacturing, energy) by embedding deeply with enterprise clients like a $2 billion hospital system. Deliver real\-world impact by building and shipping production\-grade AI agents and workflows that transform businesses at scale.
**What You’ll Focus On** 
* Collaborate with customer executives and operators to define AI strategy and transformation roadmaps
* Identify high\-value AI use cases that link ambition to measurable business outcomes
* Rapidly build, deploy, and iterate AI solutions in real\-world environments
* Evolve and enhance core product features based on client engagement learnings
**Who You Are** 
* 0\-6\+ years in AI\-focused software engineering
* Background at well\-known, high\-growth startups (building 0 to 1\)
* Experience in leadership or mentoring roles while remaining hands\-on, is a plus
* Proven history of building and deploying production LLM\-powered systems
* Bachelor’s degree in Computer Science from Top 20 University
* Understanding with LLM tooling (LangGraph, Mastra, Agents SDK); strong technical foundation in Python, TypeScript, cloud deployment, and DevOps tools
* Strong customer\-facing experience; comfortable delivering customized coding solutions for clients
**Tech Stack** 
 Python, TypeScript, AWS, GCP, Azure, LLM tooling (LangGraph, Mastra, Agents SDK), RAG pipelines, Human\-in\-the\-loop systems
**Why You’ll Thrive Here** 
* Access to one of the largest venture investment funds driving AI innovation with virtually unlimited capital
* Work directly with top\-tier Fortune 500 clients and government agencies leading AI modernization
* Collaborate with world\-class researchers and product leaders from organizations like MIT, Palantir, and Meta FAIR
* Join an ambitious team scaling rapidly from 30 to 100\+ employees in a critical growth phase
* Competitive compensation, comprehensive benefits, and relocation support
* Thrive in a mission\-driven culture focused on responsible AI and meaningful enterprise impact
* Opportunity to shape the future of applied AI across multiple industries with a uniquely embedded engineering role
***Open to US citizens, Green Card Holders \&amp; TN visa holders only.***</t>
        </is>
      </c>
    </row>
    <row r="25">
      <c r="A25" t="inlineStr">
        <is>
          <t>li-4364259915</t>
        </is>
      </c>
      <c r="B25" t="inlineStr">
        <is>
          <t>AI/ML Engineer</t>
        </is>
      </c>
      <c r="C25" t="inlineStr">
        <is>
          <t>micro1</t>
        </is>
      </c>
      <c r="D25" t="inlineStr">
        <is>
          <t>linkedin</t>
        </is>
      </c>
      <c r="E25" t="inlineStr"/>
      <c r="F25" t="inlineStr"/>
      <c r="G25" t="inlineStr"/>
      <c r="H25" t="inlineStr"/>
      <c r="I25" t="inlineStr">
        <is>
          <t>**Job Title:** 
 AI/ML Engineer
**Job Type:** 
 Full\-Time, Contractual
**Job Summary:** 
 Join our customer’s team as an AI/ML Engineer,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6">
      <c r="A26" t="inlineStr">
        <is>
          <t>li-4353934101</t>
        </is>
      </c>
      <c r="B26" t="inlineStr">
        <is>
          <t>Gen AI Engineer- Full Time Role</t>
        </is>
      </c>
      <c r="C26" t="inlineStr">
        <is>
          <t>Visionary Innovative Technology Solutions LLC</t>
        </is>
      </c>
      <c r="D26" t="inlineStr">
        <is>
          <t>linkedin</t>
        </is>
      </c>
      <c r="E26" t="inlineStr"/>
      <c r="F26" t="inlineStr"/>
      <c r="G26" t="inlineStr">
        <is>
          <t>California, United States</t>
        </is>
      </c>
      <c r="H26" t="inlineStr"/>
      <c r="I26" t="inlineStr">
        <is>
          <t>**Role: Gen AI Engineer** 
**Location: CA (Onsite)** 
**Duration: Full Time** 
**Job Description:** 
 We are seeking a highly skilled and innovative AI Engineer to join our team and lead the development of intelligent AI agents and Retrieval\-Augmented Generation (RAG)\-based applications. This role is ideal for someone passionate about pushing the boundaries of applied AI, with hands\-on experience in building scalable, production\-grade Generative AI (GenAI) systems and advanced Copilot Studio agent capabilities.
**Key Responsibilities:** 
* Demonstrate advanced programming expertise, particularly in Python, with deep proficiency in AI\-centric libraries such as TensorFlow, PyTorch, and Hugging Face Transformers.
* Architect and implement Retrieval\-Augmented Generation (RAG) pipelines to enhance model performance using external knowledge sources, including document chunking, embedding generation, and retrieval systems.
* Design, develop, and deploy Custom AI agents capable of autonomous decision\-making and task execution using LLMs and multi\-modal models.
* Implement and manipulate complex algorithms essential for developing and optimizing generative AI models.
* Manage data pipelines involving data pre\-processing, augmentation, and synthetic data generation to enhance model training and performance.
* Ensure robust data handling practices including cleaning, labeling, and structuring datasets for generative AI workflows.
* Design MS Copilot Studio Agent Builder advanced skills, including custom plugin development, adaptive orchestration of multiple AI skills and APIs, contextual memory management, dynamic prompt engineering, and secure data handling.
* **Agent Orchestration:** 
 Build multi\-turn agents that adapt and chain AI skills and APIs.
* **Trigger Management:** 
 Configure message, data, scheduled, and webhook triggers.
* **Automation Workflow:** 
 Design workflows with Power Automate for task automation.
* **Flow Design:** 
 Create logical, scalable flows for complex business processes.
* **Tool Integration:** 
 Use Copilot’s built\-in connectors to integrate enterprise apps and services seamlessly.</t>
        </is>
      </c>
    </row>
    <row r="27">
      <c r="A27" t="inlineStr">
        <is>
          <t>li-4347449532</t>
        </is>
      </c>
      <c r="B27" t="inlineStr">
        <is>
          <t>Senior Machine Learning Engineer</t>
        </is>
      </c>
      <c r="C27" t="inlineStr">
        <is>
          <t>Parker B Associates</t>
        </is>
      </c>
      <c r="D27" t="inlineStr">
        <is>
          <t>linkedin</t>
        </is>
      </c>
      <c r="E27" t="inlineStr"/>
      <c r="F27" t="inlineStr"/>
      <c r="G27" t="inlineStr"/>
      <c r="H27" t="inlineStr"/>
      <c r="I27" t="inlineStr">
        <is>
          <t>Senior Machine Learning Engineer (No sponsorship available)
 New York
 Permanent
 €190,000 – €250,000
 Our client, a global financial services firm, is seeking a Senior Machine Learning Engineer to join the team permanently.
 Wouldn’t it be great to work on AI projects that actually have a big impact?
 This opportunity is to build advanced insurance capabilities across the enterprise and develop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across underwriting, claims, and risk management
* Translate complex concepts into actionable business insights
* Research and apply the latest advancements for continuous improvement
 Full job spec will be provided upon request.
 Skills/ Experience:
* Masters degree
* Background in data science \&amp; machine learning techniques
* Generative AI/ LLM \- bonus
* Python \&amp; SQL
* Developed end\-to\-end AI solutions
* Cloud expertise
 If interested or for further information, please apply asap.
 Keywords – Senior Data Scientist, Senior AI engineer, AI engineer, Senior ML Engineer,</t>
        </is>
      </c>
    </row>
    <row r="28">
      <c r="A28" t="inlineStr">
        <is>
          <t>li-4326351279</t>
        </is>
      </c>
      <c r="B28" t="inlineStr">
        <is>
          <t>Associate AI Engineer</t>
        </is>
      </c>
      <c r="C28" t="inlineStr">
        <is>
          <t>Lenovo</t>
        </is>
      </c>
      <c r="D28" t="inlineStr">
        <is>
          <t>linkedin</t>
        </is>
      </c>
      <c r="E28" t="inlineStr"/>
      <c r="F28" t="inlineStr"/>
      <c r="G28" t="inlineStr">
        <is>
          <t>North Carolina, United States</t>
        </is>
      </c>
      <c r="H28" t="inlineStr"/>
      <c r="I28"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Lenovo is seeking a highly motivated AI Engineer to contribute to the design, development, and exploration of our next\-generation AI systems. As an ML Model Training AI Engineer, you You will design, build, and scale agentic AI systems: multi\-step agents, orchestration layers for LLMs and tools, and the surrounding infrastructure that lets foundation models safely interact with real products and users. This is an exciting opportunity to gain hands\-on experience with cutting\-edge AI systems while collaborating with experienced engineers, researchers, and product teams to help advance Lenovo’s Hybrid AI vision and make Smarter Technology for All.
**Key Responsibilities**
* Build agentic AI workflows Design and implement multi\-step AI agents that can plan, call tools/APIs, reason over intermediate results, and complete complex tasks end\-to\-end.
* Develop orchestration layers Implement services that route and coordinate calls between foundation models, tools, data sources, and other agents (e.g., planners, executors, evaluators).
* Design context and memory management Help design and implement strategies for managing context and “memory” across interactions (e.g., chunking, retrieval, long\-context handling, and stateful workflows), so agents can work over large and evolving information.
* Prototype and productionize Take ideas from notebook\-level prototypes to robust, observable, production\-ready systems, including APIs, services, and internal tools.
* Work with foundation models Fine\-tune, adapt, and post\-train large models (e.g., instruction\-tuning, RAG, tool\-use finetuning, preference optimization) in collaboration with senior ML engineers.
* Experiment and evaluate Design experiments, build evaluation harnesses, and analyze metrics to compare different prompts, policies, and agent strategies.
* Engineer for reliability and safety Contribute to guardrails, monitoring, and fallback strategies so agentic systems behave predictably and safely in real user environments.
* Collaborate across disciplines Work closely with product, research, and platform teams to understand real use cases and ship features that solve concrete user problems.
* Continuously learn new tools frameworks Ramp quickly on new agent frameworks, libraries, and infrastructure as the ecosystem evolves.
**Qualifications**
* Bachelor’sdegree in Computer Science, Computer Engineering, or a closely related technical field (e.g., EE, Math, Statistics, Physics) with a strong computing/programming focus.
* Strong programming experience in Python.
* Solid CS fundamentals: data structures, algorithms, complexity, concurrency.
* Experience building and debugging non\-trivial software systems (class projects, internships, research code, or open\-source).
* Coursework or project experience in machine learning or deep learning (e.g., supervised learning, optimization, neural networks).
* Familiarity with at least one modern ML framework such as PyTorch, TensorFlow, or JAX.
* Conceptual understanding of large language models (LLMs) or other foundation models (what they are, common use cases, limitations).
* Experience using LLMs via APIs (e.g., OpenAI, Anthropic, etc.) or open\-source models for a project, internship, or research.
* Demonstrated ability to quickly learn new tools, libraries, and frameworks.
* Strong analytical and debugging skills; comfortable working with incomplete or noisy real\-world data.
* Clear written and verbal communication skills.
* Ability to work effectively in a team setting: code reviews, design discussions, and cross\-functional collaboration.
* This position is NOT ELIGIBLE FOR VISA SPONSORSHIP, including Optional Practical Training (OPT) or Curricular Practical Training (CPT). All applicants must be currently authorized to work in the United States for any employer.
**Bonus Points**
* Projects involving agents, tool use, RAG, or workflow/orchestration frameworks (e.g., LangChain, LlamaIndex, custom planners/executors).
* Exposure to context and memory mechanisms: retrieval/vector stores, long\-context handling, or session/state management for LLM applications.
* Experience with foundation model fine\-tuning or parameter\-efficient methods (e.g., LoRA), or post\-training techniques (e.g., instruction\-tuning, preference optimization).
* Backend experience: building APIs/services, working with cloud platforms and containerization (e.g., Docker), and basic MLOps (logging, monitoring, experiment tracking).
* Notable ML/AI projects, open\-source contributions, or research in ML, NLP, RL, or systems for ML.
 \#LATC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29">
      <c r="A29" t="inlineStr">
        <is>
          <t>li-4364840010</t>
        </is>
      </c>
      <c r="B29" t="inlineStr">
        <is>
          <t>Software AI Engineer</t>
        </is>
      </c>
      <c r="C29" t="inlineStr">
        <is>
          <t>micro1</t>
        </is>
      </c>
      <c r="D29" t="inlineStr">
        <is>
          <t>linkedin</t>
        </is>
      </c>
      <c r="E29" t="inlineStr"/>
      <c r="F29" t="inlineStr"/>
      <c r="G29" t="inlineStr"/>
      <c r="H29" t="inlineStr"/>
      <c r="I29" t="inlineStr">
        <is>
          <t>**Job Title:** 
 Software Engineer
**Job Type:** 
 Full\-time, Contractual
**Job Summary:** 
 Join our customer’s team as a Software Engineer, where you will build, optimize, and integrate cutting\-edge AI\-powered applications. This is a unique opportunity to leverage large language models and Retrieval\-Augmented Generation (RAG) while working with frontier AI platforms and secure cloud solutions. Help shape the next era of intelligent software in a collaborative, high\-impact environment.
**Key Responsibilities:** 
* Design, implement, and maintain scalable APIs and backend systems leveraging Python and RESTful services.
* Develop and integrate advanced LLM and RAG solutions, utilizing frameworks like LangGraph and LangChain for agentic, multi\-agent orchestration.
* Work with leading AI platforms including Anthropic for Gov, OpenAI Enterprise, Gemini Enterprise, and Grok Enterprise.
* Deploy, monitor, and optimize solutions on secure cloud infrastructures, such as AWS GovCloud, Google GovCloud, Azure IL5\+, and Vertex AI.
* Build robust data pipelines, manage metadata catalogs, and ensure secure data handling using ETL and MCP methodologies.
* Champion best practices in CI/CD pipelines, SDK integration, and secure coding for scalable codebases.
* Collaborate cross\-functionally, demonstrating exemplary written and verbal communication skills to document and present technical solutions.
**Required Skills and Qualifications:** 
* Proven experience with large language models (LLMs), Retrieval\-Augmented Generation (RAG), and prompt engineering.
* Strong development skills with Python, focusing on backend API development and SDK integration.
* Hands\-on expertise with AWS, particularly AWS GovCloud and AWS Bedrock services.
* Experience with agentic AI tools such as LangGraph, LangChain, and multi\-agent orchestration systems.
* Knowledge of cloud platforms including Google GovCloud, Azure IL5\+, and Vertex AI.
* Solid understanding of data ontologies, metadata management, and building ETL pipelines.
* Exceptional written and verbal communication skills are a must.
**Preferred Qualifications:** 
* Background in secure coding practices for government or regulated environments.
* Direct experience working with enterprise AI solutions such as OpenAI Enterprise or Anthropic for Gov.
* Familiarity with CI/CD automation in complex, hybrid cloud environments.</t>
        </is>
      </c>
    </row>
    <row r="30">
      <c r="A30" t="inlineStr">
        <is>
          <t>li-4362050653</t>
        </is>
      </c>
      <c r="B30" t="inlineStr">
        <is>
          <t>AI Engineer</t>
        </is>
      </c>
      <c r="C30" t="inlineStr">
        <is>
          <t>Banavo.AI</t>
        </is>
      </c>
      <c r="D30" t="inlineStr">
        <is>
          <t>linkedin</t>
        </is>
      </c>
      <c r="E30" t="inlineStr"/>
      <c r="F30" t="inlineStr"/>
      <c r="G30" t="inlineStr"/>
      <c r="H30" t="inlineStr"/>
      <c r="I30" t="inlineStr">
        <is>
          <t>**AI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t>
        </is>
      </c>
    </row>
    <row r="31">
      <c r="A31" t="inlineStr">
        <is>
          <t>li-4341825663</t>
        </is>
      </c>
      <c r="B31" t="inlineStr">
        <is>
          <t>Machine Learning Engineer - LLMs &amp; Generative AI</t>
        </is>
      </c>
      <c r="C31" t="inlineStr">
        <is>
          <t>Truveta</t>
        </is>
      </c>
      <c r="D31" t="inlineStr">
        <is>
          <t>linkedin</t>
        </is>
      </c>
      <c r="E31" t="inlineStr"/>
      <c r="F31" t="inlineStr"/>
      <c r="G31" t="inlineStr"/>
      <c r="H31" t="inlineStr"/>
      <c r="I31" t="inlineStr">
        <is>
          <t>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inspired people with a special combination of health, software and big data experience who share our company values.
**This position is based out of our headquarters in the Greater Seattle area.**
**Who We Need**
 Truveta is building a diverse and inclusive team to tackle complex health and technical challenges. We are seeking enthusiastic new graduates who are problem\-solvers, collaborative teammates, and eager to make a difference in healthcare. If you’re excited about purposeful work, joining a mission\-driven team, and launching your career in a supportive environment, Truveta could be the perfect place to start.
**This Opportunity**
 We are looking for a Machine Learning Engineer with a deep background in generative AI, large language models (LLMs), and reinforcement learning techniques to build the next generation of AI systems for trustworthy healthcare. This role offers a unique opportunity to build foundational models trained on vast clinical data and drive innovation in a highly meaningful domain.
**Responsibilities**
* Lead the development, training, and deployment of large language and multimodal foundation models tailored to clinical and biomedical domains.
* apply and refine state\-of\-the\-art techniques such as supervised fine\-tuning (SFT), reinforcement learning\-based methods (e.g., RLHF, RLVR), parameter\-efficient fine\-tuning (PEFT), prompt tuning, and retrieval\-augmented generation (RAG).
* Collaborate cross\-functionally with researchers, clinicians, and engineers to design ML\-driven solutions that improve healthcare delivery and outcomes.
* Build scalable infrastructure for distributed training of large models (TPU/GPU clusters, multi\-node orchestration).
* Design and evaluate models for robustness, bias mitigation, factual consistency, and explainability in healthcare contexts.
* Stay current with the latest research in generative AI and contribute back to the community through publications and open\-source initiatives.
**Minimum Qualifications**
* 6\+ years of experience in software engineering or machine learning (3\+ years with a PhD).
* Experience designing and training LLMs or large\-scale generative models (e.g., GPT, PaLM, LLaMA, Claude, Gemma).
* Deep expertise in NLP, sequence modeling, and transformer architectures.
* Proficient in Python and ML libraries such as PyTorch or TensorFlow; strong engineering skills in building scalable ML pipelines.
* Experience with RL\-based fine\-tuning (e.g., Reinforcement Learning from Human Feedback) and evaluation of generative systems.
* Proven ability to lead technical projects and collaborate across teams.
* Bachelor's degree in Computer Science, Engineering, or a related technical field
**Preferred Qualifications**
* PhD or equivalent experience in Machine Learning, NLP, AI, or a related field.
* Experience in healthcare, biomedical informatics, or clinical data modeling.
* Familiarity with multi\-modal foundation models (e.g., text\-image, text\-structured data) and cross\-modal alignment techniques.
* Hands\-on experience with vector databases, semantic search, and retrieval\-based generation
* Publications in top\-tier ML conferences (NeurIPS, ICML, ACL, EMNLP, ICLR, etc.).
* Experience building trustworthy AI systems and applying model interpretability, fairness, and safety frameworks.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Interesting and meaningful work for every career stage
* Great benefits package
* Comprehensive benefits with strong medical, dental and vision insurance plans
* 401K plan
* Professional development \&amp; training opportunities for continuous learning
* Work/life autonomy via flexible work hours and flexible paid time off
* Generous parental leave
* Regular team activities (virtual and in\-person)
* The base pay for this position is $155,000 to $175,000\. The pay range reflects the minimum and maximum target. Pay is based on several factors including location and may vary depending on job\-related knowledge, skills, and experience. Certain roles are eligible for additional compensation such as incentive pay and stock options.
*If you are based in California, we encourage you to read this important information for California residents* 
*linked* 
*here.*
 Truveta is committed to creating a diverse, inclusive, and empowering workplace. We believe that having employees, interns, and contractors with diverse backgrounds enables Truveta to better meet our mission and serve patients and health communities around the world. We recognize that opportunities in technology historically excluded and continue to disproportionately exclude Black and Indigenous people, people of color, people from working class backgrounds, people with disabilities, and LGBTQIA\+ people. We strongly encourage individuals with these identities to apply even if you don’t meet all of the requirements.
**Please note that all applicants must be authorized to work in the United States for any employer as we are unable to sponsor work visas or permits (e.g. F\-1 OPT, H1\-B) at this time. We appreciate your interest in the position and encourage you to explore future opportunities with us.**</t>
        </is>
      </c>
    </row>
    <row r="32">
      <c r="A32" t="inlineStr">
        <is>
          <t>li-4364618631</t>
        </is>
      </c>
      <c r="B32" t="inlineStr">
        <is>
          <t>AI Engineer</t>
        </is>
      </c>
      <c r="C32" t="inlineStr">
        <is>
          <t>Best Job Tool</t>
        </is>
      </c>
      <c r="D32" t="inlineStr">
        <is>
          <t>linkedin</t>
        </is>
      </c>
      <c r="E32" t="inlineStr"/>
      <c r="F32" t="inlineStr"/>
      <c r="G32" t="inlineStr"/>
      <c r="H32" t="inlineStr"/>
      <c r="I32" t="inlineStr">
        <is>
          <t>**About The Company**
 Cognizant is a global leader in technology consulting and digital transformation services, renowned for its innovative solutions and client\-centric approach. With a strong presence across North America, Europe, Asia, and other regions, Cognizant helps organizations across various industries to navigate the complexities of digital change. The company prides itself on fostering a collaborative work environment, emphasizing continuous learning, diversity, and inclusion. Cognizant’s commitment to excellence and its forward\-thinking strategies make it a preferred partner for businesses seeking to leverage technology for sustainable growth and competitive advantage.
**About The Role**
 We are seeking a dedicated and detail\-oriented professional to join our team in the role of \[Job Title]. This position offers an exciting opportunity to work on innovative projects that impact global clients across multiple sectors. The successful candidate will be responsible for delivering high\-quality solutions, collaborating with cross\-functional teams, and ensuring that project objectives are met within scope, budget, and timeline. This role requires a proactive mindset, excellent communication skills, and a strong commitment to client satisfaction. As part of our dynamic team, you will have the chance to develop your skills, contribute to impactful initiatives, and grow your career within a leading organization committed to excellence.
**Qualifications**
 The ideal candidate will possess a bachelor’s degree in Computer Science, Information Technology, or a related field. A minimum of \[X] years of relevant experience in \[specific area or technology] is preferred. Strong analytical and problem\-solving skills are essential, along with proficiency in \[relevant tools, programming languages, or platforms]. Excellent communication and interpersonal skills are required to effectively collaborate with team members and clients. Certifications such as \[relevant certifications] will be considered an advantage. The candidate should demonstrate adaptability, a proactive approach to learning, and a passion for technology\-driven solutions.
**Responsibilities**
* Collaborate with clients and internal teams to understand project requirements and translate them into technical solutions. \- Design, develop, and implement software applications or digital solutions aligned with project goals. \- Conduct thorough testing and debugging to ensure the quality and functionality of deliverables. \- Maintain comprehensive documentation of processes, code, and project updates. \- Provide technical support and troubleshooting during and after project deployment. \- Stay updated with the latest industry trends, tools, and best practices to continually improve project outcomes. \- Participate in project planning, status meetings, and review sessions to ensure alignment and transparency. \- Assist in training and mentoring junior team members, fostering a collaborative team environment. \- Ensure compliance with company policies, security standards, and regulatory requirements.
**Benefits**
 Cognizant offers a competitive benefits package designed to support the well\-being and professional growth of its employees. This includes comprehensive health insurance plans, retirement savings options, paid time off, and flexible work arrangements. Employees have access to continuous learning and development programs, including certifications, workshops, and training sessions to enhance their skills. The company promotes a healthy work\-life balance and provides various employee engagement initiatives. Additionally, Cognizant offers performance\-based incentives, recognition programs, and opportunities for career advancement within a global network of professionals.
 Equal Opportunity
 Cognizant is an equal opportunity employer committed to fostering an inclusive environment for all employees. We do not discriminate based on race, color, religion, gender, gender identity or expression, sexual orientation, national origin, age, disability, or any other protected characteristic. We believe diversity drives innovation and excellence, and we are dedicated to providing equal employment opportunities to all qualified candidates. Our hiring practices are designed to promote fairness and transparency, ensuring that everyone has the opportunity to succeed and grow within our organization.</t>
        </is>
      </c>
    </row>
    <row r="33">
      <c r="A33" t="inlineStr">
        <is>
          <t>li-4350664575</t>
        </is>
      </c>
      <c r="B33" t="inlineStr">
        <is>
          <t>Senior Machine Learning Engineer I/II</t>
        </is>
      </c>
      <c r="C33" t="inlineStr">
        <is>
          <t>Rocket Lab</t>
        </is>
      </c>
      <c r="D33" t="inlineStr">
        <is>
          <t>linkedin</t>
        </is>
      </c>
      <c r="E33" t="inlineStr"/>
      <c r="F33" t="inlineStr"/>
      <c r="G33" t="inlineStr">
        <is>
          <t>Chantilly, VA</t>
        </is>
      </c>
      <c r="H33" t="inlineStr"/>
      <c r="I33" t="inlineStr">
        <is>
          <t>**About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MACHINE LEARNING ENGINEER I/II**
 Rocket Lab’s Optical Systems division solves mission\-critical space domain and Intelligence, Surveillance, and Reconnaissance (ISR) challenges for Department of Defense (DoD) and Intelligence Community (IC) customers. Our vision is to revolutionize the space\-based payload market with innovative and novel designs for space, terrestrial, and airborne environments. Building on more than 20 years of electro\-optical and infrared systems innovation from Geost, Optical Systems delivers solutions to the warfighter for responsive, scalable sensing solutions across all orbital domains.
 As a Senior Machine Learning Engineer I/II based at our Optical Systems sites in Chantilly, VA, you will have the opportunity to support Tranche 3 of the U.S. Space Development Agency's (SDA) Proliferated Warfighter Space Architecture (PWSA) by building deep learning neural networks for advanced Electro\-Optical (EO/IR) technology.
**What You’ll Get To Do**
* Collaborate with researchers on artificial intelligence, machine learning, and computer vision.
* Preform rapid prototyping and enhanced development to be integrated into operational systems.
* Contribute programming ability and experience to develop solutions for real\-world problems.
* Validate, tune, test, and deploy advanced neural networks and algorithms.
* Perform troubleshooting, bug fixes, and maintenance of existing and new code to ensure stability.
* Ability to support travel or off\-site work, as needed
 (Please note: this position can be hired at the Senior Machine Learning Engineer II or Senior Machine Learning Engineer I level)
**YOU’LL BRING THESE QUALIFICATIONS AS SENIOR MACHINE LEARNING ENGINEER I:**
* Bachelor’s degree in physics, astronomy, mathematics, computer science, electrical engineering, mechanical engineering or equivalent discipline with 5\-8 years of experience
* Experience in building deep learning neural network for computer vision, image processing, or video analysis
* Ability to obtain and maintain an U.S. Government Security Clearance
**YOU’LL BRING THESE QUALIFICATIONS AS SENIOR MACHINE LEARNING ENGINEER II:**
* Bachelor’s degree in physics, astronomy, mathematics, computer science, electrical engineering, mechanical engineering or equivalent discipline with 8\-12 years of experience
* Experience in building deep learning neural network for computer vision, image processing, or video analysis
* Ability to obtain and maintain an U.S. Government Security Clearance
**These Qualifications Would Be Nice To Have**
* Proficiency in C\+\+ or Python 3
* Experience with deep learning libraries (PyTorch and TensorFlow)
* Experience across the deep learning life cycle, including model selection, training, validation, testing, and deployment.
* Understanding of computer vision approaches, such as object detection, image segmentation, re\-Identification, tracking, and super resolution
* Machine learning experience with 3\-D data.
* Experience curating quality, real\-world datasets for training deep learning models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34">
      <c r="A34" t="inlineStr">
        <is>
          <t>li-4321165154</t>
        </is>
      </c>
      <c r="B34" t="inlineStr">
        <is>
          <t>Senior Machine Learning Engineer / Researcher (NYC)</t>
        </is>
      </c>
      <c r="C34" t="inlineStr">
        <is>
          <t>Medal</t>
        </is>
      </c>
      <c r="D34" t="inlineStr">
        <is>
          <t>linkedin</t>
        </is>
      </c>
      <c r="E34" t="inlineStr"/>
      <c r="F34" t="inlineStr"/>
      <c r="G34" t="inlineStr">
        <is>
          <t>New York, NY</t>
        </is>
      </c>
      <c r="H34" t="inlineStr"/>
      <c r="I34" t="inlineStr">
        <is>
          <t>**Job Title:** 
 Senior Machine Learning Engineer / Researcher
**Location:** 
 NYC or SF (On\-site)
**About Highlight AI**
 Highlight AI is a cutting\-edge desktop assistant designed to enhance productivity by seamlessly integrating with your workflow. We empower users to interact with any application using text and voice commands, eliminating the need to switch between tools. After raising a seed round from investors like Khosla Ventures, Sapphire Ventures, General Catalyst, Valor Equity, SV Angel, and Conviction Fund, we’re now in hypergrowth mode and expanding our team.
**The Role**
 As a Senior Machine Learning Engineer, you will drive the design, development, and deployment of advanced ML models and systems that power our core product features. You will collaborate closely with product, engineering, and data teams to translate research into production\-ready services, while also advancing our longer\-term R\&amp;D roadmap.
 This is a highly technical role for someone who’s excited to work at the intersection of desktop software, native development, and AI integration, and who thrives in a fast\-paced, collaborative environment.
*Note: this is an on\-site role, requiring five days a week in our NYC headquarters.*
**Job Responsibilities**
* Design and implement knowledge graph or memory systems to enable contextual retrieval, reasoning, and persistent knowledge for the core Highlight application
* Research, prototype and deploy state\-of\-the\-art machine learning text and OCR models (e.g., transformer architectures, computer vision, time series forecasting, reinforcement learning)
* Build pipelines for data ingestion, feature engineering, model training, evaluation, and deployment
* Work on productionizing models: monitoring, scalability, latency, retraining, A/B testing, and model lifecycle management
* Develop infrastructure and tooling to support ML experimentation and production (e.g., model serving, MLOps, observability)
* Collaborate with cross\-functional partners (product managers, software engineers, UX researchers) to integrate ML features into product flows
* Keep abreast of latest ML/AI research, propose novel approaches, publish (internally or externally) when appropriate
* Participate in architecture discussions \&amp; technical direction for ML/AI at the company
**Profile**
**Skills**
 We’re looking for someone who is interested in building the AI user experience for the future. We punch above our weight so we value extreme ownership, accountability, and proactiveness. The ideal candidate combines technical prowess with strong leadership skills. You might be a good fit if you have:
* A Master’s or PhD in Computer Science, Machine Learning, Statistics, Applied Math or equivalent experience.
+ Solid understanding of ML fundamentals: supervised \&amp; unsupervised learning, deep learning, model evaluation metrics, deployment, inference latency trade\-offs
+ Familiarity with knowledge representation and retrieval: building or leveraging knowledge graphs, embeddings, and memory systems to support contextual inference and long\-term model learning
* 5\+ years of hands\-on experience building machine learning models in production environments – we ship features fast, so we need someone who can keep up.
+ Experience deploying models at scale in production (AWS/GCP/Azure)
+ Experience with data engineering (ETL pipelines, feature stores, large datasets) and production\-grade MLOps (CI/CD, monitoring, retraining workflows)
* Bonus / preferred:
+ Published research or open\-source contributions
+ Experience with genAI (LLMs, diffusion models), computer vision, multimodal ML
+ Knowledge of prompt engineering, RAG, embeddings
* Ownership mentality (no task is too small for you) – it’s all hands on deck here and we need everyone rowing the boat.
* Deep understanding of system architecture and design patterns – we’re looking for someone who can hit the ground running day one.
* Excellent communication skills and a collaborative mindset – we’re extremely lean so we’re looking for a team player who works well with others.
* Type\-A tendencies: maybe you’re extremely detail\-oriented. Or maybe you take pride in shipping high\-quality products. Whatever it is you do, you give it your all.
* Must be based in or willing to relocate to NYC – although we’re flexible with days off \&amp; schedules, we have a 100% in\-office culture during the week.
 And even if you don’t fall neatly into any of these buckets, we’re looking for scrappy and motivated self\-starters above all. Hustle is expected, grit is required.
**Perks**
* Competitive salary and generous equity package
* Health, dental, and vision insurance
* Flexible PTO and parental leave
* Paid team lunches during the week
* Relocation package
 Compensation Range: $250K \- $300K</t>
        </is>
      </c>
    </row>
    <row r="35">
      <c r="A35" t="inlineStr">
        <is>
          <t>li-4350654485</t>
        </is>
      </c>
      <c r="B35" t="inlineStr">
        <is>
          <t>Senior Machine Learning Engineer I</t>
        </is>
      </c>
      <c r="C35" t="inlineStr">
        <is>
          <t>Rocket Lab</t>
        </is>
      </c>
      <c r="D35" t="inlineStr">
        <is>
          <t>linkedin</t>
        </is>
      </c>
      <c r="E35" t="inlineStr"/>
      <c r="F35" t="inlineStr"/>
      <c r="G35" t="inlineStr">
        <is>
          <t>Tucson, AZ</t>
        </is>
      </c>
      <c r="H35" t="inlineStr"/>
      <c r="I35" t="inlineStr">
        <is>
          <t>**About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MACHINE LEARNING ENGINEER I**
 Rocket Lab’s Optical Systems division solves mission\-critical space domain and Intelligence, Surveillance, and Reconnaissance (ISR) challenges for Department of Defense (DoD) and Intelligence Community (IC) customers. Our vision is to revolutionize the space\-based payload market with innovative and novel designs for space, terrestrial, and airborne environments. Building on more than 20 years of electro\-optical and infrared systems innovation from Geost, Optical Systems delivers solutions to the warfighter for responsive, scalable sensing solutions across all orbital domains.
 As a Senior Machine Learning Engineer I based at our Optical Systems sites in Tucson, AZ, you will have the opportunity to support Tranche 3 of the U.S. Space Development Agency's (SDA) Proliferated Warfighter Space Architecture (PWSA) by building deep learning neural networks for advanced Electro\-Optical (EO/IR) technology.
**What You’ll Get To Do**
* Collaborate with researchers on artificial intelligence, machine learning, and computer vision.
* Preform rapid prototyping and enhanced development to be integrated into operational systems.
* Contribute programming ability and experience to develop solutions for real\-world problems.
* Validate, tune, test, and deploy advanced neural networks and algorithms.
* Perform troubleshooting, bug fixes, and maintenance of existing and new code to ensure stability.
* Ability to support travel or off\-site work, as needed
**YOU’LL BRING THESE QUALIFICATIONS AS SENIOR MACHINE LEARNING ENGINEER I:**
* Bachelor’s degree in physics, astronomy, mathematics, computer science, electrical engineering, mechanical engineering or equivalent discipline with 5\-8 years of experience
* Experience in building deep learning neural network for computer vision, image processing, or video analysis
* Ability to obtain and maintain an U.S. Government Security Clearance
**These Qualifications Would Be Nice To Have**
* Proficiency in C\+\+ or Python 3
* Experience with deep learning libraries (PyTorch and TensorFlow)
* Experience across the deep learning life cycle, including model selection, training, validation, testing, and deployment.
* Understanding of computer vision approaches, such as object detection, image segmentation, re\-Identification, tracking, and super resolution
* Machine learning experience with 3\-D data.
* Experience curating quality, real\-world datasets for training deep learning models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36">
      <c r="A36" t="inlineStr">
        <is>
          <t>li-4351863320</t>
        </is>
      </c>
      <c r="B36" t="inlineStr">
        <is>
          <t>Senior Machine Learning Engineer</t>
        </is>
      </c>
      <c r="C36" t="inlineStr">
        <is>
          <t>Entrata</t>
        </is>
      </c>
      <c r="D36" t="inlineStr">
        <is>
          <t>linkedin</t>
        </is>
      </c>
      <c r="E36" t="inlineStr"/>
      <c r="F36" t="inlineStr"/>
      <c r="G36" t="inlineStr">
        <is>
          <t>Lehi, UT</t>
        </is>
      </c>
      <c r="H36" t="inlineStr"/>
      <c r="I36" t="inlineStr">
        <is>
          <t>Since its inception in 2003, driven by visionary college students transforming online rent payment, Entrata has evolved into a global leader serving property owners, managers, and residents. Honored with prestigious awards like the Utah Business Fast 50, Silicon Slopes Hall of Fame \- Software Company \- 2022, Women Tech Council Shatter List, our comprehensive software suite spans rent payments, insurance, leasing, maintenance, marketing, and communication tools, reshaping property management worldwide.
 Our 2200\+ global team members embody intelligence and adaptability, engaging actively from top executives to part\-time employees. With offices across Utah, Texas, India, Israel, and the Netherlands, Entrata blends startup innovation with established stability, evident in our transparent communication values and executive town halls. Our product isn't just desirable; it's industry essential. At Entrata, we passionately refine living experiences, uphold collective excellence, embrace boldness and resilience, and prioritize different perspectives, endeavoring to craft a better world to live in.
 We're looking for a Senior AI and Machine Learning Engineer to help design, build, and optimize our AI and ML delivery platform. This role sits at the center of our AI strategy and focuses on developing autonomous agentic systems, improving model performance, and partnering with cross functional teams to bring AI driven capabilities into production. You’ll influence the next generation of Entrata’s products and work with emerging technologies in a high impact environment.
**Responsibilities** 
* Build and deploy agentic AI systems that operate autonomously or semi autonomously, including goal driven agents capable of planning, learning, and adapting safely over time
* Optimize AI models for performance, scalability, and reliability
* Research, design, and deliver AI applications and algorithms that solve complex business problems
* Perform testing and validation to ensure quality, safety, and alignment with business requirements
* Partner with data scientists, engineers, and business stakeholders to scope, build, and integrate AI solutions
* Collect, preprocess, and analyze data to extract insights that inform AI development
* Stay current on AI research and identify opportunities to apply new technologies to Entrata products
**Minimum Qualifications** 
* 5 to 10 years of core software development experience
* 1 to 2 years of operational experience
* 3 or more years of experience building AI solutions
* Strong Python proficiency and solid software engineering fundamentals
* Strong AWS experience across ECS or EC2, SageMaker, Bedrock, and Lambda
* Experience with RAG, agentic workflows, LangGraph, prompt tuning, and evaluation
* Strong problem solving skills and the ability to think creatively
* Effective communication skills and the ability to collaborate with cross functional teams
**Preferred Qualifications** 
* Bachelor’s degree or higher in computer science or a related field
* Experience with Terraform Cloud or other infrastructure as code tools
* Experience integrating AI components into production systems
**Benefits:
**Flexible and transparent culture**
 with remote and hybrid work options, generous vacation time, and frequent company recharge days for work\-life balance.
**Comprehensive medical, dental, and vision coverage**
 , including fertility benefits, available for eligible employees and their families.
**HSA/FSA options**
 and employer\-paid disability benefits provided for eligible employees.
**Access to 401(k)**
 or similar retirement plans with employer matching for eligible employees, ensuring long\-term financial security.
 Wellness initiatives
**promoting physical and mental well\-being**
 , access to an onsite gym at HQ, mental health resources, wellness challenges, and employee assistance programs.
**Family\-centric leave policies**
 supporting new parents during significant life events.
 Entrata Cares programs offering
**opportunities for volunteerism, charity events, and giving back to our community**
 .
**Exclusive Previ cell phone plan**
 and discounts on services or local business partnerships for additional employee benefits.
 Bi\-annual
**swag drops**
 for employees
 Currently, Entrata hires in Arizona, Idaho, Utah, Wyoming, Texas, North Carolina, Florida, Georgia, South Carolina, Ohio, Pennsylvania, and Illinois for Exempt roles and Arizona, Idaho, Utah, Wyoming, Texas, North Carolina, and Florida for Non\-Exempt roles. If you choose to apply and do not live in one of these states, your application may be reviewed on a case\-by\-case basis and salary ranges will be provided if required by state law
 But members of the Entrata team aren’t just intelligent and ambitious, they’re the living embodiment of another core Value: “Excellent Alone, Better Together.” Entrata is dedicated to creating a workplace where a diverse and inclusive team thrives in an environment free from discrimination. We provide equal employment opportunity regardless of race, color, ancestry, religion, sex, national origin, sexual orientation, age, citizenship, marital status, disability, gender identity, protected veteran status, or any other applicable characteristics protected by law.
 It’s a great place to work! Will you join 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band covers the full salary range for the role. Your offer within this range will depend on factors like experience, skills, and internal equity.
 Level \- P4**</t>
        </is>
      </c>
    </row>
    <row r="37">
      <c r="A37" t="inlineStr">
        <is>
          <t>li-4331351394</t>
        </is>
      </c>
      <c r="B37" t="inlineStr">
        <is>
          <t>Staff Machine Learning Engineer</t>
        </is>
      </c>
      <c r="C37" t="inlineStr">
        <is>
          <t>Intuit</t>
        </is>
      </c>
      <c r="D37" t="inlineStr">
        <is>
          <t>linkedin</t>
        </is>
      </c>
      <c r="E37" t="inlineStr"/>
      <c r="F37" t="inlineStr"/>
      <c r="G37" t="inlineStr">
        <is>
          <t>Mountain View, CA</t>
        </is>
      </c>
      <c r="H37" t="inlineStr"/>
      <c r="I37" t="inlineStr">
        <is>
          <t>**Overview**
 Come join Intuit as a Staff Machine Learning Engineer!
 In this role, you’ll be embedded inside a vibrant team of data scientists. You’ll be expected to help conceive, code, and deploy data science models at scale using the latest industry tools. Important skills include data wrangling, feature engineering, developing models, and testing metrics.
**Responsibilities**
* Discover data sources, get access to them, import them, clean them up, and make them “machine learning ready”.
* Work with data scientists to create and refine features from the underlying data and build pipelines to train and deploy models.
* Partner with data scientists to understand, implement, refine and design machine learning and other algorithms.
* Run regular A/B tests, gather data, perform statistical analysis, draw conclusions on the impact of your models.
* Work cross functionally with product managers, data scientists and product engineers, and communicate results to peers and leaders.
* Explore new technology shifts in order to determine how they might connect with the customer benefits we wish to deliver.
*Pay offered is based on factors such as job\-related knowledge, skills, experience, and work location. To drive ongoing pay equity for employees, Intuit conducts regular comparisons across categories of ethnicity and gender.*
**Qualifications**
* BS, MS, or PhD degree in Computer Science or related field, or equivalent work experience.
* 6\+ years of experience
* Knowledgeable with Data Science tools and frameworks (i.e. Python, Scikit, NLTK, Numpy, Pandas, TensorFlow, Keras, R, Spark).
* Basic knowledge of machine learning techniques (i.e. classification, regression, and clustering).
* Understand machine learning principles (training, validation, etc.)
* Knowledge of data query and data processing tools (i.e. SQL)
* Computer science fundamentals: data structures, algorithms, performance complexity, and implications of computer architecture on software performance (e.g., I/O and memory tuning).
* Software engineering fundamentals: version control systems (i.e. Git, Github) and workflows, and ability to write production\-ready code.
* Experience deploying highly scalable software supporting millions or more users
* Experience with GPU acceleration (i.e. CUDA and cuDNN)
* Experience with integrating applications and platforms with cloud technologies (i.e. AWS and GCP)
* Strong oral and written communication skills. Ability to conduct meetings and make professional presentations, and to explain complex concepts and technical material to non\-technical users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Area,CA: $197,000 \- $266,500\.</t>
        </is>
      </c>
    </row>
    <row r="38">
      <c r="A38" t="inlineStr">
        <is>
          <t>li-4304973479</t>
        </is>
      </c>
      <c r="B38" t="inlineStr">
        <is>
          <t>Senior Machine Learning Engineer</t>
        </is>
      </c>
      <c r="C38" t="inlineStr">
        <is>
          <t>General Genomics Inc.</t>
        </is>
      </c>
      <c r="D38" t="inlineStr">
        <is>
          <t>linkedin</t>
        </is>
      </c>
      <c r="E38" t="inlineStr"/>
      <c r="F38" t="inlineStr"/>
      <c r="G38" t="inlineStr">
        <is>
          <t>Fort Worth, TX</t>
        </is>
      </c>
      <c r="H38" t="inlineStr"/>
      <c r="I38" t="inlineStr">
        <is>
          <t>**Sr MLE/ML Ops\- Pod Lead (FedGov Clients)** 
**Company** 
 : General Genomics, Inc. (GGI) – A Service\-Disabled Veteran\-Owned Small Business (SDVOSB) driving AI/ML innovation for commercial and federal clients. Through GGAI (Fed/Gov) LLC, we deliver secure, compliant ML pipelines to solve bioscience and defense challenges, ensuring ethical and impactful AI solutions.
**Location** 
 : Fort Worth, TX (Hybrid; potential full remote after 180 days)
**Employment Type** 
 : Full\-Time (Contingent upon award of commercial or government contract; talent pipeline for Q4 2025\)
**Overview** 
 Lead a pod of 5\-7 engineers and data scientists to design and deploy scalable ML pipelines integrated with Data Lakes/Warehouses. Your leadership will drive mission\-critical AI projects, ensuring compliance and ethical AI use for federal clients in bioscience and defense.
**Key Responsibilities** 
 Architect ML solutions processing 1TB\+ datasets, integrated with enterprise Data Lakes.
 Mentor a team of 5\-7 engineers, improving model accuracy by through best practices.
 Ensure MLOps pipelines achieve 99\.9% uptime and comply with federal standards (e.g., NIST AI RMF).
 Implement AI ethics protocols, mitigating bias in 100% of deployed models.
 Collaborate on data privacy and security for sensitive bioscience datasets.
**Required Qualifications** 
 U.S. Citizen with active DoD, IC, or DHS clearance, or eligibility to obtain/maintain one.
 Bachelor’s degree in Data Science, Computer Science, or related field, or 8\+ years of equivalent experience.
 5\+ years of ML engineering with production deployments (e.g., TensorFlow, PyTorch).
 Advanced Python proficiency and experience with ML frameworks.
 Expertise in Data Lake/Warehouse architectures (e.g., Snowflake, Databricks).
 Strong ETL and data modeling skills for large\-scale datasets.
**Preferred Qualifications** 
 Experience deploying ML models in federal environments (e.g., DoD, DHS).
 Proven leadership of cross\-functional AI teams (5\+ members).
 Knowledge of AI ethics frameworks (e.g., NIST AI Risk Management Framework).
 AWS Certified Machine Learning – Specialty or TensorFlow Developer Certificate.
**Benefits** 
 Competitive salary, health benefits, and 401(k) matching.
 Clearance sponsorship for eligible candidates.
 Access to AI ethics and MLOps certification programs.
**How to Apply** 
 Join our talent pipeline at
 GGI Careers Portal
 by October 15, 2025\. Learn about NIST AI RMF at
 NIST.gov
 . Webinars on GGI’s AI tools offered in Q4 2025\.
**EEO Statement** 
 GGI is an Equal Employment Opportunity employer, fostering diversity in backgrounds and perspectives. We provide equal opportunity to all applicants without regard to race, color, religion, gender, sexual orientation, national origin, age, disability, or veteran status, fully complying with Oklahoma and Texas workforce laws.</t>
        </is>
      </c>
    </row>
    <row r="39">
      <c r="A39" t="inlineStr">
        <is>
          <t>li-4290211466</t>
        </is>
      </c>
      <c r="B39" t="inlineStr">
        <is>
          <t>Senior Staff Machine Learning Engineer, Applied AI</t>
        </is>
      </c>
      <c r="C39" t="inlineStr">
        <is>
          <t>Block</t>
        </is>
      </c>
      <c r="D39" t="inlineStr">
        <is>
          <t>linkedin</t>
        </is>
      </c>
      <c r="E39" t="inlineStr"/>
      <c r="F39" t="inlineStr"/>
      <c r="G39" t="inlineStr"/>
      <c r="H39" t="inlineStr"/>
      <c r="I39"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 is organized into business groups, each with dedicated product and engineering teams. Our team plays a vital role in supporting these groups by delivering AI\-powered solutions that directly benefit our customers and drive business growth. We are committed to building impactful products that solve meaningful problems, leveraging AI to create practical value across the company with direct impact to topline company revenue.
 We are looking for an enthusiastic and experienced Machine Learning Engineer to join our team to build AI products. In this role, you will collaborate closely with teams across Block to understand their challenges and opportunities. You'll have the opportunity to work across the full development stack and set product strategy. You'll design, develop, and launch AI\-driven tools and applications that address real customer needs, working in an environment that values creativity, experimentation, and practical problem solving.
 You will partner with internal and external stakeholders to deliver highly visible solutions, staying at the forefront of AI advancements to ensure our products remain innovative and effective. As a trusted advisor, you'll help guide teams in harnessing AI, identifying new possibilities, and driving product direction that leads to lasting impact.
 This is a unique opportunity to become a leading expert in AI at Block. You'll work on projects that transform the way we build products and serve our customers. We welcome individuals who are passionate about building for the real world, embracing pragmatic approaches, and seeing challenges from fresh, nontraditional viewpoints.
**You Will**
* Leverage AI to automate workflows and deliver new AI\-powered product experiences
* Develop scalable AI systems and platforms
* Collaborate across diverse teams to develop AI solutions by understanding and generalizing the problems of cross\-functional stakeholders
* Lead AI innovation by building and open sourcing advanced frameworks and tools to enhance workflows and set industry standards
* Drive alignment with Block's AI strategy by acting as a company AI expert and educating other teams about how to apply cutting\-edge AI to their domains
* Support the adoption of AI best practices across the company by providing guidance and sharing expertise
**You Have**
* 12\+ years of experience in training and deploying ML models, developing ML software, and shipping customer\-facing ML products.
* Deep understanding of modern ML techniques (e.g. Large Language Models) and the ML lifecycle from data gathering, training, model evaluation, MLOps, and productionizing models.
* Ruthless pragmatism when solving new and unconventional problems
* A desire to understand our clients' needs in order to design tools and systems that solve our customer's problems. As a platform team, our main customers are internal developers and products.
* Ability to produce production\-quality code and services incorporating testing, evaluation, monitoring as well as the ability to quickly adapt to a new domain, hack MVP's, and iterate to improve product.
* Experience using any of the major cloud vendors for high scale production use cases
* Strong communication skills (verbal and written) with technical and non\-technical stakeholders.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$276,800—$415,200 USD
**Zone B**
 $276,800—$415,200 USD
**Zone C**
 $276,800—$415,200 USD
**Zone D**
 $276,800—$415,200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40">
      <c r="A40" t="inlineStr">
        <is>
          <t>li-4331349316</t>
        </is>
      </c>
      <c r="B40" t="inlineStr">
        <is>
          <t>Staff Machine Learning Engineer</t>
        </is>
      </c>
      <c r="C40" t="inlineStr">
        <is>
          <t>Intuit</t>
        </is>
      </c>
      <c r="D40" t="inlineStr">
        <is>
          <t>linkedin</t>
        </is>
      </c>
      <c r="E40" t="inlineStr"/>
      <c r="F40" t="inlineStr"/>
      <c r="G40" t="inlineStr">
        <is>
          <t>Plano, TX</t>
        </is>
      </c>
      <c r="H40" t="inlineStr"/>
      <c r="I40" t="inlineStr">
        <is>
          <t>**Overview**
 Come join Intuit as a Staff Machine Learning Engineer!
 In this role, you’ll work alongside AI scientists and machine learning engineers to create AI\-powered experiences. You’ll be expected to help conceive, code, and deploy models at scale using the latest industry tools. Important skills include creating data pipelines, developing and deploying models, and machine learning operations.
**Responsibilities**
* Work with AI scientists to create and refine features from the underlying data and build pipelines to train and deploy models.
* Build "machine learning ready" feature pipelines.
* Partner with AI scientists to understand, implement, refine and design machine learning and other algorithms.
* Run regular A/B tests, gather data, and draw conclusions on the impact of your models.
* Monitor and maintain production models.
* Work cross functionally with product managers, AI scientists and product engineers, and communicate results to peers and leaders.
* Explore new technology shifts in order to determine how they might connect with the customer benefits we wish to deliver.
**Qualifications**
* BS, MS, or PhD degree in Computer Science or related field, or equivalent work experience.
* 7\+ years of experience
* Knowledgeable with Data Science tools and frameworks (i.e. Python, Scikit, NLTK, Numpy, Pandas, TensorFlow, Keras, R, Spark).
* Knowledge of machine learning techniques (i.e. classification, regression, and clustering).
* Understand machine learning principles (training, validation, etc.)
* Knowledge of data query and data processing tools (i.e. SQL)
* Computer science fundamentals: data structures, algorithms, performance complexity, and implications of computer architecture on software performance (e.g., I/O and memory tuning).
* Software engineering fundamentals: version control systems (i.e. Git, Github) and workflows, and ability to write production\-ready code.
* Experience deploying highly scalable software supporting millions or more users
* Experience with integrating applications and platforms with cloud technologies (i.e. AWS and GCP)
* Strong oral and written communication skills. Ability to conduct meetings and make professional presentations, and to explain complex concepts and technical material to non\-technical users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$197,000 \- $266,500</t>
        </is>
      </c>
    </row>
    <row r="41">
      <c r="A41" t="inlineStr">
        <is>
          <t>li-4360949240</t>
        </is>
      </c>
      <c r="B41" t="inlineStr">
        <is>
          <t>AI Engineer</t>
        </is>
      </c>
      <c r="C41" t="inlineStr">
        <is>
          <t>Hyra</t>
        </is>
      </c>
      <c r="D41" t="inlineStr">
        <is>
          <t>linkedin</t>
        </is>
      </c>
      <c r="E41" t="inlineStr"/>
      <c r="F41" t="inlineStr"/>
      <c r="G41" t="inlineStr"/>
      <c r="H41" t="inlineStr"/>
      <c r="I41" t="inlineStr">
        <is>
          <t>Software Engineer \- Artificial intelligence
 Salary: $119,850 \- $203,550 annual
 Hyra is working on behalf of Boeing to hire for the position of Software Engineer \- Artificial intelligence. This role focuses on Large Language Models (LLMs) and involves collaborating with the Boeing Artificial Intelligence team to develop next\-generation software capabilities. You will work on cutting\-edge applications for aerospace, satellite, and autonomy platforms across the commercial and defense sectors.
 What you'll be doing
 • Design, fine\-tune, and implement large language models for specialized aerospace applications
 • Collaborate with researchers and engineers to develop AI/ML, automation, and autonomy technologies
 • Create software applications for flight controls, satellite systems, and advanced aircraft platforms
 • Support the development of new software products for the 787 Dreamliner and other innovative aircraft
 • Integrate AI capabilities into existing Boeing systems to solve complex technical challenges
 What we're looking for
 • Experience in software engineering with a focus on artificial intelligence and machine learning
 • Technical proficiency in developing and fine\-tuning Large Language Models (LLMs)
 • Ability to collaborate across multidisciplinary teams of scientists and researchers
 • Strong problem\-solving skills applied to aerospace or autonomous system domains
 • Must be legally authorized to work in the United States and eligible to obtain required security clearances
 What Boeing offers
 • Comprehensive medical, dental, and vision insurance plans
 • Retirement savings plans with generous company contributions
 • Tuition assistance and professional development programs
 • Paid time off and flexible holiday schedules
 Apply via Hyra to be considered for this opportunity.</t>
        </is>
      </c>
    </row>
    <row r="42">
      <c r="A42" t="inlineStr">
        <is>
          <t>li-4365018511</t>
        </is>
      </c>
      <c r="B42" t="inlineStr">
        <is>
          <t>Applied Scientist II - Moloco Ads</t>
        </is>
      </c>
      <c r="C42" t="inlineStr">
        <is>
          <t>Moloco</t>
        </is>
      </c>
      <c r="D42" t="inlineStr">
        <is>
          <t>linkedin</t>
        </is>
      </c>
      <c r="E42">
        <f>HYPERLINK("https://www.linkedin.com/jobs/view/4365018511", "https://www.linkedin.com/jobs/view/4365018511")</f>
        <v/>
      </c>
      <c r="F42">
        <f>HYPERLINK("https://job-boards.greenhouse.io/moloco/jobs/6643909003?gh_src=3276b55b3us&amp;urlHash=-xmD", "https://job-boards.greenhouse.io/moloco/jobs/6643909003?gh_src=3276b55b3us&amp;urlHash=-xmD")</f>
        <v/>
      </c>
      <c r="G42" t="inlineStr">
        <is>
          <t>Menlo Park, CA</t>
        </is>
      </c>
      <c r="H42" t="inlineStr"/>
      <c r="I42"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**About The Role**
**The impact you'll be contributing to Moloco:**
 The Research Science (RS) team focuses on the operation and optimization of our software systems working closely with infrastructure engineering teams, machine learning teams and data science teams. As an Applied Scientist, you will participate as an individual contributor on research projects alongside other research scientists within the context of a group of cross functional collaborators working in complex multi\-causal environments to identify inefficiencies, analyze potential options, and propose solutions. Your work will contribute to driving performance improvements and cost reductions, debugging and investigating production issues, and stabilizing our core system as you develop a deep end\-to\-end understanding of the system.
 Here’s what you’ll be working on:
* Work with other applied scientists on projects to evaluate the health of both internal and external components to make sure the Moloco system is running safely and efficiently.
* Learn from your senior peers how to identify new areas to improve our infrastructure and machine learning components by understanding internal system changes, external changes, and data changes, and identify and suggest interesting/useful next steps for your projects.
* Complete task as part of larger projects to complete deep unbiased analyses.
* Implement, and evaluate new algorithms and features in collaboration with senior Applied Scientists, Software Engineers and Machine Learning Engineers.
 Basic Qualifications:
* Advanced degree in Computer Science, Mathematics or related field, or industry experience in optimization of market prices or ML systems
* At least 4 years of engineering or applied science experience
* Proficient verbal and written English communication skills, with the ability to contribute to the creation of presentations and reports
* Quick understanding of new information and the demonstrated ability to learn new technical skills across engineering, machine learning, and data science
* Track record of building positive relationships with collaborators and stakeholders and working effectively with cross\-functional partners in a global company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$140,400—$180,400 USD
**Moloco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43">
      <c r="A43" t="inlineStr">
        <is>
          <t>li-4365020425</t>
        </is>
      </c>
      <c r="B43" t="inlineStr">
        <is>
          <t>Applied Scientist, Marketing Measurement</t>
        </is>
      </c>
      <c r="C43" t="inlineStr">
        <is>
          <t>Uber</t>
        </is>
      </c>
      <c r="D43" t="inlineStr">
        <is>
          <t>linkedin</t>
        </is>
      </c>
      <c r="E43">
        <f>HYPERLINK("https://www.linkedin.com/jobs/view/4365020425", "https://www.linkedin.com/jobs/view/4365020425")</f>
        <v/>
      </c>
      <c r="F43" t="inlineStr"/>
      <c r="G43" t="inlineStr">
        <is>
          <t>New York, NY</t>
        </is>
      </c>
      <c r="H43" t="inlineStr"/>
      <c r="I43" t="inlineStr">
        <is>
          <t>**About The Role**
 As an Applied Scientist on the incrementality foundations team within marketing measurement, you will contribute to Uber Marketing Org's commitment to science\-backed decision making. This team is responsible for building experiment forms, models, \&amp; processes for turning complex hypotheses into reliable, actionable incrementality signals that inform planning, forecasting, and investment decisions across the business. Your work will focus on building robust processes for interpreting measurement data, building foundational models for estimation \&amp; inference, and researching experimentation best practices for accurate and complete incrementality measurement. Your work will inform smarter investment and decision\-making systems across Uber's Brand and Performance Marketing. This team sits close to production systems, partnering with Product, Engineering, and cross\-functional Science teams to ensure incrementality measurement is rigorous, scalable, and decision\-ready
**What The Candidate Will Need / Bonus Points**
* Develop and apply statistical and causal inference models to estimate the incremental impact of marketing across channels, markets, and test designs.
* Design custom tests \&amp; analyze results from complex experiments, including multi\-cell, market\-level, and longitudinal tests.
* Contribute to foundational modeling efforts such as hierarchical smoothing, aggregation across tests, and handling of low\-signal or sparse data.
* Assist in research on advanced topics, including learning elasticity with experiments and analyzing event relationships to improve experiment accuracy and interpretation.
* Partner with Product and Engineering to integrate incrementality models into reporting and decision\-making workflows
* Research and help establish best practices for experiment design, post\-analysis interpretation, and measurement tradeoffs.
* Collaborate with other Applied Science and Data Science teams to align incrementality outputs with broader measurement and investment frameworks.
**Basic Qualifications**
* Bachelor's degree or higher in a quantitative field such as Statistics, Economics, Mathematics, Computer Science, or a related discipline.
* 2\+ years of experience applying statistical and causal inference methods to real\-world data in an applied setting.
* Strong foundation in statistical modeling, hypothesis testing, and experimental design, including A/B testing, incrementality, or quasi\-experimental methods.
* Hands\-on experience designing, analyzing, and interpreting experiments, including evaluation of uncertainty, limitations, and tradeoffs.
* Proficiency in Python or R and SQL for analyzing and modeling large, complex datasets.
* Experience working with marketing, growth, advertising, or similar business domains where measurement and investment decisions are central.
* Ability to clearly communicate analytical insights to technical and non\-technical stakeholders and collaborate effectively in cross\-functional teams.
* Demonstrated ability to collaborate effectively in cross\-functional, fast\-moving environments.
**Preferred Qualifications**
* Bachelor's, Master's or PhD in a quantitative discipline (e.g., Statistics, Economics, Mathematics, Computer Science), or equivalent applied industry experience.
* Experience with advanced statistical or modeling techniques such as hierarchical / multi\-level models, time\-series analysis, or meta\-analysis.
* Experience with incrementality testing, geo\-experiments, or marketing measurement use cases (e.g., attribution, MMM, or related frameworks).
* Familiarity with marketing investment concepts such as elasticity, budget allocation, or cross\-channel tradeoffs.
* Experience contributing to shared codebases or production\-adjacent analytics systems, including collaboration with Product or Engineering partners.
* Ability to independently drive scoped projects end\-to\-end with guidance, and operate effectively in ambiguous or evolving problem spaces.
* Curiosity and learning mindset, with demonstrated ability to ramp quickly on new domains, tools, or methodologies.
 For New York, NY\-based roles: The base salary range for this role is USD$155,000 per year \- USD$172,000 per year. For San Francisco, CA\-based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USD$155,000 per year \- USD$172,000 per year. For San Francisco, CA\-based roles: The base salary range for this role is USD$155,000 per year \- USD$172,000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4">
      <c r="A44" t="inlineStr">
        <is>
          <t>li-4250807886</t>
        </is>
      </c>
      <c r="B44" t="inlineStr">
        <is>
          <t>Senior Machine Learning Engineer I</t>
        </is>
      </c>
      <c r="C44" t="inlineStr">
        <is>
          <t>Etsy</t>
        </is>
      </c>
      <c r="D44" t="inlineStr">
        <is>
          <t>linkedin</t>
        </is>
      </c>
      <c r="E44">
        <f>HYPERLINK("https://www.linkedin.com/jobs/view/4250807886", "https://www.linkedin.com/jobs/view/4250807886")</f>
        <v/>
      </c>
      <c r="F44">
        <f>HYPERLINK("https://etsy.wd5.myworkdayjobs.com/Etsy_Careers/job/Brooklyn-New-York/Senior-Software-Engineer-I\u002d\u002dMachine-Learning_JR4845?source=LinkedIn&amp;urlHash=F3Fn", "https://etsy.wd5.myworkdayjobs.com/Etsy_Careers/job/Brooklyn-New-York/Senior-Software-Engineer-I\u002d\u002dMachine-Learning_JR4845?source=LinkedIn&amp;urlHash=F3Fn")</f>
        <v/>
      </c>
      <c r="G44" t="inlineStr">
        <is>
          <t>Brooklyn, NY</t>
        </is>
      </c>
      <c r="H44" t="inlineStr"/>
      <c r="I44"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$183,000\.00 \- $216,000\.00
**What’s the role?**
 We are looking for an experienced Machine Learning Engineer to join our Recommendation Ranking team. Our team develops Machine Learning models to understand buyers, personalize, and rank recommendations across Etsy.com and the Etsy app. As a Machine Learning Engineer, you will work closely with Applied Scientist and Software Engineer to improve the shopping experience for 90\+ million buyers. We are looking for individuals who are product \&amp; technology driven, and are passionate about making ML innovations in areas such as ranking, distributed training and serving, LLM and real\-time systems.
 This is a full\-time position reporting to the Engineering Manager.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 does the day\-to\-day look like?**
* Work closely with applied scientists, data scientists, product managers, and designers to set the future technical direction of Etsy’s recommendation system
* Engage in development work on projects, guide your team in technical decisions, deeply understand the problem space, and mentor engineers.
* Collaborate with stakeholders and partner teams to design robust end\-to\-end solutions
* Process large datasets and develop scalable pipelines to support ML workflows
* Prototype, optimize, and productionize large\-scale ML models that help deliver key results
* Conduct experiments (A/B testing etc.) to validate the effectiveness of ML models and pipelines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You have experience of applying machine learning techniques in addressing real\-world problems.
* You have experience in one of the following fields: deep learning, multi\-modal learning, natural language processing, graph learning, distributed training/serving, ML infra platform.
* You have experience with large datasets and developing scalable data pipelines.
* You have deep familiarity with at least some of our tools: Python, Tensorflow, PyTorch, Spark, PySpark, Scala, Airflow.
* You have a collaborative mindset and are comfortable working with a diverse range of roles and departments.
* You write understandable and testable code. You have the ability to write and manipulate data at a large scale and you have an eye towards maintainability.
* A degree in Computer Science or related engineering fields with at least two years of industry experience.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45">
      <c r="A45" t="inlineStr">
        <is>
          <t>li-4365011165</t>
        </is>
      </c>
      <c r="B45" t="inlineStr">
        <is>
          <t>Applied Scientist II - Gen AI &amp; LLM, PXT</t>
        </is>
      </c>
      <c r="C45" t="inlineStr">
        <is>
          <t>Amazon</t>
        </is>
      </c>
      <c r="D45" t="inlineStr">
        <is>
          <t>linkedin</t>
        </is>
      </c>
      <c r="E45">
        <f>HYPERLINK("https://www.linkedin.com/jobs/view/4365011165", "https://www.linkedin.com/jobs/view/4365011165")</f>
        <v/>
      </c>
      <c r="F45">
        <f>HYPERLINK("https://www.amazon.jobs/jobs/3162762/applied-scientist-ii\u002d\u002dgen-ai\u002d\u002dllm-pxt?cmpid=SPLICX0248M&amp;utm_source=linkedin.com&amp;utm_campaign=cxro&amp;utm_medium=social_media&amp;utm_content=job_posting&amp;ss=paid&amp;urlHash=OWKu", "https://www.amazon.jobs/jobs/3162762/applied-scientist-ii\u002d\u002dgen-ai\u002d\u002dllm-pxt?cmpid=SPLICX0248M&amp;utm_source=linkedin.com&amp;utm_campaign=cxro&amp;utm_medium=social_media&amp;utm_content=job_posting&amp;ss=paid&amp;urlHash=OWKu")</f>
        <v/>
      </c>
      <c r="G45" t="inlineStr">
        <is>
          <t>Seattle, WA</t>
        </is>
      </c>
      <c r="H45" t="inlineStr"/>
      <c r="I45" t="inlineStr">
        <is>
          <t>**Description**
 Amazon is seeking an Applied Scientist II to join our team and drive innovation in Generative AI and Large Language Model (LLM) applications. In this role, you will design, develop, and deploy AI solutions that directly impact millions of customers and transform how Amazon operates at scale. You'll work with state\-of\-the\-art technologies including foundation models, prompt engineering, retrieval\-augmented generation (RAG), and fine\-tuning techniques to solve complex business problems.
 Key job responsibilities
* Model Development \&amp; Innovation: Design and implement novel GenAI/LLM solutions using foundation models (e.g., Claude, GPT, LLaMA) and AWS services including Amazon Bedrock, SageMaker, and other AWS AI/ML tools
* Research \&amp; Experimentation: Conduct applied research to advance the state\-of\-the\-art in LLM applications, including prompt engineering, few\-shot learning, fine\-tuning, and model evaluation
* Production Deployment: Build scalable, production\-ready AI systems that serve millions of requests with high reliability, low latency, and cost efficiency
* Cross\-Functional Collaboration: Partner with product managers, engineers, and business stakeholders to translate business requirements into technical solutions and drive measurable impact
* Technical Leadership: Mentor junior scientists, contribute to technical strategy, and establish best practices for GenAI development across the organization
* Evaluation \&amp; Metrics: Design rigorous evaluation frameworks to measure model performance, bias, safety, and business impact
* Documentation \&amp; Communication: Publish technical papers, create detailed documentation, and present findings to both technical and non\-technical audiences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PhD in computer science, machine learning, engineering, or related fields
* 2\+ years of hands\-on experience with foundation models and LLM applications (prompt engineering, RAG, fine\-tuning, RLHF, Transformer models, and AI Agents)
* Experience with AWS AI/ML services (Amazon Bedrock, SageMaker, Lambda, etc.)
* Publications in top\-tier conferences (NeurIPS, ICML, ACL, EMNLP, ICLR, COLM, etc.)
* Experience with model optimization techniques (quantization, distillation, efficient inference)
* Knowledge of responsible AI practices including bias detection, fairness, and safety evaluation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USA, WA, Seattle \- 142,800\.00 \- 193,200\.00 USD annually
**Company** 
 \- Amazon.com Services LLC \- A57
 Job ID: A3162762</t>
        </is>
      </c>
    </row>
    <row r="46">
      <c r="A46" t="inlineStr">
        <is>
          <t>li-4364993820</t>
        </is>
      </c>
      <c r="B46" t="inlineStr">
        <is>
          <t>Lead AI Engineer</t>
        </is>
      </c>
      <c r="C46" t="inlineStr">
        <is>
          <t>Aprio</t>
        </is>
      </c>
      <c r="D46" t="inlineStr">
        <is>
          <t>linkedin</t>
        </is>
      </c>
      <c r="E46">
        <f>HYPERLINK("https://www.linkedin.com/jobs/view/4364993820", "https://www.linkedin.com/jobs/view/4364993820")</f>
        <v/>
      </c>
      <c r="F46" t="inlineStr"/>
      <c r="G46" t="inlineStr">
        <is>
          <t>Atlanta, GA</t>
        </is>
      </c>
      <c r="H46" t="inlineStr"/>
      <c r="I46" t="inlineStr">
        <is>
          <t>Work with a nationally ranked CPA and advisory firm that is passionate for what's next. Aprio has 30 U.S. office locations, one in the Philippines and more than 2,100 team members that speak 60\+ languages across the globe. By bringing together proven expertise, deep understanding, and strategic foresight for fast\-growing industries, Aprio ensures clients are prepared for wherever life or business may take them. Discover a top\-rated culture, vast growth opportunities and your next big career move with Aprio.
 Join Aprio's
 **Information Technology** 
 team and you will help clients maximize their opportunities. Aprio is a progressive, fast\-growing firm looking for a
 **Lead AI Engineer** 
 to join their dynamic team.
**Position Responsibilities**
* Solution Design \&amp; Architecture: Design and architect end\-to\-end AI/ML solutions, ensuring they align with business objectives and scalability requirements; define overall architecture and data pipelines, selecting appropriate AI tools and frameworks for each project; ensure best practices are applied in security, scalability, and maintainability of AI systems.
* Development \&amp; Deployment: Build, test, and deploy AI and machine learning models on Azure platforms (Azure ML, Cognitive Services, Azure Data Factory, Azure Synapse), or other best of industry solutions; develop APIs and integration points for seamless data exchange between AI solutions and existing business systems (e.g., Internal Systems/Databases, Microsoft Dynamics 365, SharePoint, Power BI); implement CI/CD pipelines, containerization (Docker, Kubernetes), and automated testing to ensure efficient deployment and monitoring of AI models.
* Cloud Infrastructure \&amp; MLOps: Establish MLOps best practices for continuous integration, delivery, and monitoring of models; optimize AI model performance for scalability and low latency in production; implement solutions using infrastructure\-as\-code principles and tools to enhance reliability and scalability.
* Collaboration \&amp; Consultation: Work closely with tax, audit, and advisory teams to identify use cases where AI can add value; translate domain requirements into technical specifications and AI solutions; provide technical guidance and mentorship to junior AI engineers and developers.
* Research \&amp; Continuous Improvement: Stay current with advancements in AI; experiment with and implement new AI techniques and tools to enhance service offerings; develop Proof of Concepts (POCs) for innovative AI solutions.
* Documentation \&amp; Support: Create and maintain comprehensive documentation for AI models, data pipelines, and system architecture; ensure AI solutions comply with data privacy, security policies, and ethical AI guidelines; provide training and support to other developers and end\-users to increase AI literacy.
**Technical Qualifications**
* Proven experience in AI architecture, design, and deployment with Microsoft Azure Cloud Technologies, or similar industry best technologies (Azure ML, Cognitive Services, Azure Data Factory, Azure Kubernetes Service, etc.).
* Proficiency in programming languages such as C\#, Python, R, or JavaScript.
* Strong understanding of machine learning frameworks and libraries (e.g., PyTorch, TensorFlow, scikit\-learn).
* Familiarity with Microsoft Power Platform (Power BI, Power Apps, Power Automate) and integrating AI models with these tools.
* Experience with DevOps tools and practices including CI/CD, containerization (Docker, Kubernetes), and automated testing.
* Knowledge of data architecture, databases, and data lakes (SQL, NoSQL, Azure Synapse, etc.).
* Knowledge and experience with vector databases or knowledge bases for retrieval\-augmented generation.
* Knowledge and experience of prompt engineering and fine\-tuning large models.
**Other Skills**
* Excellent analytical, problem\-solving, and decision\-making abilities.
* Strong communication skills, with the ability to translate complex technical concepts to non\-technical stakeholders.
* Collaboration and teamwork skills with a proactive, innovative mindset.
**Education \&amp; Experience**
* Bachelor’s or Master’s degree in Computer Science, Data Science, Engineering, or a related field.
* 5\+ years of experience in AI/ML development, architecture, and deployment.
* 3\+ years of experience working with Microsoft Azure technologies preferred.
* Certifications in Microsoft Azure (e.g., Azure AI Engineer Associate, Azure Solutions Architect Expert, or Azure Data Scientist Associate) preferred.
* Experience with AI governance, ethics, and compliance in enterprise environments preferred.
* Experience with generative AI frameworks and tools such as LangChain, Semantic Kernel, or other LLM orchestration tools preferred.
* Experience in the accounting or financial services industry is a plus.
 $115,000 \- $150,000 a year
 The salary range for this opportunity is stated above. As such, an actual salary may fall closer to one or the other end of the range, and in certain circumstances, may wind up being outside of the listed salary range.
 The application window is anticipated to close on September 31st and may be extended as needed.
**Why Work For Aprio**
 Whether you are just starting out, looking to advance into management or searching for your next leadership role, Aprio offers an opportunity to grow with a future\-focused, innovative firm.
**Perks/Benefits We Offer For Full\-time Team Members**
* Medical, Dental, and Vision Insurance on the first day of employment
* Flexible Spending Account and Dependent Care Account
* 401k with Profit Sharing
* 9\+ holidays and discretionary time off structure
* Parental Leave – coverage for both primary and secondary caregivers
* Tuition Assistance Program and CPA support program with cash incentive upon completion
* Discretionary incentive compensation based on firm, group and individual performance
* Incentive compensation related to origination of new client sales
* Top rated wellness program
* Flexible working environment including remote and hybrid options
**What’s In It For You**
* Working with an industry leader: Be part of a high\-growth firm that is passionate for what’s next.
* An awesome culture: Thirty\-one fundamental behaviors guide our culture every day ensuring we always deliver an exceptional team\-member and client experience. We call it the Aprio Way. This shared mindset creates lasting relationships between team members and with clients.
* A great team: Work with a high\-energy, passionate, caring and ambitious team of professionals in a collaborative culture.
* Entrepreneurship: Have the freedom to innovate and bring your ideas to help us grow to become the CPA firm of choice nationally.
* Growth opportunities: Grow professionally in an environment that fosters continuous learning and advancement.
* Competitive compensation: You will be rewarded with competitive compensation, industry\-leading benefits and a flexible work environment to enjoy work/life balance.
**EQUAL OPPORTUNITY EMPLOYER**
 Aprio is an Equal Opportunity Employer encouraging diversity in the workplace. All qualified applicants will receive consideration for employment without regard to race; color; religion; national origin; sex; pregnancy; sexual orientation; gender identity and/or expression; age; disability; genetic information, citizenship status; military service obligations or any other category protected by applicable federal, state, or local law.
 Aprio, LLP and Aprio Advisory Group, LLC, operate in an alternative business structure, with Aprio Advisory Group, LLC providing non\-attest tax and consulting services, and Aprio, LLP providing CPA firm services.</t>
        </is>
      </c>
    </row>
    <row r="47">
      <c r="A47" t="inlineStr">
        <is>
          <t>li-4365016222</t>
        </is>
      </c>
      <c r="B47" t="inlineStr">
        <is>
          <t>Machine Learning Engineer</t>
        </is>
      </c>
      <c r="C47" t="inlineStr">
        <is>
          <t>Atlassian</t>
        </is>
      </c>
      <c r="D47" t="inlineStr">
        <is>
          <t>linkedin</t>
        </is>
      </c>
      <c r="E47">
        <f>HYPERLINK("https://www.linkedin.com/jobs/view/4365016222", "https://www.linkedin.com/jobs/view/4365016222")</f>
        <v/>
      </c>
      <c r="F47" t="inlineStr"/>
      <c r="G47" t="inlineStr">
        <is>
          <t>Seattle, WA</t>
        </is>
      </c>
      <c r="H47" t="inlineStr"/>
      <c r="I47"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\[\[INSERT JOB DESCRIPTION HERE]]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175500 \- USD 229125
 Zone B: USD 158400 \- USD 206800
 Zone C: USD 145800 \- USD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48">
      <c r="A48" t="inlineStr">
        <is>
          <t>li-4361954659</t>
        </is>
      </c>
      <c r="B48" t="inlineStr">
        <is>
          <t>Machine Learning Engineer</t>
        </is>
      </c>
      <c r="C48" t="inlineStr">
        <is>
          <t>Red Hat</t>
        </is>
      </c>
      <c r="D48" t="inlineStr">
        <is>
          <t>linkedin</t>
        </is>
      </c>
      <c r="E48">
        <f>HYPERLINK("https://www.linkedin.com/jobs/view/4361954659", "https://www.linkedin.com/jobs/view/4361954659")</f>
        <v/>
      </c>
      <c r="F48">
        <f>HYPERLINK("https://redhat.wd5.myworkdayjobs.com/jobs/job/Boston/Machine-Learning-Engineer_R-053073-1?%26%3Fmode=job&amp;%26iis=Job%2BBoard&amp;%26iisn=LinkedIn%2BPosting&amp;source=LinkedIn&amp;urlHash=CBck", "https://redhat.wd5.myworkdayjobs.com/jobs/job/Boston/Machine-Learning-Engineer_R-053073-1?%26%3Fmode=job&amp;%26iis=Job%2BBoard&amp;%26iisn=LinkedIn%2BPosting&amp;source=LinkedIn&amp;urlHash=CBck")</f>
        <v/>
      </c>
      <c r="G48" t="inlineStr">
        <is>
          <t>Boston, MA</t>
        </is>
      </c>
      <c r="H48" t="inlineStr"/>
      <c r="I48" t="inlineStr">
        <is>
          <t>**Job Summary**
 At Red Hat we believe the future of AI is open and we are on a mission to bring the power of open\-source LLMs and vLLM to every enterprise. The Red Hat AI Inference Engineering team accelerates AI for the enterprise and brings operational simplicity to GenAI deployments. As leading developers, maintainers of the vLLM and LLM\-D projects, and inventors of state\-of\-the\-art techniques for model quantization and sparsification, our team provides a stable platform for enterprises to build, optimize, and scale LLM deployments.
 As a Machine Learning Engineer focused on distributed vLLM infrastructure in the llm\-d project, you will be at the forefront of innovation, collaborating with our team to tackle the most pressing challenges in scalable inference systems and Kubernetes\-native deployments. Your work with machine learning, distributed systems, high performance computing, and cloud infrastructure will directly impact the development of our cutting\-edge software platform, helping to shape the future of AI deployment and utilization. If you want to solve cutting edge problems at the intersection of deep learning, distributed systems, and cloud\-native infrastructure the open\-source way, this is the role for you.
 Join us in shaping the future of AI!
**What You Will Do**
* Contribute to the design, development, and testing of new features and solutions for Red Hat AI Inference
* Innovate in the inference domain by participating in upstream communities
* Develop and maintain distributed inference infrastructure leveraging Kubernetes APIs, operators, and the Gateway Inference Extension API for scalable LLM deployments.
* Develop and maintain system components in Go and/or Rust to integrate with the vLLM project and manage distributed inference workloads.
* Develop and maintain KV cache\-aware routing and scoring algorithms to optimize memory utilization and request distribution in large\-scale inference deployments.
* Enhance the resource utilization, fault tolerance, and stability of the inference stack.
* Develop and test various inference optimization algorithms.
* Actively participate in technical design discussions
* Contribute to a culture of continuous improvement by sharing recommendations and technical knowledge with team members
* Collaborate with other engineering and cross\-functional teams to deliver on engineering deliverables
* Communicate effectively to team members to ensure proper visibility of development efforts
* Be taught, coached, and mentored by senior members of the team
* Provide timely and constructive code reviews
**What You Will Bring**
* Strong proficiency in Python and/or GoLang or similar language
* Experience with cloud\-native Kubernetes service mesh technologies/stacks such as Istio, Cilium, Envoy (WASM filters), and CNI.
* Working understanding of Layer 7 networking, HTTP/2, gRPC, and the fundamentals of API gateways and reverse proxies.
* Knowledge of serving runtime technologies for hosting LLMs, such as vLLM, SGLang, TensorRT\-LLM, etc.
* Excellent written and verbal communication skills, capable of interacting effectively with both technical and non\-technical team members.
* Ability work independently in a dynamic, fast\-paced environment
 Following is considered a plus
* Proficiency in C, C\+\+, or Rust
* Experience with the Kubernetes ecosystem, including core concepts, custom APIs, operators, and the Gateway API inference extension for GenAI workloads.
* Working knowledge of high\-performance networking protocols and technologies including UCX, RoCE, InfiniBand, and RDMA is a plus.
* Experience with GPU performance benchmarking and profiling tools like NVIDIA Nsight or distributed tracing libraries/techniques like OpenTelemetry.
* Experience in writing high performance code for GPUs and deep knowledge of GPU hardware
* Strong understanding of computer architecture, parallel processing, and distributed computing concepts
* Bachelor's degree in computer science or related field is an advantage, though we prioritize hands\-on experience
* Active engagement in the ML research community (publications, conference participation, or open source contributions) is a significant advantage
 \#AI\-HIRING
 The salary range for this position is $133,650\.00 \- $220,680\.00\.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49">
      <c r="A49" t="inlineStr">
        <is>
          <t>li-4362110539</t>
        </is>
      </c>
      <c r="B49" t="inlineStr">
        <is>
          <t>Machine Learning Engineer - Product &amp; Engineering AI Building Tool</t>
        </is>
      </c>
      <c r="C49" t="inlineStr">
        <is>
          <t>Andiamo</t>
        </is>
      </c>
      <c r="D49" t="inlineStr">
        <is>
          <t>linkedin</t>
        </is>
      </c>
      <c r="E49">
        <f>HYPERLINK("https://www.linkedin.com/jobs/view/4362110539", "https://www.linkedin.com/jobs/view/4362110539")</f>
        <v/>
      </c>
      <c r="F49" t="inlineStr"/>
      <c r="G49" t="inlineStr">
        <is>
          <t>Palo Alto, CA</t>
        </is>
      </c>
      <c r="H49" t="inlineStr"/>
      <c r="I49" t="inlineStr">
        <is>
          <t>Machine Learning Engineer, Product Innovation
 This role is designed for an early career machine learning engineer who wants to work directly on real products, not isolated research. You will help bring intelligent features to life by exploring modern AI techniques, experimenting quickly, and turning promising ideas into production ready capabilities that improve how teams work together.
 The Opportunity
 You will join a product focused engineering environment building collaborative, AI powered software for modern teams. The product space centers on reducing coordination overhead, improving alignment, and enabling better outcomes through intelligent systems that work alongside humans. Machine learning is treated as a core product capability, deeply embedded into everyday workflows.
 This is an environment that values curiosity, momentum, and learning by doing. You will have the freedom to explore new approaches while being supported by experienced engineers who care deeply about craft, impact, and growth.
 Your Role and Impact
 As a Machine Learning Engineer, you will contribute directly to user facing features powered by applied AI. You will take ownership of projects from initial problem framing through experimentation, prototyping, iteration, and production support. Your work will help shape how intelligent teammates augment planning, synthesis, and execution across teams.
 You will spend meaningful time working with real data, learning how models behave in practice, and improving outcomes based on measurable signals. This role emphasizes practical impact over academic novelty.
 What You Will Do
 You will explore and evaluate modern machine learning models and techniques, applying them to core product challenges. You will design experiments, build prototypes, and collaborate with engineers to integrate successful approaches into production systems.
 You will work closely with product managers, designers, and software engineers to translate user needs into thoughtful AI driven solutions. You will help define how success is measured and iterate based on real world feedback.
 You will stay current with emerging research and tools, sharing insights and applying what you learn to improve the product and technical stack. You will contribute to a culture of rapid experimentation, balancing scrappy exploration with disciplined iteration.
 You will learn from more senior engineers while also taking initiative to explore new ideas independently. You will bring a strong sense of ownership, pushing projects forward and unblocking yourself as you move ideas from concept to execution.
 What You Bring
 You have at least two years of experience working in machine learning, applied AI, or data science. You are comfortable using Python and have experience with common ML frameworks such as PyTorch or TensorFlow, along with basic data processing workflows.
 You are excited about applying machine learning to improve real user experiences, not just building models in isolation. Exposure to large language models or generative AI systems is a plus, but curiosity and drive matter more than any single tool.
 You take ownership seriously and enjoy following projects through to completion. You are eager to grow your independence and technical depth, especially in areas such as model deployment and AI enabled systems.
 You collaborate well with others, value feedback, and contribute to an inclusive and supportive team culture. You thrive in fast moving environments with evolving priorities and see adaptability as an opportunity to learn.
 Technical Environment
 The stack includes a modern full stack monorepo with TypeScript, contemporary frontend frameworks, and a backend built on scalable APIs and relational data stores. Infrastructure is cloud native, with strong use of managed services, developer tooling, and AI assisted workflows throughout the development process.
 Logistics
 A bachelor’s degree in a related field or equivalent practical experience is expected. The role follows a hybrid work model, with regular in person collaboration in a California based office during the middle of the week and remote work on other days.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0">
      <c r="A50" t="inlineStr">
        <is>
          <t>li-4365003351</t>
        </is>
      </c>
      <c r="B50" t="inlineStr">
        <is>
          <t>Machine Learning Engineer</t>
        </is>
      </c>
      <c r="C50" t="inlineStr">
        <is>
          <t>Capgemini</t>
        </is>
      </c>
      <c r="D50" t="inlineStr">
        <is>
          <t>linkedin</t>
        </is>
      </c>
      <c r="E50">
        <f>HYPERLINK("https://www.linkedin.com/jobs/view/4365003351", "https://www.linkedin.com/jobs/view/4365003351")</f>
        <v/>
      </c>
      <c r="F50">
        <f>HYPERLINK("https://www.capgemini.com/jobs/389164-en_GB_SAPBTP/Machine-Learning-Engineer&amp;urlHash=19dk", "https://www.capgemini.com/jobs/389164-en_GB_SAPBTP/Machine-Learning-Engineer&amp;urlHash=19dk")</f>
        <v/>
      </c>
      <c r="G50" t="inlineStr">
        <is>
          <t>Dallas, TX</t>
        </is>
      </c>
      <c r="H50" t="inlineStr"/>
      <c r="I50"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The role of a machine learning professional involves applying machine learning techniques and algorithms to solve complex problems, analyze data, and develop intelligent systems.
**Job Description \- Grade Specific**
 The role brings deep technical knowledge and expertise in machine learning to help clients or organizations navigate the complex landscape of AI. Plays a crucial role in providing designing solutions and ensuring successful implementation of machine learning projects to drive business impact. Also, assist in testing, deploying and monitoring models in production environments
 The base compensation range for this role in the posted location is:$100,000 to $130,000/YR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51">
      <c r="A51" t="inlineStr">
        <is>
          <t>li-4317507136</t>
        </is>
      </c>
      <c r="B51" t="inlineStr">
        <is>
          <t>AI Engineer</t>
        </is>
      </c>
      <c r="C51" t="inlineStr">
        <is>
          <t>Develop Health</t>
        </is>
      </c>
      <c r="D51" t="inlineStr">
        <is>
          <t>linkedin</t>
        </is>
      </c>
      <c r="E51">
        <f>HYPERLINK("https://www.linkedin.com/jobs/view/4317507136", "https://www.linkedin.com/jobs/view/4317507136")</f>
        <v/>
      </c>
      <c r="F51">
        <f>HYPERLINK("https://jobs.ashbyhq.com/develop-health/dd84a151-93dd-427c-a10a-e0acb2e677f8&amp;urlHash=bIG8", "https://jobs.ashbyhq.com/develop-health/dd84a151-93dd-427c-a10a-e0acb2e677f8&amp;urlHash=bIG8")</f>
        <v/>
      </c>
      <c r="G51" t="inlineStr">
        <is>
          <t>Menlo Park, CA</t>
        </is>
      </c>
      <c r="H51" t="inlineStr"/>
      <c r="I51" t="inlineStr">
        <is>
          <t>Develop Health is on a mission to use AI to radically accelerate access to life\-saving medications. By automating complex, manual healthcare processes—like benefit verification and prior authorization—
 **we’ve grown from $0 to \&gt;$10M in annual recurring revenue in less than 2 years, and currently help more than 400,000 new patients every month** 
 .
 We’re partnering with some of the largest pharmacy benefit managers and payers in the nation, revolutionizing how healthcare interactions occur by eliminating human delays and inefficiencies. Our small, elite team of founders and engineers have previously launched and exited successful healthcare startups including Rupa Health and Canvas Medical. We are now scaling rapidly following a major funding round.
**About The Role** 
 We’re hiring an
 **AI Engineer** 
 to take models from prototype to production and drive real clinical impact through applied AI. You’ll have significant autonomy to define high‑value projects, build production‑ready systems, and ensure our models are safe, reliable, and deeply useful in the healthcare workflow.
 You’ll work closely with our product engineers, clinical leaders, and CTO to ensure that our AI delivers measurable improvements in patient access and operational efficiency. This is a hands‑on role that combines cutting‑edge AI development with pragmatic engineering and evaluation.
**What You'll Do \- Impact In Your First 3\-6 Months:** 
* Build and curate datasets and context sources to enable exceptional prompt engineering and evaluation of frontier LLMs, optimizing inputs, retrieval, and context to deliver cutting‑edge performance and reliability.
* Design and maintain evaluation pipelines that rigorously measure model accuracy, reliability, and real‑world clinical value.
* Prompt, test, and iterate on LLM workflows—including retrieval, agent logic, and tool use—to achieve industry‑leading performance.
* Deploy models into production: design APIs, integrate inference into our Python‑based backend, and implement observability and monitoring.
* Stay on the frontier of AI research, evaluating and incorporating advancements that enhance our platform.
**What You’ll Own – Driving Growth Beyond 12 Months:** 
* Develop and scale systems for continuous model improvement and learning, informed by real production feedback.
* Build AI infrastructure and tooling to enable other teams to safely prototype and deploy models.
* Collaborate with engineering leadership to architect the next‑generation AI platform that supports 100× transaction volume.
* Advance the AI‑driven features of our product—making our automation smarter, faster, and more context‑aware.
* Mentor future AI hires and help shape the company’s applied AI roadmap.
**What You’ll Bring On Day 1:** 
* 3\+ years of experience in applied AI or machine learning engineering.
* Deep, hands‑on experience with LLMs, modern AI frameworks, and evaluation techniques.
* Strong proficiency in Python, including API design and integration of AI models into production systems.
* Demonstrated ability to independently identify impactful projects and deliver them end‑to‑end.
* A mindset oriented toward ownership, autonomy, and measurable outcomes, not ticket‑driven work.
* Comfort operating in a fast‑paced, high‑autonomy startup environment.
* Availability to work on‑site in Menlo Park at least three days per week.
**What You’ll Need To Learn Quickly:** 
* How our AI systems integrate with benefit verification and prior authorization workflows, and develop a deep understanding of the healthcare ecosystem—how data moves through payers, providers, and patients, and how our automation fits into these processes.
* Our internal data sources, operational rhythms, and model evaluation standards.
* Emerging AI techniques relevant to retrieval‑augmented generation, fine‑tuning, and evaluation automation.
**Bonus Points:** 
* Experience in healthcare or health‑tech environments.
* Prior startup or founding‑team experience.
* Familiarity with observability and monitoring frameworks for production ML systems.
* Contributions to open‑source AI projects or applied research.
**What We Offer:** 
* Competitive salary \+ meaningful equity in a company growing 10× year‑over‑year.
* Health, dental, and vision coverage; flexible PTO.
* High‑end workstation \&amp; tooling budget.
* The opportunity to build AI that directly improves access to care for millions of patients.</t>
        </is>
      </c>
    </row>
    <row r="52">
      <c r="A52" t="inlineStr">
        <is>
          <t>li-4362034545</t>
        </is>
      </c>
      <c r="B52" t="inlineStr">
        <is>
          <t>Ai Engineer</t>
        </is>
      </c>
      <c r="C52" t="inlineStr">
        <is>
          <t>Humboldt Park Health</t>
        </is>
      </c>
      <c r="D52" t="inlineStr">
        <is>
          <t>linkedin</t>
        </is>
      </c>
      <c r="E52">
        <f>HYPERLINK("https://www.linkedin.com/jobs/view/4362034545", "https://www.linkedin.com/jobs/view/4362034545")</f>
        <v/>
      </c>
      <c r="F52" t="inlineStr"/>
      <c r="G52" t="inlineStr">
        <is>
          <t>Chicago, IL</t>
        </is>
      </c>
      <c r="H52" t="inlineStr"/>
      <c r="I52" t="inlineStr">
        <is>
          <t>Job Details
**Description**
 Partners with clinicians, informatics, and IT to translate workflows and evidence\-based practices into secure, explainable, and compliant decision\-support tools, including real\-time in\-workflow CDS integrations, LLM\-enabled clinical assistance (e.g., summarization, guideline interpretation, clinical text analysis), and production\-grade machine learning services. Accountable for end\-to\-end delivery: requirements, build, validation, deployment, monitoring, and continuous improvement \- aligned with Humboldt Park Health’s mission. Ensures secure handling of PHI when using LLMs, including on\-premise or HIPAA\-compliant deployment patterns and vendor risk assessments.
 Implements safeguards for LLM use in healthcare, including prompt governance, output validation, and audit logging.
 Designs, fine\-tunes, evaluates, and deploys Large Language Model (LLM) solutions for clinical use cases such as clinical note summarization, clinical guideline interpretation, patient education content, and decision\-support augmentation.
**Essential Duties And Responsibilities**
 Designs, integrates, and supports CDS and AI solutions within the MEDITECH EHER environment, including clinical documentation workflows, order management, results review, and interoperability interfaces.
* Designs, builds, and maintains CDS applications integrated with Humboldt Park Health’s EHR and clinical workflows (e.g., triage, order entry, discharge, chronic care follow\-up).
* Implements real\-time CDS interoperability patterns (e.g., CDS Hooks / SMART on FHIR where applicable) and develops secure APIs/services for decision support.
* Develops, validates, and deploys machine learning models for clinical and operational use cases (e.g., ED risk stratification, readmission risk, diabetes care gaps, wound care risk flags).
* Builds and maintains data pipelines for clinical data ingestion, data quality checks, feature engineering, and dataset/version control while protecting PHI.
* Applies explain ability methods (e.g., SHAP/LIME) and human\-centered design to ensure outputs are interpretable, actionable, and reduce alert fatigue.
* Partners with clinicians and governance stakeholders to define requirements, acceptance criteria, validation plans, and clinical safety guardrails.
* Produces technical documentation for build, validation, and change control; supports audit readiness and aligned documentation when applicable.
* Ensures compliance with HIPAA, least\-privilege access controls, security standards, and hospital data governance; participates in incident response as needed.
* Collaborates with vendors, community partners, and internal teams to integrate and support CDS/AI solutions across on\-site and mobile care settings.
**Other Responsibilities**
* Adheres to established departmental policies, procedures, and objectives.
* Performs both essential and non\-essential job functions safely as identified by Humboldt Park Health.
* Demonstrates an understanding of and models the mission and core values of Humboldt Park Health.
* Enhances professional growth and development by accessing educational programs, job\-related literature, in\-service meetings, and workshops/seminars.
* Performs other related duties as assigned.
 Associate's Degree preferred in the specialty areas of Information Technology Services, Computer Sciences, or Technical degrees and certifications a plus; A\+, MCP, MCSE, MCITP certification or equivalent</t>
        </is>
      </c>
    </row>
    <row r="53">
      <c r="A53" t="inlineStr">
        <is>
          <t>li-4364954598</t>
        </is>
      </c>
      <c r="B53" t="inlineStr">
        <is>
          <t>Applied AI Engineer</t>
        </is>
      </c>
      <c r="C53" t="inlineStr">
        <is>
          <t>Snowflake</t>
        </is>
      </c>
      <c r="D53" t="inlineStr">
        <is>
          <t>linkedin</t>
        </is>
      </c>
      <c r="E53">
        <f>HYPERLINK("https://www.linkedin.com/jobs/view/4364954598", "https://www.linkedin.com/jobs/view/4364954598")</f>
        <v/>
      </c>
      <c r="F53" t="inlineStr"/>
      <c r="G53" t="inlineStr">
        <is>
          <t>Menlo Park, CA</t>
        </is>
      </c>
      <c r="H53" t="inlineStr"/>
      <c r="I53"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Where Data Does More. Join the Snowflake team.
 At Snowflake, we are building a high\-impact team to help the world’s most innovative companies unlock the power of AI. As an Applied AI Engineer in our Cortex AI team, you will be a hands\-on builder and a critical technical partner to our most strategic customers, placing you at the forefront of the enterprise AI revolution. You won't just be working with cutting\-edge technology; you will be deploying it to solve real\-world business problems at a massive scale. This role places you at the intersection of product, engineering, and customer success, building production\-grade AI systems using Snowpark, Cortex, and our native LLM capabilities.
**IN THIS ROLE AT SNOWFLAKE, YOU WILL:**
* Drive Customer Impact: Architect, build, and deploy enterprise\-grade AI solutions, including sophisticated AI agents. Own the end\-to\-end lifecycle from prototype to production, directly solving our customers' most complex business challenges.
* Deliver with Velocity: Rapidly design, iterate, and ship high\-quality code and ML pipelines. Translate ambiguous business objectives into robust, scalable, and performant solutions using Python and SQL.
* Productionize AI at Scale: Own the full lifecycle of AI solution implementation, from developing prototypes to deploying, monitoring, and optimizing them in secure, large\-scale production environments.
* Be a Strategic Technical Advisor: Partner directly with customer data science and engineering teams, serving as a technical expert and trusted advisor on how to best leverage AI for their business challenges.
* Collaborate to Innovate: Work cross\-functionally with Snowflake’s Product and Engineering teams to share real\-world feedback from the customers, directly influencing the future of Snowflake's AI platform.
**WE'RE LOOKING FOR CANDIDATES WHO HAVE:**
 Minimum Qualifications:
* Bachelor’s degree in Computer Science, Engineering, a related technical field, or equivalent practical experience.
* 2\+ years of professional software engineering experience,
* A passion for tackling complex and ambiguous technical challenges, leveraging cutting\-edge research and AI to deliver impactful solutions.
* Experience building, evaluating and tuning applications and pipelines that involve machine learning models or data\-intensive systems.Familiarity with core data science libraries and tools (e.g., pandas, numpy, Snowpark).
* Excellent problem\-solving and communication skills, with an ability to articulate complex technical concepts to diverse stakeholders.
* A desire to thrive in a fast\-paced, dynamic environment and the ability to adapt quickly to the ever\-changing world of Generative AI.
**Preferred Qualifications:**
* Proven experience building and productionizing applications using LLMs, especially with technologies like RAG and agentic workflows.
* Hands\-on experience with the MLOps lifecycle, including model deployment, monitoring, and evaluation in a cloud environment (AWS, Azure, or GCP).
* Experience in a customer\-facing role (e.g., solutions architect, sales engineer, or professional services).
* Startup experience
**WHY JOIN OUR TEAM AT SNOWFLAKE?**
 Join us in shaping the future of AI and data cloud technology. You'll work with cutting\-edge AI tools and technologies while solving complex challenges for enterprise customers. Our team offers the unique opportunity to drive innovation at scale, working with some of the world's leading organizations while having access to Snowflake's advanced AI capabilities and infrastructure.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$126,000 \- $181,700\.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54">
      <c r="A54" t="inlineStr">
        <is>
          <t>li-4364975755</t>
        </is>
      </c>
      <c r="B54" t="inlineStr">
        <is>
          <t>Machine Learning Engineer</t>
        </is>
      </c>
      <c r="C54" t="inlineStr">
        <is>
          <t>Lensa</t>
        </is>
      </c>
      <c r="D54" t="inlineStr">
        <is>
          <t>linkedin</t>
        </is>
      </c>
      <c r="E54">
        <f>HYPERLINK("https://www.linkedin.com/jobs/view/4364975755", "https://www.linkedin.com/jobs/view/4364975755")</f>
        <v/>
      </c>
      <c r="F54" t="inlineStr"/>
      <c r="G54" t="inlineStr">
        <is>
          <t>Denver, CO</t>
        </is>
      </c>
      <c r="H54" t="inlineStr"/>
      <c r="I5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BP Americas, Inc.. Clicking "Apply Now" or "Read more" on Lensa redirects you to the job board/employer site. Any information collected there is subject to their terms and privacy notice.
**Entity**
 Production \&amp; Operations
**Job Family Group**
 IT\&amp;S Group
**Job Description**
**Role Synopsis**
 The Machine Learning Engineer will be responsible for implementing and maintaining data science models in bpx's machine learning studio. The role will be a subject matter expert in machine learning operations and the associated technology. This role will bridge the gap between pure data science and the computational requirements needed to meet business outcomes. The role will have the ability to guide bpx's data science journey in a nascent technology stack. The ML Engineer will have significant freedom and latitude to suggest and implement solutions.
**Key Accountabilities**
* Implement data science algorithms in bpx's ML Studio SageMaker).
* Create systems and processes to monitor performance of ML algorithms in production.
* Serve as the subject matter expert of ML Operations and guides data scientists in the practical implications of model design
* Collaborate with the data engineering team to build and maintain data pipelines from systems like Snowflake and OSI Pi
* Partner with bpx Architecture team to ensure endpoints, compute, and network considerations are built into solutions
* Takes initiative and stays up to date with the latest data science trends, techniques, and best practices, determining how to incorporate the most suitable practices in the department.
* Work as part of geographically dispersed team, effectively communicating prioritized business needs and prioritized project statuses.
* Design systems to balance cost and performance to meet business outcomes
**Essential Education And Experience**
* A Bachelor's degree (Master's preferred) in Statistics, Mathematics, Computer Science, or any other related quantitative field.
* 7\+ years in data science or related field, 3\+ years of hands\-on experience in machine learning operations.
* Proven track record of implementing and scaling models in an operations or customers focused company
* Strong programming skills: Python and Cloud Implementation Scripting
* Experience with big data, real\-time streaming data technologies, and cluster computing environments.
* Knowledge and exposure to cloud technologies, especially AWS.
* Must be legally authorized to work in the US without sponsorship.
 How much do we pay (Base)? $119,000\-$140,000 \*Note that the pay range listed for this position is a good faith and reasonable estimate of the range of possible base compensation at the time of posting.
**Why join our team?**
 At bpx, we provide an excellent working environment and a reward and wellbeing package to enable your work to fit with your life. These can include, but not limited to, access to health, vision and dental insurance, flexible working schedule, paid time off policy, discretionary annual bonus program, long\-term incentive program, and a generous 401K matching program.
 We support our people to learn and grow in a diverse and exciting environment. We believe that our team is strengthened by diversity. We are committed to crafting an inclusive environment in which everyone is respected and treated fairly.
 We will ensure that individuals with disabilities are provided reasonable accommodations to participate in the job application or interview process, perform crucial job functions, and receive other benefits and privileges of employment.
 Don't hesitate to get in touch with us to request any accommodations!
**Travel Requirement**
 Negligible travel should be expected with this role
**Relocation Assistance:**
 This role is not eligible for relocation
**Remote Type**
 This position is a hybrid of office/remote working
**Skills**
 Commercial Acumen, Communication, Data Analysis, Data cleansing and transformation, Data domain knowledge, Data Integration, Data Management, Data Manipulation, Data Sourcing, Data strategy and governance, Data Structures and Algorithms (Inactive), Data visualization and interpretation, Digital Security, Extract, transform and load, Group Problem Solving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
 If you are selected for a position and depending upon your role, your employment may be contingent upon adherence to local policy. This may include pre\-placement drug screening, medical review of physical fitness for the role, and background checks.
 If you have questions about this posting, please contact support@lensa.com</t>
        </is>
      </c>
    </row>
    <row r="55">
      <c r="A55" t="inlineStr">
        <is>
          <t>li-4361563372</t>
        </is>
      </c>
      <c r="B55" t="inlineStr">
        <is>
          <t>Senior AI/ML Engineer</t>
        </is>
      </c>
      <c r="C55" t="inlineStr">
        <is>
          <t>DesignForge AI</t>
        </is>
      </c>
      <c r="D55" t="inlineStr">
        <is>
          <t>linkedin</t>
        </is>
      </c>
      <c r="E55">
        <f>HYPERLINK("https://www.linkedin.com/jobs/view/4361563372", "https://www.linkedin.com/jobs/view/4361563372")</f>
        <v/>
      </c>
      <c r="F55" t="inlineStr"/>
      <c r="G55" t="inlineStr"/>
      <c r="H55" t="inlineStr"/>
      <c r="I55" t="inlineStr">
        <is>
          <t>We're hiring a Senior AI/ML Engineer to lead the design, development, and deployment of production\-grade LLM and autonomous agent systems for code generation in a complex engineering domain. This is a hands\-on, high\-ownership role for someone who has already shipped AI systems and wants to define technical foundations from the ground up.
 You will own core AI architecture decisions, work closely with leadership on product direction, and build systems that operate reliably at scale, not demos or experiments, but production scripts that integrate with professional software APIs.
 If you've built real LLM systems, understand their failure modes, and want to push agent\-based AI into production, this role is for you.
**What You'll Build** 
* Custom code generation agents that understand API semantics and reason about correctness before generating code, including autonomous debugging agents that analyze failures and self\-correct
* Multi\-agent systems with orchestration patterns, communication protocols, and shared memory for complex multi\-step tasks
* Context engineering infrastructure: retrieval systems over technical documentation, context assembly strategies that give LLMs the right information at the right time, and extraction of complex project state
* Extended Model Context Protocol (MCP) servers that expose domain\-specific tooling to LLMs
* Evaluation infrastructure, metrics, benchmarks, test harnesses, that drives accuracy from "good enough" to "production reliable"
* Scalable, reliable AI system architectures (inference, orchestration, monitoring)
**What You'll Own** 
* End\-to\-end architecture, build, and deployment of LLM\-powered and agent\-based systems
* Model selection, fine\-tuning, evaluation, and optimization for real\-world use cases
* Performance, cost, reliability, and safety tradeoffs across AI systems
* Collaboration with product and engineering leadership to translate business goals into AI solutions
* Staying at the frontier of LLMs, agents, and AI infrastructure, and applying what matters in production
**What We're Looking For** 
 Strong candidates typically have:
* 5\+ years AI/ML engineering with production LLM systems (not just research or internal demos)
* Experience building and deploying multi\-agent architectures and agentic AI patterns
* **LLM fine\-tuning for code generation, and strong background in context engineering, RAG, and retrieval systems**
* **Deep understanding of software engineering, you'll build AI that writes professional code**
* **9\+ years Python expertise and comfort with complex API integrations**
* Ability to reason clearly about tradeoffs (latency, cost, accuracy, reliability)
* Startup disposition: you thrive in ambiguity and want ownership, speed, and impact
**Strong Plus** 
* Experience building custom code generation agents or AI coding assistants
* Hands\-on work with Model Context Protocol (MCP)
* Background in engineering, CAD, or simulation software domains
* RLHF/RLAIF, or advanced agent frameworks
* Experience designing evaluation frameworks for LLMs and agents
* Contributions to open\-source ML/AI tooling or infrastructure
* Prior founding\-engineer or early\-stage startup experience
**What You Get** 
* Founding\-level ownership of the company's AI stack
* Real impact on product direction and system design
* High autonomy and technical decision\-making authority
* Competitive salary \+ equity
* Professional development budget
* Remote\-friendly, high\-performance workstation
* The rare chance to build something from near\-zero to production scale
**Who This Role Is Not For** 
* Candidates focused solely on prompt engineering without systems experience
* Those without production deployment experience
* Research\-only backgrounds with no shipping responsibility</t>
        </is>
      </c>
    </row>
    <row r="56">
      <c r="A56" t="inlineStr">
        <is>
          <t>li-4365002418</t>
        </is>
      </c>
      <c r="B56" t="inlineStr">
        <is>
          <t>Junior AI Engineer</t>
        </is>
      </c>
      <c r="C56" t="inlineStr">
        <is>
          <t>RBC</t>
        </is>
      </c>
      <c r="D56" t="inlineStr">
        <is>
          <t>linkedin</t>
        </is>
      </c>
      <c r="E56">
        <f>HYPERLINK("https://www.linkedin.com/jobs/view/4365002418", "https://www.linkedin.com/jobs/view/4365002418")</f>
        <v/>
      </c>
      <c r="F56">
        <f>HYPERLINK("https://jobs.rbc.com/ca/en/job/RBCAA0088R0000155923EXTERNALENCA/Junior-AI-Engineer?utm_source=LinkedIn&amp;utm_medium=phenom-feeds&amp;utm_campaign=rbc_linkedin&amp;urlHash=7njZ", "https://jobs.rbc.com/ca/en/job/RBCAA0088R0000155923EXTERNALENCA/Junior-AI-Engineer?utm_source=LinkedIn&amp;utm_medium=phenom-feeds&amp;utm_campaign=rbc_linkedin&amp;urlHash=7njZ")</f>
        <v/>
      </c>
      <c r="G56" t="inlineStr">
        <is>
          <t>New York, NY</t>
        </is>
      </c>
      <c r="H56" t="inlineStr"/>
      <c r="I56" t="inlineStr">
        <is>
          <t>**Job Description**
**What is the opportunity?**
 Join RBC Capital Markets’ AI \&amp; Digital Engineering team as a Junior AI Engineer and contribute to shaping the strategic direction of artificial intelligence and emerging technologies. In this dynamic, hands\-on role, you’ll support innovation across global financial markets, collaborate with high\-performing teams, and gain exposure to executive stakeholders.
**What will you do?**
* Assist in designing, developing, and deploying AI/ML models to solve business challenges in financial markets, including tasks like data preprocessing, model training, validation, and monitoring.
* Work closely with senior engineers and business stakeholders to integrate AI capabilities into existing systems and workflows.
* Contribute to proof\-of\-concept projects and rapid prototyping to explore emerging technologies (e.g., Generative AI, blockchain).
* Support documentation, testing, and performance tuning of AI models to ensure scalability, robustness, and compliance with financial industry standards.
* Participate in team discussions to refine AI strategies, ensuring solutions align with business objectives and regulatory requirements.
* Stay updated on industry trends, share insights, and propose improvements to enhance the team’s AI capabilities.
**What do you need to succeed?**
**Must\-have**
* Bachelor’s Degree (or higher) in Computer Science, Engineering, Data Science, or related Quantitative field
* 1 – 5 years of coding in Python; including experience with libraries such as Pandas or NumPy for data manipulation and visualization
* Familiarity with building and training machine learning models (e.g., regression, classification, clustering) using frameworks like Scikit\-learn, TensorFlow, or PyTorch
* Exposure to natural language processing (NLP) concepts, such as text preprocessing, sentiment analysis, or basic chatbot implementations
* Understanding of image processing techniques (e.g., OpenCV) or document parsing (e.g., OCR tools) for tasks like data extraction
* Awareness of cloud platforms (AWS, Azure, GCP) and their AI/ML services
**Nice\-to\-have**
* Advanced degree in Computer Science, Engineering, Data Science, or related Quantitative field
* Familiarity with Blockchain, AWS SageMaker, or Azure ML
* Exposure to the Financial Industry or background in applying AI/ML for financial uses cases such as forecasting or fraud detection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including bonuses and flexible benefits, competitive compensation, commissions, and stock where applicable
* Leaders who support your development through coaching and managing opportunities
* Ability to make a difference and lasting impact
* Work in a dynamic, collaborative, progressive, and high\-performing team
* Flexible work/life balance options
* Opportunities to do challenging work
* Opportunities to take on progressively greater accountabilities
* Access to a variety of job opportunities across business
*The good\-faith expected salary range for the above position is
 **$110,000 to $200,000** 
 depending on factors including but not limited to the candidate’s experience, skills, registration status; market conditions; and business needs. This salary range does not include other elements that comprise our total compensation package, which includes the following: commission sharing eligibility for select roles, a discretionary bonus, a paid time\-off plan, our 401(k) program with company\-matching contributions, and our health, dental, vision, life and disability insurance.*
*RBC’s compensation philosophy and principles recognize the importance of a highly qualified global workforce and plays a critical role in attracting, engaging and retaining talent that:*
* Drives RBC’s high performance culture
* Enables collective achievement of our strategic goals
* Generates sustainable shareholder returns and above market shareholder value
**Job Skills**
 Big Data Management, Data Mining, Data Science, Deep Learning, Machine Learning (ML), Predictive Analytics, Programming Languages
**Additional Job Details**
**Address:**
 BROOKFIELD PLACE FKA 3 WORLD FINANCIAL CENTER, 200 VESEY STREET:NEW YORK
**City:**
 New York
**Country:**
 United States of America
**Work hours/week:**
 40
**Employment Type:**
 Full time
**Platform:**
 CAPITAL MARKETS
**Job Type:**
 Regular
**Pay Type:**
 Salaried
**Posted Date:**
 2026\-01\-20
**Application Deadline:**
 2026\-02\-20
**Note** 
**:** 
*Applications will be accepted until 11:59 PM on the day prior to the application deadline date above*
**I** 
****nclusion**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jobs.rbc.com\&lt;/a/span\&gt;
 RBC is presently inviting candidates to apply for this existing vacancy. Applying to this posting allows you to express your interest in this current career opportunity at RBC. Qualified applicants may be contacted to review their resume in more detail.</t>
        </is>
      </c>
    </row>
    <row r="57">
      <c r="A57" t="inlineStr">
        <is>
          <t>li-4364982795</t>
        </is>
      </c>
      <c r="B57" t="inlineStr">
        <is>
          <t>Senior Machine Learning Engineer, Listing Integrity</t>
        </is>
      </c>
      <c r="C57" t="inlineStr">
        <is>
          <t>Airbnb</t>
        </is>
      </c>
      <c r="D57" t="inlineStr">
        <is>
          <t>linkedin</t>
        </is>
      </c>
      <c r="E57">
        <f>HYPERLINK("https://www.linkedin.com/jobs/view/4364982795", "https://www.linkedin.com/jobs/view/4364982795")</f>
        <v/>
      </c>
      <c r="F57" t="inlineStr"/>
      <c r="G57" t="inlineStr"/>
      <c r="H57" t="inlineStr"/>
      <c r="I5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Imagine getting off a long international flight, standing in the freezing rain, attempting to contact your Airbnb host, only to realize that they are not responding because the Airbnb that you booked was not real. The Listing Integrity team’s ultimate goal is to prevent experiences like this by proactively detecting and removing fraudulent listings (Homes, Experiences, and Services) so that guests can search and book on Airbnb with confidence. The team uses data drive heuristics, machine learning models, and customer service operations in order to accomplish this goal.
**The Difference You Will Make**
 As a Senior Machine Learning Engineer on the Listing Integrity team, you will be working with data scientists, designers, product managers, and customer service operations to innovate new ways we can stop bad actors in the ever evolving fraudulent listing creation and financial losses associated with it by collaborating across team boundaries.
 On this team, you must have the curiosity to dig deep into various end to end systems in order to understand how and where the fraud occurs. Your curiosity will be rewarded with finding projects that have outsized impacts on decreasing fraud losses and protecting Airbnb users from bad experiences while on vacation.
**A Typical Day**
* Work with large scale structured and unstructured data, build and continuously improve cutting edge Machine Learning models for Airbnb product, business and operational use cases.
* Working together with a wide variety of business functions to stop fraud attacks in real time.
* Collaborate with Data Scientists and other Machine Learning Engineers across trust to come up with the best modeling strategy and approach to defending against fake listings.
* Work collaboratively with cross\-functional partners including software engineers, product managers, operations and data scientists, identify opportunities for business impact, understand, refine, and prioritize requirements for fraud detection and mitigation.
* Hands\-on develop, productionize, and operate Machine Learning models and pipelines at scale, including both batch and real\-time use cases. Examples include: ML models to detect Fake Listing creation attempts.
**Your Expertise**
* 5\+ years of industry experience in applied Machine Learning, inclusive MS or PhD in relevant fields
* Passion for building user\-facing products or large backend systems.
* Strong programming (Scala / Python / Java/ C\+\+ or equivalent) and data engineering skills
* Deep understanding of Machine Learning best practices (eg. training/serving skew minimization, A/B test, feature engineering, feature/model selection), algorithms (eg. gradient boosted trees, neural networks/deep learning, optimization) and domains (eg. natural language processing, computer vision, personalization and recommendation, anomaly detection)
* Experience with 3 or more of these technologies: Tensorflow, PyTorch, Kubernetes, Spark, Airflow (or equivalent), Kafka (or equivalent), data warehouse (eg. Hive)
* Industry experience building end\-to\-end Machine Learning infrastructure and/or building and productionizing Machine Learning models
* Exposure to architectural patterns of a large, high\-scale software applications (e.g., well\-designed APIs, high volume data pipelines, efficient algorithms, models)
* Experience with the Trust and Risk domain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58">
      <c r="A58" t="inlineStr">
        <is>
          <t>li-4354045598</t>
        </is>
      </c>
      <c r="B58" t="inlineStr">
        <is>
          <t>AI Engineer- ML/RL - Weights &amp; Biases</t>
        </is>
      </c>
      <c r="C58" t="inlineStr">
        <is>
          <t>Weights &amp; Biases</t>
        </is>
      </c>
      <c r="D58" t="inlineStr">
        <is>
          <t>linkedin</t>
        </is>
      </c>
      <c r="E58">
        <f>HYPERLINK("https://www.linkedin.com/jobs/view/4354045598", "https://www.linkedin.com/jobs/view/4354045598")</f>
        <v/>
      </c>
      <c r="F58" t="inlineStr"/>
      <c r="G58" t="inlineStr">
        <is>
          <t>San Francisco, CA</t>
        </is>
      </c>
      <c r="H58" t="inlineStr"/>
      <c r="I58"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AI team is a hands\-on applied AI group at Weights \&amp; Biases that turns frontier research into teachable workflows. We collaborate with leading enterprises and the OSS community. We are the team that took W\&amp;B from a few hundred users to millions of users and one of the most beloved tools in the ML community.
 This is a senior applied role at the research\-to\-production boundary. You will prototype, evaluate, and ship reusable DL/RL workflows for enterprise use on the W\&amp;B stack—then document and teach them to our customers and the community. The focus is application, not novel research: rapid prototyping, careful evaluation, and production\-grade reference implementations with clear trade\-offs.
**About The Role**
* Understand the state\-of\-the\-art in deep learning / AI and turn the research into practical workflows that can be adopted by our users, the open source community \&amp; enterprise customers alike.
* Build in public: Publish engineering artifacts (code, reports, talks) that teach how to reproduce results; engage with OSS and customer engineers.
* Design and ship reference workflows for post\-training \&amp; agents (SFT/DPO/GRPO/PPO, reward models, online RLHF/RLAIF) with reproducible repos, W\&amp;B Reports, and dashboards others can run.
* Own end\-to\-end demos: data → distributed training (FSDP/ZeRO/DeepSpeed/JAX pjit) → evaluation (lm\-eval\-harness \+ agent benches) → serving (vLLM/TensorRT\-LLM/Triton/SGLang).
* Partner with lighthouse customers; turn recurring patterns into templates and product feedback.
* Track recent advances (papers, releases, kernels), run focused ablations, and translate wins into production\-ready workflows.
* Run growth experiments to track the usage of the Weights \&amp; Biases suite of products from the artifacts built.
**Who You Are**
* Deep learning: 5\+ years training large models in PyTorch or JAX; strong numerics (autograd, initialization, mixed precision).
* RL/RLHF: hands\-on with SFT/DPO/GRPO/PPO, reward modeling, preference data pipelines, and online/offline RL for LLMs/agents.
* Inference/serving: production experience with vLLM/TensorRT\-LLM/Triton; quantization, speculative decoding, caching.
* Evaluation: built task/agent harnesses with statistically sound metrics (variance, CIs, power) and failure taxonomies.
* Systems: strong Python plus one: CUDA/Triton kernels, custom C\+\+ ops, or high\-performance data ingestion.
* Reproducibility: rigorous experiment tracking (sweeps, artifacts, lineage); minimal repros others can run.
* Public signal: 2\+ OSS repos/notebooks/talks with adoption (e.g., stars, forks, downloads, conference views).
**Preferred**
* Paper\-to\-production within weeks at a top lab or applied\-AI team (pretrain → post\-train → eval → serve).
* Data engines \&amp; feedback loops (rater pipelines, synthetic data, active learning).
* Prior customer enablement with external adoption at scale.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turning cutting\-edge AI research into clean, benchmarked, production\-ready templates others can use today.
* You’re curious about RL\-based post\-training and agent evaluation, and maintain your own leaderboards.
* You’re an expert in at least one of: distributed training at scale, RLHF/GRPO systems, or low\-latency LLM serving—and you can demonstrate it with code and benchmarks.
 The base pay and target total cash for this position range from $182,000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59">
      <c r="A59" t="inlineStr">
        <is>
          <t>li-4363761015</t>
        </is>
      </c>
      <c r="B59" t="inlineStr">
        <is>
          <t>AI Engineer</t>
        </is>
      </c>
      <c r="C59" t="inlineStr">
        <is>
          <t>OpusClip</t>
        </is>
      </c>
      <c r="D59" t="inlineStr">
        <is>
          <t>linkedin</t>
        </is>
      </c>
      <c r="E59">
        <f>HYPERLINK("https://www.linkedin.com/jobs/view/4363761015", "https://www.linkedin.com/jobs/view/4363761015")</f>
        <v/>
      </c>
      <c r="F59" t="inlineStr"/>
      <c r="G59" t="inlineStr">
        <is>
          <t>Palo Alto, CA</t>
        </is>
      </c>
      <c r="H59" t="inlineStr"/>
      <c r="I59" t="inlineStr">
        <is>
          <t>**🎨** 
**OpusClip** 
**is the world's No.1 AI video agent, built for authenticity on social media.**
 We envision a world where everyone can authentically share their story through video, with no expertise needed. Within just 18 months of our launch, over 10 million creators and businesses have used OpusClip to enhance their social presence.
 We have raised $50 million in total funding and are fortunate to have some of the most supportive investors, including SoftBank Vision Fund, DCM Ventures, Millennium New Horizons, Fellows Fund, AI Grant, Jason Lemkin (SaaStr), Samsung Next, GTMfund, Alumni Ventures, and many more.
 Check out our latest coverage by Business Insider featuring our product and funding milestones, and our recognition as one of The Information's 50 Most Promising Startups in 2024\.
 Headquartered In Palo Alto, We Are a Team Of 100 Passionate And Experienced AI Enthusiasts And Video Experts, Driven By Our Core Values
* Be a Champion Team
* Prioritize Ruthlessly
* Ship fast, Quality Follows
* Obsess over customers
 Be a part of this exciting journey with us!
**📝 Your Responsibility**
* AI System Architecture: Design and build scalable, low\-latency AI inference microservices. You will move beyond simple scripts to architecting robust systems that handle high\-volume video processing.
* Engineering\-First Model Deployment: Collaborate with the team to build production pipelines for Video Understanding and LLMs. You will be responsible not just for the model's accuracy, but for its throughput, cost\-efficiency, and integration into the core backend.
* High\-Standard "Vibe Coding": We embrace AI\-assisted coding (Cursor, Copilot, etc.), but we demand engineering rigor. You are responsible for ensuring all code—whether written by you or generated by AI—is modular, type\-safe, thoroughly tested, and maintainable.
* Performance Optimization: Profile and optimize Python/C\+\+ code and model inference layers (e.g., quantization, batching, caching strategies) to minimize GPU costs and user wait time.
* R\&amp;D to Production: Conduct research on cutting\-edge LLMs/multimodal models and rapidly refactor experimental code into stable, production\-ready features.
**📝 Qualifications**
* Bachelor's degree or above in Computer Science or related fields.
* 3\+ years of work experience (Fresh graduates with strong internships/project experience are welcome).
* Strong System Design Sense: Understanding of distributed systems, API design (REST/gRPC), asynchronous processing (task queues like Celery/Redis), and database interactions.
* Solid Engineering Fundamentals:
+ Fluent in Python (C\+\+ or JavaScript is a plus).
+ Ability to write clean, SOLID, and testable code.
+ Proficiency with Docker/Containerization and CI/CD workflows.
* AI/ML Proficiency:
+ Proficient in PyTorch or TensorFlow.
+ Familiarity with model serving frameworks (e.g., vLLM, TGI, Triton) and ONNX.
* Experience in one of the below areas:
+ Video Understanding / Computer Vision.
+ LLM Fine\-tuning / RAG Systems.
+ Backend Systems for AI (FastAPI, Vector DBs, Microservices).
* Enthusiastic, excellent communicator, self\-motivated, and possessing a strong sense of ownership.
**📝 Preferred (Bonus Points)**
* Full\-Stack AI Experience: Experience building an end\-to\-end product feature—from the prompt engineering layer down to the API deployment and database schema.
* Inference Optimization: Experience with TensorRT, quantization (AWQ/GPTQ), or FlashAttention to speed up model performance.
* Vector Database at Scale: Experience managing vector stores (Pinecone, Milvus, Weaviate) in a production environment.
* Open Source \&amp; Community: Experience building APIs/services/open\-source tools with ChatGPT/OpenAI APIs.
* Projects completed or Research papers published in top\-tier conferences (ACL, CVPR, NeurIPS, etc.).
**EEO**
 OpusClip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OpusClip considers qualified applicants with criminal histories, consistent with applicable federal, state and local law. Opus Clip is also committed to providing reasonable accommodations for qualified individuals with disabilities and disabled veterans in our job application procedures.
 Compensation Range: $142K \- $300K</t>
        </is>
      </c>
    </row>
    <row r="60">
      <c r="A60" t="inlineStr">
        <is>
          <t>li-4361913863</t>
        </is>
      </c>
      <c r="B60" t="inlineStr">
        <is>
          <t>AI Engineer</t>
        </is>
      </c>
      <c r="C60" t="inlineStr">
        <is>
          <t>Halma plc</t>
        </is>
      </c>
      <c r="D60" t="inlineStr">
        <is>
          <t>linkedin</t>
        </is>
      </c>
      <c r="E60">
        <f>HYPERLINK("https://www.linkedin.com/jobs/view/4361913863", "https://www.linkedin.com/jobs/view/4361913863")</f>
        <v/>
      </c>
      <c r="F60">
        <f>HYPERLINK("https://halma.wd3.myworkdayjobs.com/Halma/job/Pennsylvania/AI-Engineer_JR26_000086-1/apply?source=LinkedIn&amp;urlHash=AVDO", "https://halma.wd3.myworkdayjobs.com/Halma/job/Pennsylvania/AI-Engineer_JR26_000086-1/apply?source=LinkedIn&amp;urlHash=AVDO")</f>
        <v/>
      </c>
      <c r="G60" t="inlineStr">
        <is>
          <t>Pennsylvania, United States</t>
        </is>
      </c>
      <c r="H60" t="inlineStr"/>
      <c r="I60" t="inlineStr">
        <is>
          <t>It's fun to work in a company where people truly BELIEVE in what they are doing!
 We're committed to bringing passion and customer focus to the business.
 Machine Learning / AI Engineer Role Overview
 We are seeking a Machine Learning / AI Engineer who will be responsible for designing, building, and scaling production\-grade machine learning systems with a strong focus on AI and MLOps for Real\-Time Location Systems (RTLS). In this role, you will take ownership of the entire delivery process. This includes managing data pipelines, developing models, deploying solutions, monitoring systems, and driving continuous improvement. You will collaborate closely with teams across Hardware, Software, and Product to ensure the successful release of reliable machine learning features that deliver positive business outcomes.
**Responsibilities**
* ML Development: Design, train, and evaluate machine learning models tailored for location detection and other RTLS applications.
* Build ML algorithms from the ground up according to business requirements, or fine\-tune existing models—including those from open\-source sources or model repositories such as Hugging Face.
* Own the full ML lifecycle: Manage all stages including problem framing, data exploration, feature engineering, model training, evaluation, and integration into products.
* AI / LLM / RAG– To build, deploy and maintain LLM models which can retrieve data in Natural language from a large structured or unstructured data sources using RAG / Vector DB.
* Gather data from diverse sources, ensuring the accuracy and completeness of all collected information.
* Utilize statistical methods and machine learning techniques to analyze datasets, reveal patterns, and generate actionable insights.
* Create clear and compelling visualizations to communicate findings effectively to both technical and non\-technical stakeholders.
* Work closely with cross\-functional teams to understand data needs and deliver tailored solutions.
**Requirements**
* Minimum of 3 years of experience as a machine learning or data engineer, or a master's degree in Computer Science, Statistics, Mathematics, Data Science, or a related field with at least 1 year of relevant work experience.
* Proficiency in Python, with working knowledge of additional programming languages such as C\# and Rust considered a plus.
* Expertise in machine learning frameworks including PyTorch, TensorFlow, and AWS SageMaker Studio.
* Experience with MLOps tools such as MLflow, Kubeflow, Tecton/Feast (feature stores).
* Experience with deploying and hosting LLM on bare metal GPU / HW.
* Expertise in cost optimization for hosting LLM model on prem or on cloud.
* Experience building and operating REST or gRPC services.
* Experience with data manipulation and analysis tools, including SQL and data visualization libraries.
* Solid understanding of statistical methods and machine learning algorithms.
* Strong verbal and written communication skills, capable of conveying complex information clearly.
* Excellent analytical and problem\-solving abilities.
* Ability to work effectively as part of a collaborative team environment.
* Demonstrated capability to work independently.
**Preferred Qualifications**
* Cloud: Proficiency with platforms such as AWS SageMaker, Azure ML, or GCP Vertex AI.
* Experience in hosting and consuming Hugging Face models.
* Infra: Familiarity with Docker, Kubernetes, and CI/CD tools such as GitHub Actions, GitLab, or Azure DevOps.
* Data visualization expertise with tools such as Quicksight or Power BI.
* Building and deploying complex Agentic AI and LLM
 If you like wild growth and working with happy, enthusiastic over\-achievers, you'll enjoy your career with us!
 Not the right fit? Let us know you're interested in a future opportunity by clicking Introduce Yourself in the top\-right corner of the page or create an account to set up email alerts as new job postings become available that meet your interest!</t>
        </is>
      </c>
    </row>
    <row r="61">
      <c r="A61" t="inlineStr">
        <is>
          <t>li-4365017214</t>
        </is>
      </c>
      <c r="B61" t="inlineStr">
        <is>
          <t>AI Machine Learning Engineer</t>
        </is>
      </c>
      <c r="C61" t="inlineStr">
        <is>
          <t>Children's Healthcare of Atlanta</t>
        </is>
      </c>
      <c r="D61" t="inlineStr">
        <is>
          <t>linkedin</t>
        </is>
      </c>
      <c r="E61">
        <f>HYPERLINK("https://www.linkedin.com/jobs/view/4365017214", "https://www.linkedin.com/jobs/view/4365017214")</f>
        <v/>
      </c>
      <c r="F61" t="inlineStr"/>
      <c r="G61" t="inlineStr">
        <is>
          <t>Brookhaven, GA</t>
        </is>
      </c>
      <c r="H61" t="inlineStr"/>
      <c r="I61" t="inlineStr">
        <is>
          <t>Note: If you are CURRENTLY employed at Children's and/or have an active badge or network access, STOP here. Submit your application via Workday using the Career App (Find Jobs).
**Work Shift**
 Day
**Work Day(s)**
 Friday, Monday, Thursday, Tuesday, Wednesday
**Shift Start Time**
 8:00 AM
**Shift End Time**
 5:00 PM
**Worker Sub\-Type**
 Regular
 Children’s is one of the nation’s leading children’s hospitals. No matter the role, every member of our team is an essential part of our mission to make kids better today and healthier tomorrow. We’re committed to putting you first, and that commitment is at the heart of our company culture: People first. Children always. Find your next career opportunity and make a difference doing what you love at Children’s.
**Job Description**
 The AI Machine Learning Engineer bridges the gap between data science and implementation. They support data scientists and clinical informaticists in the development, deployment and maintenance of production\-grade applications that leverage Machine Learning (ML) and Artificial Intelligence (AI). They partner with clinicians, subject matter experts, analytics developers, researchers, and data engineers to ensure that the delivered solutions provide actionable real\-time insights that are in line with the system’s clinical, financial and operational goals. They work closely with analytics leaders and business partners to bring the latest advances in ML and AI systems and processes to advance Children’s overall analytics.
**Experience**
* 2 years of experience in a Machine Learning Engineering, Data Science or Data Engineering role
* 1 year of experience in implementing machine learning algorithms in a production environment or applying software development lifecycle principles to analytics
**Preferred Qualifications**
* Experience developing software and data infrastructure to support the validation and operationalization of predictive models, including tools to support analysis, model. optimization, drift detection, model versioning, deployment and monitoring of model performance and features.
* Experience with model training and inference in common machine learning libraries and frameworks (scikit\-learn, H2O, Tensorflow, PyTorch, Datarobot).
* Experience working with healthcare data (payer or provider) in a HIPAA regulated environment.
* Epic certification or badges in Cogito, Cognitive Computing Platform, Chronicles and Interconnect.
* Azure Certifications in Data Fundamentals, AI Fundamentals, Data Science or Data Engineering
**Education**
* Bachelor’s degree in Information Systems, Data Science, Machine Learning, Computer Science, Industrial Engineering, or Analytics.
* Master’s degree in Information Systems, Data Science, Machine Learning, Computer Science, Industrial Engineering, or Analytics or four years of industry experience in lieu of Master’s degree
**Certification Summary**
* No professional certifications required.
**Knowledge, Skills And Abilities**
* Familiarity with electronic health records (e.g., Epic, Cerner), ERP (e.g., Workday), or other business systems used at Children’s.
* Familiarity with cloud computing (Azure, AWS, Google Cloud) with focus on machine learning and data science tools (Databricks, Snowflake, Azure ML).
* Familiarity with leveraging open\-source foundation large language models to build custom domain\-specific applications.
* Working knowledge of machine learning concepts such as feature engineering, hyperparameter tuning, bias and variance tradeoff, model and data drift, and common metrics to evaluate model performance.
* Knowledge of data structure and data modelling principles and ability to efficiently ingest and process large datasets using Python, SQL, PySpark, and Scala.
* Knowledge of software development methodologies and architecture including API web services.
* Skilled at writing robust, production\-grade code for application in predictive analytics (e.g.,Python, R, Java, Scala).
* Ability to reduce complexity and apply coding standards and best practices to data and machine learning pipelines, including code packaging, unit testing, data validation, containerization, automation, and CI/CD.
* Ability to create effective technical documentation and communicate requirements to business partners and vendors.
* Ability to work and provide coaching in agile, iterative frameworks, as well as develop in shared coding environments and collaborate with other developers using source control tools (i.e. Git).
**Jo** 
**b Responsibilities**
* Works closely with data scientists, data engineers and software engineers to develop and optimize reproducible and reusable pipelines for model training, validation, and inference.
* Monitors and troubleshoots AI and ML systems to ensure high availability, performance and reliability.
* Partners with subject matter experts and other non\-technical stakeholders to understand their needs and effectively capture clinical and business system workflows when designing AI solutions.
* Develops and improves Children’s model development lifecycle by defining technical standards while reducing unnecessary complexity.
* Leads code reviews and debugging sessions as well as mentors and develops data scientists and analytics developers to improve code quality.
* Follows technical guidelines and best practices for project management, source control, documentation, and responsible and ethical AI.
* Collaborates with enterprise architects, analytics platform services and other technical leaders to create and maintain an up\-to\-date machine learning architecture roadmap.
* Partners with researchers on translational projects that are aligned with quality and operational goals, ensuring appropriate technical standards and regulatory compliance are followed.
* Contributes to organizational knowledge by participating in internal knowledge shares and seminars, research conferences, and online learning.
*Children’s Healthcare of Atlanta is an equal opportunity employer committed to providing equal employment opportunities to all qualified applicants and employees without regard to race, color, sex, religion, national origin, citizenship, age, veteran status, disability or any other characteristic covered by applicable law.*
**Primary Location Address**
 1575 Northeast Expy NE
**Job Family**
 Business Intelligence</t>
        </is>
      </c>
    </row>
    <row r="62">
      <c r="A62" t="inlineStr">
        <is>
          <t>li-4361944560</t>
        </is>
      </c>
      <c r="B62" t="inlineStr">
        <is>
          <t>Sr. AI Engineer</t>
        </is>
      </c>
      <c r="C62" t="inlineStr">
        <is>
          <t>Félix</t>
        </is>
      </c>
      <c r="D62" t="inlineStr">
        <is>
          <t>linkedin</t>
        </is>
      </c>
      <c r="E62">
        <f>HYPERLINK("https://www.linkedin.com/jobs/view/4361944560", "https://www.linkedin.com/jobs/view/4361944560")</f>
        <v/>
      </c>
      <c r="F62">
        <f>HYPERLINK("https://jobs.gem.com/felix/am9icG9zdDr49mO99Qvq7VkbksAIHf-Y&amp;urlHash=TVvc", "https://jobs.gem.com/felix/am9icG9zdDr49mO99Qvq7VkbksAIHf-Y&amp;urlHash=TVvc")</f>
        <v/>
      </c>
      <c r="G62" t="inlineStr"/>
      <c r="H62" t="inlineStr"/>
      <c r="I62" t="inlineStr">
        <is>
          <t>**About Us**
 At Félix, we're building the financial ecosystem for Latin immigrants in the U.S., starting with a revolution in remittances. Our core product is an AI\-powered chatbot built on WhatsApp, allowing our users to send money home as easily as sending a text message. We leverage cutting\-edge technology like AI, blockchain, and stablecoins to make cross\-border payments faster, more affordable, and more accessible than ever before.
 We are a hyper\-growth Series B company, backed by over $100 million in funding from top\-tier global investors, including QED, Castle Island, Switch Ventures, HTwenty, Monashees, and General Catalyst Customer Value Fund. This isn't just about the numbers; it's a testament to the trust our investors have in our vision and our team. Additionally, Félix was selected as an “Endeavour Entrepreneur” and was a recipient of the CrossTech Fintech Startups Award. We are a group of extremely talented and dedicated high\-performers, united by our shared obsession with a single goal: empowering our customers. We are all owners of Félix, driven by a bias for action and a true experimentation spirit to get shit done with urgency and focus.
 Joining Félix means you will be part of a team building a legacy, a company that will outlive us all. This is a rare opportunity to apply your skills to a deeply meaningful mission—serving a community that has been underserved for too long. We are a team that is fiercely loyal to each other, where radical transparency and constructive feedback are how we grow and push for excellence. We are bold, we care less about what others are doing, and more about creating sustainable value and a product that truly makes our users' lives better. We are building the future, today.
**About The Role**
 We are seeking a proactive and highly skilled AI Engineer to join our core AI team. This role is central to Félix's next phase of growth, focusing on designing, building, and scaling autonomous AI Agents that will integrate directly into our product and internal operations.
 You will be instrumental in evolving our WhatsApp\-based AI platform beyond simple Q\&amp;A into a sophisticated, multi\-agent system capable of reasoning, planning, and executing complex, multi\-step tasks across our critical functions (e.g., loans, payments, fraud). You will partner closely with JM Mommessin, our Head of AI, as well as with other engineering teams and PMs to translate our AI strategy into a tangible roadmap and bring it to life. This is a unique opportunity to apply a bias toward action and an experimentation spirit to solve deeply meaningful, real\-world problems for Latin immigrants in the U.S. If you thrive in a rapid\-iteration environment and want to build the infrastructure that powers a hyper\-growth fintech, this is your mission.
**Responsibilities**
* Production\-Grade Agent Architecture: Architect, develop, and maintain scalable, stateful AI agents. You won't just build "demos"; you will ship hardened systems using Python and modern frameworks (Google ADK, LangGraph, CrewAI, etc.) that handle real\-world edge cases.
* LLMOps \&amp; Observability: Establish production monitoring for agentic workflows. Implement tracing and observability (e.g., LangSmith, Arize Phoenix, or Weights \&amp; Biases) to track reasoning paths, tool\-calling success rates, and latency bottlenecks.
* End\-to\-End Production Integration: Lead the integration of AI agents into core product infrastructure (Payments, Fraud, etc.). Own the full lifecycle, from containerization (Docker/Kubernetes) to CI/CD deployment and post\-launch stability.
* Advanced Evaluation Pipelines: Move beyond basic metrics. Design automated "evals\-as\-code" using LLM\-as\-a\-judge, semantic similarity testing, and adversarial benchmarking to ensure agent safety and groundedness before every release.
* Performance \&amp; Cost Engineering: Optimize RAG pipelines and agent loops for production constraints. Implement caching strategies, prompt compression, and model routing to balance inference costs with high\-performance requirements.
* Technical Leadership: Mentor junior engineers on software craft. Drive best practices in asynchronous programming, error handling for non\-deterministic outputs, and structured data validation (Pydantic, etc.).
**Requirements**
* Experience: 7\+ years of hands\-on experience in software engineering, with at least 2 years dedicated to building and deploying production\-grade AI/ML applications, specifically focused on Large Language Models (LLMs) or generative AI.
* Technical Mastery: Mandatory expertise in Python and deep familiarity with 1 core LLM APIs and frameworks (OpenAI SDK, Google AI SDK, CrewAI, LangChain, etc.).
* Agentic System Knowledge: Proven experience implementing agentic systems, including knowledge of RAG, vector databases, and memory/state management.
* Engineering Fundamentals: Strong understanding of software development best practices, version control (Git/GitHub), and CI/CD pipelines. Experience with personal projects or demonstrable contributions on GitHub is a strong plus.
* Execution \&amp; Communication: Proven ability to translate high\-level business needs into concrete, maintainable, and well\-tested code.
* These are the applicable requisites, although equivalent competencies in any of the above will also be considered.
**What We Offer**
* Competitive salary
* Initial stock options grant
* Annual performance bonus
* Health, dental, and vision plans
* 401(k) with employer match
* Remote work environment, although we have offices in Miami and México City and would love to work in hybrid model if you are up to it.
* Continuous learning opportunities
* Unlimited PTO
* Paid parental leave
* Empowering opportunities for growth in a dynamic entrepreneurial environment
**Equal Opportunity Employer**
 At Félix, we are committed to providing equal employment opportunities to all qualified employees and applicants without regard to race, religion, nationality, sex, sexual orientation, gender identity, age, or disability. This policy applies to all terms and conditions of employment, including recruitment, hiring, placement, promotion, training, compensation, benefits, and termination.
*Want to learn more about our privacy practices? Check out our* 
*Privacy Policy* 
*.*</t>
        </is>
      </c>
    </row>
    <row r="63">
      <c r="A63" t="inlineStr">
        <is>
          <t>li-4362120630</t>
        </is>
      </c>
      <c r="B63" t="inlineStr">
        <is>
          <t>Machine Learning Engineer</t>
        </is>
      </c>
      <c r="C63" t="inlineStr">
        <is>
          <t>AmeriHealth Caritas</t>
        </is>
      </c>
      <c r="D63" t="inlineStr">
        <is>
          <t>linkedin</t>
        </is>
      </c>
      <c r="E63">
        <f>HYPERLINK("https://www.linkedin.com/jobs/view/4362120630", "https://www.linkedin.com/jobs/view/4362120630")</f>
        <v/>
      </c>
      <c r="F63">
        <f>HYPERLINK("https://careers.amerihealthcaritas.com/us/en/job/39037/Machine-Learning-Engineer?%26source=LinkedIn&amp;source=LinkedIn&amp;urlHash=mSzH", "https://careers.amerihealthcaritas.com/us/en/job/39037/Machine-Learning-Engineer?%26source=LinkedIn&amp;source=LinkedIn&amp;urlHash=mSzH")</f>
        <v/>
      </c>
      <c r="G63" t="inlineStr">
        <is>
          <t>Newtown Square, PA</t>
        </is>
      </c>
      <c r="H63" t="inlineStr"/>
      <c r="I63" t="inlineStr">
        <is>
          <t>**Role Overview**
 The
 **Machine Learning (ML) Engineer** 
 will be responsible for developing and implementing ML pipelines on the Azure platform utilizing Azure Databricks. The Engineer will apply expertise with Azure and Databricks services, combined with strong knowledge of machine learning models and deployment, which will be crucial in enabling seamless integration of data science and engineering workflows.
****Responsibilities:****
* Develop and deploy end\-to\-end machine learning pipelines on the Azure Databricks platform
* Collaborate with data scientists, engineers, and stakeholders to understand project requirements and translate them into scalable ML solutions
* Design and implement Azure\-based infrastructure and tools for efficient model training, evaluation, and deployment
* Ensure the scalability, reliability, and security of machine learning systems in production environments
* Monitor and troubleshoot deployed ML systems, addressing issues related to performance, data quality, and reliability
* Implement CI/CD processes for machine learning models, enabling seamless updates and version control
* Stay up to date with the latest advancements in Azure ML services and identify opportunities for innovation and optimization
* Collaborate with cross\-functional teams to improve ML Ops processes, documentation, and best practices
**Education And Experience**
* Bachelor’s Degree in computer science, engineering, data science, or other technical field or additional relevant experience is required
* At least one to three (1 \- 3\) years of experience related to data science, machine learning, and/or software engineering
* Fluency in Python and SQL
* Preferred hands\-on machine learning experience in a production Databricks environment including PySpark, MLFlow, Feature Store, and Azure DevOps
* Preferred experience building model and data drift monitoring solutions in a production environment
**Our Comprehensive Benefits Package**
 Flexible work solutions including remote options, hybrid work schedules, Competitive pay, Paid time off including holidays and volunteer events, Health insurance coverage for you and your dependents on Day 1, 401(k) Tuition reimbursement and more.
 Your career starts now. We’re looking for the next generation of healthcare leaders.
 At AmeriHealth Caritas, we’re passionate about helping people get care, stay well, and build healthy communities. As one of the nation's leaders in healthcare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Newtown Square,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t>
        </is>
      </c>
    </row>
    <row r="64">
      <c r="A64" t="inlineStr">
        <is>
          <t>li-4364997451</t>
        </is>
      </c>
      <c r="B64" t="inlineStr">
        <is>
          <t>AI Engineer</t>
        </is>
      </c>
      <c r="C64" t="inlineStr">
        <is>
          <t>Lensa</t>
        </is>
      </c>
      <c r="D64" t="inlineStr">
        <is>
          <t>linkedin</t>
        </is>
      </c>
      <c r="E64">
        <f>HYPERLINK("https://www.linkedin.com/jobs/view/4364997451", "https://www.linkedin.com/jobs/view/4364997451")</f>
        <v/>
      </c>
      <c r="F64" t="inlineStr"/>
      <c r="G64" t="inlineStr">
        <is>
          <t>Washington, DC</t>
        </is>
      </c>
      <c r="H64" t="inlineStr"/>
      <c r="I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Customer Success Services team needs an AI Engineer that can design, develop, configure, evaluate, monitor and optimize generative AI and agent solutions for Oracle applications, as well as develop innovative solutions to advance the CSS team's operational capabilities and effectiveness.
 The ideal candidate will create processes, tools, and tests so that CSS can evaluate and optimize AI responses on customer instances at scale. The candidate will develop monetizable services and build revenue streams around different levels of test, evaluation, monitoring and audit for generative AI authoring, summarization, retrieval augmented generation and agentic workflows. The candidate will be responsible for maintaining close relationships and sharing information across many lines of business.
**Responsibilities**
* Evaluate and optimize GenAI solutions (including RAG and agents).
* Provide analysis and reporting of AI quality and business value, as well as auditing (e.g. bias, prompt injection, guardrails) for customers.
* Develop methods and tools to evaluate, improve, extend, and measure ROI of Oracle AI solutions.
* Design and develop custom AI solutions to optimize and generate efficiencies for business operations.
* Help monetize AI capabilities as managed services.
* Support internal standardization and uptake of generative AI code assist tools.
* Interface with Oracle AI Review (OAR) Board and Corporate Security Solution Assurance Process team to ensure AI and security governance.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to $158,200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65">
      <c r="A65" t="inlineStr">
        <is>
          <t>li-4361953975</t>
        </is>
      </c>
      <c r="B65" t="inlineStr">
        <is>
          <t>Senior Machine Learning Engineer</t>
        </is>
      </c>
      <c r="C65" t="inlineStr">
        <is>
          <t>Resolve Tech Solutions</t>
        </is>
      </c>
      <c r="D65" t="inlineStr">
        <is>
          <t>linkedin</t>
        </is>
      </c>
      <c r="E65">
        <f>HYPERLINK("https://www.linkedin.com/jobs/view/4361953975", "https://www.linkedin.com/jobs/view/4361953975")</f>
        <v/>
      </c>
      <c r="F65" t="inlineStr"/>
      <c r="G65" t="inlineStr">
        <is>
          <t>Austin, TX</t>
        </is>
      </c>
      <c r="H65" t="inlineStr"/>
      <c r="I65" t="inlineStr">
        <is>
          <t>**Role overview** 
 We are hiring a Senior Machine Learning Engineer who will own the design and delivery of production grade machine learning capabilities for an observability and operations intelligence platform that serves large enterprise and public sector customers. The platform supports workloads that follow strict security and compliance expectations including support for United States Federal government environments.
 This is an on site and hands on role based in the Dallas area. The engineer will work on alert noise reduction, anomaly detection, semantic search, and incident root cause assistance and will take solutions from concept to production. The role involves close partnership with on site DevOps, data engineering, and product teams and requires comfort working with operational data such as alerts, logs, metrics, and incident tickets.
**Core responsibilities** 
 Machine learning solution design
* Own the machine learning design for operations and reliability use cases including alert noise reduction, alert grouping and clustering, anomaly detection, incident root cause assistance, and cost or usage insights
* Translate product requirements and reliability targets into clear machine learning problems with well defined metrics such as false positive rate, false negative rate, alert reduction goals, and impact on incident handling time
* Select appropriate model families for each use case including supervised and unsupervised classical models, deep learning models, and language model based approaches where appropriate
 Data and feature engineering for operational data
* Work with data engineering to define and refine pipelines that ingest monitoring alerts, events, logs, metrics, and incident or ticket data from operations tools
* Design features that capture temporal patterns, service and infrastructure relationships, and business criticality of systems and alerts
* Implement data validation rules and data quality checks and collaborate on detection and handling of data drift and schema evolution
 MLOps, deployment, and lifecycle management
* Establish and maintain a modern machine learning operations workflow including experiment tracking, model registry, automated training, and automated deployment
* Build production ready inference services such as synchronous application programming interfaces, batch scoring jobs, and streaming based scoring that integrate with backend services and user interfaces
* Collaborate with on site DevOps on deployment patterns in secure environments including staging, canary releases, controlled rollouts, and rollback strategies
* Define retraining strategies and schedules for models whose performance depends on changing alert distributions and operational patterns
 Evaluation, monitoring, and safety
* Design offline and online evaluation suites using historical alert and incident data including realistic scenarios for alert suppression and recommendation quality
* Build dashboards that make model behaviour and impact transparent to product owners, operations teams, and technical leadership
* Monitor model performance and drift in production and drive corrective actions when degradation occurs
* Incorporate feedback from operators and subject matter experts into continual improvement cycles and where suitable into active learning workflows
 Security, compliance, and public sector readiness
* Work within the constraints of secure and regulated deployments including strict access control, logging, and change management practices
* Ensure that experimentation and training environments that use sensitive or regulated data follow required security and compliance guidelines including expectations associated with United States Federal government workloads and FedRAMP style environments
* Document model inputs, outputs, assumptions, and controls so that the design can be reviewed by security, compliance, and audit teams
 Cross team collaboration
* Coordinate shared machine learning components across multiple products such as embedding services, semantic search services, and evaluation frameworks
* Participate in architecture and design discussions to promote reuse of patterns and components across the AI and data platform
* Provide mentoring and technical guidance to junior engineers and data scientists where needed
 On site collaboration in Dallas
* Work primarily from the Dallas area office in close coordination with local engineering, product, and leadership teams
* Participate in in person design sessions, whiteboard reviews, and incident reviews that require physical presence and real time collaboration
* Help build a strong on site engineering culture through knowledge sharing, pair design, and support for local team members
- 
**Required qualifications** 
* Bachelor’s or Master’s degree in Computer Science, Engineering, Mathematics, or a related field or equivalent practical experience
* At least five years of hands on machine learning engineering experience with a strong record of shipping models into production systems
* Strong programming skills in Python with fluency in libraries such as NumPy, pandas, scikit learn and at least one deep learning framework such as PyTorch or TensorFlow
* Proven experience building and operating production machine learning systems including application programming interfaces, batch jobs, or streaming jobs and partnering with DevOps teams
* Solid understanding of the full machine learning lifecycle including data preparation, feature engineering, model training, evaluation, deployment, and ongoing monitoring
* Experience with at least one major cloud provider. Experience with Amazon Web Services is preferred including familiarity with services such as managed container platforms, serverless functions, object storage, and managed machine learning platforms
* Experience with machine learning operations practices and tools such as experiment tracking, model registry, automated training pipelines, and automated deployment pipelines
* Strong skills in experiment design and interpretation including backtesting, A and B style testing, and detailed error analysis
* Excellent communication skills with the ability to explain model behaviour and trade offs to engineers, product managers, and operations stakeholders
* Ability and willingness to work full time on site in the Dallas Fort Worth metro area
**Preferred qualifications** 
* Experience with observability and operations domains such as monitoring alerts, logs, metrics, traces, and incident ticket systems
* Experience in environments that support United States Federal government or other highly regulated workloads with an understanding of security and compliance constraints
* Background in large language models and retrieval augmented search or summarization for operational or knowledge management use cases
* Familiarity with vector databases and semantic search platforms and experience building embedding based retrieval systems
* Experience delivering anomaly detection, clustering, and time series modelling solutions at meaningful scale
* Prior experience in a product engineering setting where the engineer owns design, implementation, and operational aspects of machine learning services
**Technology stack** 
 Candidates do not need experience with every item but should be comfortable with most of the following.
* Languages and libraries
* Python, NumPy, pandas, scikit learn
* PyTorch or TensorFlow or comparable deep learning tools
* Cloud and infrastructure
* Major cloud provider such as Amazon Web Services or similar
* Experience with services such as managed Kubernetes or container platforms, serverless compute, object storage, and managed machine learning services
* Machine learning operations and orchestration
* Tools for experiment tracking and model registry such as MLflow or managed registry services
* Workflow tools such as Apache Airflow or managed workflow orchestration services
* Observability and integration
* Familiarity with logging and metrics solutions such as CloudWatch, Prometheus, Grafana, or similar
* Experience exposing machine learning services through restful application programming interfaces or similar integration methods</t>
        </is>
      </c>
    </row>
    <row r="66">
      <c r="A66" t="inlineStr">
        <is>
          <t>li-4344775158</t>
        </is>
      </c>
      <c r="B66" t="inlineStr">
        <is>
          <t>Staff Machine Learning Engineer, Simulation</t>
        </is>
      </c>
      <c r="C66" t="inlineStr">
        <is>
          <t>Waymo</t>
        </is>
      </c>
      <c r="D66" t="inlineStr">
        <is>
          <t>linkedin</t>
        </is>
      </c>
      <c r="E66">
        <f>HYPERLINK("https://www.linkedin.com/jobs/view/4344775158", "https://www.linkedin.com/jobs/view/4344775158")</f>
        <v/>
      </c>
      <c r="F66" t="inlineStr"/>
      <c r="G66" t="inlineStr">
        <is>
          <t>Mountain View, CA</t>
        </is>
      </c>
      <c r="H66" t="inlineStr"/>
      <c r="I6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Driver Understanding and Evaluation team at Waymo develops a rich understanding of Waymo Driver's behavior. With over 1 million driverless miles per week, it is critical that Waymo can understand and assess the behavior of all its vehicles \- both in the field and in simulation \- with automated algorithms. The learned metrics team is a strategic bet to use machine learning to ensure we can scale to meet Waymo's goals. We collaborate across teams to bring ML to production systems and build what is Waymo's reward function. We build and operate large\-scale machine learning and data systems, simulation workflows, and insight tools. We combine expert human judgements and advanced machine learning models to deliver training and evaluation data for the Waymo driver. We are looking for researchers and software engineers who are passionate about developing production grade machine learning systems for our autonomous vehicles and have an incessant drive to improve the performance of our technology stack.
 This role follows a hybrid work schedule and reports to
 *an* 
*Engineering Manager.*
**You Will**
* Develop ML models that assess our autonomous vehicle's behavior.
* Develop ML infrastructure to support performant models.
* Collaborate across teams to bring state\-of\-the\-art to production.
**You Have**
* BS in Computer Science, Robotics, Statistics, Physics, Math or another quantitative area, or equivalent work experience
* 4\+ years of experience building productionized ML models
* Code and design skills: comfort building production systems (Python / C\+\+)
* Background in applied Deep Learning
* A track record in improving model quality
**We Prefer**
* 6\+ years of experience building productionized ML models
* Experience in reinforcement learning, transfer learning, or learning.
* Experience with large scale data and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67">
      <c r="A67" t="inlineStr">
        <is>
          <t>li-4365001399</t>
        </is>
      </c>
      <c r="B67" t="inlineStr">
        <is>
          <t>Senior Machine Learning Engineer, Perception</t>
        </is>
      </c>
      <c r="C67" t="inlineStr">
        <is>
          <t>Wing</t>
        </is>
      </c>
      <c r="D67" t="inlineStr">
        <is>
          <t>linkedin</t>
        </is>
      </c>
      <c r="E67">
        <f>HYPERLINK("https://www.linkedin.com/jobs/view/4365001399", "https://www.linkedin.com/jobs/view/4365001399")</f>
        <v/>
      </c>
      <c r="F67" t="inlineStr"/>
      <c r="G67" t="inlineStr">
        <is>
          <t>Palo Alto, CA</t>
        </is>
      </c>
      <c r="H67" t="inlineStr"/>
      <c r="I67" t="inlineStr">
        <is>
          <t>**About Wing**
 Wing offers drone delivery as a safe, fast, and sustainable solution for last mile logistics. Consumer appetites for on\-demand services are increasing, but current delivery methods are inefficient, costly, and contribute to road accidents and air pollution. Wing’s fleet of highly automated delivery drones can transport small packages directly from businesses to homes on\-demand, in minutes. We design, build, and operate our aircraft, and offer drone delivery services on two continents. Our technology is designed to be easy to integrate into existing delivery and logistics networks, offering a scalable drone delivery solution for a broad range of businesses. Wing is a part of Google's parent company, Alphabet, and our mission is to create the preferred means of delivery for the planet. If you're ready to do the greatest work of your life, come join us.
**About The Role**
 Wing is looking for a Senior Machine Learning Engineer to join as a foundational member of our ML Perception team. You will be at the forefront of advancing our autonomous drone delivery system, leveraging deep learning to ensure our aircraft navigate the world with precision and safety.
 At Wing, you aren’t just building models in a vacuum; you have access to tens of thousands of hours of flight data from a diverse sensor suite. Your improvements will deploy directly to a large fleet of autonomous aircraft, impacting thousands of real\-world customers daily. We value senior engineers who are intrinsically driven and have a knack for solving complex problems with stunningly simple, pragmatic solutions.
**What You’ll Do**
* Design \&amp; Deploy: Research, build and deploy highly reliable ML models optimized for resource\-constrained, real\-time environments.
* Scale Research: Utilize Wing’s massive datasets to develop and refine complex models that push the boundaries of environmental understanding.
* Innovate: Apply state\-of\-the\-art CV foundation models to solve real\-world robotics challenges.
* Collaborate: Partner across hardware, software, and flight\-testing teams to take features from concept to production\-ready flight code.
* Mentor: Educate and drive ML/AI adoption at Wing.
**What You’ll Need**
* 8\+ years of experience in ML, deep learning, or computer vision, ideally within robotics or autonomous systems.
* MS or PhD in Computer Science, Robotics, Electrical Engineering, or equivalent industry experience leading production\-grade ML systems.
* Proficiency in Python and/or C\+\+.
* Hands\-on experience with JAX, PyTorch, or TensorFlow.
* Deep understanding of Linear Algebra and modern CV architectures (CNNs, Transformers, etc.).
* Domain Expertise: Proven track record in one or more of the following:
+ Multi\-view Geometry \&amp; 3D Reconstruction.
+ Monocular or Stereo Depth Estimation.
+ Object detection, localization, Semantic Segmentation.
+ Local and global image features
* The ability to drive complex features independently and a history of delivering simple, well\-thought\-out solutions to business\-critical problems.
* Publications at top\-tier Robotics/CV/ML conferences such as CVPR, ICCV, ECCV, ICML, ICRA, RSS, NeurIPS.
 The US base salary range for this full\-time position is the salary range below \+ bonus \+ equity \+ benefits. Wing’s salary ranges are determined by role, level, and location. Your recruiter can share more about the specific salary range for your location during the hiring process.
 Salary Range
 $222,000—$236,000 USD
 Wing is an equal opportunity employer and it is Wing's policy to comply with all applicable national, state and local laws pertaining to nondiscrimination and equal opportunity. Employment at Wing is based solely on a person's merit and qualifications directly related to professional competence. Wing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If you have a need that requires accommodation during the interview process due to a disability or special need, please let us know by completing our Candidate Accommodations Request Form.</t>
        </is>
      </c>
    </row>
    <row r="68">
      <c r="A68" t="inlineStr">
        <is>
          <t>li-4364963869</t>
        </is>
      </c>
      <c r="B68" t="inlineStr">
        <is>
          <t>AI/ML Engineer</t>
        </is>
      </c>
      <c r="C68" t="inlineStr">
        <is>
          <t>FTI Defense - Frontier Technology Inc.</t>
        </is>
      </c>
      <c r="D68" t="inlineStr">
        <is>
          <t>linkedin</t>
        </is>
      </c>
      <c r="E68">
        <f>HYPERLINK("https://www.linkedin.com/jobs/view/4364963869", "https://www.linkedin.com/jobs/view/4364963869")</f>
        <v/>
      </c>
      <c r="F68" t="inlineStr"/>
      <c r="G68" t="inlineStr">
        <is>
          <t>New Orleans, LA</t>
        </is>
      </c>
      <c r="H68" t="inlineStr"/>
      <c r="I68" t="inlineStr">
        <is>
          <t>**Overview**
 Frontier Technology Inc. (FTI) is seeking a hands\-on AI/ML Engineer to design, build, and deploy advanced machine learning solutions supporting defense and national security missions. This role focuses on execution in oversight, ideal for an engineer who thrives in the code, enjoys building end\-to\-end pipelines, and takes pride in seeing their work directly impact operational systems.
 FTI delivers mission\-focused solutions to the Department of Defense (DoD/DoW) and Intelligence Community (IC) through advanced engineering, digital transformation, and program execution expertise. We help our customers solve complex challenges and achieve mission success by integrating people, process, and technology.
**Responsibilities**
* Design, develop, and deploy AI/ML models and pipelines that meet mission and performance objectives.
* Build, train, and fine\-tune models using frameworks such as PyTorch, TensorFlow, scikit\-learn, Hugging Face, and LangChain.
* Develop and operationalize MLOps pipelines (MLflow, Kubeflow, DVC, or custom training/inference orchestration).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Contribute to agent\-based applications using frameworks like LangGraph, AutoGen, CrewAI, or DSPy.
* Integrate AI services into real\-world systems via APIs, event\-driven workflows, or UI copilots.
* Collaborate with data engineers, software developers, and mission analysts to ensure AI models are production\-ready and aligned with customer needs.
* Participate in peer reviews, contribute to shared repositories, and document models and experiments for reproducibility.
**Education/Qualifications**
**Minimum Requirements:**
* Must be a U.S. citizen and be willing to obtain and maintain a secruity clearance, as needed.
* 6\-10\+ years of professional experience developing and deploying AI/ML solutions in production environments.
* Professional experience within the Department of Defense (DoD/DoW) AI assurance, security, and deployment environments.
* Strong Python development skills with hands\-on experience building AI/ML solutions.
* Direct experience with ML frameworks such as PyTorch, TensorFlow, scikit\-learn, Hugging Face, or LangChain.
* Proven ability to build and deploy MLOps pipelines using MLflow, Kubeflow, DVC, or equivalent.
* Working knowledge of vector databases (Milvus, Pinecone, Chroma, FAISS) and retrieval\-based architectures (RAG, hybrid, graph).
* Professional experience fine\-tuning and evaluating LLMs or smaller task\-specific models using LoRA, QLoRA, or PEFT.
* Professional experience integrating AI capabilities into production systems or mission applications.
**Preferred Qualifications**
* Familiarity with agentic frameworks (LangGraph, AutoGen, CrewAI, DSPy) and multi\-agent reasoning.
* Understanding of prompt engineering, retrieval quality, and grounding methods.
* Exposure to GPU\-based or edge inference environments.
* Bachelor’s or Master’s degree in Computer Science, Engineering, Data Science, or a related technical field.
* Active Secret clearance preferred; ability to obtain one is required.</t>
        </is>
      </c>
    </row>
    <row r="69">
      <c r="A69" t="inlineStr">
        <is>
          <t>li-4344656081</t>
        </is>
      </c>
      <c r="B69" t="inlineStr">
        <is>
          <t>Staff Machine Learning Engineer, Simulation</t>
        </is>
      </c>
      <c r="C69" t="inlineStr">
        <is>
          <t>Waymo</t>
        </is>
      </c>
      <c r="D69" t="inlineStr">
        <is>
          <t>linkedin</t>
        </is>
      </c>
      <c r="E69">
        <f>HYPERLINK("https://www.linkedin.com/jobs/view/4344656081", "https://www.linkedin.com/jobs/view/4344656081")</f>
        <v/>
      </c>
      <c r="F69" t="inlineStr"/>
      <c r="G69" t="inlineStr">
        <is>
          <t>San Francisco, CA</t>
        </is>
      </c>
      <c r="H69" t="inlineStr"/>
      <c r="I6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Driver Understanding and Evaluation team at Waymo develops a rich understanding of Waymo Driver's behavior. With over 1 million driverless miles per week, it is critical that Waymo can understand and assess the behavior of all its vehicles \- both in the field and in simulation \- with automated algorithms. The learned metrics team is a strategic bet to use machine learning to ensure we can scale to meet Waymo's goals. We collaborate across teams to bring ML to production systems and build what is Waymo's reward function. We build and operate large\-scale machine learning and data systems, simulation workflows, and insight tools. We combine expert human judgements and advanced machine learning models to deliver training and evaluation data for the Waymo driver. We are looking for researchers and software engineers who are passionate about developing production grade machine learning systems for our autonomous vehicles and have an incessant drive to improve the performance of our technology stack.
 This role follows a hybrid work schedule and reports to
 *an* 
*Engineering Manager.*
**You Will**
* Develop ML models that assess our autonomous vehicle's behavior.
* Develop ML infrastructure to support performant models.
* Collaborate across teams to bring state\-of\-the\-art to production.
**You Have**
* BS in Computer Science, Robotics, Statistics, Physics, Math or another quantitative area, or equivalent work experience
* 4\+ years of experience building productionized ML models
* Code and design skills: comfort building production systems (Python / C\+\+)
* Background in applied Deep Learning
* A track record in improving model quality
**We Prefer**
* 6\+ years of experience building productionized ML models
* Experience in reinforcement learning, transfer learning, or learning.
* Experience with large scale data and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70">
      <c r="A70" t="inlineStr">
        <is>
          <t>li-4364627642</t>
        </is>
      </c>
      <c r="B70" t="inlineStr">
        <is>
          <t>Generative AI Engineer</t>
        </is>
      </c>
      <c r="C70" t="inlineStr">
        <is>
          <t>Demoverse</t>
        </is>
      </c>
      <c r="D70" t="inlineStr">
        <is>
          <t>linkedin</t>
        </is>
      </c>
      <c r="E70">
        <f>HYPERLINK("https://www.linkedin.com/jobs/view/4364627642", "https://www.linkedin.com/jobs/view/4364627642")</f>
        <v/>
      </c>
      <c r="F70" t="inlineStr"/>
      <c r="G70" t="inlineStr">
        <is>
          <t>San Francisco, CA</t>
        </is>
      </c>
      <c r="H70" t="inlineStr"/>
      <c r="I70" t="inlineStr">
        <is>
          <t>**Role** 
 : Product and System Architecture
**Location** 
 : US/India
**Company** 
 : Building in the consumer AI space
**The Opportunity** 
 We are building a mass\-scale consumer platform native to Generative AI. We are moving beyond "chatbots" to build a high\-frequency, real\-time utility that leverages state\-of\-the\-art models (Flux/SDXL) to drive core user interactions.
 You will be the technical architect behind a system designed for millions of concurrent interactions, owning the bridge between
 **Generative Inference** 
 and
 **Consumer Scale** 
 .
**The Role** 
* **Architect the Core:** 
 Design and build a fault\-tolerant, real\-time backend capable of handling high\-velocity data streams and complex AI pipelines simultaneously.
* **Optimize Inference:** 
 Own the latency and cost stack. You will optimize inference endpoints to deliver "magic" speed at consumer scale.
* **Product Engineering:** 
 You are not just writing backend code; you are defining the physics of the product. You will translate abstract capabilities into fluid, addictive user experiences.
**Requirements (Non\-Negotiable)** 
* **5\+ Years Scaling Consumer Tech:** 
 You have architected systems that served \&gt;100k active users (bonus if millions). You know where databases break and how to keep latency under 100ms.
* **True AI\-Native Experience:** 
 You understand the plumbing of Generative AI (Diffusion, LoRA, Vector Embeddings). You are not just calling an API; you know how to fine\-tune and optimize models for production.
* **Full\-Stack Velocity:** 
 You ship.
**The DNA** 
* **Operator:** 
 You value shipping over polishing.
* **Systems Thinker:** 
 You see the trade\-offs between cost, speed, and quality before you write the first line of code (or ask Claude to write it for you)
**To apply** 
 : Use this google form https://forms.gle/N2wRZLBWMeyFyqmL6</t>
        </is>
      </c>
    </row>
    <row r="71">
      <c r="A71" t="inlineStr">
        <is>
          <t>li-4364973753</t>
        </is>
      </c>
      <c r="B71" t="inlineStr">
        <is>
          <t>AI/ML Engineer</t>
        </is>
      </c>
      <c r="C71" t="inlineStr">
        <is>
          <t>FTI Defense - Frontier Technology Inc.</t>
        </is>
      </c>
      <c r="D71" t="inlineStr">
        <is>
          <t>linkedin</t>
        </is>
      </c>
      <c r="E71">
        <f>HYPERLINK("https://www.linkedin.com/jobs/view/4364973753", "https://www.linkedin.com/jobs/view/4364973753")</f>
        <v/>
      </c>
      <c r="F71" t="inlineStr"/>
      <c r="G71" t="inlineStr">
        <is>
          <t>Baton Rouge, LA</t>
        </is>
      </c>
      <c r="H71" t="inlineStr"/>
      <c r="I71" t="inlineStr">
        <is>
          <t>**Overview**
 Frontier Technology Inc. (FTI) is seeking a hands\-on AI/ML Engineer to design, build, and deploy advanced machine learning solutions supporting defense and national security missions. This role focuses on execution in oversight, ideal for an engineer who thrives in the code, enjoys building end\-to\-end pipelines, and takes pride in seeing their work directly impact operational systems.
 FTI delivers mission\-focused solutions to the Department of Defense (DoD/DoW) and Intelligence Community (IC) through advanced engineering, digital transformation, and program execution expertise. We help our customers solve complex challenges and achieve mission success by integrating people, process, and technology.
**Responsibilities**
* Design, develop, and deploy AI/ML models and pipelines that meet mission and performance objectives.
* Build, train, and fine\-tune models using frameworks such as PyTorch, TensorFlow, scikit\-learn, Hugging Face, and LangChain.
* Develop and operationalize MLOps pipelines (MLflow, Kubeflow, DVC, or custom training/inference orchestration).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Contribute to agent\-based applications using frameworks like LangGraph, AutoGen, CrewAI, or DSPy.
* Integrate AI services into real\-world systems via APIs, event\-driven workflows, or UI copilots.
* Collaborate with data engineers, software developers, and mission analysts to ensure AI models are production\-ready and aligned with customer needs.
* Participate in peer reviews, contribute to shared repositories, and document models and experiments for reproducibility.
**Education/Qualifications**
**Minimum Requirements:**
* Must be a U.S. citizen and be willing to obtain and maintain a secruity clearance, as needed.
* 6\-10\+ years of professional experience developing and deploying AI/ML solutions in production environments.
* Professional experience within the Department of Defense (DoD/DoW) AI assurance, security, and deployment environments.
* Strong Python development skills with hands\-on experience building AI/ML solutions.
* Direct experience with ML frameworks such as PyTorch, TensorFlow, scikit\-learn, Hugging Face, or LangChain.
* Proven ability to build and deploy MLOps pipelines using MLflow, Kubeflow, DVC, or equivalent.
* Working knowledge of vector databases (Milvus, Pinecone, Chroma, FAISS) and retrieval\-based architectures (RAG, hybrid, graph).
* Professional experience fine\-tuning and evaluating LLMs or smaller task\-specific models using LoRA, QLoRA, or PEFT.
* Professional experience integrating AI capabilities into production systems or mission applications.
**Preferred Qualifications**
* Familiarity with agentic frameworks (LangGraph, AutoGen, CrewAI, DSPy) and multi\-agent reasoning.
* Understanding of prompt engineering, retrieval quality, and grounding methods.
* Exposure to GPU\-based or edge inference environments.
* Bachelor’s or Master’s degree in Computer Science, Engineering, Data Science, or a related technical field.
* Active Secret clearance preferred; ability to obtain one is required.</t>
        </is>
      </c>
    </row>
    <row r="72">
      <c r="A72" t="inlineStr">
        <is>
          <t>li-4364977736</t>
        </is>
      </c>
      <c r="B72" t="inlineStr">
        <is>
          <t>AI Engineer</t>
        </is>
      </c>
      <c r="C72" t="inlineStr">
        <is>
          <t>Lensa</t>
        </is>
      </c>
      <c r="D72" t="inlineStr">
        <is>
          <t>linkedin</t>
        </is>
      </c>
      <c r="E72">
        <f>HYPERLINK("https://www.linkedin.com/jobs/view/4364977736", "https://www.linkedin.com/jobs/view/4364977736")</f>
        <v/>
      </c>
      <c r="F72" t="inlineStr"/>
      <c r="G72" t="inlineStr">
        <is>
          <t>Harrisburg, PA</t>
        </is>
      </c>
      <c r="H72" t="inlineStr"/>
      <c r="I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Teradata. Clicking "Apply Now" or "Read more" on Lensa redirects you to the job board/employer site. Any information collected there is subject to their terms and privacy notice.
**Our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**What You’ll Do**
**In this role you will…**
* Design and build intelligent, autonomous AI systems that enable Teradata to push the boundaries of enterprise\-scale agentic technology.
* Lead the development of scalable, secure, cloud\-native frameworks that allow AI agents to reason, plan, act, and collaborate in real\-world production environments.
* Create the foundational runtime components, automation capabilities, and infrastructure that power next\-generation GenAI and Agentic AI solutions.
* Work closely with AI researchers, platform teams, and product leadership to bring advanced agentic capabilities from concept to production across Teradata’s data and AI platform.
* Succeed in this role by enabling enterprise customers to leverage powerful, resilient, and safely governed AI agents that drive measurable business value.
**Who You’ll Work With**
**On our team, we…**
* Are part of Teradata’s global engineering organization, responsible for building the technologies that power VantageCloud , our unified data and AI platform.
* Operate at the intersection of cloud computing, advanced analytics, and AI\-driven automation to help enterprises unify and analyze data across hybrid and multi\-cloud environments.
* Solve highly complex challenges in scalability, performance, interoperability, and intelligent automation to enable customers to turn data into insights and innovation.
* Collaborate across research, architecture, platform engineering, and product teams to shape the future of enterprise AI.
* This position reports into the AI engineering leadership team within Teradata’s global engineering organization.
**What Makes You a Qualified Candidate**
* Proven experience designing, developing, and deploying autonomous AI agents at scale.
* Expertise in building agent\-based architectures and runtime components for next\-generation AI/LLM systems.
* Hands\-on experience implementing governance, safety, and compliance in agentic AI environments.
* Ability to partner effectively with product leaders, architects, and platform teams to define enterprise\-grade AI capabilities.
* Strong technical ability with intelligent automation, generative AI, and agentic system design.
**What You’ll Bring**
* Bachelor’s or Master’s degree in Computer Science, Engineering, Data Science, or a related field.
* 3–5\+ years of experience in software architecture, backend development, or AI infrastructure, with strong Python skills and familiarity with Java, Go, and C\+\+.
* Deep expertise in agent development, LLM integration, prompt engineering, runtime systems, and AI tooling.
* Experience with MCP servers, vector databases, RAG systems, graph\-based memory, and NLP frameworks.
* Ability to design core agentic capabilities such as memory management, context handling, observability, and identity.
* Strong background in distributed systems, backend services, API design, and cloud\-native deployments (AWS, Azure, GCP).
* Proficiency with containerization, CI/CD pipelines, and scalable production infrastructures.
* Excellent communication skills, documentation habits, and ability to mentor or collaborate across teams.
* Passion for building safe, human\-aligned, autonomous systems and extending open\-source tools to innovate.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is proud to be an equal opportunity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We welcome and encourage individuals from all backgrounds to apply and join our team, bringing their unique perspectives and experiences to help us innovate and grow.
 Pay Rate: 199500\.0000 \- 249400\.0000 \- 299300\.0000 Annually
 Starting pay for the successful applicant will depend on geographic location, internal equity, job\-related knowledge, skills, and candidate experience. Sales roles will be eligible for commission payments tied to quota achievement. All other permanent roles will be eligible for one of our annual incentive plans, which are based on company financial attainment and individual performance.
 Employees in this position are also eligible to participate in the Company’s comprehensive benefits programs, which include healthcare, life and disability insurance plans, a 401(k)\-retirement savings plan, and time\-off programs. Specific details of these benefits, including eligibility criteria and plan options, will be provided during the hiring process and can be reviewed here: https://www.teradata.com/About\-Us/Careers/Benefits
 If you have questions about this posting, please contact support@lensa.com</t>
        </is>
      </c>
    </row>
    <row r="73">
      <c r="A73" t="inlineStr">
        <is>
          <t>li-4316318231</t>
        </is>
      </c>
      <c r="B73" t="inlineStr">
        <is>
          <t>Machine Learning Engineer</t>
        </is>
      </c>
      <c r="C73" t="inlineStr">
        <is>
          <t>Robert Half</t>
        </is>
      </c>
      <c r="D73" t="inlineStr">
        <is>
          <t>linkedin</t>
        </is>
      </c>
      <c r="E73">
        <f>HYPERLINK("https://www.linkedin.com/jobs/view/4316318231", "https://www.linkedin.com/jobs/view/4316318231")</f>
        <v/>
      </c>
      <c r="F73" t="inlineStr"/>
      <c r="G73" t="inlineStr">
        <is>
          <t>Arlington, VA</t>
        </is>
      </c>
      <c r="H73" t="inlineStr"/>
      <c r="I73" t="inlineStr">
        <is>
          <t>We are looking for a skilled Machine Learning Engineer to join our team in Arlington, Virginia. In this role, you will focus on designing, implementing, and optimizing machine learning components, particularly in the field of computer vision. This position offers an opportunity to contribute to innovative projects while collaborating with cross\-functional teams to deliver high\-quality, scalable solutions.
 Responsibilities:
 • Develop and implement machine learning models for tasks such as object detection, image classification, and image quality assessment.
 • Write efficient, production\-ready Python code following strong object\-oriented design principles.
 • Work closely with system architects to integrate machine learning components into distributed, message\-driven systems.
 • Create and maintain data\-driven workflows for model training, evaluation, and feedback loops.
 • Optimize model performance to support near real\-time applications with high throughput and low latency.
 • Participate in system\-level design discussions to ensure scalability and long\-term maintainability.
 • Collaborate with database, API, and DevOps teams to streamline deployment and testing processes.
 • Build robust frameworks and systems that go beyond proof\-of\-concept development.
 • Document all work thoroughly, including technical designs, diagrams, test plans, and best practices.
 • Establish effective working relationships with stakeholders, including technology teams, business owners, and clients.
 • Proficiency in computer vision techniques and algorithms.
 • Strong experience with TensorFlow and other machine learning frameworks.
 • Solid understanding of machine learning principles and applications.
 • Expertise in object detection and image classification methods.
 • Familiarity with artificial intelligence concepts and their practical implementations.
 • Ability to write clean, efficient, and well\-documented code in Python.
 • Experience in optimizing models for real\-time workflows.
 • Excellent collaboration and communication skills to work effectively with diverse teams.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74">
      <c r="A74" t="inlineStr">
        <is>
          <t>li-4361974310</t>
        </is>
      </c>
      <c r="B74" t="inlineStr">
        <is>
          <t>AI/ML Engineer</t>
        </is>
      </c>
      <c r="C74" t="inlineStr">
        <is>
          <t>Jobs via Dice</t>
        </is>
      </c>
      <c r="D74" t="inlineStr">
        <is>
          <t>linkedin</t>
        </is>
      </c>
      <c r="E74">
        <f>HYPERLINK("https://www.linkedin.com/jobs/view/4361974310", "https://www.linkedin.com/jobs/view/4361974310")</f>
        <v/>
      </c>
      <c r="F74">
        <f>HYPERLINK("https://click.appcast.io/t/zp6hC2SoAEt1EYJU17ZcfENgZ5_WMCdpGc9iWFxx3lk=&amp;urlHash=LnIZ", "https://click.appcast.io/t/zp6hC2SoAEt1EYJU17ZcfENgZ5_WMCdpGc9iWFxx3lk=&amp;urlHash=LnIZ")</f>
        <v/>
      </c>
      <c r="G74" t="inlineStr">
        <is>
          <t>Walnut Creek, CA</t>
        </is>
      </c>
      <c r="H74" t="inlineStr"/>
      <c r="I74" t="inlineStr">
        <is>
          <t>Dice is the leading career destination for tech experts at every stage of their careers. Our client, MARKS IT SOLUTIONS LLC, is seeking the following. Apply via Dice today!
**Title: AI/ML Engineer**
**Location: Walnut Creek, CA \- Will Have to go onsite 3 days a week T\-W\-TH**
**TN**
**Video Interview**
**Job Description**
* Experience with Google Vertex AI and understanding of pipeline builds.
* Google Cloud
 building out a new engineering team with a focus on Artificial intelligence. team consists of a few data scientists, a few software engineer generalists, and a project manager. Need help in Data Engineering within Google Cloud Platform and ML/AI Engineering.
 Use generative artificial intelligence and machine learning tools to create business solutions to improve Member experience and operational efficiency. This role will require independent learning and problem solving to succeed.
**Essential Functions**
* Design and build AI solutions using Google Cloud AI and Salesforce AI platforms (20%)
* Train and fine tune models for performance, scalability and accuracy (15%)
* Collaborate with stakeholders across MWG to understand business requirements and identify opportunities for AI\-driven solutions (5%)
* Evaluate training data for new solutions, and ensure high quality data sources (15%)
* Work with IT engineering and IT operations teams to integrate and deploy new solutions into MWG business systems (10%)
* Implement testing and ongoing monitoring programs so that deployed models improve reliability and accuracy over time (5%)
* Pilot proofs of concept to test new model approaches and validate proposals brought by business partner (15%)
* Be responsible for components of business partner\-led projects and lead internal projects to improve processes and operations (5%)
* Business intelligence analysis and reporting (5%)
* Stay up\-to\-date on developments in generative AI and ML technology (5%)
**Knowledge/Skills/Abilities**
* Strong mathematical and analytical capacity
* Strong communication and cross\-team collaboration skills
* Ability to work in an agile environment and work on multiple projects simultaneously
* Proficient in relevant development tools such as Python, SQL
* Experience with generative AI frameworks and machine learning libraries
* Understanding of machine learning algorithms, natural language processing, and deep learning architectures
* Experience and understanding of cloud technologies and implementations
* Experience with business intelligence tools
**Education \&amp; Experience / Licenses \&amp; Certification**
* Bachelor's degree In Computer Science, Data Science, Artificial Intelligence, or a related field equivalent combination of education and experience.
* 7\+ years of relevant experience including data science, analytics, data engineering and/or software engineering
* \-OR\- 3\+ years of experience in developing and deploying machine learning or AI models
 Additional Notes from Qual Call:
 The key to this role is AI/ML experience within he Google Cloud Landscape Google Cloud Platform experience is required and expectations are to have hands on experience with VertexAI.
 The team is implementing Salesforce AgentForce and this role will require technical comparisons between Google Cloud Platform tools and Salesforce Tools (When you utilize each tool for building agents). They offer training on the Salesforce side, so that experience is not required, but would be extremely helpful.
 DialogueFlowCX is another new tool they will be using – experience not required, but nice to have. Will be using this to create conversational agents.
 Google Cloud Platform Certs are highly desirable.
**AI/ML Engineer (AI Specialist)**
* Experience with Google Vertex AI and understanding of pipeline builds.
* Software development background is helpful.
* Familiarity with GitHub and CI/CD processes.
* Architecture and IAM experience on Google Cloud Platform is valuable.
* Hands\-on model development (about two\-thirds of the role), plus solution design/integration.
* Experience with frameworks like TensorFlow, PyTorch, Hugging Face, and chatbot/GenAI projects preferred.
* Salesforce Agent Force experience is a plus but not required.
* Location: Walnut Creek.
**AI/ML Engineer Requirements**
 Top Skills: GenAI, Google Cloud, TensorFlow/PyTorch, Hugging Face, Python, SQL, BigQuery
 Bonus: Salesforce Agentforce AI, Vertex AI
 Work Split: 70% model development, 30% production/operations/integration</t>
        </is>
      </c>
    </row>
    <row r="75">
      <c r="A75" t="inlineStr">
        <is>
          <t>li-4361914448</t>
        </is>
      </c>
      <c r="B75" t="inlineStr">
        <is>
          <t>AI/ML Engineer</t>
        </is>
      </c>
      <c r="C75" t="inlineStr">
        <is>
          <t>Jobs via Dice</t>
        </is>
      </c>
      <c r="D75" t="inlineStr">
        <is>
          <t>linkedin</t>
        </is>
      </c>
      <c r="E75">
        <f>HYPERLINK("https://www.linkedin.com/jobs/view/4361914448", "https://www.linkedin.com/jobs/view/4361914448")</f>
        <v/>
      </c>
      <c r="F75" t="inlineStr"/>
      <c r="G75" t="inlineStr">
        <is>
          <t>Juno Beach, FL</t>
        </is>
      </c>
      <c r="H75" t="inlineStr"/>
      <c r="I75" t="inlineStr">
        <is>
          <t>RESPONSIBILITIES:
 Kforce has a client in Juno Beach, FL that is seeking an AI/ML Engineer.
 Key Responsibilities:
* Design, develop, and deploy machine learning models and AI solutions to address business challenges
* Build and optimize data pipelines for model training, testing, and deployment
* Collaborate with cross\-functional teams including Data Engineers, Architects, and Business Analysts to translate requirements into AI/ML solutions
* Implement AI/ML integration with Salesforce and other enterprise platforms
* Support model monitoring, performance tuning, and continuous improvement initiatives
* Develop and maintain documentation for models, algorithms, and AI/ML workflows
* Participate in code reviews and adhere to best practices for AI/ML development
* Work within Agile/Scrum methodology, contributing to sprint planning and retrospectives
* Support generative AI initiatives and explore emerging AI technologies
* Mentor junior team members and share knowledge across the team
 REQUIREMENTS:
* Bachelor's degree in Computer Science, Data Science, Mathematics, or related field
* 3\-5 years of hands\-on experience in AI/ML development and implementation
* Strong proficiency in Python and ML frameworks (TensorFlow, PyTorch, Scikit\-learn)
* Experience with data engineering tools and ETL processes
* Knowledge of SQL and database technologies (SQL Server, PostgreSQL)
* Understanding of cloud platforms (AWS, Azure) and ML services
* Familiarity with model deployment and MLOps practices
* Experience with data visualization and analytics tools
* Strong problem\-solving and analytical skills
* Excellent communication and collaboration abilities
 Preferred Qualifications:
* Master's degree or postgraduate certification in Machine Learning or AI
* Experience with Generative AI and Large Language Models (LLMs)
* Knowledge of Salesforce Einstein Analytics or AI integration
* Familiarity with NLP, computer vision, or deep learning applications
* Experience with DevOps practices and CI/CD pipelines
* Understanding of AI governance and responsible AI principles
* Prior experience in energy or utility sector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76">
      <c r="A76" t="inlineStr">
        <is>
          <t>li-4335933454</t>
        </is>
      </c>
      <c r="B76" t="inlineStr">
        <is>
          <t>Principal AI Engineer</t>
        </is>
      </c>
      <c r="C76" t="inlineStr">
        <is>
          <t>Harnham</t>
        </is>
      </c>
      <c r="D76" t="inlineStr">
        <is>
          <t>linkedin</t>
        </is>
      </c>
      <c r="E76">
        <f>HYPERLINK("https://www.linkedin.com/jobs/view/4335933454", "https://www.linkedin.com/jobs/view/4335933454")</f>
        <v/>
      </c>
      <c r="F76" t="inlineStr"/>
      <c r="G76" t="inlineStr">
        <is>
          <t>Oakland, CA</t>
        </is>
      </c>
      <c r="H76" t="inlineStr"/>
      <c r="I76" t="inlineStr">
        <is>
          <t>**Principal/Founding AI Engineer** 
 specializing in Agentic GenAI \&amp; Medical Data
**Company Overview** 
 Join a rapidly growing medical\-tech startup, backed by $75M\+ in funding, building a 3\-sided marketplace transforming how healthcare connects, transacts, and personalizes patient experiences. We’re a product\-led, remote\-friendly team with engineering and commercial operations in the US and Croatia.
**Role Overview** 
 As a Senior Software Engineer, you’ll architect and develop agentic GenAI workflows leveraging Python, Django, and cutting\-edge AI/ML tools. You will be responsible for designing internal platforms built on sensitive medical datasets, deploying market\-facing solutions, and collaborating closely with commercial and AI teams to iterate rapidly.
**Key Responsibilities** 
* Build agentic GenAI workflows using proprietary and medical datasets.
* Lead GenAI \&amp; workflow orchestration for healthcare data and knowledge management.
* Develop and optimize marketing technology: email delivery, user engagement, personalization solutions, and growth engineering initiatives.
* Prototype, productize, and validate commercial AI models—understand and model clinician behavior, prescription workflows, and intelligent decision systems.
* Write production code for backend (Python/Django), ensure robust system architecture, and lead technical implementation cycles.
* Partner with cross\-functional teams across the US and Croatia to deliver rapid, validated product iterations.
**Skills \&amp; Experience** 
* Proven backend expertise: Python and Django in production environments.
* Frontend experience: React (modern best practices).
* Cloud/infrastructure: AWS (deploying, scaling, monitoring).
* Databases: PostgreSQL; ability to optimize for large medical/structured datasets.
* AI/ML: Experience with OpenAI and agent knowledge systems strongly preferred. Track record training or managing AI agents a plus.
* Nice\-to\-have: Direct experience handling medical/healthcare data.
* Scalability: Experience architecting knowledge systems with large\-volume data indexing, not high\-throughput but focused on effective information retrieval.</t>
        </is>
      </c>
    </row>
    <row r="77">
      <c r="A77" t="inlineStr">
        <is>
          <t>li-4362074585</t>
        </is>
      </c>
      <c r="B77" t="inlineStr">
        <is>
          <t>AI Engineer: Physics</t>
        </is>
      </c>
      <c r="C77" t="inlineStr">
        <is>
          <t>Vinci4D.ai</t>
        </is>
      </c>
      <c r="D77" t="inlineStr">
        <is>
          <t>linkedin</t>
        </is>
      </c>
      <c r="E77">
        <f>HYPERLINK("https://www.linkedin.com/jobs/view/4362074585", "https://www.linkedin.com/jobs/view/4362074585")</f>
        <v/>
      </c>
      <c r="F77" t="inlineStr"/>
      <c r="G77" t="inlineStr">
        <is>
          <t>Pacifica, CA</t>
        </is>
      </c>
      <c r="H77" t="inlineStr"/>
      <c r="I77" t="inlineStr">
        <is>
          <t>**About Us** 
* We're building a next\-generation AI enabled assistant for hardware designers — one that doesn't just understand design, but helps improve it. Our system blends machine learning, 3D geometry, physics simulation, and constraint reasoning to guide engineers through meaningful design exploration
* Our solution includes a foundation model for geometry and physics. Our first models are shipped and we are quickly improving them and expanding our capabilities!
* We are backed by Xora, Eclipse Ventures and Khosla Ventures
**Role Overview** 
 We’re looking for an AI engineer or applied researcher who can help us build a foundation model for physics. In this role, you’ll design, build, train and ship deep learning models that understand and accurately predict physical phenomena.
**We’ll Look For** 
* A PhD in theoretical, experimental, or computational physics, mechanical engineering, applied math or machine learning
* A track record of high impact publications in physics, engineering, and/or machine learning
* 3\+ Years experience applying deep learning to problems in physics and/or mechanical engineering
* A solid understanding of high performance computing as it relates to computational physics in large 3D / computer vision applications
* Strong software skills beyond prototyping (e.g., Python, PyTorch, JAX, GIT)
* Ability to break down challenging problems at the confluence of physics and AI, solve them quickly, and support the solutions in production software
* An entrepreneurial spirit
**Why This Role Is Different** 
* You’ll have access to the best hardware to run large scale experiments on the world’s most advanced models
* You’ll have a direct impact on ML/AI solutions that are central to our transformative technology.
* You’ll strike a balance between doing cutting edge research and shipping your findings to a quickly improving product
* You’ll be part of a a team of cross\-functional experts in geometry, physics, materials science and computer science working on the most pressing problems in AI as they relate to physical understanding</t>
        </is>
      </c>
    </row>
    <row r="78">
      <c r="A78" t="inlineStr">
        <is>
          <t>li-4310453092</t>
        </is>
      </c>
      <c r="B78" t="inlineStr">
        <is>
          <t>Staff AI Engineer</t>
        </is>
      </c>
      <c r="C78" t="inlineStr">
        <is>
          <t>Harnham</t>
        </is>
      </c>
      <c r="D78" t="inlineStr">
        <is>
          <t>linkedin</t>
        </is>
      </c>
      <c r="E78">
        <f>HYPERLINK("https://www.linkedin.com/jobs/view/4310453092", "https://www.linkedin.com/jobs/view/4310453092")</f>
        <v/>
      </c>
      <c r="F78" t="inlineStr"/>
      <c r="G78" t="inlineStr"/>
      <c r="H78" t="inlineStr"/>
      <c r="I78" t="inlineStr">
        <is>
          <t>**Staff AI Engineer \- Agentic Solutions** 
**Location:** 
 Onsite – San Francisco or Menlo Park
**Compensation:** 
 Base to $225,000 \+ Bonus \+ RSUs (Total \~ $400,000 annually)
**Role Overview** 
 Seeking a Staff\-level AI Engineer to lead a high\-impact team building and deploying agentic AI solutions at scale across a major financial services institution. This role is responsible for reducing operational costs across millions of transactions by architecting and implementing robust, enterprise\-grade agentic systems in the cloud. The solutions built will touch every division and business line, demanding technical rigor and innovative problem\-solving.
**Responsibilities** 
* Lead the design, development, and deployment of agentic AI applications across multiple cloud environments and business units
* Build production\-grade, scalable solutions handling millions of transactions daily in a highly regulated, large\-scale FS context
* Deploy and fine\-tune Large Language Models (LLMs) and agentic architectures for enterprise\-wide, customer\-facing use cases
* Partner with business stakeholders and engineering leaders to translate enterprise objectives into lasting, measurable value
* Drive end\-to\-end AI project development: definition, proof\-of\-value, robust engineering, deployment, and enterprise integration
* Mentor and guide a technical team focused on blending ML science and software engineering for scalable, real\-world impact
* Ensure AI systems meet stringent regulatory, security, and compliance standards inherent to the financial industry
* Contribute to the vision for next\-generation, cost\-reducing AI solutions that accelerate innovation across the firm
**Requirements** 
* 8\+ years’ professional experience developing and delivering large\-scale AI/ML solutions in a commercial setting, preferably within a MAANG, leading fintech, or high\-velocity unicorn startup
* Expertise deploying LLMs and intelligent agents in production for enterprise/customer\-facing use
* Strong blend of applied machine learning, MLOps, and software engineering
* Experience architecting and supporting cloud\-native, agentic solutions in highly complex, high\-transaction environments
* Ability to collaborate across cross\-functional and business\-facing teams, translating sophisticated AI techniques into clear business outcomes
* Applied experience (not just theoretical or publication\-focused) in quantitative investment workflows, such as equities, fixed income, or multi\-asset strategies, is a major plus
**Nice to Haves** 
* Familiarity with the regulatory and compliance landscape of financial services AI deployment
* Experience building products for large\-scale, consumer\-facing environments
* Hybrid background in both applied research (not solely academic) and hands\-on engineering</t>
        </is>
      </c>
    </row>
    <row r="79">
      <c r="A79" t="inlineStr">
        <is>
          <t>li-4365006367</t>
        </is>
      </c>
      <c r="B79" t="inlineStr">
        <is>
          <t>Senior Machine Learning Engineer - SAIL</t>
        </is>
      </c>
      <c r="C79" t="inlineStr">
        <is>
          <t>Software Engineering Institute | Carnegie Mellon University</t>
        </is>
      </c>
      <c r="D79" t="inlineStr">
        <is>
          <t>linkedin</t>
        </is>
      </c>
      <c r="E79">
        <f>HYPERLINK("https://www.linkedin.com/jobs/view/4365006367", "https://www.linkedin.com/jobs/view/4365006367")</f>
        <v/>
      </c>
      <c r="F79" t="inlineStr"/>
      <c r="G79" t="inlineStr">
        <is>
          <t>Pittsburgh, PA</t>
        </is>
      </c>
      <c r="H79" t="inlineStr"/>
      <c r="I79" t="inlineStr">
        <is>
          <t>At the SEI AI Division, we conduct research in applied artificial intelligence and the engineering questions related to the practical design and implementation of AI technologies and systems. We currently lead a community\-wide movement to mature the discipline of AI Engineering for Defense and National Security.
 As our government customers adopt AI and machine learning to provide leap\-ahead mission capabilities, we
* build real\-world, mission\-scale AI capabilities through solving practical engineering problems
* discover and define the processes, practices, and tools to support operationalizing AI for robust, secure, scalable, and human\-centered mission capabilities
* prepare our customers to be ready for the unique challenges of adopting, deploying, using, and maintaining AI capabilities
* identify and investigate emerging AI and AI\-adjacent technologies that are rapidly transforming the technology landscape
 Are you creative, curious, energetic, collaborative, technology\-focused, and hard\-working? Are you interested in making a difference by bringing innovation to government organizations and beyond? Apply to join our team.
**Overview:** 
 As a Senior Machine Learning Engineer, you will specialize in engineering solutions that support research into the vulnerabilities of AI and ML algorithms and securing against those vulnerabilities.
 The Secure AI Lab within the SEI’s AI Division focuses on improving the security and robustness of AI systems. As part of the world\-class research community at Carnegie Mellon University, the Secure AI Lab conducts and applies cutting\-edge research to protect AI systems from adversaries who aim to manipulate the system to learn, do, or reveal something it isn’t supposed to.
 The Secure AI Lab consists of machine learning research scientists, machine learning engineers, and software developers who work together to solve problems in the following areas:
* Counter AI Research: Study threat models targeting AI and ML algorithms, understand the behaviors of AI algorithms, identify weak points, and design novel ways to subvert AI and ML systems.
* AI and ML Algorithm Defense Research: Create practical mitigations and defenses for observed attacks affecting AI and ML algorithms and evaluate the effectiveness of defensive techniques.
* Applied Adversarial Machine Learning: Advance the state of the art in adversarial machine learning by developing and transitioning capabilities to government sponsors.
 As an engineer, you will solve problems for government sponsors by analyzing, designing, and building responsible AI systems.
 Your day\-to\-day engineering tasks will include:
* Identifying and investigating emerging AI and AI\-adjacent technologies.
* Defining and refining processes, practices, and tools for working with AI.
* Designing and building well\-engineered prototypes of AI systems.
* Transitioning and providing guidance on AI capabilities to government sponsors.
**Duties**
* Building Machine Learning Models and Systems: You will work with machine learning frameworks such as TensorFlow, PyTorch, Torch, and Caffe and modern programming languages including Python, C/C\+\+, and Java. You will build and work with data pipelines, ETL processes, and backend systems. You will work with, extend, and implement state\-of\-the\-art machine learning methods.
* Technical Experimentation: You will experiment with modern and emerging machine learning frameworks, methods, and algorithms in application domains that include computer vision, natural language processing, planning and scheduling, robot control, and engineering safe, trusted, and reliable machine learning systems.
* Testing and evaluation. You'll conduct rapid prototyping to demonstrate and evaluate technologies in relevant environments. You'll evaluate systems for performance and security. You'll test capabilities using novel testing and analysis techniques.
* Collaboration. You'll actively participate on teams of developers, researchers, designers, and technical leads. You'll collaborate with researchers and our government customers to understand challenges, needs, and possible solutions.
* Mentoring. You'll contribute to improving the overall technical capabilities of the Division by mentoring and teaching others, participating in design (software and otherwise) sessions, and sharing insights and wisdom across the SEI.
**Knowledge And Experience**
* Comprehensive knowledge of machine learning; previous experience in adversarial machine learning desirable but not required
* A track record of using well\-established engineering practices to solve difficult problems
* An understanding of how to convert research results into functioning prototypes or capabilities
* Experience leading technical projects in novel areas with limited previous work to build upon
* Strong written and verbal communication skills; able to convey complex technical ideas in a layperson’s terms
* Ample experience with publishing written or technical artifacts showcasing your work
* Strong collaboration skills for working with colleagues and sponsors
* Willingness to guide and mentor junior team members
**Requirements**
* A bachelor’s degree in computer science, statistics, machine learning, electrical engineering, or related discipline with ten (10\) years of experience; OR MS in the same fields with eight (8\) years of experience; OR PhD in with five (5\) years of experience.
* Willingness to work onsite 5 days per week at SEI offices in Pittsburgh, PA or Arlington, VA.
* Be able to obtain and maintain an active Department of War security clearance.
* Willing to travel up to 25% of the time to locations outside of your home location. Travel sites include SEI offices in Pittsburgh and Washington, D.C., sponsor sites, and conferences.
**Location**
 Arlington, VA, Pittsburgh, PA
**Job Function**
 Software/Applications Development/Engineering
**Position Type**
 Staff – Regular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row>
    <row r="80">
      <c r="A80" t="inlineStr">
        <is>
          <t>li-4365010555</t>
        </is>
      </c>
      <c r="B80" t="inlineStr">
        <is>
          <t>Senior Machine Learning Engineer (Mandarin speaking)</t>
        </is>
      </c>
      <c r="C80" t="inlineStr">
        <is>
          <t>Moloco</t>
        </is>
      </c>
      <c r="D80" t="inlineStr">
        <is>
          <t>linkedin</t>
        </is>
      </c>
      <c r="E80">
        <f>HYPERLINK("https://www.linkedin.com/jobs/view/4365010555", "https://www.linkedin.com/jobs/view/4365010555")</f>
        <v/>
      </c>
      <c r="F80" t="inlineStr"/>
      <c r="G80" t="inlineStr">
        <is>
          <t>Menlo Park, CA</t>
        </is>
      </c>
      <c r="H80" t="inlineStr"/>
      <c r="I80"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As a Senior Machine Learning Engineer on Moloco’s Ads Quality team, you’ll design and scale machine learning systems that directly improve ad relevance, ranking, and optimization. Your work will have a measurable impact on advertiser performance, revenue efficiency, and the overall user experience across Moloco’s ad platform.
**The Opportunity:**
* Design, build, and deploy large\-scale ML systems for ad ranking, click\-through prediction, and conversion optimization
* Develop and operate production pipelines that process hundreds of millions of ad requests per day with low\-latency requirements
* Collaborate directly with customers and partners in Mandarin to understand business goals and deliver data\-driven ML solutions
* Apply systematic, reproducible approaches to model training, evaluation, and continuous improvement
* Partner with the Machine Learning Infrastructure and Data teams to improve tooling, deployment pipelines, and training efficiency
* Lead design and code reviews to promote technical excellence and standardize ML practices across Ads teams
* Diagnose model performance, identify optimization opportunities, and execute experiments that drive measurable results
* Mentor engineers on best practices for ML experimentation, productionization, and scaling
* Work cross\-functionally with product, infrastructure, and business teams to align technical innovations with product goals
**How Do I Know if the Role is Right For Me?**
* You have 7\+ years of experience building and deploying ML systems at scale, ideally in AdTech, recommender systems, or search/ranking domains
* You’ve shipped models that directly improved key product or business metrics such as CTR, CVR, or ROI
* You’re fluent in Mandarin Chinese and skilled at collaborating with customers or partners in technical discussions
* You have strong software engineering fundamentals: data structures, algorithms, and system design and proficiency in Python (C\+\+ or Java a plus)
* You’re experienced with modern ML frameworks such as PyTorch, TensorFlow, or JAX
* You’ve worked with distributed data and compute systems like Apache Beam, Dataflow, or Flume
* You understand how to build robust ML pipelines including data versioning, feature engineering, retraining, and model monitoring in production
* You have experience optimizing inference performance on GPUs, TPUs, or similar hardware accelerators
* You thrive in fast\-moving, ambiguous environments and can translate complex technical work into measurable business outcomes
* You value collaboration, accountability, and building systems that scale across teams and markets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$197,600—$247,000 USD
**Moloco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2026-01-21T05:43:13Z</dcterms:created>
  <dcterms:modified xsi:type="dcterms:W3CDTF">2026-01-21T05:43:13Z</dcterms:modified>
</cp:coreProperties>
</file>