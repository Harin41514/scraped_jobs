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in-5ca3989fcf3046bd</t>
        </is>
      </c>
      <c r="B2" t="inlineStr">
        <is>
          <t>Sr. Applied Scientist, AGI Foundations</t>
        </is>
      </c>
      <c r="C2" t="inlineStr">
        <is>
          <t>Amazon.com</t>
        </is>
      </c>
      <c r="D2" t="inlineStr">
        <is>
          <t>indeed</t>
        </is>
      </c>
      <c r="E2" t="inlineStr"/>
      <c r="F2" t="inlineStr"/>
      <c r="G2" t="inlineStr">
        <is>
          <t>Bellevue, WA,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in-eded772a7cabe7a9</t>
        </is>
      </c>
      <c r="B3" t="inlineStr">
        <is>
          <t>Sr. Applied Scientist, AGI Foundations</t>
        </is>
      </c>
      <c r="C3" t="inlineStr">
        <is>
          <t>Amazon.com</t>
        </is>
      </c>
      <c r="D3" t="inlineStr">
        <is>
          <t>indeed</t>
        </is>
      </c>
      <c r="E3" t="inlineStr"/>
      <c r="F3" t="inlineStr"/>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in-ef2ce7fcc3f9524d</t>
        </is>
      </c>
      <c r="B4" t="inlineStr">
        <is>
          <t>Applied Scientist II, Prime Video - Personalization and Discovery Science, Personalization and Discovery Science</t>
        </is>
      </c>
      <c r="C4" t="inlineStr">
        <is>
          <t>Amazon.com</t>
        </is>
      </c>
      <c r="D4" t="inlineStr">
        <is>
          <t>indeed</t>
        </is>
      </c>
      <c r="E4" t="inlineStr"/>
      <c r="F4" t="inlineStr"/>
      <c r="G4" t="inlineStr">
        <is>
          <t>Seattle, WA,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in-f2fb99637ce329bd</t>
        </is>
      </c>
      <c r="B5" t="inlineStr">
        <is>
          <t>Applied Scientist II, Prime Video - Personalization and Discovery Science, Personalization and Discovery Science</t>
        </is>
      </c>
      <c r="C5" t="inlineStr">
        <is>
          <t>Amazon.com</t>
        </is>
      </c>
      <c r="D5" t="inlineStr">
        <is>
          <t>indeed</t>
        </is>
      </c>
      <c r="E5" t="inlineStr"/>
      <c r="F5" t="inlineStr"/>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in-7e42e72721afb8c6</t>
        </is>
      </c>
      <c r="B6" t="inlineStr">
        <is>
          <t>Applied Scientist II, Prime Video - Personalization and Discovery Science, Personalization and Discovery Science</t>
        </is>
      </c>
      <c r="C6" t="inlineStr">
        <is>
          <t>Amazon.com</t>
        </is>
      </c>
      <c r="D6" t="inlineStr">
        <is>
          <t>indeed</t>
        </is>
      </c>
      <c r="E6" t="inlineStr"/>
      <c r="F6" t="inlineStr"/>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in-793d5f72c72225e1</t>
        </is>
      </c>
      <c r="B7" t="inlineStr">
        <is>
          <t>Applied Scientist II, Prime Video - Personalization and Discovery Science</t>
        </is>
      </c>
      <c r="C7" t="inlineStr">
        <is>
          <t>Amazon.com</t>
        </is>
      </c>
      <c r="D7" t="inlineStr">
        <is>
          <t>indeed</t>
        </is>
      </c>
      <c r="E7" t="inlineStr"/>
      <c r="F7" t="inlineStr"/>
      <c r="G7" t="inlineStr">
        <is>
          <t>Sunnyvale, CA, US</t>
        </is>
      </c>
      <c r="H7" s="2" t="n">
        <v>45915</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in-2a91684313ad238a</t>
        </is>
      </c>
      <c r="B8" t="inlineStr">
        <is>
          <t>Applied Scientist II, Prime Video - Personalization and Discovery Science</t>
        </is>
      </c>
      <c r="C8" t="inlineStr">
        <is>
          <t>Amazon.com</t>
        </is>
      </c>
      <c r="D8" t="inlineStr">
        <is>
          <t>indeed</t>
        </is>
      </c>
      <c r="E8" t="inlineStr"/>
      <c r="F8" t="inlineStr"/>
      <c r="G8" t="inlineStr">
        <is>
          <t>New York, NY,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in-aaec12174f690f60</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in-b1dc2cf4105a00bb</t>
        </is>
      </c>
      <c r="B10" t="inlineStr">
        <is>
          <t>Sr. Applied Scientist, Prime Video - Personalization and Discovery Science</t>
        </is>
      </c>
      <c r="C10" t="inlineStr">
        <is>
          <t>Amazon.com</t>
        </is>
      </c>
      <c r="D10" t="inlineStr">
        <is>
          <t>indeed</t>
        </is>
      </c>
      <c r="E10" t="inlineStr"/>
      <c r="F10" t="inlineStr"/>
      <c r="G10" t="inlineStr">
        <is>
          <t>Seattle, WA, US</t>
        </is>
      </c>
      <c r="H10" s="2" t="n">
        <v>45914</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in-e20bf88a01b61c00</t>
        </is>
      </c>
      <c r="B11" t="inlineStr">
        <is>
          <t>Sr. Applied Scientist, Prime Video - Personalization and Discovery Science</t>
        </is>
      </c>
      <c r="C11" t="inlineStr">
        <is>
          <t>Amazon.com</t>
        </is>
      </c>
      <c r="D11" t="inlineStr">
        <is>
          <t>indeed</t>
        </is>
      </c>
      <c r="E11" t="inlineStr"/>
      <c r="F11" t="inlineStr"/>
      <c r="G11" t="inlineStr">
        <is>
          <t>New York, NY,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in-f39c27fae5ca7098</t>
        </is>
      </c>
      <c r="B12" t="inlineStr">
        <is>
          <t>Sr. Applied Scientist, Prime Video - Personalization and Discovery Science</t>
        </is>
      </c>
      <c r="C12" t="inlineStr">
        <is>
          <t>Amazon.com</t>
        </is>
      </c>
      <c r="D12" t="inlineStr">
        <is>
          <t>indeed</t>
        </is>
      </c>
      <c r="E12" t="inlineStr"/>
      <c r="F12" t="inlineStr"/>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in-a85a090aa6f5cfe1</t>
        </is>
      </c>
      <c r="B13" t="inlineStr">
        <is>
          <t>Sr. Applied Scientist, Prime Video - Personalization and Discovery Science</t>
        </is>
      </c>
      <c r="C13" t="inlineStr">
        <is>
          <t>Amazon.com</t>
        </is>
      </c>
      <c r="D13" t="inlineStr">
        <is>
          <t>indeed</t>
        </is>
      </c>
      <c r="E13" t="inlineStr"/>
      <c r="F13" t="inlineStr"/>
      <c r="G13" t="inlineStr">
        <is>
          <t>Sunnyvale, CA, US</t>
        </is>
      </c>
      <c r="H13" s="2" t="n">
        <v>45881</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in-496c49714d6d3420</t>
        </is>
      </c>
      <c r="B14" t="inlineStr">
        <is>
          <t>Applied Scientist II, Prime Video - Personalization and Discovery Science</t>
        </is>
      </c>
      <c r="C14" t="inlineStr">
        <is>
          <t>Amazon.com</t>
        </is>
      </c>
      <c r="D14" t="inlineStr">
        <is>
          <t>indeed</t>
        </is>
      </c>
      <c r="E14" t="inlineStr"/>
      <c r="F14" t="inlineStr"/>
      <c r="G14" t="inlineStr">
        <is>
          <t>Seattle, WA,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in-48afee2719e7a7ed</t>
        </is>
      </c>
      <c r="B15" t="inlineStr">
        <is>
          <t>Sr. Applied Scientist, Prime Video - Personalization and Discovery Science</t>
        </is>
      </c>
      <c r="C15" t="inlineStr">
        <is>
          <t>Amazon.com</t>
        </is>
      </c>
      <c r="D15" t="inlineStr">
        <is>
          <t>indeed</t>
        </is>
      </c>
      <c r="E15" t="inlineStr"/>
      <c r="F15" t="inlineStr"/>
      <c r="G15" t="inlineStr">
        <is>
          <t>Seattle, WA,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in-96d966921a378f01</t>
        </is>
      </c>
      <c r="B16" t="inlineStr">
        <is>
          <t>Sr. Applied Scientist, Prime Video - Personalization and Discovery Science</t>
        </is>
      </c>
      <c r="C16" t="inlineStr">
        <is>
          <t>Amazon.com</t>
        </is>
      </c>
      <c r="D16" t="inlineStr">
        <is>
          <t>indeed</t>
        </is>
      </c>
      <c r="E16" t="inlineStr"/>
      <c r="F16" t="inlineStr"/>
      <c r="G16" t="inlineStr">
        <is>
          <t>New York, NY,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in-60831636b317addb</t>
        </is>
      </c>
      <c r="B17" t="inlineStr">
        <is>
          <t>Applied Scientist II,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in-98f3db41c46b4d9f</t>
        </is>
      </c>
      <c r="B18" t="inlineStr">
        <is>
          <t>Applied Scientist II,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in-804f6aa3f85a73c7</t>
        </is>
      </c>
      <c r="B19" t="inlineStr">
        <is>
          <t>Applied Scientist, Prime Video - Personalization and Discovery Science</t>
        </is>
      </c>
      <c r="C19" t="inlineStr">
        <is>
          <t>Amazon.com</t>
        </is>
      </c>
      <c r="D19" t="inlineStr">
        <is>
          <t>indeed</t>
        </is>
      </c>
      <c r="E19" t="inlineStr"/>
      <c r="F19" t="inlineStr"/>
      <c r="G19" t="inlineStr">
        <is>
          <t>Sunnyvale, CA, US</t>
        </is>
      </c>
      <c r="H19" s="2" t="n">
        <v>45845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in-2a8fad4fd3954306</t>
        </is>
      </c>
      <c r="B20" t="inlineStr">
        <is>
          <t>Applied Scientist, Prime Video - Personalization and Discovery Science</t>
        </is>
      </c>
      <c r="C20" t="inlineStr">
        <is>
          <t>Amazon.com</t>
        </is>
      </c>
      <c r="D20" t="inlineStr">
        <is>
          <t>indeed</t>
        </is>
      </c>
      <c r="E20" t="inlineStr"/>
      <c r="F20" t="inlineStr"/>
      <c r="G20" t="inlineStr">
        <is>
          <t>Seattle, WA, US</t>
        </is>
      </c>
      <c r="H20" s="2" t="n">
        <v>45845</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in-9ef33aff5eef01a7</t>
        </is>
      </c>
      <c r="B21" t="inlineStr">
        <is>
          <t>Applied Scientist, Prime Video - Personalization and Discovery Science</t>
        </is>
      </c>
      <c r="C21" t="inlineStr">
        <is>
          <t>Amazon.com</t>
        </is>
      </c>
      <c r="D21" t="inlineStr">
        <is>
          <t>indeed</t>
        </is>
      </c>
      <c r="E21" t="inlineStr"/>
      <c r="F21" t="inlineStr"/>
      <c r="G21" t="inlineStr">
        <is>
          <t>New York, NY,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in-54a4e4627f08fe91</t>
        </is>
      </c>
      <c r="B22" t="inlineStr">
        <is>
          <t>Sr. Data Scientist</t>
        </is>
      </c>
      <c r="C22" t="inlineStr">
        <is>
          <t>Krispy Kreme</t>
        </is>
      </c>
      <c r="D22" t="inlineStr">
        <is>
          <t>indeed</t>
        </is>
      </c>
      <c r="E22" t="inlineStr"/>
      <c r="F22" t="inlineStr"/>
      <c r="G22" t="inlineStr">
        <is>
          <t>Charlotte, NC, US</t>
        </is>
      </c>
      <c r="H22" s="2" t="n">
        <v>46041</v>
      </c>
      <c r="I22" t="inlineStr">
        <is>
          <t>Since its founding in 1937, Krispy Kremes focus has remained the same \- making fresh doughnuts using our founders original recipe. The brands iconic Hot Light lets consumers know when doughnuts are being made in the shop so they can stop in and enjoy them hot, right off the line.
Krispy Kreme is looking for a ***Senior Data Scientist*** to join our Demand Planning team and help modernize our supply chain planning capabilities. We are in the process of building a new demand planning solution with the desire to connect it to future supply and logistics platforms. This job will support our Fresh Delivery and Retail shop network. The Sr. Data Scientist will serve as a hybrid data solutions architect, responsible for developing, scaling, and operationalizing the new platforms demand models within Krispy Kremes enterprise ecosystem. This role is critical to enabling Krispy Kremes next generation forecasting capabilities and will be supporting accurate daily predictions, improved loadout decisions, and the architecture needed for long\-term adoption. The ideal candidate has strong foundations in machine learning, time\-series forecasting, data engineering, and supply chain planning along with the ability to influence cross\-functional stakeholders and transform raw data into high\-impact business outcomes.
 **A TASTE OF WHAT YOU WILL BE DOING:**
**Demand Forecasting Strategy \&amp; Model Development:**
* Own and enhance the forecasting models developed in Lyric, including time\-series, hierarchical, and ML approaches.
* Retrain, tune, and monitor predictions across our Fresh Delivery and Retail business and future product categories, ensuring scalability and reliability.
**Data Architecture \&amp; Pipeline Ownership**
* Design and implement scalable data processing pipelines between Krispy Kreme systems and Lyric (Snowflake, Oracle DP Cloud, POS, etc.).
* Build data validation frameworks to ensure clean, trustworthy inputs for production forecasting.
* Solution \&amp; System Integration \- Support initial implementation, rollout, and future enhancement of the demand planning system.
* Partner with Lyrics product and engineering teams to continuously improve platform capabilities based on Krispy Kreme requirements.
**Cross\- Functional Collaboration \&amp; Communication**
* Serve as a technical and analytical bridge between Krispy Kreme operations, planning teams, IT, and Lyrics data science group.
* Communicate complex model behaviors and results to non\-technical audiencesincluding supply chain leaders, planners, and operational teams.
**Continuous Improvement \&amp; Innovation**
* Identify opportunities to enhance forecast accuracy, reduce returns, and improve finishing position performance.
* Introduce new ML methodologies, optimization, heuristics, or automated decision\-support tools.
 **YOUR RECIPE FOR SUCCESS:**
* 5\+ years in Data Science, Applied ML, or solutions architecture.
* Bachelors degree in data science, Statistics, Computer Science or related field required. Masters degree in data science, Statistics, Computer science or related field preferred.
* Experience working with supply chain datasetspreferably in perishable, retail, food, or high\-frequency replenishment environments.
* Hands\-on experience building and maintaining production ML systems (time\-series or causal models required).
* Experience with data engineering tools (SQL, dbt, Airflow, Spark, Snowflake, etc.)
* Experience collaborating with IT, operations, and planning teams on data pipelines and system integrations.
* Experience and familiarity with ETL tools.
* Strong data processing or data engineering exposure
* Curiosity to problem solving and mindset and adaptability.
* Experience in DSD/merchandising networks and short shelf\-life products strongly preferred.
* Exposure to optimization (linear programming, heuristics, routing, or inventory optimization).
* Prior experience with ML Ops, CI/CD for model deployment, or cloud\-native DS tools.
* Exposure to demand and supply planning and logistics analytics
* Strong technical proficiency in Python, SQL, and ML frameworks (Prophet, XGBoost, PyTorch, statsmodels, etc.).
* Ability to translate complex analytics into actionable business recommendations.
* Excellent communication, collaboration, and stakeholder\-management skills.
* Problem\-solving mindset with strong business intuition.
* Ability to work in fast\-paced, cross\-functional environments with evolving priorities.
* *The above statements are intended to describe the general nature of work performed by the employees assigned to this job and are not the official job description for the position. The official job description will be provided during the application/interview process.*
 **BENEFITS:**?
* Comprehensive benefits (medical, vision, and dental insurance)?
* Employee discount program?
* 401K plan?
* Generous PTO Plan?
* Company events?
* Education Reimbursement?
* Adoption Assistance?
* Life Insurance?
* FSA/HSA Plans?
* Pet Insurance?
**Learn more at** **www.kkbenefits.com**
 **WHY KRISPY KREME?**
At Krispy Kreme, we focus on:
* **Loving People:**
* Our global culture is best captured by our Leadership Mix, a dozen behaviors that define how we work with one another across the world and give back to our communities.? Check out our leadership mix here.
* Belonging happens once each Krispy Kremer knows their bold authentic self is welcomed, dignified, and loved, where their wonderfully original identities flourish and thrive.
* **Loving Communities:**
* At Krispy Kreme, sharing joy is at the center of everything we do, and we strive to inspire this in our communities. Our brand purpose truly shines through our Acts of Joy and community fundraising initiatives.
* In the U.S., we have been donating unsold doughnuts to local food banks, with a goal of bringing a smile to our consumers as they enjoy a small, sweet treat. We partner with Feeding America and Convoy of Hope, who in turn partner with organizations nationwide to distribute donations to people in need through diverse types of programs and services.
* In 2022, we helped community groups raise $40 million globally. Last year in the U.S., we supported more than 83,000 fundraising events, raising nearly $37 million.
* **Loving Planet:**
* We have been conducting a multi\-year global GHG emissions assessment to establish an emissions baseline, using this foundation to soon set goals for greenhouse gas emission reductions.
* We are working on reducing food waste through donation efforts, animal feed, and composting programs.
**Krispy Kreme is an Equal Opportunity Employer:**?
At Krispy Kreme, we believe that your originality sweetens our recipe. We value the diverse ingredients of the ethnicity, national origin, race, age, sex, gender, intersex, or veteran status of every individual. We strive for an inclusive culture that allows each of our peeps to bring their bold authentic self to work regardless of their religion, gender identity \&amp; expression, sexual orientation, or disability.?
 **About Krispy Kreme**
Headquartered in Charlotte, N.C., Krispy Kreme is one of the most beloved and well\-known sweet treat brands in the world. Our iconic Original Glazed doughnut is universally recognized for its hot\-off\-the\-line, melt\-in\-your\-mouth experience. Krispy Kreme operates in more than 35 countries through its unique network of fresh doughnut shops, partnerships with leading retailers, and a rapidly growing Ecommerce and delivery business with more than 14,000 fresh points of access. Our purpose of touching and enhancing lives through the joy that is Krispy Kreme guides how we operate every day and is reflected in the love we have for our people, our communities and the planet. Connect with Krispy Kreme Doughnuts at www.KrispyKreme.com, or on one of its many social media channels, including www.Facebook.com/KrispyKreme and www.Twitter.com/KrispyKreme.
Brand: Krispy Kreme
Address: 2116 Hawkins Street Charlotte, NC \- 28203
Property Description: 10004\-Charlotte\- NC \- Hawkins
Property Number: 10004</t>
        </is>
      </c>
    </row>
    <row r="23">
      <c r="A23" t="inlineStr">
        <is>
          <t>in-aa00e789189de1e1</t>
        </is>
      </c>
      <c r="B23" t="inlineStr">
        <is>
          <t>Data Scientist, Product</t>
        </is>
      </c>
      <c r="C23" t="inlineStr">
        <is>
          <t>Mirage</t>
        </is>
      </c>
      <c r="D23" t="inlineStr">
        <is>
          <t>indeed</t>
        </is>
      </c>
      <c r="E23" t="inlineStr"/>
      <c r="F23" t="inlineStr"/>
      <c r="G23" t="inlineStr">
        <is>
          <t>New York, NY, US</t>
        </is>
      </c>
      <c r="H23" s="2" t="n">
        <v>46041</v>
      </c>
      <c r="I23"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As a member of our Data Science staff, you’ll own end\-to\-end measurement by defining north\-star metrics, architecting rigorous experiments, and converting insights into roadmap\-shaping decisions. You’ll partner with Product, Design, and Engineering to elevate instrumentation and data quality and deliver quantified recommendations that improve activation, engagement, retention, and revenue.  
**Key Responsibilities**:
* Lead analysis and exploration to uncover trends in product and user behavior and prioritize the highest leverage opportunities
* Design and evaluate rigorous A/B tests and set success criteria and power and guardrails and deliver clear post experiment readouts
* Collaborate with cross functional leaders to define core metrics and establish data driven goals for product experimentation
* Develop and maintain analytical models and reproducible pipelines that support full funnel analytics
* Apply statistical techniques to identify patterns and opportunities in large datasets and quantify expected impact and risk
* Create executive ready visualizations and dashboards that drive alignment and action among stakeholders
* Embed with designers and engineers to guide instrumentation and ensure data informed decisions throughout the product lifecycle
* Provide recommendations to improve user experience and conversion and overall product performance and track realized impact
* Stay current on industry trends and emerging technologies in analytics and introduce pragmatic improvements to tools and methods
**Requirements:**
* 5\+ yearsas a data scientist or in a similar role with a focus on product analytics
* High proficiency in SQL and either Python or R for data manipulation, analysis, and modeling
* Expertise in statistical analysis, hypothesis testing, and experimental design for A/B testing and product experimentation
* In\-depth knowledge of data visualization tools and techniques to effectively communicate insights and storytelling
* Strong analytical thinking and problem\-solving skills, with the ability to translate complex data into actionable recommendations
* Strong written and verbal communication skills and the ability to partner with cross\-functional teams to build a great business
**Bonus Points:**
* Master’s or PhD in a quantitative field (Statistics, Mathematics, Computer Science, or related)
* Full\-funnel analytics experience, including data collection, cleaning, transformation, analysis, and performance measurement
* Familiarity with modern data warehousing and large\-scale data processing; comfortable working with very large datasets and distributed computing frameworks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$160K \- $220K</t>
        </is>
      </c>
    </row>
    <row r="24">
      <c r="A24" t="inlineStr">
        <is>
          <t>in-67da954e89ab4a53</t>
        </is>
      </c>
      <c r="B24" t="inlineStr">
        <is>
          <t>Data Scientist, Marketing</t>
        </is>
      </c>
      <c r="C24" t="inlineStr">
        <is>
          <t>Mirage</t>
        </is>
      </c>
      <c r="D24" t="inlineStr">
        <is>
          <t>indeed</t>
        </is>
      </c>
      <c r="E24" t="inlineStr"/>
      <c r="F24" t="inlineStr"/>
      <c r="G24" t="inlineStr">
        <is>
          <t>New York, NY, US</t>
        </is>
      </c>
      <c r="H24" s="2" t="n">
        <v>46041</v>
      </c>
      <c r="I2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
We’re looking for a Data Scientist to help power our marketing strategy. In this role, you’ll partner with Marketing, Product, and Finance to improve acquisition performance, refine attribution, and build the measurement foundations that guide our company’s growth.
As the first Data Scientist dedicated to marketing analytics, you will define core success metrics, evaluate funnel performance, and uncover insights that shape our go\-to\-market strategy.
**Key Responsibilities**
------------------------
* Analyze acquisition, lifecycle, and overall marketing performance to surface trends, identify funnel gaps, and highlight opportunities to improve efficiency and customer value.
* Build and maintain predictive models that support forecasting, customer understanding, targeting, and personalization.
* Develop and improve marketing measurement frameworks to better understand channel impact, attribution, and drivers of growth.
* Conduct deep analyses of customer behavior, segments, and retention patterns to inform marketing and product strategy.
* Design, run, and evaluate experiments (e.g., A/B tests) to measure the impact of marketing initiatives and guide decision\-making.
* Assess multi\-channel campaign performance and provide clear recommendations to marketing partners to improve outcomes.
* Work closely with cross functional teams and leadership to enhance data quality, evolve marketing datasets, and support scalable analytical workflows.
* Communicate insights clearly and effectively, turning complex analyses into actionable recommendations for leadership and cross\-functional teams.
**Requirements**
----------------
* Minimum of 5 years of experience in data science, marketing data science, or growth analytics within B2C, B2B, e\-commerce, or SaaS environments.
* Advanced proficiency in SQL and Python, including experience with data manipulation libraries and statistical modeling.
* Hands\-on experience with modern cloud data warehouses (e.g., BigQuery) and building scalable data models or pipelines for analytics.
* Strong understanding of marketing measurement, including CAC, CLV, ROAS, funnel analytics, incrementality testing, and attribution methods (MMM, MTA, SKAN).
* Experience with predictive modeling, such as LTV, churn, conversion propensity, clustering, and time\-series forecasting.
* Familiarity with mobile measurement partners, including AppsFlyer or Adjust, and mobile attribution concepts.
* Experience designing and evaluating experiments, with a solid grounding in statistical testing, causal inference, and uplift modeling.
* Demonstrated ability to work cross\-functionally, partnering with Marketing, Product, Finance, and Data Engineering stakeholders.
* Exceptional analytical and problem\-solving skills, with the ability to break down ambiguous problems and operate autonomously in fast\-paced environments.
* Clear and effective communication skills, with the ability to convey complex technical insights to non\-technical audiences.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$150K \- $200K</t>
        </is>
      </c>
    </row>
    <row r="25">
      <c r="A25" t="inlineStr">
        <is>
          <t>in-7eda155cb7ee296f</t>
        </is>
      </c>
      <c r="B25" t="inlineStr">
        <is>
          <t>Applied Scientist, AGI</t>
        </is>
      </c>
      <c r="C25" t="inlineStr">
        <is>
          <t>Amazon.com</t>
        </is>
      </c>
      <c r="D25" t="inlineStr">
        <is>
          <t>indeed</t>
        </is>
      </c>
      <c r="E25" t="inlineStr"/>
      <c r="F25" t="inlineStr"/>
      <c r="G25" t="inlineStr">
        <is>
          <t>Bellevue, WA, US</t>
        </is>
      </c>
      <c r="H25" s="2" t="n">
        <v>45998</v>
      </c>
      <c r="I2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in-4055be4ca64c212d</t>
        </is>
      </c>
      <c r="B26" t="inlineStr">
        <is>
          <t>Applied Scientist, AGI</t>
        </is>
      </c>
      <c r="C26" t="inlineStr">
        <is>
          <t>Amazon.com</t>
        </is>
      </c>
      <c r="D26" t="inlineStr">
        <is>
          <t>indeed</t>
        </is>
      </c>
      <c r="E26" t="inlineStr"/>
      <c r="F26" t="inlineStr"/>
      <c r="G26" t="inlineStr">
        <is>
          <t>Sunnyvale, CA, US</t>
        </is>
      </c>
      <c r="H26" s="2" t="n">
        <v>45998</v>
      </c>
      <c r="I2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in-49c298b647798597</t>
        </is>
      </c>
      <c r="B27" t="inlineStr">
        <is>
          <t>Applied Scientist, AGI</t>
        </is>
      </c>
      <c r="C27" t="inlineStr">
        <is>
          <t>Amazon.com</t>
        </is>
      </c>
      <c r="D27" t="inlineStr">
        <is>
          <t>indeed</t>
        </is>
      </c>
      <c r="E27" t="inlineStr"/>
      <c r="F27" t="inlineStr"/>
      <c r="G27" t="inlineStr">
        <is>
          <t>Cambridge, MA, US</t>
        </is>
      </c>
      <c r="H27" s="2" t="n">
        <v>45998</v>
      </c>
      <c r="I2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in-ebb7ac1d035e0300</t>
        </is>
      </c>
      <c r="B28" t="inlineStr">
        <is>
          <t>Applied Scientist, AGI</t>
        </is>
      </c>
      <c r="C28" t="inlineStr">
        <is>
          <t>Amazon.com</t>
        </is>
      </c>
      <c r="D28" t="inlineStr">
        <is>
          <t>indeed</t>
        </is>
      </c>
      <c r="E28" t="inlineStr"/>
      <c r="F28" t="inlineStr"/>
      <c r="G28" t="inlineStr">
        <is>
          <t>New York, NY, US</t>
        </is>
      </c>
      <c r="H28" s="2" t="n">
        <v>45998</v>
      </c>
      <c r="I2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in-f985c31b62c10491</t>
        </is>
      </c>
      <c r="B29" t="inlineStr">
        <is>
          <t>Sr. Applied Scientist, Amazon Ads</t>
        </is>
      </c>
      <c r="C29" t="inlineStr">
        <is>
          <t>Amazon.com</t>
        </is>
      </c>
      <c r="D29" t="inlineStr">
        <is>
          <t>indeed</t>
        </is>
      </c>
      <c r="E29" t="inlineStr"/>
      <c r="F29" t="inlineStr"/>
      <c r="G29" t="inlineStr">
        <is>
          <t>Corvallis, OR,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in-b571e754f6f5853c</t>
        </is>
      </c>
      <c r="B30" t="inlineStr">
        <is>
          <t>Sr. Applied Scientist, Amazon Ads</t>
        </is>
      </c>
      <c r="C30" t="inlineStr">
        <is>
          <t>Amazon.com</t>
        </is>
      </c>
      <c r="D30" t="inlineStr">
        <is>
          <t>indeed</t>
        </is>
      </c>
      <c r="E30" t="inlineStr"/>
      <c r="F30" t="inlineStr"/>
      <c r="G30" t="inlineStr">
        <is>
          <t>Boulder, CO,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in-989c81fe478cba8e</t>
        </is>
      </c>
      <c r="B31" t="inlineStr">
        <is>
          <t>Sr. Applied Scientist, Amazon Ads</t>
        </is>
      </c>
      <c r="C31" t="inlineStr">
        <is>
          <t>Amazon.com</t>
        </is>
      </c>
      <c r="D31" t="inlineStr">
        <is>
          <t>indeed</t>
        </is>
      </c>
      <c r="E31" t="inlineStr"/>
      <c r="F31" t="inlineStr"/>
      <c r="G31" t="inlineStr">
        <is>
          <t>New York, NY,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in-cabc609a50d25836</t>
        </is>
      </c>
      <c r="B32" t="inlineStr">
        <is>
          <t>Sr. Applied Scientist, Amazon Ads</t>
        </is>
      </c>
      <c r="C32" t="inlineStr">
        <is>
          <t>Amazon.com</t>
        </is>
      </c>
      <c r="D32" t="inlineStr">
        <is>
          <t>indeed</t>
        </is>
      </c>
      <c r="E32" t="inlineStr"/>
      <c r="F32" t="inlineStr"/>
      <c r="G32" t="inlineStr">
        <is>
          <t>Tukwila, WA,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in-44c86a6ea3ad4599</t>
        </is>
      </c>
      <c r="B33" t="inlineStr">
        <is>
          <t>Sr. Applied Scientist, Amazon Ads</t>
        </is>
      </c>
      <c r="C33" t="inlineStr">
        <is>
          <t>Amazon.com</t>
        </is>
      </c>
      <c r="D33" t="inlineStr">
        <is>
          <t>indeed</t>
        </is>
      </c>
      <c r="E33" t="inlineStr"/>
      <c r="F33" t="inlineStr"/>
      <c r="G33" t="inlineStr">
        <is>
          <t>Seattle, WA,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in-d68d868a963fd764</t>
        </is>
      </c>
      <c r="B34" t="inlineStr">
        <is>
          <t>Sr. Applied Scientist, Amazon Ads</t>
        </is>
      </c>
      <c r="C34" t="inlineStr">
        <is>
          <t>Amazon.com</t>
        </is>
      </c>
      <c r="D34" t="inlineStr">
        <is>
          <t>indeed</t>
        </is>
      </c>
      <c r="E34" t="inlineStr"/>
      <c r="F34" t="inlineStr"/>
      <c r="G34" t="inlineStr">
        <is>
          <t>Brooklyn, NY,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in-45fab55659c3d9d5</t>
        </is>
      </c>
      <c r="B35" t="inlineStr">
        <is>
          <t>Sr. Applied Scientist, Amazon Ads</t>
        </is>
      </c>
      <c r="C35" t="inlineStr">
        <is>
          <t>Amazon.com</t>
        </is>
      </c>
      <c r="D35" t="inlineStr">
        <is>
          <t>indeed</t>
        </is>
      </c>
      <c r="E35" t="inlineStr"/>
      <c r="F35" t="inlineStr"/>
      <c r="G35" t="inlineStr">
        <is>
          <t>Palo Alto, CA,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in-43d68c289b2fb717</t>
        </is>
      </c>
      <c r="B36" t="inlineStr">
        <is>
          <t>Sr. Applied Scientist, Amazon Ads</t>
        </is>
      </c>
      <c r="C36" t="inlineStr">
        <is>
          <t>Amazon.com</t>
        </is>
      </c>
      <c r="D36" t="inlineStr">
        <is>
          <t>indeed</t>
        </is>
      </c>
      <c r="E36" t="inlineStr"/>
      <c r="F36" t="inlineStr"/>
      <c r="G36" t="inlineStr">
        <is>
          <t>Santa Monica,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in-ac17a176e956509e</t>
        </is>
      </c>
      <c r="B37" t="inlineStr">
        <is>
          <t>Sr. Applied Scientist, Amazon Ads</t>
        </is>
      </c>
      <c r="C37" t="inlineStr">
        <is>
          <t>Amazon.com</t>
        </is>
      </c>
      <c r="D37" t="inlineStr">
        <is>
          <t>indeed</t>
        </is>
      </c>
      <c r="E37" t="inlineStr"/>
      <c r="F37" t="inlineStr"/>
      <c r="G37" t="inlineStr">
        <is>
          <t>Sunnyvale,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in-c5d58884466bb934</t>
        </is>
      </c>
      <c r="B38" t="inlineStr">
        <is>
          <t>Sr. Applied Scientist, Amazon Ads</t>
        </is>
      </c>
      <c r="C38" t="inlineStr">
        <is>
          <t>Amazon.com</t>
        </is>
      </c>
      <c r="D38" t="inlineStr">
        <is>
          <t>indeed</t>
        </is>
      </c>
      <c r="E38" t="inlineStr"/>
      <c r="F38" t="inlineStr"/>
      <c r="G38" t="inlineStr">
        <is>
          <t>Boston, MA,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in-02c9b50fb986c3ad</t>
        </is>
      </c>
      <c r="B39" t="inlineStr">
        <is>
          <t>Applied Scientist, ML Compiler</t>
        </is>
      </c>
      <c r="C39" t="inlineStr">
        <is>
          <t>Amazon Web Services</t>
        </is>
      </c>
      <c r="D39" t="inlineStr">
        <is>
          <t>indeed</t>
        </is>
      </c>
      <c r="E39" t="inlineStr"/>
      <c r="F39" t="inlineStr"/>
      <c r="G39" t="inlineStr">
        <is>
          <t>Cupertino, CA, US</t>
        </is>
      </c>
      <c r="H39" s="2" t="n">
        <v>45993</v>
      </c>
      <c r="I3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in-f9bb2e5ab34a8523</t>
        </is>
      </c>
      <c r="B40" t="inlineStr">
        <is>
          <t>Applied Scientist, ML Compiler</t>
        </is>
      </c>
      <c r="C40" t="inlineStr">
        <is>
          <t>Amazon Web Services</t>
        </is>
      </c>
      <c r="D40" t="inlineStr">
        <is>
          <t>indeed</t>
        </is>
      </c>
      <c r="E40" t="inlineStr"/>
      <c r="F40" t="inlineStr"/>
      <c r="G40" t="inlineStr">
        <is>
          <t>Seattle, WA,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in-6a1eaeb6a0cb15e0</t>
        </is>
      </c>
      <c r="B41" t="inlineStr">
        <is>
          <t>Applied Scientist, Model Customization, Generative AI Innovation Center, Model Customization</t>
        </is>
      </c>
      <c r="C41" t="inlineStr">
        <is>
          <t>Amazon Web Services</t>
        </is>
      </c>
      <c r="D41" t="inlineStr">
        <is>
          <t>indeed</t>
        </is>
      </c>
      <c r="E41" t="inlineStr"/>
      <c r="F41" t="inlineStr"/>
      <c r="G41" t="inlineStr">
        <is>
          <t>Bellevue, WA, US</t>
        </is>
      </c>
      <c r="H41" s="2" t="n">
        <v>45993</v>
      </c>
      <c r="I4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in-afad4dc8d7601ada</t>
        </is>
      </c>
      <c r="B42" t="inlineStr">
        <is>
          <t>Applied Scientist, Model Customization, Generative AI Innovation Center, Model Customization</t>
        </is>
      </c>
      <c r="C42" t="inlineStr">
        <is>
          <t>Amazon Web Services</t>
        </is>
      </c>
      <c r="D42" t="inlineStr">
        <is>
          <t>indeed</t>
        </is>
      </c>
      <c r="E42" t="inlineStr"/>
      <c r="F42" t="inlineStr"/>
      <c r="G42" t="inlineStr">
        <is>
          <t>New York, NY, US</t>
        </is>
      </c>
      <c r="H42" s="2" t="n">
        <v>45993</v>
      </c>
      <c r="I4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in-3eef564968e97d44</t>
        </is>
      </c>
      <c r="B43" t="inlineStr">
        <is>
          <t>Applied Scientist, Model Customization, Generative AI Innovation Center, Model Customization</t>
        </is>
      </c>
      <c r="C43" t="inlineStr">
        <is>
          <t>Amazon Web Services</t>
        </is>
      </c>
      <c r="D43" t="inlineStr">
        <is>
          <t>indeed</t>
        </is>
      </c>
      <c r="E43" t="inlineStr"/>
      <c r="F43" t="inlineStr"/>
      <c r="G43" t="inlineStr">
        <is>
          <t>Arlington, VA, US</t>
        </is>
      </c>
      <c r="H43" s="2" t="n">
        <v>45993</v>
      </c>
      <c r="I4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in-91ebb5ea277578b8</t>
        </is>
      </c>
      <c r="B44" t="inlineStr">
        <is>
          <t>Principal Applied Scientist, Amazon Special Projects</t>
        </is>
      </c>
      <c r="C44" t="inlineStr">
        <is>
          <t>Amazon.com</t>
        </is>
      </c>
      <c r="D44" t="inlineStr">
        <is>
          <t>indeed</t>
        </is>
      </c>
      <c r="E44" t="inlineStr"/>
      <c r="F44" t="inlineStr"/>
      <c r="G44" t="inlineStr">
        <is>
          <t>Seattle, WA, US</t>
        </is>
      </c>
      <c r="H44" s="2" t="n">
        <v>45982</v>
      </c>
      <c r="I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in-7a93469e1d54e690</t>
        </is>
      </c>
      <c r="B45" t="inlineStr">
        <is>
          <t>Principal Applied Scientist, Amazon Special Projects</t>
        </is>
      </c>
      <c r="C45" t="inlineStr">
        <is>
          <t>Amazon.com</t>
        </is>
      </c>
      <c r="D45" t="inlineStr">
        <is>
          <t>indeed</t>
        </is>
      </c>
      <c r="E45" t="inlineStr"/>
      <c r="F45" t="inlineStr"/>
      <c r="G45" t="inlineStr">
        <is>
          <t>Boston, MA, US</t>
        </is>
      </c>
      <c r="H45" s="2" t="n">
        <v>45982</v>
      </c>
      <c r="I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in-83607876e2e14fb6</t>
        </is>
      </c>
      <c r="B46" t="inlineStr">
        <is>
          <t>Senior Applied Scientist, Generative AI Innovation Center</t>
        </is>
      </c>
      <c r="C46" t="inlineStr">
        <is>
          <t>Amazon Web Services</t>
        </is>
      </c>
      <c r="D46" t="inlineStr">
        <is>
          <t>indeed</t>
        </is>
      </c>
      <c r="E46" t="inlineStr"/>
      <c r="F46" t="inlineStr"/>
      <c r="G46" t="inlineStr">
        <is>
          <t>Bellevue, WA, US</t>
        </is>
      </c>
      <c r="H46" s="2" t="n">
        <v>45981</v>
      </c>
      <c r="I4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in-93df0ae7ca42b9d9</t>
        </is>
      </c>
      <c r="B47" t="inlineStr">
        <is>
          <t>Senior Applied Scientist, Generative AI Innovation Center</t>
        </is>
      </c>
      <c r="C47" t="inlineStr">
        <is>
          <t>Amazon Web Services</t>
        </is>
      </c>
      <c r="D47" t="inlineStr">
        <is>
          <t>indeed</t>
        </is>
      </c>
      <c r="E47" t="inlineStr"/>
      <c r="F47" t="inlineStr"/>
      <c r="G47" t="inlineStr">
        <is>
          <t>Houston, TX, US</t>
        </is>
      </c>
      <c r="H47" s="2" t="n">
        <v>45981</v>
      </c>
      <c r="I4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in-5bef06e12dad19c0</t>
        </is>
      </c>
      <c r="B48" t="inlineStr">
        <is>
          <t>Senior Applied Scientist, Generative AI Innovation Center</t>
        </is>
      </c>
      <c r="C48" t="inlineStr">
        <is>
          <t>Amazon Web Services</t>
        </is>
      </c>
      <c r="D48" t="inlineStr">
        <is>
          <t>indeed</t>
        </is>
      </c>
      <c r="E48" t="inlineStr"/>
      <c r="F48" t="inlineStr"/>
      <c r="G48" t="inlineStr">
        <is>
          <t>Boston, MA, US</t>
        </is>
      </c>
      <c r="H48" s="2" t="n">
        <v>45981</v>
      </c>
      <c r="I4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in-36da33c40cf17e25</t>
        </is>
      </c>
      <c r="B49" t="inlineStr">
        <is>
          <t>Senior Applied Scientist, Generative AI Innovation Center</t>
        </is>
      </c>
      <c r="C49" t="inlineStr">
        <is>
          <t>Amazon Web Services</t>
        </is>
      </c>
      <c r="D49" t="inlineStr">
        <is>
          <t>indeed</t>
        </is>
      </c>
      <c r="E49" t="inlineStr"/>
      <c r="F49" t="inlineStr"/>
      <c r="G49" t="inlineStr">
        <is>
          <t>New York, NY, US</t>
        </is>
      </c>
      <c r="H49" s="2" t="n">
        <v>45981</v>
      </c>
      <c r="I4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in-94a708b4f446a929</t>
        </is>
      </c>
      <c r="B50" t="inlineStr">
        <is>
          <t>Senior Applied Scientist, Generative AI Innovation Center</t>
        </is>
      </c>
      <c r="C50" t="inlineStr">
        <is>
          <t>Amazon Web Services</t>
        </is>
      </c>
      <c r="D50" t="inlineStr">
        <is>
          <t>indeed</t>
        </is>
      </c>
      <c r="E50" t="inlineStr"/>
      <c r="F50" t="inlineStr"/>
      <c r="G50" t="inlineStr">
        <is>
          <t>Austin, TX, US</t>
        </is>
      </c>
      <c r="H50" s="2" t="n">
        <v>45981</v>
      </c>
      <c r="I5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in-24019cab89ebc548</t>
        </is>
      </c>
      <c r="B51" t="inlineStr">
        <is>
          <t>Senior Applied Scientist, Generative AI Innovation Center</t>
        </is>
      </c>
      <c r="C51" t="inlineStr">
        <is>
          <t>Amazon Web Services</t>
        </is>
      </c>
      <c r="D51" t="inlineStr">
        <is>
          <t>indeed</t>
        </is>
      </c>
      <c r="E51" t="inlineStr"/>
      <c r="F51" t="inlineStr"/>
      <c r="G51" t="inlineStr">
        <is>
          <t>Seattle, WA, US</t>
        </is>
      </c>
      <c r="H51" s="2" t="n">
        <v>45981</v>
      </c>
      <c r="I5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in-39b242743230b1bd</t>
        </is>
      </c>
      <c r="B52" t="inlineStr">
        <is>
          <t>Sr. Applied Scientist, SPB Advertiser Guidance</t>
        </is>
      </c>
      <c r="C52" t="inlineStr">
        <is>
          <t>Amazon.com</t>
        </is>
      </c>
      <c r="D52" t="inlineStr">
        <is>
          <t>indeed</t>
        </is>
      </c>
      <c r="E52" t="inlineStr"/>
      <c r="F52" t="inlineStr"/>
      <c r="G52" t="inlineStr">
        <is>
          <t>Palo Alto, CA, US</t>
        </is>
      </c>
      <c r="H52" s="2" t="n">
        <v>45981</v>
      </c>
      <c r="I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in-d54f911b1ec28213</t>
        </is>
      </c>
      <c r="B53" t="inlineStr">
        <is>
          <t>Sr. Applied Scientist, SPB Advertiser Guidance</t>
        </is>
      </c>
      <c r="C53" t="inlineStr">
        <is>
          <t>Amazon.com</t>
        </is>
      </c>
      <c r="D53" t="inlineStr">
        <is>
          <t>indeed</t>
        </is>
      </c>
      <c r="E53" t="inlineStr"/>
      <c r="F53" t="inlineStr"/>
      <c r="G53" t="inlineStr">
        <is>
          <t>New York, NY, US</t>
        </is>
      </c>
      <c r="H53" s="2" t="n">
        <v>45981</v>
      </c>
      <c r="I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in-7c0f52cc26fc3a38</t>
        </is>
      </c>
      <c r="B54" t="inlineStr">
        <is>
          <t>Sr. Applied Scientist, SPB Advertiser Guidance</t>
        </is>
      </c>
      <c r="C54" t="inlineStr">
        <is>
          <t>Amazon.com</t>
        </is>
      </c>
      <c r="D54" t="inlineStr">
        <is>
          <t>indeed</t>
        </is>
      </c>
      <c r="E54" t="inlineStr"/>
      <c r="F54" t="inlineStr"/>
      <c r="G54" t="inlineStr">
        <is>
          <t>Seattle, WA, US</t>
        </is>
      </c>
      <c r="H54" s="2" t="n">
        <v>45981</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in-864fc8fb85107f60</t>
        </is>
      </c>
      <c r="B55" t="inlineStr">
        <is>
          <t>Senior Applied Scientist, Artificial General Intelligence</t>
        </is>
      </c>
      <c r="C55" t="inlineStr">
        <is>
          <t>Amazon.com</t>
        </is>
      </c>
      <c r="D55" t="inlineStr">
        <is>
          <t>indeed</t>
        </is>
      </c>
      <c r="E55" t="inlineStr"/>
      <c r="F55" t="inlineStr"/>
      <c r="G55" t="inlineStr">
        <is>
          <t>Boston, MA,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in-00f40915034ae5b1</t>
        </is>
      </c>
      <c r="B56" t="inlineStr">
        <is>
          <t>Senior Applied Scientist, Artificial General Intelligence</t>
        </is>
      </c>
      <c r="C56" t="inlineStr">
        <is>
          <t>Amazon.com</t>
        </is>
      </c>
      <c r="D56" t="inlineStr">
        <is>
          <t>indeed</t>
        </is>
      </c>
      <c r="E56" t="inlineStr"/>
      <c r="F56" t="inlineStr"/>
      <c r="G56" t="inlineStr">
        <is>
          <t>New York, NY, US</t>
        </is>
      </c>
      <c r="H56" s="2" t="n">
        <v>45980</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in-cb2b8801d49e33ca</t>
        </is>
      </c>
      <c r="B57" t="inlineStr">
        <is>
          <t>Senior Applied Scientist, Artificial General Intelligence</t>
        </is>
      </c>
      <c r="C57" t="inlineStr">
        <is>
          <t>Amazon.com</t>
        </is>
      </c>
      <c r="D57" t="inlineStr">
        <is>
          <t>indeed</t>
        </is>
      </c>
      <c r="E57" t="inlineStr"/>
      <c r="F57" t="inlineStr"/>
      <c r="G57" t="inlineStr">
        <is>
          <t>Seattle, WA, US</t>
        </is>
      </c>
      <c r="H57" s="2" t="n">
        <v>45980</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in-a5b570370e43b197</t>
        </is>
      </c>
      <c r="B58" t="inlineStr">
        <is>
          <t>Senior Applied Scientist, Artificial General Intelligence</t>
        </is>
      </c>
      <c r="C58" t="inlineStr">
        <is>
          <t>Amazon.com</t>
        </is>
      </c>
      <c r="D58" t="inlineStr">
        <is>
          <t>indeed</t>
        </is>
      </c>
      <c r="E58" t="inlineStr"/>
      <c r="F58" t="inlineStr"/>
      <c r="G58" t="inlineStr">
        <is>
          <t>Sunnyvale, CA, US</t>
        </is>
      </c>
      <c r="H58" s="2" t="n">
        <v>45980</v>
      </c>
      <c r="I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in-461ac54ba520b69c</t>
        </is>
      </c>
      <c r="B59" t="inlineStr">
        <is>
          <t>Applied Scientist II, SPB Advertiser Guidance</t>
        </is>
      </c>
      <c r="C59" t="inlineStr">
        <is>
          <t>Amazon.com</t>
        </is>
      </c>
      <c r="D59" t="inlineStr">
        <is>
          <t>indeed</t>
        </is>
      </c>
      <c r="E59" t="inlineStr"/>
      <c r="F59" t="inlineStr"/>
      <c r="G59" t="inlineStr">
        <is>
          <t>Seattle, WA, US</t>
        </is>
      </c>
      <c r="H59" s="2" t="n">
        <v>45980</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in-2c37755a68ea4b32</t>
        </is>
      </c>
      <c r="B60" t="inlineStr">
        <is>
          <t>Applied Scientist II, SPB Advertiser Guidance</t>
        </is>
      </c>
      <c r="C60" t="inlineStr">
        <is>
          <t>Amazon.com</t>
        </is>
      </c>
      <c r="D60" t="inlineStr">
        <is>
          <t>indeed</t>
        </is>
      </c>
      <c r="E60" t="inlineStr"/>
      <c r="F60" t="inlineStr"/>
      <c r="G60" t="inlineStr">
        <is>
          <t>Palo Alto, CA, US</t>
        </is>
      </c>
      <c r="H60" s="2" t="n">
        <v>45980</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in-f6fa1f149449b40e</t>
        </is>
      </c>
      <c r="B61" t="inlineStr">
        <is>
          <t>Applied Scientist II, SPB Advertiser Guidance</t>
        </is>
      </c>
      <c r="C61" t="inlineStr">
        <is>
          <t>Amazon.com</t>
        </is>
      </c>
      <c r="D61" t="inlineStr">
        <is>
          <t>indeed</t>
        </is>
      </c>
      <c r="E61" t="inlineStr"/>
      <c r="F61" t="inlineStr"/>
      <c r="G61" t="inlineStr">
        <is>
          <t>New York, NY, US</t>
        </is>
      </c>
      <c r="H61" s="2" t="n">
        <v>45980</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in-e021ed09be71fcbd</t>
        </is>
      </c>
      <c r="B62" t="inlineStr">
        <is>
          <t>Principal Applied Scientist, Sponsored Products and Brands</t>
        </is>
      </c>
      <c r="C62" t="inlineStr">
        <is>
          <t>Amazon.com</t>
        </is>
      </c>
      <c r="D62" t="inlineStr">
        <is>
          <t>indeed</t>
        </is>
      </c>
      <c r="E62" t="inlineStr"/>
      <c r="F62" t="inlineStr"/>
      <c r="G62" t="inlineStr">
        <is>
          <t>New York, NY, US</t>
        </is>
      </c>
      <c r="H62" s="2" t="n">
        <v>45979</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in-91bab4c8b7ab0097</t>
        </is>
      </c>
      <c r="B63" t="inlineStr">
        <is>
          <t>Principal Applied Scientist, Sponsored Products and Brands</t>
        </is>
      </c>
      <c r="C63" t="inlineStr">
        <is>
          <t>Amazon.com</t>
        </is>
      </c>
      <c r="D63" t="inlineStr">
        <is>
          <t>indeed</t>
        </is>
      </c>
      <c r="E63" t="inlineStr"/>
      <c r="F63" t="inlineStr"/>
      <c r="G63" t="inlineStr">
        <is>
          <t>Seattle, WA, US</t>
        </is>
      </c>
      <c r="H63" s="2" t="n">
        <v>45979</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in-85740b4f2dc73e06</t>
        </is>
      </c>
      <c r="B64" t="inlineStr">
        <is>
          <t>Sr. Applied Scientist, AGI Foundations</t>
        </is>
      </c>
      <c r="C64" t="inlineStr">
        <is>
          <t>Amazon.com</t>
        </is>
      </c>
      <c r="D64" t="inlineStr">
        <is>
          <t>indeed</t>
        </is>
      </c>
      <c r="E64" t="inlineStr"/>
      <c r="F64" t="inlineStr"/>
      <c r="G64" t="inlineStr">
        <is>
          <t>Bellevue, WA, US</t>
        </is>
      </c>
      <c r="H64" s="2" t="n">
        <v>45978</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in-7462ecf4884e0a80</t>
        </is>
      </c>
      <c r="B65" t="inlineStr">
        <is>
          <t>Sr. Applied Scientist, AGI Foundations</t>
        </is>
      </c>
      <c r="C65" t="inlineStr">
        <is>
          <t>Amazon.com</t>
        </is>
      </c>
      <c r="D65" t="inlineStr">
        <is>
          <t>indeed</t>
        </is>
      </c>
      <c r="E65" t="inlineStr"/>
      <c r="F65" t="inlineStr"/>
      <c r="G65" t="inlineStr">
        <is>
          <t>Sunnyvale, CA, US</t>
        </is>
      </c>
      <c r="H65" s="2" t="n">
        <v>45978</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in-7c7b14172200a634</t>
        </is>
      </c>
      <c r="B66" t="inlineStr">
        <is>
          <t>Sr. Applied Scientist, AGI Foundations</t>
        </is>
      </c>
      <c r="C66" t="inlineStr">
        <is>
          <t>Amazon.com</t>
        </is>
      </c>
      <c r="D66" t="inlineStr">
        <is>
          <t>indeed</t>
        </is>
      </c>
      <c r="E66" t="inlineStr"/>
      <c r="F66" t="inlineStr"/>
      <c r="G66" t="inlineStr">
        <is>
          <t>New York, NY, US</t>
        </is>
      </c>
      <c r="H66" s="2" t="n">
        <v>45978</v>
      </c>
      <c r="I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in-3d7089714a998fc4</t>
        </is>
      </c>
      <c r="B67" t="inlineStr">
        <is>
          <t>Sr. Applied Scientist, AGI Foundations</t>
        </is>
      </c>
      <c r="C67" t="inlineStr">
        <is>
          <t>Amazon.com</t>
        </is>
      </c>
      <c r="D67" t="inlineStr">
        <is>
          <t>indeed</t>
        </is>
      </c>
      <c r="E67" t="inlineStr"/>
      <c r="F67" t="inlineStr"/>
      <c r="G67" t="inlineStr">
        <is>
          <t>Boston, MA, US</t>
        </is>
      </c>
      <c r="H67" s="2" t="n">
        <v>45978</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in-3e5f7eb7f02d2473</t>
        </is>
      </c>
      <c r="B68" t="inlineStr">
        <is>
          <t>Principal Applied Scientist, Amazon AGI</t>
        </is>
      </c>
      <c r="C68" t="inlineStr">
        <is>
          <t>Amazon.com</t>
        </is>
      </c>
      <c r="D68" t="inlineStr">
        <is>
          <t>indeed</t>
        </is>
      </c>
      <c r="E68" t="inlineStr"/>
      <c r="F68" t="inlineStr"/>
      <c r="G68" t="inlineStr">
        <is>
          <t>Boston, MA, US</t>
        </is>
      </c>
      <c r="H68" s="2" t="n">
        <v>45964</v>
      </c>
      <c r="I6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in-cf85817065bad466</t>
        </is>
      </c>
      <c r="B69" t="inlineStr">
        <is>
          <t>Principal Applied Scientist, Amazon AGI</t>
        </is>
      </c>
      <c r="C69" t="inlineStr">
        <is>
          <t>Amazon.com</t>
        </is>
      </c>
      <c r="D69" t="inlineStr">
        <is>
          <t>indeed</t>
        </is>
      </c>
      <c r="E69" t="inlineStr"/>
      <c r="F69" t="inlineStr"/>
      <c r="G69" t="inlineStr">
        <is>
          <t>San Francisco, CA,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in-dbdffc235e62900e</t>
        </is>
      </c>
      <c r="B70" t="inlineStr">
        <is>
          <t>Sr. Applied Scientist, AGI Foundations</t>
        </is>
      </c>
      <c r="C70" t="inlineStr">
        <is>
          <t>Amazon.com</t>
        </is>
      </c>
      <c r="D70" t="inlineStr">
        <is>
          <t>indeed</t>
        </is>
      </c>
      <c r="E70" t="inlineStr"/>
      <c r="F70" t="inlineStr"/>
      <c r="G70" t="inlineStr">
        <is>
          <t>New York, NY, US</t>
        </is>
      </c>
      <c r="H70" s="2" t="n">
        <v>45963</v>
      </c>
      <c r="I7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in-70f0197c567555ba</t>
        </is>
      </c>
      <c r="B71" t="inlineStr">
        <is>
          <t>Principal Applied Scientist, AWS Agentic AI Science</t>
        </is>
      </c>
      <c r="C71" t="inlineStr">
        <is>
          <t>Amazon Web Services</t>
        </is>
      </c>
      <c r="D71" t="inlineStr">
        <is>
          <t>indeed</t>
        </is>
      </c>
      <c r="E71" t="inlineStr"/>
      <c r="F71" t="inlineStr"/>
      <c r="G71" t="inlineStr">
        <is>
          <t>Santa Clara, CA, US</t>
        </is>
      </c>
      <c r="H71" s="2" t="n">
        <v>45963</v>
      </c>
      <c r="I7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in-5fae47515f3fc03f</t>
        </is>
      </c>
      <c r="B72" t="inlineStr">
        <is>
          <t>Principal Applied Scientist, AWS Agentic AI Science</t>
        </is>
      </c>
      <c r="C72" t="inlineStr">
        <is>
          <t>Amazon Web Services</t>
        </is>
      </c>
      <c r="D72" t="inlineStr">
        <is>
          <t>indeed</t>
        </is>
      </c>
      <c r="E72" t="inlineStr"/>
      <c r="F72" t="inlineStr"/>
      <c r="G72" t="inlineStr">
        <is>
          <t>New York, NY, US</t>
        </is>
      </c>
      <c r="H72" s="2" t="n">
        <v>45963</v>
      </c>
      <c r="I7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in-ce71a7b0a9b02f87</t>
        </is>
      </c>
      <c r="B73" t="inlineStr">
        <is>
          <t>Applied Scientist, AWS Agentic AI</t>
        </is>
      </c>
      <c r="C73" t="inlineStr">
        <is>
          <t>Amazon Web Services</t>
        </is>
      </c>
      <c r="D73" t="inlineStr">
        <is>
          <t>indeed</t>
        </is>
      </c>
      <c r="E73" t="inlineStr"/>
      <c r="F73" t="inlineStr"/>
      <c r="G73" t="inlineStr">
        <is>
          <t>New York, NY,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in-19d26646db92fbf3</t>
        </is>
      </c>
      <c r="B74" t="inlineStr">
        <is>
          <t>Applied Scientist, AWS Agentic AI</t>
        </is>
      </c>
      <c r="C74" t="inlineStr">
        <is>
          <t>Amazon Web Services</t>
        </is>
      </c>
      <c r="D74" t="inlineStr">
        <is>
          <t>indeed</t>
        </is>
      </c>
      <c r="E74" t="inlineStr"/>
      <c r="F74" t="inlineStr"/>
      <c r="G74" t="inlineStr">
        <is>
          <t>Santa Clara, CA,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in-ea750576c32de1b6</t>
        </is>
      </c>
      <c r="B75" t="inlineStr">
        <is>
          <t>Applied Scientist, AWS Agentic AI</t>
        </is>
      </c>
      <c r="C75" t="inlineStr">
        <is>
          <t>Amazon Web Services</t>
        </is>
      </c>
      <c r="D75" t="inlineStr">
        <is>
          <t>indeed</t>
        </is>
      </c>
      <c r="E75" t="inlineStr"/>
      <c r="F75" t="inlineStr"/>
      <c r="G75" t="inlineStr">
        <is>
          <t>Seattle, WA,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in-7e5ec3f79b8c8c41</t>
        </is>
      </c>
      <c r="B76" t="inlineStr">
        <is>
          <t>Principal Applied Scientist, Advertiser Growth, Amazon Sponsored Products &amp; Brands</t>
        </is>
      </c>
      <c r="C76" t="inlineStr">
        <is>
          <t>Amazon.com</t>
        </is>
      </c>
      <c r="D76" t="inlineStr">
        <is>
          <t>indeed</t>
        </is>
      </c>
      <c r="E76" t="inlineStr"/>
      <c r="F76" t="inlineStr"/>
      <c r="G76" t="inlineStr">
        <is>
          <t>Seattle, WA,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in-9bfb433daf611815</t>
        </is>
      </c>
      <c r="B77" t="inlineStr">
        <is>
          <t>Principal Applied Scientist, Advertiser Growth, Amazon Sponsored Products &amp; Brands</t>
        </is>
      </c>
      <c r="C77" t="inlineStr">
        <is>
          <t>Amazon.com</t>
        </is>
      </c>
      <c r="D77" t="inlineStr">
        <is>
          <t>indeed</t>
        </is>
      </c>
      <c r="E77" t="inlineStr"/>
      <c r="F77" t="inlineStr"/>
      <c r="G77" t="inlineStr">
        <is>
          <t>Palo Alto, CA,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in-422d3b67c8051cfd</t>
        </is>
      </c>
      <c r="B78" t="inlineStr">
        <is>
          <t>Principal Applied Scientist, Advertiser Growth, Amazon Sponsored Products &amp; Brands</t>
        </is>
      </c>
      <c r="C78" t="inlineStr">
        <is>
          <t>Amazon.com</t>
        </is>
      </c>
      <c r="D78" t="inlineStr">
        <is>
          <t>indeed</t>
        </is>
      </c>
      <c r="E78" t="inlineStr"/>
      <c r="F78" t="inlineStr"/>
      <c r="G78" t="inlineStr">
        <is>
          <t>New York, NY,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in-7ad1ac769f1cebed</t>
        </is>
      </c>
      <c r="B79" t="inlineStr">
        <is>
          <t>Sr. Applied Scientist, SPB Advertiser Guidance</t>
        </is>
      </c>
      <c r="C79" t="inlineStr">
        <is>
          <t>Amazon.com</t>
        </is>
      </c>
      <c r="D79" t="inlineStr">
        <is>
          <t>indeed</t>
        </is>
      </c>
      <c r="E79" t="inlineStr"/>
      <c r="F79" t="inlineStr"/>
      <c r="G79" t="inlineStr">
        <is>
          <t>Seattle, WA,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in-03a53bfb02fb25f3</t>
        </is>
      </c>
      <c r="B80" t="inlineStr">
        <is>
          <t>Applied Scientist</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in-1dd540a0c93c622e</t>
        </is>
      </c>
      <c r="B81" t="inlineStr">
        <is>
          <t>Sr. Applied Scientist, SPB Advertiser Guidance</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in-2cf4d40b05332b2a</t>
        </is>
      </c>
      <c r="B82" t="inlineStr">
        <is>
          <t>Applied Scientist</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in-53fba73db9b7bc8b</t>
        </is>
      </c>
      <c r="B83" t="inlineStr">
        <is>
          <t>Applied Scientist</t>
        </is>
      </c>
      <c r="C83" t="inlineStr">
        <is>
          <t>Amazon.com</t>
        </is>
      </c>
      <c r="D83" t="inlineStr">
        <is>
          <t>indeed</t>
        </is>
      </c>
      <c r="E83" t="inlineStr"/>
      <c r="F83" t="inlineStr"/>
      <c r="G83" t="inlineStr">
        <is>
          <t>Palo Alto, CA,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in-21a4f91734ecab3a</t>
        </is>
      </c>
      <c r="B84" t="inlineStr">
        <is>
          <t>Sr. Applied Scientist, SPB Advertiser Guidance</t>
        </is>
      </c>
      <c r="C84" t="inlineStr">
        <is>
          <t>Amazon.com</t>
        </is>
      </c>
      <c r="D84" t="inlineStr">
        <is>
          <t>indeed</t>
        </is>
      </c>
      <c r="E84" t="inlineStr"/>
      <c r="F84" t="inlineStr"/>
      <c r="G84" t="inlineStr">
        <is>
          <t>New York, NY,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in-6dff0cf56aecf237</t>
        </is>
      </c>
      <c r="B85" t="inlineStr">
        <is>
          <t>Principal Applied Scientist, Amazon - Sponsored Products</t>
        </is>
      </c>
      <c r="C85" t="inlineStr">
        <is>
          <t>Amazon.com</t>
        </is>
      </c>
      <c r="D85" t="inlineStr">
        <is>
          <t>indeed</t>
        </is>
      </c>
      <c r="E85" t="inlineStr"/>
      <c r="F85" t="inlineStr"/>
      <c r="G85" t="inlineStr">
        <is>
          <t>Seattle, WA, US</t>
        </is>
      </c>
      <c r="H85" s="2" t="n">
        <v>45924</v>
      </c>
      <c r="I8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in-35df367ab3fd47d0</t>
        </is>
      </c>
      <c r="B86" t="inlineStr">
        <is>
          <t>Principal Applied Scientist, Amazon - Sponsored Products</t>
        </is>
      </c>
      <c r="C86" t="inlineStr">
        <is>
          <t>Amazon.com</t>
        </is>
      </c>
      <c r="D86" t="inlineStr">
        <is>
          <t>indeed</t>
        </is>
      </c>
      <c r="E86" t="inlineStr"/>
      <c r="F86" t="inlineStr"/>
      <c r="G86" t="inlineStr">
        <is>
          <t>Palo Alto, CA, US</t>
        </is>
      </c>
      <c r="H86" s="2" t="n">
        <v>45924</v>
      </c>
      <c r="I8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in-9b185fbe2a88d124</t>
        </is>
      </c>
      <c r="B87" t="inlineStr">
        <is>
          <t>Principal Applied Scientist, Amazon - Sponsored Products</t>
        </is>
      </c>
      <c r="C87" t="inlineStr">
        <is>
          <t>Amazon.com</t>
        </is>
      </c>
      <c r="D87" t="inlineStr">
        <is>
          <t>indeed</t>
        </is>
      </c>
      <c r="E87" t="inlineStr"/>
      <c r="F87" t="inlineStr"/>
      <c r="G87" t="inlineStr">
        <is>
          <t>New York, NY, US</t>
        </is>
      </c>
      <c r="H87" s="2" t="n">
        <v>45924</v>
      </c>
      <c r="I8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in-9f77adae49c75cad</t>
        </is>
      </c>
      <c r="B88" t="inlineStr">
        <is>
          <t>Applied Scientist II, Creative X - RAPID</t>
        </is>
      </c>
      <c r="C88" t="inlineStr">
        <is>
          <t>Amazon.com</t>
        </is>
      </c>
      <c r="D88" t="inlineStr">
        <is>
          <t>indeed</t>
        </is>
      </c>
      <c r="E88" t="inlineStr"/>
      <c r="F88" t="inlineStr"/>
      <c r="G88" t="inlineStr">
        <is>
          <t>New York, NY, US</t>
        </is>
      </c>
      <c r="H88" s="2" t="n">
        <v>45908</v>
      </c>
      <c r="I8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in-c0a99a2ed8dff870</t>
        </is>
      </c>
      <c r="B89" t="inlineStr">
        <is>
          <t>Applied Scientist II, Creative X - RAPID</t>
        </is>
      </c>
      <c r="C89" t="inlineStr">
        <is>
          <t>Amazon.com</t>
        </is>
      </c>
      <c r="D89" t="inlineStr">
        <is>
          <t>indeed</t>
        </is>
      </c>
      <c r="E89" t="inlineStr"/>
      <c r="F89" t="inlineStr"/>
      <c r="G89" t="inlineStr">
        <is>
          <t>Seattle, WA, US</t>
        </is>
      </c>
      <c r="H89" s="2" t="n">
        <v>45908</v>
      </c>
      <c r="I8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in-c0b7a8f4a2d25b0d</t>
        </is>
      </c>
      <c r="B90" t="inlineStr">
        <is>
          <t>Senior Applied Scientist, Agentic AI for Data Analytics and Science, Speed Analytics and Science</t>
        </is>
      </c>
      <c r="C90" t="inlineStr">
        <is>
          <t>Amazon.com</t>
        </is>
      </c>
      <c r="D90" t="inlineStr">
        <is>
          <t>indeed</t>
        </is>
      </c>
      <c r="E90" t="inlineStr"/>
      <c r="F90" t="inlineStr"/>
      <c r="G90" t="inlineStr">
        <is>
          <t>Bellevue, WA, US</t>
        </is>
      </c>
      <c r="H90" s="2" t="n">
        <v>45880</v>
      </c>
      <c r="I9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in-c671bd7ecc9e197e</t>
        </is>
      </c>
      <c r="B91" t="inlineStr">
        <is>
          <t>Senior Applied Scientist, Agentic AI for Data Analytics and Science, Speed Analytics and Science</t>
        </is>
      </c>
      <c r="C91" t="inlineStr">
        <is>
          <t>Amazon.com</t>
        </is>
      </c>
      <c r="D91" t="inlineStr">
        <is>
          <t>indeed</t>
        </is>
      </c>
      <c r="E91" t="inlineStr"/>
      <c r="F91" t="inlineStr"/>
      <c r="G91" t="inlineStr">
        <is>
          <t>Tempe, AZ, US</t>
        </is>
      </c>
      <c r="H91" s="2" t="n">
        <v>45880</v>
      </c>
      <c r="I91"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in-6f83579e85ee8442</t>
        </is>
      </c>
      <c r="B92" t="inlineStr">
        <is>
          <t>Sr. Applied Scientist, Amazon Advertising</t>
        </is>
      </c>
      <c r="C92" t="inlineStr">
        <is>
          <t>Amazon.com</t>
        </is>
      </c>
      <c r="D92" t="inlineStr">
        <is>
          <t>indeed</t>
        </is>
      </c>
      <c r="E92" t="inlineStr"/>
      <c r="F92" t="inlineStr"/>
      <c r="G92" t="inlineStr">
        <is>
          <t>Los Angeles,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in-588da902fa2e127c</t>
        </is>
      </c>
      <c r="B93" t="inlineStr">
        <is>
          <t>Sr. Applied Scientist, Amazon Advertising</t>
        </is>
      </c>
      <c r="C93" t="inlineStr">
        <is>
          <t>Amazon.com</t>
        </is>
      </c>
      <c r="D93" t="inlineStr">
        <is>
          <t>indeed</t>
        </is>
      </c>
      <c r="E93" t="inlineStr"/>
      <c r="F93" t="inlineStr"/>
      <c r="G93" t="inlineStr">
        <is>
          <t>Simi Valley,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in-829741e189e0db3b</t>
        </is>
      </c>
      <c r="B94" t="inlineStr">
        <is>
          <t>Sr. Applied Scientist, Amazon Advertising</t>
        </is>
      </c>
      <c r="C94" t="inlineStr">
        <is>
          <t>Amazon.com</t>
        </is>
      </c>
      <c r="D94" t="inlineStr">
        <is>
          <t>indeed</t>
        </is>
      </c>
      <c r="E94" t="inlineStr"/>
      <c r="F94" t="inlineStr"/>
      <c r="G94" t="inlineStr">
        <is>
          <t>Arlington, VA,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in-5247a3aa9888bce0</t>
        </is>
      </c>
      <c r="B95" t="inlineStr">
        <is>
          <t>Sr. Applied Scientist, Amazon Advertising</t>
        </is>
      </c>
      <c r="C95" t="inlineStr">
        <is>
          <t>Amazon.com</t>
        </is>
      </c>
      <c r="D95" t="inlineStr">
        <is>
          <t>indeed</t>
        </is>
      </c>
      <c r="E95" t="inlineStr"/>
      <c r="F95" t="inlineStr"/>
      <c r="G95" t="inlineStr">
        <is>
          <t>New York, NY,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in-16b4adbabe9eafb9</t>
        </is>
      </c>
      <c r="B96" t="inlineStr">
        <is>
          <t>Sr. Applied Scientist, Amazon Advertising</t>
        </is>
      </c>
      <c r="C96" t="inlineStr">
        <is>
          <t>Amazon.com</t>
        </is>
      </c>
      <c r="D96" t="inlineStr">
        <is>
          <t>indeed</t>
        </is>
      </c>
      <c r="E96" t="inlineStr"/>
      <c r="F96" t="inlineStr"/>
      <c r="G96" t="inlineStr">
        <is>
          <t>Seattle, WA,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in-bfc20375eef3be32</t>
        </is>
      </c>
      <c r="B97" t="inlineStr">
        <is>
          <t>Sr. Applied Scientist, Amazon Advertising</t>
        </is>
      </c>
      <c r="C97" t="inlineStr">
        <is>
          <t>Amazon.com</t>
        </is>
      </c>
      <c r="D97" t="inlineStr">
        <is>
          <t>indeed</t>
        </is>
      </c>
      <c r="E97" t="inlineStr"/>
      <c r="F97" t="inlineStr"/>
      <c r="G97" t="inlineStr">
        <is>
          <t>Austin, TX,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in-9f2c05cea7b02f23</t>
        </is>
      </c>
      <c r="B98" t="inlineStr">
        <is>
          <t>Sr. Applied Scientist, Amazon Advertising</t>
        </is>
      </c>
      <c r="C98" t="inlineStr">
        <is>
          <t>Amazon.com</t>
        </is>
      </c>
      <c r="D98" t="inlineStr">
        <is>
          <t>indeed</t>
        </is>
      </c>
      <c r="E98" t="inlineStr"/>
      <c r="F98" t="inlineStr"/>
      <c r="G98" t="inlineStr">
        <is>
          <t>Palo Alto,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in-0c1ab12be8ce0791</t>
        </is>
      </c>
      <c r="B99" t="inlineStr">
        <is>
          <t>Sr. Applied Scientist, Amazon Advertising</t>
        </is>
      </c>
      <c r="C99" t="inlineStr">
        <is>
          <t>Amazon.com</t>
        </is>
      </c>
      <c r="D99" t="inlineStr">
        <is>
          <t>indeed</t>
        </is>
      </c>
      <c r="E99" t="inlineStr"/>
      <c r="F99" t="inlineStr"/>
      <c r="G99" t="inlineStr">
        <is>
          <t>West Hollywood,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in-f7a97d50982ab99f</t>
        </is>
      </c>
      <c r="B100" t="inlineStr">
        <is>
          <t>Senior Applied Scientist, Artificial General Intelligence</t>
        </is>
      </c>
      <c r="C100" t="inlineStr">
        <is>
          <t>Amazon.com</t>
        </is>
      </c>
      <c r="D100" t="inlineStr">
        <is>
          <t>indeed</t>
        </is>
      </c>
      <c r="E100" t="inlineStr"/>
      <c r="F100" t="inlineStr"/>
      <c r="G100" t="inlineStr">
        <is>
          <t>New York, NY,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in-b917a64b5442cd94</t>
        </is>
      </c>
      <c r="B101" t="inlineStr">
        <is>
          <t>Senior Applied Scientist, Artificial General Intelligence</t>
        </is>
      </c>
      <c r="C101" t="inlineStr">
        <is>
          <t>Amazon.com</t>
        </is>
      </c>
      <c r="D101" t="inlineStr">
        <is>
          <t>indeed</t>
        </is>
      </c>
      <c r="E101" t="inlineStr"/>
      <c r="F101" t="inlineStr"/>
      <c r="G101" t="inlineStr">
        <is>
          <t>Boston, MA,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in-aa8b3a0b2347df40</t>
        </is>
      </c>
      <c r="B102" t="inlineStr">
        <is>
          <t>Senior Applied Scientist, Artificial General Intelligence</t>
        </is>
      </c>
      <c r="C102" t="inlineStr">
        <is>
          <t>Amazon.com</t>
        </is>
      </c>
      <c r="D102" t="inlineStr">
        <is>
          <t>indeed</t>
        </is>
      </c>
      <c r="E102" t="inlineStr"/>
      <c r="F102" t="inlineStr"/>
      <c r="G102" t="inlineStr">
        <is>
          <t>Sunnyvale, CA, US</t>
        </is>
      </c>
      <c r="H102" s="2" t="n">
        <v>45838</v>
      </c>
      <c r="I10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in-d4fb7c251ffb68c1</t>
        </is>
      </c>
      <c r="B103" t="inlineStr">
        <is>
          <t>Sr. Data Scientist, Amazon Leo Global Planning, Amazon Leo</t>
        </is>
      </c>
      <c r="C103" t="inlineStr">
        <is>
          <t>Amazon.com</t>
        </is>
      </c>
      <c r="D103" t="inlineStr">
        <is>
          <t>indeed</t>
        </is>
      </c>
      <c r="E103" t="inlineStr"/>
      <c r="F103" t="inlineStr"/>
      <c r="G103" t="inlineStr">
        <is>
          <t>Bellevue, WA, US</t>
        </is>
      </c>
      <c r="H103" s="2" t="n">
        <v>45830</v>
      </c>
      <c r="I10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in-aec5f5309b878b67</t>
        </is>
      </c>
      <c r="B104" t="inlineStr">
        <is>
          <t>Sr. Data Scientist, Amazon Leo Global Planning, Amazon Leo</t>
        </is>
      </c>
      <c r="C104" t="inlineStr">
        <is>
          <t>Amazon.com</t>
        </is>
      </c>
      <c r="D104" t="inlineStr">
        <is>
          <t>indeed</t>
        </is>
      </c>
      <c r="E104" t="inlineStr"/>
      <c r="F104" t="inlineStr"/>
      <c r="G104" t="inlineStr">
        <is>
          <t>Redmond, WA, US</t>
        </is>
      </c>
      <c r="H104" s="2" t="n">
        <v>45830</v>
      </c>
      <c r="I10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in-64b07a049b798513</t>
        </is>
      </c>
      <c r="B105" t="inlineStr">
        <is>
          <t>Sr. Applied Scientist, Sales AI</t>
        </is>
      </c>
      <c r="C105" t="inlineStr">
        <is>
          <t>Amazon.com</t>
        </is>
      </c>
      <c r="D105" t="inlineStr">
        <is>
          <t>indeed</t>
        </is>
      </c>
      <c r="E105" t="inlineStr"/>
      <c r="F105" t="inlineStr"/>
      <c r="G105" t="inlineStr">
        <is>
          <t>Seattle, WA, US</t>
        </is>
      </c>
      <c r="H105" s="2"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in-c333f41e6cd6bb3a</t>
        </is>
      </c>
      <c r="B106" t="inlineStr">
        <is>
          <t>Sr. Applied Scientist, Sales AI</t>
        </is>
      </c>
      <c r="C106" t="inlineStr">
        <is>
          <t>Amazon.com</t>
        </is>
      </c>
      <c r="D106" t="inlineStr">
        <is>
          <t>indeed</t>
        </is>
      </c>
      <c r="E106" t="inlineStr"/>
      <c r="F106" t="inlineStr"/>
      <c r="G106" t="inlineStr">
        <is>
          <t>Sunnyvale, CA, US</t>
        </is>
      </c>
      <c r="H106" s="2" t="n">
        <v>45830</v>
      </c>
      <c r="I1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in-91ad9e4627934bb4</t>
        </is>
      </c>
      <c r="B107" t="inlineStr">
        <is>
          <t>Sr. Applied Scientist, Sales AI</t>
        </is>
      </c>
      <c r="C107" t="inlineStr">
        <is>
          <t>Amazon.com</t>
        </is>
      </c>
      <c r="D107" t="inlineStr">
        <is>
          <t>indeed</t>
        </is>
      </c>
      <c r="E107" t="inlineStr"/>
      <c r="F107" t="inlineStr"/>
      <c r="G107" t="inlineStr">
        <is>
          <t>New York, NY, US</t>
        </is>
      </c>
      <c r="H107" s="2" t="n">
        <v>45830</v>
      </c>
      <c r="I1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in-f7c147d12ff6aacb</t>
        </is>
      </c>
      <c r="B108" t="inlineStr">
        <is>
          <t>Sr. Applied Scientist, AGI Info</t>
        </is>
      </c>
      <c r="C108" t="inlineStr">
        <is>
          <t>Amazon.com</t>
        </is>
      </c>
      <c r="D108" t="inlineStr">
        <is>
          <t>indeed</t>
        </is>
      </c>
      <c r="E108" t="inlineStr"/>
      <c r="F108" t="inlineStr"/>
      <c r="G108" t="inlineStr">
        <is>
          <t>Sunnyvale, CA, US</t>
        </is>
      </c>
      <c r="H108" s="2" t="n">
        <v>45811</v>
      </c>
      <c r="I10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in-e91ac6b8e747caee</t>
        </is>
      </c>
      <c r="B109" t="inlineStr">
        <is>
          <t>Sr. Applied Scientist, AGI Info</t>
        </is>
      </c>
      <c r="C109" t="inlineStr">
        <is>
          <t>Amazon.com</t>
        </is>
      </c>
      <c r="D109" t="inlineStr">
        <is>
          <t>indeed</t>
        </is>
      </c>
      <c r="E109" t="inlineStr"/>
      <c r="F109" t="inlineStr"/>
      <c r="G109" t="inlineStr">
        <is>
          <t>Bellevue, WA, US</t>
        </is>
      </c>
      <c r="H109" s="2" t="n">
        <v>45811</v>
      </c>
      <c r="I10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in-a51e4f2cc41220fb</t>
        </is>
      </c>
      <c r="B110" t="inlineStr">
        <is>
          <t>Principal Applied Scientist, Delivery Foundation Model</t>
        </is>
      </c>
      <c r="C110" t="inlineStr">
        <is>
          <t>Amazon.com</t>
        </is>
      </c>
      <c r="D110" t="inlineStr">
        <is>
          <t>indeed</t>
        </is>
      </c>
      <c r="E110" t="inlineStr"/>
      <c r="F110" t="inlineStr"/>
      <c r="G110" t="inlineStr">
        <is>
          <t>Bellevue, WA,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in-73e26ec613f8f78f</t>
        </is>
      </c>
      <c r="B111" t="inlineStr">
        <is>
          <t>Principal Applied Scientist, Delivery Foundation Model</t>
        </is>
      </c>
      <c r="C111" t="inlineStr">
        <is>
          <t>Amazon.com</t>
        </is>
      </c>
      <c r="D111" t="inlineStr">
        <is>
          <t>indeed</t>
        </is>
      </c>
      <c r="E111" t="inlineStr"/>
      <c r="F111" t="inlineStr"/>
      <c r="G111" t="inlineStr">
        <is>
          <t>New York, NY,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in-f9436c77d1125b9f</t>
        </is>
      </c>
      <c r="B112" t="inlineStr">
        <is>
          <t>Principal Applied Scientist, Delivery Foundation Model</t>
        </is>
      </c>
      <c r="C112" t="inlineStr">
        <is>
          <t>Amazon.com</t>
        </is>
      </c>
      <c r="D112" t="inlineStr">
        <is>
          <t>indeed</t>
        </is>
      </c>
      <c r="E112" t="inlineStr"/>
      <c r="F112" t="inlineStr"/>
      <c r="G112" t="inlineStr">
        <is>
          <t>Austin, TX,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in-65ce0ec8f5b446e5</t>
        </is>
      </c>
      <c r="B113" t="inlineStr">
        <is>
          <t>Principal Applied Scientist, Delivery Foundation Model</t>
        </is>
      </c>
      <c r="C113" t="inlineStr">
        <is>
          <t>Amazon.com</t>
        </is>
      </c>
      <c r="D113" t="inlineStr">
        <is>
          <t>indeed</t>
        </is>
      </c>
      <c r="E113" t="inlineStr"/>
      <c r="F113" t="inlineStr"/>
      <c r="G113" t="inlineStr">
        <is>
          <t>Santa Clara, CA, US</t>
        </is>
      </c>
      <c r="H113" s="2"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in-20d8240fcd5dccb6</t>
        </is>
      </c>
      <c r="B114" t="inlineStr">
        <is>
          <t>Principal Applied Scientist, Delivery Foundation Model</t>
        </is>
      </c>
      <c r="C114" t="inlineStr">
        <is>
          <t>Amazon.com</t>
        </is>
      </c>
      <c r="D114" t="inlineStr">
        <is>
          <t>indeed</t>
        </is>
      </c>
      <c r="E114" t="inlineStr"/>
      <c r="F114" t="inlineStr"/>
      <c r="G114" t="inlineStr">
        <is>
          <t>Santa Clara, CA, US</t>
        </is>
      </c>
      <c r="H114" s="2"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in-1b4cb02b76577d92</t>
        </is>
      </c>
      <c r="B115" t="inlineStr">
        <is>
          <t>Principal Applied Scientist, Delivery Foundation Model</t>
        </is>
      </c>
      <c r="C115" t="inlineStr">
        <is>
          <t>Amazon.com</t>
        </is>
      </c>
      <c r="D115" t="inlineStr">
        <is>
          <t>indeed</t>
        </is>
      </c>
      <c r="E115" t="inlineStr"/>
      <c r="F115" t="inlineStr"/>
      <c r="G115" t="inlineStr">
        <is>
          <t>New York, NY, US</t>
        </is>
      </c>
      <c r="H115" s="2" t="n">
        <v>45757</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in-546ddb3efc56968f</t>
        </is>
      </c>
      <c r="B116" t="inlineStr">
        <is>
          <t>Principal Applied Scientist, Delivery Foundation Model</t>
        </is>
      </c>
      <c r="C116" t="inlineStr">
        <is>
          <t>Amazon.com</t>
        </is>
      </c>
      <c r="D116" t="inlineStr">
        <is>
          <t>indeed</t>
        </is>
      </c>
      <c r="E116" t="inlineStr"/>
      <c r="F116" t="inlineStr"/>
      <c r="G116" t="inlineStr">
        <is>
          <t>Bellevue, WA, US</t>
        </is>
      </c>
      <c r="H116" s="2" t="n">
        <v>45757</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in-d50deadd27900bf9</t>
        </is>
      </c>
      <c r="B117" t="inlineStr">
        <is>
          <t>Principal Applied Scientist, FAR (Frontier AI &amp; Robotics)</t>
        </is>
      </c>
      <c r="C117" t="inlineStr">
        <is>
          <t>Amazon.com</t>
        </is>
      </c>
      <c r="D117" t="inlineStr">
        <is>
          <t>indeed</t>
        </is>
      </c>
      <c r="E117" t="inlineStr"/>
      <c r="F117" t="inlineStr"/>
      <c r="G117" t="inlineStr">
        <is>
          <t>Seattle, WA, US</t>
        </is>
      </c>
      <c r="H117" s="2" t="n">
        <v>45740</v>
      </c>
      <c r="I11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in-ca319efc490683e7</t>
        </is>
      </c>
      <c r="B118" t="inlineStr">
        <is>
          <t>Principal Applied Scientist, FAR (Frontier AI &amp; Robotics)</t>
        </is>
      </c>
      <c r="C118" t="inlineStr">
        <is>
          <t>Amazon.com</t>
        </is>
      </c>
      <c r="D118" t="inlineStr">
        <is>
          <t>indeed</t>
        </is>
      </c>
      <c r="E118" t="inlineStr"/>
      <c r="F118" t="inlineStr"/>
      <c r="G118" t="inlineStr">
        <is>
          <t>San Francisco, CA, US</t>
        </is>
      </c>
      <c r="H118" s="2" t="n">
        <v>45740</v>
      </c>
      <c r="I1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in-562f39c50e06984e</t>
        </is>
      </c>
      <c r="B119" t="inlineStr">
        <is>
          <t>HEALTHCARE DATA SCIENTIST</t>
        </is>
      </c>
      <c r="C119" t="inlineStr">
        <is>
          <t>Cooper University Healthcare</t>
        </is>
      </c>
      <c r="D119" t="inlineStr">
        <is>
          <t>indeed</t>
        </is>
      </c>
      <c r="E119" t="inlineStr"/>
      <c r="F119" t="inlineStr"/>
      <c r="G119" t="inlineStr">
        <is>
          <t>Camden, NJ, US</t>
        </is>
      </c>
      <c r="H119" s="2" t="n">
        <v>46040</v>
      </c>
      <c r="I119" t="inlineStr">
        <is>
          <t>**About us**  
At **Cooper University Health Care**,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Data Scientist plays a pivotal role in planning, executing, and delivering machine learning\-based projects that drive business impact. This role involves analyzing large datasets, developing AI /ML /optimization models, and translating findings into actionable insights. The Data Scientist partners with business and operational leaders, supports senior leadership with analytics, and fosters a culture of data\-driven decision\-making across the organization.
 **Experience Required**  
3 to 5 years of relevant project experience in successfully planning, and executing data science projects, including statistical analysis and data engineering.
 **Education Requirements**  
Master's Degree Required.
Master’s, or PhD in Computer Science, Data Science, Engineering, Statistics, Applied Mathematics, Operations Research, or a related quantitative field.
 **License/Certification Requirements**  
Relevant certifications in data science/AI (e.g., Google Cloud Professional ML Engineer, AWS Certified Machine Learning).
Full Time
Day</t>
        </is>
      </c>
    </row>
    <row r="120">
      <c r="A120" t="inlineStr">
        <is>
          <t>in-3c5c3d0687b8bcae</t>
        </is>
      </c>
      <c r="B120" t="inlineStr">
        <is>
          <t>GenAI- Data Scientist / ML Engineer - AI &amp; Analytic</t>
        </is>
      </c>
      <c r="C120" t="inlineStr">
        <is>
          <t>Capgemini</t>
        </is>
      </c>
      <c r="D120" t="inlineStr">
        <is>
          <t>indeed</t>
        </is>
      </c>
      <c r="E120">
        <f>HYPERLINK("https://www.indeed.com/viewjob?jk=3c5c3d0687b8bcae", "https://www.indeed.com/viewjob?jk=3c5c3d0687b8bcae")</f>
        <v/>
      </c>
      <c r="F120">
        <f>HYPERLINK("https://www.capgemini.com/jobs/392697-en_US+sap_btp/", "https://www.capgemini.com/jobs/392697-en_US+sap_btp/")</f>
        <v/>
      </c>
      <c r="G120" t="inlineStr">
        <is>
          <t>Seattle, WA, US</t>
        </is>
      </c>
      <c r="H120" s="3" t="n">
        <v>46041</v>
      </c>
      <c r="I120" t="inlineStr">
        <is>
          <t>Seattle, WA
GenAI\- Data Scientist / ML Engineer \- AI \&amp; Analytic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 $65,000 to $90,000\.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392697\-en\_US
Posted on
20 Jan 2026
Experience level
Students/Graduates
Contract type
Permanent
Location
Seattle, WA
Business unit
I and D Global Business Line
Brand
Capgemini
Professional communities
Data \&amp; AI</t>
        </is>
      </c>
    </row>
    <row r="121">
      <c r="A121" t="inlineStr">
        <is>
          <t>in-1442a03923fa8d92</t>
        </is>
      </c>
      <c r="B121" t="inlineStr">
        <is>
          <t>Data Scientist / Big Data Engineer</t>
        </is>
      </c>
      <c r="C121" t="inlineStr">
        <is>
          <t>Cayuse Holdings</t>
        </is>
      </c>
      <c r="D121" t="inlineStr">
        <is>
          <t>indeed</t>
        </is>
      </c>
      <c r="E121">
        <f>HYPERLINK("https://www.indeed.com/viewjob?jk=1442a03923fa8d92", "https://www.indeed.com/viewjob?jk=1442a03923fa8d92")</f>
        <v/>
      </c>
      <c r="F121">
        <f>HYPERLINK("https://careers-cayuseholdings.icims.com/jobs/3191/job?utm_source=indeed_integration&amp;iis=Job%20Board&amp;iisn=Indeed&amp;indeed-apply-token=73a2d2b2a8d6d5c0a62696875eaebd669103652d3f0c2cd5445d3e66b1592b0f", "https://careers-cayuseholdings.icims.com/jobs/3191/job?utm_source=indeed_integration&amp;iis=Job%20Board&amp;iisn=Indeed&amp;indeed-apply-token=73a2d2b2a8d6d5c0a62696875eaebd669103652d3f0c2cd5445d3e66b1592b0f")</f>
        <v/>
      </c>
      <c r="G121" t="inlineStr">
        <is>
          <t>Austin, TX, US</t>
        </is>
      </c>
      <c r="H121" s="3" t="n">
        <v>46041</v>
      </c>
      <c r="I121" t="inlineStr">
        <is>
          <t>Overview:
***JOB TITLE:***  
Data Scientist / Big Data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Data Scientist (Big Data Engineer) makes value out of data. They will proactively fetch information from various sources and analyze it for a better understanding about how the business performs. They will then use that information to build AI tools that automate certain processes within the company.  
This position performs all duties and responsibilities in accordance with the Mission, Vision, and Core Values of Cayuse. **Key Responsibilities***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processes, generate insights, and support business goals.
* Develop Key Performance Indicators (KPIs), metrics, trend tracking, prediction, and forecasting models.
* Evaluate and understand complex issues from business partners and recommend solutions.
* Work closely with team throughout all phases of projects: requirements definition, design, development, test and evaluation, demonstration, and deployment.
* Build, implement, and maintain predictive models throughout their full lifecycle.
* Identify patterns and trends in data and provide insights to enhance business decision making.
* Set up and monitor monthly model recalibration process.
* Generate complex ad\-hoc analyses combining disparate concepts or creating new approaches.
* Design and create new analytic procedures and automation.
* Other duties as assigned.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**Level 2:** 4\-7 years of experience in the field or in a related area.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 **Level 3:** 8 or more years of experience, relies on experience and judgment to plan and accomplish goals, independently performs a variety of complicated tasks; may lead and direct the work of others. A wide degree of creativity and latitude is expected.
* **All Levels**
* Demonstrated expertise in constructing distributed machine learning pipeline from scratch
* Demonstrated experience performing end\-to\-end project delivery, including data visualization, performing research, and conducting presentations for non\-technical audiences.
* Strong documentation, organizational, and time management skills.
* Strong verbal and written communication skills to effectively collaborate with team members and stakeholders.
* Must be able to pass a background check. May require additional background checks as required by projects and/or clients at any time during employment.
**Minimum Skills:*** Experience with machine learning frameworks and techniques, including regression, classification, neural networks, and feature engineering.
* Experience with Azure ML, Power BI, or similar analytics platforms.
* Skilled in web scraping, handling large\-scale multi\-source datasets, and managing ambiguous data environments.
* Strong knowledge of statistical methods for experimentation (e.g., randomization, t\-tests, and confidence intervals).
* Proven track record of managing and delivering high\-volume analytics or experimentation projects across multiple stakeholders.
* Ability to translate analytical insights into actionable business recommendations.
* Strong analytical and problem\-solving skills with keen attention to detail.
* Excellent communication and collaboration skills, with the ability to effectively interact with both technical and business stakeholders.
 **Desired Qualifications:*** Bachelor’s or master’s degree in Computer Science, Information Technology, Data Science or related field.
* Proficiency in Python (pandas, numpy, scipy) and SQL for data manipulation, analysis, and pipeline development.
* Knowledge of data science toolkits such as NumPy, Pandas and MatLab.
* Experience with Azure and Databricks platforms.
 **Our Commitment to you / overview of benefits***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to:**Program Manager **Working Conditions*** Professional office environment, with the ability to work on\-site in the main office.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May be asked to work a flexible schedule which may include holidays.
* May be asked to travel for business or professional development purposes.
* May be asked to work hours outside of normal business hours.
* Travel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row r="122">
      <c r="A122" t="inlineStr">
        <is>
          <t>in-fdfda8010b05f5b4</t>
        </is>
      </c>
      <c r="B122" t="inlineStr">
        <is>
          <t>Lead Data Scientist</t>
        </is>
      </c>
      <c r="C122" t="inlineStr">
        <is>
          <t>Capgemini</t>
        </is>
      </c>
      <c r="D122" t="inlineStr">
        <is>
          <t>indeed</t>
        </is>
      </c>
      <c r="E122">
        <f>HYPERLINK("https://www.indeed.com/viewjob?jk=fdfda8010b05f5b4", "https://www.indeed.com/viewjob?jk=fdfda8010b05f5b4")</f>
        <v/>
      </c>
      <c r="F122">
        <f>HYPERLINK("https://www.capgemini.com/jobs/389119-en_GB+sap_btp/", "https://www.capgemini.com/jobs/389119-en_GB+sap_btp/")</f>
        <v/>
      </c>
      <c r="G122" t="inlineStr">
        <is>
          <t>Bellevue, WA, US</t>
        </is>
      </c>
      <c r="H122" s="3" t="n">
        <v>46041</v>
      </c>
      <c r="I122" t="inlineStr">
        <is>
          <t>Bellevue, WA
Lead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Manage a team of data scientists and provide technical guidance, mentorship, and coaching to ensure team members professional development and growth. Drive cross functional alignment with teams across sales, engineering, product, marketing, etc. to advance strategic priorities for our customers.
The base compensation range for this role in the posted location is $150,000 to 200,000/YR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389119\-en\_GB
Posted on
20 Jan 2026
Experience level
Experienced Professionals
Contract type
Permanent
Location
Bellevue, WA
Business unit
I and D Global Business Line
Brand
Capgemini
Professional communities
Data \&amp; AI</t>
        </is>
      </c>
    </row>
    <row r="123">
      <c r="A123" t="inlineStr">
        <is>
          <t>in-50fa7c48bf09c7af</t>
        </is>
      </c>
      <c r="B123" t="inlineStr">
        <is>
          <t>Environmental Data Scientist</t>
        </is>
      </c>
      <c r="C123" t="inlineStr">
        <is>
          <t>Floyd Snider</t>
        </is>
      </c>
      <c r="D123" t="inlineStr">
        <is>
          <t>indeed</t>
        </is>
      </c>
      <c r="E123">
        <f>HYPERLINK("https://www.indeed.com/viewjob?jk=50fa7c48bf09c7af", "https://www.indeed.com/viewjob?jk=50fa7c48bf09c7af")</f>
        <v/>
      </c>
      <c r="F123">
        <f>HYPERLINK("https://recruiting.paylocity.com/recruiting/jobs/Details/3814189/Floyd-Snider/Environmental-Data-Scientist?source=Indeed_Feed", "https://recruiting.paylocity.com/recruiting/jobs/Details/3814189/Floyd-Snider/Environmental-Data-Scientist?source=Indeed_Feed")</f>
        <v/>
      </c>
      <c r="G123" t="inlineStr">
        <is>
          <t>Seattle, WA, US</t>
        </is>
      </c>
      <c r="H123" s="3" t="n">
        <v>46041</v>
      </c>
      <c r="I123" t="inlineStr">
        <is>
          <t>Floyd\|Snider is seeking an Environmental Data Scientist to join our collaborative Data Services team. We’re looking for someone who exemplifies our commitment to technical excellence, environmental responsibility, and client service.
The key responsibilities will be to prepare chemistry data validation, but you’ll also support data processing, analysis, and visualization. The successful candidate will have an interest in finding creative data solutions that improve workflows and support project conclusions.
Here’s our list of must haves:
* Bachelor's degree in data science or analytics, environmental science, chemistry, or related field
* Some professional work experience *or* a capstone, internship, or extended academic project requiring collaboration and adherence to schedules
* Programming experience in R or Python
* Ability to work effectively with oversight and support from the Data Services team
* Ability to manage workload, self\-motivate, and fill project gaps when needed
* Strong communication skills, including patience and responsiveness
**Pay and Benefits**
This is a full\-time (32 – 40 hours per week), permanent position. Candidates with up to two years of relevant experience earn a salary range of $75K \- $80K annually. We offer quarterly merit\-based bonus opportunities, equity and ownership options, 401K, medical insurance, vision insurance, dental insurance, long\-term disability insurance, life insurance, and a transportation stipend. We also offer 11 paid holidays and 20 days paid time off per year.
Floyd\|Snider provides employees with a flexible work schedule that includes core hours from 9am – 4pm Monday through Friday. Most staff are expected to work onsite 2 \- 3 days per week, depending on your distance from the office. Project work may require you to work more than your standard billable work week, but Floyd\|Snider provides extra time off to recognize this effort.
**The Details**
The right candidate will have a mix of the following skills or experience:
* Familiarity with SQL server or similar relational databases
* Familiarity with MS Access, Tableau, and VBA
* Familiarity with environmental chemistry data
* Experience with confidence intervals and hypothesis testing through statistical analysis
Beyond your relevant experience, we’re looking for someone with the following qualities:
* **Attention to detail** – you understand the data\-driven nature of environmental decision\-making and are dedicated to maintaining high\-quality standards for data management and QC.
* **Communication** – you're able to translate complicated insights into products your audience will understand to achieve clarity through a variety of mediums.
* **Organization** – having an eye for detail doesn’t prevent you from seeing the big picture. You’re able to juggle competing priorities without dropping the ball.
You’ll have the opportunity to work with project teams on a wide range of tasks with varying goals. This role would have occasional opportunities to do field work that provides context for the environmental data you’ll later validate and report on.
**Working with Us**
We’re an employee\-owned environmental consulting firm offering strategy, science, and engineering solutions in the private and public sectors. Independently owned and operated since 1996, Floyd\|Snider has consistently been recognized as one of the premier firms in the Northwest and a top place to work. We love it here because we don’t do cookie\-cutter work; we work collaboratively on complex, fascinating projects.
We strive to build a team that reflects the diversity of the community we work in and encourage those from traditionally underrepresented groups to apply. In furtherance of our culture, all qualified applicants will receive considerations without regard to race, national origin, gender, age, religion, disability, sexual orientation, gender identity, veteran status, marital status, or any other characteristics protected by law.</t>
        </is>
      </c>
    </row>
    <row r="124">
      <c r="A124" t="inlineStr">
        <is>
          <t>in-14c26acc474b3b54</t>
        </is>
      </c>
      <c r="B124" t="inlineStr">
        <is>
          <t>Senior Data Scientist</t>
        </is>
      </c>
      <c r="C124" t="inlineStr">
        <is>
          <t>Mastercard</t>
        </is>
      </c>
      <c r="D124" t="inlineStr">
        <is>
          <t>indeed</t>
        </is>
      </c>
      <c r="E124">
        <f>HYPERLINK("https://www.indeed.com/viewjob?jk=14c26acc474b3b54", "https://www.indeed.com/viewjob?jk=14c26acc474b3b54")</f>
        <v/>
      </c>
      <c r="F124">
        <f>HYPERLINK("https://click.appcast.io/t/H5gxmK-M5gsJQqb_-HY4fEGVXGHmObodUOMaWJ_WSpY=", "https://click.appcast.io/t/H5gxmK-M5gsJQqb_-HY4fEGVXGHmObodUOMaWJ_WSpY=")</f>
        <v/>
      </c>
      <c r="G124" t="inlineStr">
        <is>
          <t>O'Fallon, MO, US</t>
        </is>
      </c>
      <c r="H124" s="3" t="n">
        <v>46041</v>
      </c>
      <c r="I12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Scientist
Job Title:  
Senior Data Scientist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Foundational AI team is looking for a Data Scientist who is passionate about applying concepts from Machine Learning and Artificial Intelligence problems in a business setting. The person in this role will be joining a team of leading\-edge data scientists who are not just building models but are working to solve foundational business problems for the Company. The ideal candidate is comfortable working with Big data sources and able to implement and validate predictive models to provide insights and solutions for different business problems. The person in this role will be responsible for data interpretation and presentation to aid business partners in making informed data\-driven decisions to improve business outcomes. The right candidate is able to collaborate with other data scientists and various internal business partners to help solve business problems using advanced ML/AI. The person in this role must be organized and follow best practices in coding and documentation.  
Responsibilities:  
* Design, develop, and deliver innovative ML/AI solutions for various data science projects.
* Be responsible for documenting and articulating various data science projects across the organization following our engagement model, the Cross\-Industry Standard Process for Data Mining (CRISP\-DM).
* Gain a clear understanding of business operations and data needed to solve problem statements for specific projects.
* Pull and prepare data, train and test models, and be responsible for overall execution on projects using Mastercard operational and transaction data to glean insights for our partners.
* Present your approach to the solution and model output to various business partners.
* Maintain a current knowledge of advanced ML/AI tools and techniques.
* Work with different product teams and be an integral part of model deployment.
* Need to build and maintain strong relationships with internal Mastercard partners.
About You  
* Having a passion for problem\-solving using mathematics, statistics, machine learning, and artificial intelligence.
* Ability to quickly pick up new tools and technologies.
* Excellent oral and written communication skills.
* Proficiency in Python/R, Hadoop, Spark, MySQL with documentation for reproducibility.
* Experience in anomaly detection, supervised/ unsupervised learning, time\-series data, and natural language processing.
* Hands\-on experience with Python packages such as Gudhi, Numpy, SciPy, Pandas, Scikit\-learn, Tensorflow, Keras, NLTK, Gensim, BERT, NetworkX, etc.
* Excellent organization and interpersonal skills.
* Very detail\-oriented with an ability to think creatively.
* Strong problem\-solving skills and ability to think creatively with data.
* Self\-motivated and capable of working independently but with a collaborative nature.
* Proficient with data visualization and translating complex problems into actionable insights.
\#AI1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$115,000 \- $184,000 USD
New York City, New York: $138,000 \- $221,000 USD
Purchase, New York: $132,000 \- $212,000 USD</t>
        </is>
      </c>
    </row>
    <row r="125">
      <c r="A125" t="inlineStr">
        <is>
          <t>in-6f3c88e04b6446b6</t>
        </is>
      </c>
      <c r="B125" t="inlineStr">
        <is>
          <t>Senior Data Scientist</t>
        </is>
      </c>
      <c r="C125" t="inlineStr">
        <is>
          <t>Mastercard</t>
        </is>
      </c>
      <c r="D125" t="inlineStr">
        <is>
          <t>indeed</t>
        </is>
      </c>
      <c r="E125">
        <f>HYPERLINK("https://www.indeed.com/viewjob?jk=6f3c88e04b6446b6", "https://www.indeed.com/viewjob?jk=6f3c88e04b6446b6")</f>
        <v/>
      </c>
      <c r="F125">
        <f>HYPERLINK("https://click.appcast.io/t/7OBkDWe3mQ42CeR1usY9osYH9ZuqZ7UhGQqdp9tBbPg=", "https://click.appcast.io/t/7OBkDWe3mQ42CeR1usY9osYH9ZuqZ7UhGQqdp9tBbPg=")</f>
        <v/>
      </c>
      <c r="G125" t="inlineStr">
        <is>
          <t>Harrison, NY, US</t>
        </is>
      </c>
      <c r="H125" s="3" t="n">
        <v>46041</v>
      </c>
      <c r="I12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Scientist
Job Title:  
Senior Data Scientist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Foundational AI team is looking for a Data Scientist who is passionate about applying concepts from Machine Learning and Artificial Intelligence problems in a business setting. The person in this role will be joining a team of leading\-edge data scientists who are not just building models but are working to solve foundational business problems for the Company. The ideal candidate is comfortable working with Big data sources and able to implement and validate predictive models to provide insights and solutions for different business problems. The person in this role will be responsible for data interpretation and presentation to aid business partners in making informed data\-driven decisions to improve business outcomes. The right candidate is able to collaborate with other data scientists and various internal business partners to help solve business problems using advanced ML/AI. The person in this role must be organized and follow best practices in coding and documentation.  
Responsibilities:  
* Design, develop, and deliver innovative ML/AI solutions for various data science projects.
* Be responsible for documenting and articulating various data science projects across the organization following our engagement model, the Cross\-Industry Standard Process for Data Mining (CRISP\-DM).
* Gain a clear understanding of business operations and data needed to solve problem statements for specific projects.
* Pull and prepare data, train and test models, and be responsible for overall execution on projects using Mastercard operational and transaction data to glean insights for our partners.
* Present your approach to the solution and model output to various business partners.
* Maintain a current knowledge of advanced ML/AI tools and techniques.
* Work with different product teams and be an integral part of model deployment.
* Need to build and maintain strong relationships with internal Mastercard partners.
About You  
* Having a passion for problem\-solving using mathematics, statistics, machine learning, and artificial intelligence.
* Ability to quickly pick up new tools and technologies.
* Excellent oral and written communication skills.
* Proficiency in Python/R, Hadoop, Spark, MySQL with documentation for reproducibility.
* Experience in anomaly detection, supervised/ unsupervised learning, time\-series data, and natural language processing.
* Hands\-on experience with Python packages such as Gudhi, Numpy, SciPy, Pandas, Scikit\-learn, Tensorflow, Keras, NLTK, Gensim, BERT, NetworkX, etc.
* Excellent organization and interpersonal skills.
* Very detail\-oriented with an ability to think creatively.
* Strong problem\-solving skills and ability to think creatively with data.
* Self\-motivated and capable of working independently but with a collaborative nature.
* Proficient with data visualization and translating complex problems into actionable insights.
\#AI1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$115,000 \- $184,000 USD
New York City, New York: $138,000 \- $221,000 USD
Purchase, New York: $132,000 \- $212,000 USD</t>
        </is>
      </c>
    </row>
    <row r="126">
      <c r="A126" t="inlineStr">
        <is>
          <t>in-47db815a29aed560</t>
        </is>
      </c>
      <c r="B126" t="inlineStr">
        <is>
          <t>Senior Data Scientist</t>
        </is>
      </c>
      <c r="C126" t="inlineStr">
        <is>
          <t>Mastercard</t>
        </is>
      </c>
      <c r="D126" t="inlineStr">
        <is>
          <t>indeed</t>
        </is>
      </c>
      <c r="E126">
        <f>HYPERLINK("https://www.indeed.com/viewjob?jk=47db815a29aed560", "https://www.indeed.com/viewjob?jk=47db815a29aed560")</f>
        <v/>
      </c>
      <c r="F126">
        <f>HYPERLINK("https://click.appcast.io/t/A1RmDUo63SHdwXJ4_XrnJcOUDmJuBqoArWkCUujmWxA=", "https://click.appcast.io/t/A1RmDUo63SHdwXJ4_XrnJcOUDmJuBqoArWkCUujmWxA=")</f>
        <v/>
      </c>
      <c r="G126" t="inlineStr">
        <is>
          <t>New York, NY, US</t>
        </is>
      </c>
      <c r="H126" s="3" t="n">
        <v>46041</v>
      </c>
      <c r="I126"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Scientist
Job Title:  
Senior Data Scientist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Foundational AI team is looking for a Data Scientist who is passionate about applying concepts from Machine Learning and Artificial Intelligence problems in a business setting. The person in this role will be joining a team of leading\-edge data scientists who are not just building models but are working to solve foundational business problems for the Company. The ideal candidate is comfortable working with Big data sources and able to implement and validate predictive models to provide insights and solutions for different business problems. The person in this role will be responsible for data interpretation and presentation to aid business partners in making informed data\-driven decisions to improve business outcomes. The right candidate is able to collaborate with other data scientists and various internal business partners to help solve business problems using advanced ML/AI. The person in this role must be organized and follow best practices in coding and documentation.  
Responsibilities:  
* Design, develop, and deliver innovative ML/AI solutions for various data science projects.
* Be responsible for documenting and articulating various data science projects across the organization following our engagement model, the Cross\-Industry Standard Process for Data Mining (CRISP\-DM).
* Gain a clear understanding of business operations and data needed to solve problem statements for specific projects.
* Pull and prepare data, train and test models, and be responsible for overall execution on projects using Mastercard operational and transaction data to glean insights for our partners.
* Present your approach to the solution and model output to various business partners.
* Maintain a current knowledge of advanced ML/AI tools and techniques.
* Work with different product teams and be an integral part of model deployment.
* Need to build and maintain strong relationships with internal Mastercard partners.
About You  
* Having a passion for problem\-solving using mathematics, statistics, machine learning, and artificial intelligence.
* Ability to quickly pick up new tools and technologies.
* Excellent oral and written communication skills.
* Proficiency in Python/R, Hadoop, Spark, MySQL with documentation for reproducibility.
* Experience in anomaly detection, supervised/ unsupervised learning, time\-series data, and natural language processing.
* Hands\-on experience with Python packages such as Gudhi, Numpy, SciPy, Pandas, Scikit\-learn, Tensorflow, Keras, NLTK, Gensim, BERT, NetworkX, etc.
* Excellent organization and interpersonal skills.
* Very detail\-oriented with an ability to think creatively.
* Strong problem\-solving skills and ability to think creatively with data.
* Self\-motivated and capable of working independently but with a collaborative nature.
* Proficient with data visualization and translating complex problems into actionable insights.
\#AI1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$115,000 \- $184,000 USD
New York City, New York: $138,000 \- $221,000 USD
Purchase, New York: $132,000 \- $212,000 USD</t>
        </is>
      </c>
    </row>
    <row r="127">
      <c r="A127" t="inlineStr">
        <is>
          <t>in-096bf90b9fdf5fb8</t>
        </is>
      </c>
      <c r="B127" t="inlineStr">
        <is>
          <t>Senior Staff Data Scientist</t>
        </is>
      </c>
      <c r="C127" t="inlineStr">
        <is>
          <t>Intuit</t>
        </is>
      </c>
      <c r="D127" t="inlineStr">
        <is>
          <t>indeed</t>
        </is>
      </c>
      <c r="E127">
        <f>HYPERLINK("https://www.indeed.com/viewjob?jk=096bf90b9fdf5fb8", "https://www.indeed.com/viewjob?jk=096bf90b9fdf5fb8")</f>
        <v/>
      </c>
      <c r="F127">
        <f>HYPERLINK("https://jobs.intuit.com/job/mountain-view/senior-staff-data-scientist/27595/90800339200", "https://jobs.intuit.com/job/mountain-view/senior-staff-data-scientist/27595/90800339200")</f>
        <v/>
      </c>
      <c r="G127" t="inlineStr">
        <is>
          <t>San Diego, CA, US</t>
        </is>
      </c>
      <c r="H127" s="3" t="n">
        <v>46041</v>
      </c>
      <c r="I127" t="inlineStr">
        <is>
          <t>Category Data
Location Mountain View, California; San Diego, California
Job ID 17034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Services Group is dedicated to creating tools and services that dramatically increases the ability of small\-medium businesses (SMBs) to manage cash flow. At the center of this mission, the QuickBooks Payments team is developing innovative tools to help customers get paid faster and with confidence. Our expanding suite of offerings and new go\-to\-market strategies aim to further enhance SMBs' ability to accept payments seamlessly.
The Payments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Senior Staff Data Scientist working on an accelerating customer growth and breakthrough adoption of Payments offerings within the company, you will dive deep into our data to uncover actionable insights and make recommendations that will fuel growth.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go\-to\-market strategies of a brand new product and strategic bet. This role requires a strong background in quantitative analysis, data\-driven decision\-making, and expertise in working with large data sets.
* Conceptualize business problems or opportunities, formulate hypotheses and goals, define key metrics and make actionable recommendations
* Accelerate performance diagnosis with specificity on drivers across internal and external trends and ideate actions to change performance trajectory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Learning mindset to add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$ 204,500\.00\- 276,500\.00  
Southern California $ 197,500\.00 \- 267,500\.00</t>
        </is>
      </c>
    </row>
    <row r="128">
      <c r="A128" t="inlineStr">
        <is>
          <t>in-a15a6d108133d77c</t>
        </is>
      </c>
      <c r="B128" t="inlineStr">
        <is>
          <t>Data Scientist</t>
        </is>
      </c>
      <c r="C128" t="inlineStr">
        <is>
          <t>Beyondsoft</t>
        </is>
      </c>
      <c r="D128" t="inlineStr">
        <is>
          <t>indeed</t>
        </is>
      </c>
      <c r="E128">
        <f>HYPERLINK("https://www.indeed.com/viewjob?jk=a15a6d108133d77c", "https://www.indeed.com/viewjob?jk=a15a6d108133d77c")</f>
        <v/>
      </c>
      <c r="F128">
        <f>HYPERLINK("https://careers-beyondsoft.icims.com/jobs/10669/job?utm_source=indeed_integration&amp;iis=Job%20Board&amp;iisn=Indeed&amp;indeed-apply-token=73a2d2b2a8d6d5c0a62696875eaebd669103652d3f0c2cd5445d3e66b1592b0f", "https://careers-beyondsoft.icims.com/jobs/10669/job?utm_source=indeed_integration&amp;iis=Job%20Board&amp;iisn=Indeed&amp;indeed-apply-token=73a2d2b2a8d6d5c0a62696875eaebd669103652d3f0c2cd5445d3e66b1592b0f")</f>
        <v/>
      </c>
      <c r="G128" t="inlineStr">
        <is>
          <t>Remote, US</t>
        </is>
      </c>
      <c r="H128" s="3" t="n">
        <v>46041</v>
      </c>
      <c r="I128" t="inlineStr">
        <is>
          <t>Overview:
**WHO WE ARE:**
Beyondsoft is a leading mid\-sized business IT and consulting company that combines modern technologies and proven methodologies to tailor solutions that move your business forward.  
Our global head office is based in Singapore, and our team is made up of a diversely talented team of experts who thrive on innovation and pushing the bounds of technology to solve our customers’ most pressing challenges.  
When it comes time to deliver, we set our sights on that sweet spot where brilliance, emerging technologies, best practices, and accountability converge. We have a global presence spanning four continents (North America, South America, Europe, and Asia). Our global network of talent and customer\-centric engagement model enables us to provide top\-quality services on an unprecedented scale.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**ADDITIONAL REQUIREMENT FOR REMOTE POSITIONS:**
For remote positions, all candidates must complete a video screen with our corporate recruiting team.
Responsibilities: **POSITION SUMMARY:**
We’re seeking an Data Scientist to design and deliver backend services that bring Generative AI, RAG, and intelligent agents into real\-world products. You’ll build scalable systems that turn data into insights and power automation—driving smarter decisions and better experiences for our customers.
 **WHAT YOU WILL BE DOING:**
* Design and scale backend services that integrate Generative AI and Retrieval\-Augmented Generation (RAG) for production use.
* Develop AI agents to automate workflows and improve product intelligence.
* Build pipelines that transform structured and unstructured data into actionable insights.
* Optimize retrieval systems for speed, scalability, and user relevance.
* Collaborate with product and engineering teams to deliver AI features that directly improve customer experience.
Qualifications:
**MINIMUM QUALIFICATIONS:*** 5\+ years of hands\-on experience building and deploying AI/ML solutions.
* Proficiency in Python and modern ML frameworks (e.g., TensorFlow, PyTorch).
* Experience with Generative AI, RAG, and orchestration frameworks (e.g., LangChain).
* Familiarity with graph databases, NLP pipelines, and vector search.
* Proven ability to design scalable systems and optimize for performance.
* Master’s degree in Computer Science, AI, or related field (or equivalent practical experience).
**PREFERRED QUALIFICATIONS:*** Open\-source contributions, published research, or advanced AI applications.
* Knowledge of ethical and responsible AI development practices.
* Experience scaling AI systems in production environments.
* Chinese language skills preferred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A competitive pay range of $120K\-160K (depending on experience).
* 15 days per year of Paid Time Off (PTO).
* 8 paid holidays \+ 1 personal floating holiday
* 401(k) retirement plan with company match.
* Eligible employees (and their families) are offered the following company\-sponsored benefits: Medical, dental, and vision insurance, health savings account (HSA), short\-term and long\-term disability, employee assistance plan (EAP), and basic life and AD\&amp;D insurance.
*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row>
    <row r="129">
      <c r="A129" t="inlineStr">
        <is>
          <t>in-90300374231f3788</t>
        </is>
      </c>
      <c r="B129" t="inlineStr">
        <is>
          <t>Senior Data Scientist</t>
        </is>
      </c>
      <c r="C129" t="inlineStr">
        <is>
          <t>Sequoia Financial Group</t>
        </is>
      </c>
      <c r="D129" t="inlineStr">
        <is>
          <t>indeed</t>
        </is>
      </c>
      <c r="E129">
        <f>HYPERLINK("https://www.indeed.com/viewjob?jk=90300374231f3788", "https://www.indeed.com/viewjob?jk=90300374231f3788")</f>
        <v/>
      </c>
      <c r="F129">
        <f>HYPERLINK("https://workforcenow.adp.com/mascsr/default/mdf/recruitment/recruitment.html?cid=c0aec70d-b765-4605-974e-8278e6583202&amp;ccId=19000101_000001&amp;jobId=579258&amp;source=IN&amp;lang=en_US", "https://workforcenow.adp.com/mascsr/default/mdf/recruitment/recruitment.html?cid=c0aec70d-b765-4605-974e-8278e6583202&amp;ccId=19000101_000001&amp;jobId=579258&amp;source=IN&amp;lang=en_US")</f>
        <v/>
      </c>
      <c r="G129" t="inlineStr">
        <is>
          <t>Mayfield Heights, OH, US</t>
        </is>
      </c>
      <c r="H129" s="3" t="n">
        <v>46041</v>
      </c>
      <c r="I129" t="inlineStr">
        <is>
          <t>Sequoia Financial Group is a growing Registered Investment Advisor (RIA), headquartered in Northeast Ohio, offering financial planning and wealth management services. At Sequoia, we exist with a singular purpose: to enrich lives. Our values define how we behave and guide us through the pursuit of our purpose to enrich lives. At Sequoia, our core values are:  
* + **Integrity.** We act in the best interests of others by providing an honest, consistent experience for our clients and team.
	+ **Passion**. We pursue our full potential, seeking to continually enhance and evolve our ability to serve our clients and team.
	+ **Teamwork.** We subordinate our egos to work together for the benefit of our clients.
Our promise to team members is that you will grow with us. From experienced advisors to new college grads to transitioning principals, every team member will find Sequoia a place to refine their professional mission, move into new opportunities, go deeper, and lead further. We are built to help you build a career here as a long\-term contributor in our work to enrich lives for generations.  
As we expand our Data \&amp; AI Office, we seek a hands\-on Senior Data Scientist to help shape our data and AI strategy, drive architectural excellence, and enable scalable, secure, and intelligent AI\-first processes. This role is pivotal in supporting our enterprise\-wide AI initiatives and AI adoption.  
### **Role Overview**
Lead enterprise\-wide AI discovery and predictive modeling to identify high\-impact business problems and translate them into production\-ready solutions. Build Proof of Concepts (POCs) and Minimal Viable Products (MVPs) using AI/LLMs and data science, operationalize predictive models across Client Experience, Operations, Compliance, and Marketing, and drive a culture of experimentation grounded in measurable ROI and responsible AI.
### **Key Responsibilities**
#### **Discovery \&amp; Problem Framing**
* Conduct user interviews and journey walkthroughs to surface real problems; apply behavioral insights to translate ambiguous needs into quantified problem statements and value hypotheses.
* Build prioritization frameworks (impact, effort, risk, data readiness, compliance) and size ROI for use cases.
* Partner with Finance/PMO to track realized value vs. forecast post\-launch
* Rapid Prototyping \&amp; MVP Development
* Design POCs using LLMs, RAG, prompt engineering, and classical ML; evolve into MVPs with clear success criteria and guardrails.
* Conduct feature engineering, algorithm selection, and set monitoring plans for drift and bias
* Package prototypes with evaluation harnesses; enforce clear "continue/pivot/stop" decision gates
* Enterprise Prediction \&amp; Model Development
* Build and maintain forecasting and propensity models (churn, next best action, AUM growth, advisor capacity, client lifecycle scoring) serving multiple departments.
* Standardize feature stores across Salesforce and planning/portfolio platforms (Tamarac, Orion, Addepar, Black Diamond)
* Define SLAs/SLOs, feature refresh cadence, and rollback criteria
#### **Decision Support \&amp; Operationalization**
* Convert model outputs into actionable artifacts, such as decision playbooks, scenario calculators, dashboards, and alerting rules.
* Define workflows, leading indicators, and counter\-metrics that drive business actions.
* Create Tableau/Power BI visualizations with clear narratives for non\-technical stakeholders.
* Data Science Culture \&amp; Governance
* Champion MLOps hygiene: versioning, experiment tracking, model cards, and documentation
* Host office hours and workshops to build data literacy and ethical AI awareness
* Embed responsible\-AI principles, RBAC, and human\-in\-the\-loop controls; coordinate with Legal/Compliance on risk and auditability
* Rigorously document Workflows and Processes to establish the AI and Data Office for long\-term reliability and resilience
#### **Model Portfolio Management**
* Maintain a transparent inventory of models and experiments; deprecate low\-value assets.
* Establish prioritization scoring frameworks and publish quarterly roadmap updates.
* Track portfolio health: use\-case progression, realized value, time\-to\-decision improvements
* Cross\-Functional Partnership
* Coordinate with data engineering on operationalization and with analytics on KPI alignment.
* Collaborate with PMO on experiment time\-boxing and capacity management
* Work with vendors on architecture, integration, and build\-vs\-buy decisions
#### **Required Qualifications**
* 7–12 years in data science, ML, analytics, or product discovery
* Python expertise: pandas, scikit\-learn, NumPy; Jupyter notebooks and Git
* Statistical \&amp; ML fundamentals: feature engineering, validation, error analysis
* LLM \&amp; AI proficiency: POC development with prompt engineering, RAG, and classical ML
* Decision\-support framing: translate models into actionable workflows; define KPIs and measure business impact
* Data governance: Data Dictionary, lineage, RBAC, privacy principles
* Communication: strong written/verbal skills with technical and non\-technical audiences
* Iterative delivery: comfort with short feedback cycles, A/B testing, and learning from experiments</t>
        </is>
      </c>
    </row>
    <row r="130">
      <c r="A130" t="inlineStr">
        <is>
          <t>in-226813952b13d6ac</t>
        </is>
      </c>
      <c r="B130" t="inlineStr">
        <is>
          <t>Senior Data Scientist</t>
        </is>
      </c>
      <c r="C130" t="inlineStr">
        <is>
          <t>Sequoia Financial Group</t>
        </is>
      </c>
      <c r="D130" t="inlineStr">
        <is>
          <t>indeed</t>
        </is>
      </c>
      <c r="E130">
        <f>HYPERLINK("https://www.indeed.com/viewjob?jk=226813952b13d6ac", "https://www.indeed.com/viewjob?jk=226813952b13d6ac")</f>
        <v/>
      </c>
      <c r="F130">
        <f>HYPERLINK("https://workforcenow.adp.com/mascsr/default/mdf/recruitment/recruitment.html?cid=c0aec70d-b765-4605-974e-8278e6583202&amp;ccId=19000101_000001&amp;jobId=579258&amp;source=IN&amp;lang=en_US", "https://workforcenow.adp.com/mascsr/default/mdf/recruitment/recruitment.html?cid=c0aec70d-b765-4605-974e-8278e6583202&amp;ccId=19000101_000001&amp;jobId=579258&amp;source=IN&amp;lang=en_US")</f>
        <v/>
      </c>
      <c r="G130" t="inlineStr">
        <is>
          <t>Dublin, OH, US</t>
        </is>
      </c>
      <c r="H130" s="3" t="n">
        <v>46041</v>
      </c>
      <c r="I130" t="inlineStr">
        <is>
          <t>Sequoia Financial Group is a growing Registered Investment Advisor (RIA), headquartered in Northeast Ohio, offering financial planning and wealth management services. At Sequoia, we exist with a singular purpose: to enrich lives. Our values define how we behave and guide us through the pursuit of our purpose to enrich lives. At Sequoia, our core values are:  
* + **Integrity.** We act in the best interests of others by providing an honest, consistent experience for our clients and team.
	+ **Passion**. We pursue our full potential, seeking to continually enhance and evolve our ability to serve our clients and team.
	+ **Teamwork.** We subordinate our egos to work together for the benefit of our clients.
Our promise to team members is that you will grow with us. From experienced advisors to new college grads to transitioning principals, every team member will find Sequoia a place to refine their professional mission, move into new opportunities, go deeper, and lead further. We are built to help you build a career here as a long\-term contributor in our work to enrich lives for generations.  
As we expand our Data \&amp; AI Office, we seek a hands\-on Senior Data Scientist to help shape our data and AI strategy, drive architectural excellence, and enable scalable, secure, and intelligent AI\-first processes. This role is pivotal in supporting our enterprise\-wide AI initiatives and AI adoption.  
### **Role Overview**
Lead enterprise\-wide AI discovery and predictive modeling to identify high\-impact business problems and translate them into production\-ready solutions. Build Proof of Concepts (POCs) and Minimal Viable Products (MVPs) using AI/LLMs and data science, operationalize predictive models across Client Experience, Operations, Compliance, and Marketing, and drive a culture of experimentation grounded in measurable ROI and responsible AI.
### **Key Responsibilities**
#### **Discovery \&amp; Problem Framing**
* Conduct user interviews and journey walkthroughs to surface real problems; apply behavioral insights to translate ambiguous needs into quantified problem statements and value hypotheses.
* Build prioritization frameworks (impact, effort, risk, data readiness, compliance) and size ROI for use cases.
* Partner with Finance/PMO to track realized value vs. forecast post\-launch
* Rapid Prototyping \&amp; MVP Development
* Design POCs using LLMs, RAG, prompt engineering, and classical ML; evolve into MVPs with clear success criteria and guardrails.
* Conduct feature engineering, algorithm selection, and set monitoring plans for drift and bias
* Package prototypes with evaluation harnesses; enforce clear "continue/pivot/stop" decision gates
* Enterprise Prediction \&amp; Model Development
* Build and maintain forecasting and propensity models (churn, next best action, AUM growth, advisor capacity, client lifecycle scoring) serving multiple departments.
* Standardize feature stores across Salesforce and planning/portfolio platforms (Tamarac, Orion, Addepar, Black Diamond)
* Define SLAs/SLOs, feature refresh cadence, and rollback criteria
#### **Decision Support \&amp; Operationalization**
* Convert model outputs into actionable artifacts, such as decision playbooks, scenario calculators, dashboards, and alerting rules.
* Define workflows, leading indicators, and counter\-metrics that drive business actions.
* Create Tableau/Power BI visualizations with clear narratives for non\-technical stakeholders.
* Data Science Culture \&amp; Governance
* Champion MLOps hygiene: versioning, experiment tracking, model cards, and documentation
* Host office hours and workshops to build data literacy and ethical AI awareness
* Embed responsible\-AI principles, RBAC, and human\-in\-the\-loop controls; coordinate with Legal/Compliance on risk and auditability
* Rigorously document Workflows and Processes to establish the AI and Data Office for long\-term reliability and resilience
#### **Model Portfolio Management**
* Maintain a transparent inventory of models and experiments; deprecate low\-value assets.
* Establish prioritization scoring frameworks and publish quarterly roadmap updates.
* Track portfolio health: use\-case progression, realized value, time\-to\-decision improvements
* Cross\-Functional Partnership
* Coordinate with data engineering on operationalization and with analytics on KPI alignment.
* Collaborate with PMO on experiment time\-boxing and capacity management
* Work with vendors on architecture, integration, and build\-vs\-buy decisions
#### **Required Qualifications**
* 7–12 years in data science, ML, analytics, or product discovery
* Python expertise: pandas, scikit\-learn, NumPy; Jupyter notebooks and Git
* Statistical \&amp; ML fundamentals: feature engineering, validation, error analysis
* LLM \&amp; AI proficiency: POC development with prompt engineering, RAG, and classical ML
* Decision\-support framing: translate models into actionable workflows; define KPIs and measure business impact
* Data governance: Data Dictionary, lineage, RBAC, privacy principles
* Communication: strong written/verbal skills with technical and non\-technical audiences
* Iterative delivery: comfort with short feedback cycles, A/B testing, and learning from experiments</t>
        </is>
      </c>
    </row>
    <row r="131">
      <c r="A131" t="inlineStr">
        <is>
          <t>in-f294b1b2429f3463</t>
        </is>
      </c>
      <c r="B131" t="inlineStr">
        <is>
          <t>Senior Data Scientist</t>
        </is>
      </c>
      <c r="C131" t="inlineStr">
        <is>
          <t>Sequoia Financial Group</t>
        </is>
      </c>
      <c r="D131" t="inlineStr">
        <is>
          <t>indeed</t>
        </is>
      </c>
      <c r="E131">
        <f>HYPERLINK("https://www.indeed.com/viewjob?jk=f294b1b2429f3463", "https://www.indeed.com/viewjob?jk=f294b1b2429f3463")</f>
        <v/>
      </c>
      <c r="F131">
        <f>HYPERLINK("https://workforcenow.adp.com/mascsr/default/mdf/recruitment/recruitment.html?cid=c0aec70d-b765-4605-974e-8278e6583202&amp;ccId=19000101_000001&amp;jobId=579258&amp;source=IN&amp;lang=en_US", "https://workforcenow.adp.com/mascsr/default/mdf/recruitment/recruitment.html?cid=c0aec70d-b765-4605-974e-8278e6583202&amp;ccId=19000101_000001&amp;jobId=579258&amp;source=IN&amp;lang=en_US")</f>
        <v/>
      </c>
      <c r="G131" t="inlineStr">
        <is>
          <t>Akron, OH, US</t>
        </is>
      </c>
      <c r="H131" s="3" t="n">
        <v>46041</v>
      </c>
      <c r="I131" t="inlineStr">
        <is>
          <t>Sequoia Financial Group is a growing Registered Investment Advisor (RIA), headquartered in Northeast Ohio, offering financial planning and wealth management services. At Sequoia, we exist with a singular purpose: to enrich lives. Our values define how we behave and guide us through the pursuit of our purpose to enrich lives. At Sequoia, our core values are:  
* + **Integrity.** We act in the best interests of others by providing an honest, consistent experience for our clients and team.
	+ **Passion**. We pursue our full potential, seeking to continually enhance and evolve our ability to serve our clients and team.
	+ **Teamwork.** We subordinate our egos to work together for the benefit of our clients.
Our promise to team members is that you will grow with us. From experienced advisors to new college grads to transitioning principals, every team member will find Sequoia a place to refine their professional mission, move into new opportunities, go deeper, and lead further. We are built to help you build a career here as a long\-term contributor in our work to enrich lives for generations.  
As we expand our Data \&amp; AI Office, we seek a hands\-on Senior Data Scientist to help shape our data and AI strategy, drive architectural excellence, and enable scalable, secure, and intelligent AI\-first processes. This role is pivotal in supporting our enterprise\-wide AI initiatives and AI adoption.  
### **Role Overview**
Lead enterprise\-wide AI discovery and predictive modeling to identify high\-impact business problems and translate them into production\-ready solutions. Build Proof of Concepts (POCs) and Minimal Viable Products (MVPs) using AI/LLMs and data science, operationalize predictive models across Client Experience, Operations, Compliance, and Marketing, and drive a culture of experimentation grounded in measurable ROI and responsible AI.
### **Key Responsibilities**
#### **Discovery \&amp; Problem Framing**
* Conduct user interviews and journey walkthroughs to surface real problems; apply behavioral insights to translate ambiguous needs into quantified problem statements and value hypotheses.
* Build prioritization frameworks (impact, effort, risk, data readiness, compliance) and size ROI for use cases.
* Partner with Finance/PMO to track realized value vs. forecast post\-launch
* Rapid Prototyping \&amp; MVP Development
* Design POCs using LLMs, RAG, prompt engineering, and classical ML; evolve into MVPs with clear success criteria and guardrails.
* Conduct feature engineering, algorithm selection, and set monitoring plans for drift and bias
* Package prototypes with evaluation harnesses; enforce clear "continue/pivot/stop" decision gates
* Enterprise Prediction \&amp; Model Development
* Build and maintain forecasting and propensity models (churn, next best action, AUM growth, advisor capacity, client lifecycle scoring) serving multiple departments.
* Standardize feature stores across Salesforce and planning/portfolio platforms (Tamarac, Orion, Addepar, Black Diamond)
* Define SLAs/SLOs, feature refresh cadence, and rollback criteria
#### **Decision Support \&amp; Operationalization**
* Convert model outputs into actionable artifacts, such as decision playbooks, scenario calculators, dashboards, and alerting rules.
* Define workflows, leading indicators, and counter\-metrics that drive business actions.
* Create Tableau/Power BI visualizations with clear narratives for non\-technical stakeholders.
* Data Science Culture \&amp; Governance
* Champion MLOps hygiene: versioning, experiment tracking, model cards, and documentation
* Host office hours and workshops to build data literacy and ethical AI awareness
* Embed responsible\-AI principles, RBAC, and human\-in\-the\-loop controls; coordinate with Legal/Compliance on risk and auditability
* Rigorously document Workflows and Processes to establish the AI and Data Office for long\-term reliability and resilience
#### **Model Portfolio Management**
* Maintain a transparent inventory of models and experiments; deprecate low\-value assets.
* Establish prioritization scoring frameworks and publish quarterly roadmap updates.
* Track portfolio health: use\-case progression, realized value, time\-to\-decision improvements
* Cross\-Functional Partnership
* Coordinate with data engineering on operationalization and with analytics on KPI alignment.
* Collaborate with PMO on experiment time\-boxing and capacity management
* Work with vendors on architecture, integration, and build\-vs\-buy decisions
#### **Required Qualifications**
* 7–12 years in data science, ML, analytics, or product discovery
* Python expertise: pandas, scikit\-learn, NumPy; Jupyter notebooks and Git
* Statistical \&amp; ML fundamentals: feature engineering, validation, error analysis
* LLM \&amp; AI proficiency: POC development with prompt engineering, RAG, and classical ML
* Decision\-support framing: translate models into actionable workflows; define KPIs and measure business impact
* Data governance: Data Dictionary, lineage, RBAC, privacy principles
* Communication: strong written/verbal skills with technical and non\-technical audiences
* Iterative delivery: comfort with short feedback cycles, A/B testing, and learning from experiments</t>
        </is>
      </c>
    </row>
    <row r="132">
      <c r="A132" t="inlineStr">
        <is>
          <t>in-e1e2677e339eb5c3</t>
        </is>
      </c>
      <c r="B132" t="inlineStr">
        <is>
          <t>Senior Data Scientist</t>
        </is>
      </c>
      <c r="C132" t="inlineStr">
        <is>
          <t>Aon</t>
        </is>
      </c>
      <c r="D132" t="inlineStr">
        <is>
          <t>indeed</t>
        </is>
      </c>
      <c r="E132">
        <f>HYPERLINK("https://www.indeed.com/viewjob?jk=e1e2677e339eb5c3", "https://www.indeed.com/viewjob?jk=e1e2677e339eb5c3")</f>
        <v/>
      </c>
      <c r="F132">
        <f>HYPERLINK("https://us-careers-aon.icims.com/jobs/97805/job?utm_source=indeed_integration&amp;iis=Job%20Board&amp;iisn=Indeed&amp;indeed-apply-token=73a2d2b2a8d6d5c0a62696875eaebd669103652d3f0c2cd5445d3e66b1592b0f", "https://us-careers-aon.icims.com/jobs/97805/job?utm_source=indeed_integration&amp;iis=Job%20Board&amp;iisn=Indeed&amp;indeed-apply-token=73a2d2b2a8d6d5c0a62696875eaebd669103652d3f0c2cd5445d3e66b1592b0f")</f>
        <v/>
      </c>
      <c r="G132" t="inlineStr">
        <is>
          <t>New York, NY, US</t>
        </is>
      </c>
      <c r="H132" s="3" t="n">
        <v>46041</v>
      </c>
      <c r="I132" t="inlineStr">
        <is>
          <t>Posting Description:
**Aon is Looking for a Senior Data Scientist – Human Capital – Hybrid – New York**  
Aon plc (NYSE: AON) exists to shape decisions for the better — to protect and enrich the lives of people around the world. Our colleagues provide our clients in over 120 countries with advice and solutions that give them the clarity and confidence to make better decisions to protect and grow their business.  
Data science is revolutionizing many areas of business and the management of people is no exception. Aon’s human capital business, encompassing over 2,000 colleagues and spanning the globe, applies our market\-leading workforce data to help clients tackle transformational projects.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**What the day will look like**
* Provide technical leadership in a team that generates business insights, identify impactful recommendations, and communicate the findings to clients
* Lead end\-to\-end data science projects from storage to pipeline, modeling, visualization, and deployment
* Design, construct, install, test, and maintain data management systems typically in the form of scalable Databricks pipelines
* Research, build, and apply LLMs and NLP\-based systems for insight extraction and data enrichment use\-cases
* Design and draft long\-term technical development plans answering the question of how we will accomplish something, not simply what must be done
* Contribute to knowledge sharing and best practices
* Communicate complex quantitative analyses in a clear, precise, and actionable manner
* Mentor data analysts and junior data scientists
**How this opportunity is different**
The Senior Data Scientist will have the opportunity to reshape how businesses think about people metrics holistically. Our focus lies in building creative solutions that have an immediate impact on the business of our partners and the lives of the people who work for them. Aon is home to human capital data of a scale and breadth found in few other places, allowing you to participate in developing market\-leading insights that shape how companies manage their people and their business.
 **Skills and experience that will lead to success**
* Master’s or PhD in Computer Science, Statistics, Operations Research Economics, or related quantitative field
* Proficiency with Python and Databricks
* Deep experience building data pipelines with LLMs for insight extraction and data enrichment
* Experience with collaborative development environment like GitHub
**Preferred skills and experience:*** Experience with advanced econometrics and machine learning methods for social sciences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The salary range for this position (intended for U.S. applicants) is $136,000 \- $180,000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are committed to providing equal employment opportunities and fostering an inclusive workplace. If you require accommodations during the application or interview process, please let us know. You can request accommodations by emailing us at ReasonableAccommodations@Aon.com or your recruiter. We will work with you to meet your needs and ensure a fair and equitable experience.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
 **\#LI\-KN1**
 **\#LI\-HYBRID**</t>
        </is>
      </c>
    </row>
    <row r="133">
      <c r="A133" t="inlineStr">
        <is>
          <t>in-85338f2df2c635a5</t>
        </is>
      </c>
      <c r="B133" t="inlineStr">
        <is>
          <t>Senior Staff Data Scientist</t>
        </is>
      </c>
      <c r="C133" t="inlineStr">
        <is>
          <t>Intuit</t>
        </is>
      </c>
      <c r="D133" t="inlineStr">
        <is>
          <t>indeed</t>
        </is>
      </c>
      <c r="E133">
        <f>HYPERLINK("https://www.indeed.com/viewjob?jk=85338f2df2c635a5", "https://www.indeed.com/viewjob?jk=85338f2df2c635a5")</f>
        <v/>
      </c>
      <c r="F133">
        <f>HYPERLINK("https://dsp.prng.co/i_cqRib", "https://dsp.prng.co/i_cqRib")</f>
        <v/>
      </c>
      <c r="G133" t="inlineStr">
        <is>
          <t>Mountain View, CA, US</t>
        </is>
      </c>
      <c r="H133" s="3" t="n">
        <v>46041</v>
      </c>
      <c r="I133" t="inlineStr">
        <is>
          <t>**Overview**
------------
Intuit’s Services Group is dedicated to creating tools and services that dramatically increases the ability of small\-medium businesses (SMBs) to manage cash flow. At the center of this mission, the QuickBooks Payments team is developing innovative tools to help customers get paid faster and with confidence. Our expanding suite of offerings and new go\-to\-market strategies aim to further enhance SMBs' ability to accept payments seamlessly.
The Payments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Senior Staff Data Scientist working on an accelerating customer growth and breakthrough adoption of Payments offerings within the company, you will dive deep into our data to uncover actionable insights and make recommendations that will fuel growth.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go\-to\-market strategies of a brand new product and strategic bet. This role requires a strong background in quantitative analysis, data\-driven decision\-making, and expertise in working with large data sets.
* Conceptualize business problems or opportunities, formulate hypotheses and goals, define key metrics and make actionable recommendations
* Accelerate performance diagnosis with specificity on drivers across internal and external trends and ideate actions to change performance trajectory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**Technical Skills:***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Learning mindset to add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4">
      <c r="A134" t="inlineStr">
        <is>
          <t>in-b72ef258eb221c6a</t>
        </is>
      </c>
      <c r="B134" t="inlineStr">
        <is>
          <t>Senior Staff Data Scientist - Growth Product</t>
        </is>
      </c>
      <c r="C134" t="inlineStr">
        <is>
          <t>Intuit</t>
        </is>
      </c>
      <c r="D134" t="inlineStr">
        <is>
          <t>indeed</t>
        </is>
      </c>
      <c r="E134">
        <f>HYPERLINK("https://www.indeed.com/viewjob?jk=b72ef258eb221c6a", "https://www.indeed.com/viewjob?jk=b72ef258eb221c6a")</f>
        <v/>
      </c>
      <c r="F134">
        <f>HYPERLINK("https://dsp.prng.co/5_1wJXb", "https://dsp.prng.co/5_1wJXb")</f>
        <v/>
      </c>
      <c r="G134" t="inlineStr">
        <is>
          <t>Mountain View, CA, US</t>
        </is>
      </c>
      <c r="H134" s="3" t="n">
        <v>46041</v>
      </c>
      <c r="I134" t="inlineStr">
        <is>
          <t>**Overview**
------------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 brand new product and a strategic bet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and in data\-driven decision making.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$204,500\-276,500</t>
        </is>
      </c>
    </row>
    <row r="135">
      <c r="A135" t="inlineStr">
        <is>
          <t>in-6df000a3e17ec2be</t>
        </is>
      </c>
      <c r="B135" t="inlineStr">
        <is>
          <t>Senior Staff Data Scientist</t>
        </is>
      </c>
      <c r="C135" t="inlineStr">
        <is>
          <t>Intuit</t>
        </is>
      </c>
      <c r="D135" t="inlineStr">
        <is>
          <t>indeed</t>
        </is>
      </c>
      <c r="E135">
        <f>HYPERLINK("https://www.indeed.com/viewjob?jk=6df000a3e17ec2be", "https://www.indeed.com/viewjob?jk=6df000a3e17ec2be")</f>
        <v/>
      </c>
      <c r="F135">
        <f>HYPERLINK("https://dsp.prng.co/AAxAePb", "https://dsp.prng.co/AAxAePb")</f>
        <v/>
      </c>
      <c r="G135" t="inlineStr">
        <is>
          <t>San Diego, CA, US</t>
        </is>
      </c>
      <c r="H135" s="3" t="n">
        <v>46041</v>
      </c>
      <c r="I135" t="inlineStr">
        <is>
          <t>**Overview**
------------
Intuit’s Services Group is dedicated to creating tools and services that dramatically increases the ability of small\-medium businesses (SMBs) to manage cash flow. At the center of this mission, the QuickBooks Payments team is developing innovative tools to help customers get paid faster and with confidence. Our expanding suite of offerings and new go\-to\-market strategies aim to further enhance SMBs' ability to accept payments seamlessly.
The Payments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Senior Staff Data Scientist working on an accelerating customer growth and breakthrough adoption of Payments offerings within the company, you will dive deep into our data to uncover actionable insights and make recommendations that will fuel growth.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go\-to\-market strategies of a brand new product and strategic bet. This role requires a strong background in quantitative analysis, data\-driven decision\-making, and expertise in working with large data sets.
* Conceptualize business problems or opportunities, formulate hypotheses and goals, define key metrics and make actionable recommendations
* Accelerate performance diagnosis with specificity on drivers across internal and external trends and ideate actions to change performance trajectory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**Technical Skills:***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Learning mindset to add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6">
      <c r="A136" t="inlineStr">
        <is>
          <t>in-e15f428fdca0ed69</t>
        </is>
      </c>
      <c r="B136" t="inlineStr">
        <is>
          <t>Senior Data Scientist - AI Foundations, Specialist Models</t>
        </is>
      </c>
      <c r="C136" t="inlineStr">
        <is>
          <t>Information Technology Senior Management Forum</t>
        </is>
      </c>
      <c r="D136" t="inlineStr">
        <is>
          <t>indeed</t>
        </is>
      </c>
      <c r="E136">
        <f>HYPERLINK("https://www.indeed.com/viewjob?jk=e15f428fdca0ed69", "https://www.indeed.com/viewjob?jk=e15f428fdca0ed69")</f>
        <v/>
      </c>
      <c r="F136">
        <f>HYPERLINK("https://jobs.itsmfleaders.org/job/s8vvm7/senior-data-scientist-ai-foundations-specialist-models/new-york/ny", "https://jobs.itsmfleaders.org/job/s8vvm7/senior-data-scientist-ai-foundations-specialist-models/new-york/ny")</f>
        <v/>
      </c>
      <c r="G136" t="inlineStr">
        <is>
          <t>New York, NY, US</t>
        </is>
      </c>
      <c r="H136" s="3" t="n">
        <v>46041</v>
      </c>
      <c r="I136" t="inlineStr">
        <is>
          <t>Posted Date
1/20/2026
Description
Senior Data Scientist \- AI Foundations, Specialist Models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builds and ships state of the art machine learning solutions to support data lifecycle within the enterprise. We partner with product, tech and design teams to deliver personalized experiences to our data and platform users to drive productivity and innovation. You will be the driving force to experiment, innovate and create next generation experiences powered by the latest emerging ML technologies.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 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Scientist \- AI Foundations, Specialist Models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builds and ships state of the art machine learning solutions to support data lifecycle within the enterprise. We partner with product, tech and design teams to deliver personalized experiences to our data and platform users to drive productivity and innovation. You will be the driving force to experiment, innovate and create next generation experiences powered by the latest emerging ML technologies.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 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135,600\.00 \- 154,800\.00 Annual
Type
Full\-time</t>
        </is>
      </c>
    </row>
    <row r="137">
      <c r="A137" t="inlineStr">
        <is>
          <t>in-7b2a7095a94f0144</t>
        </is>
      </c>
      <c r="B137" t="inlineStr">
        <is>
          <t>Principal Data Scientist - AI Foundations, Specialist Models</t>
        </is>
      </c>
      <c r="C137" t="inlineStr">
        <is>
          <t>Information Technology Senior Management Forum</t>
        </is>
      </c>
      <c r="D137" t="inlineStr">
        <is>
          <t>indeed</t>
        </is>
      </c>
      <c r="E137">
        <f>HYPERLINK("https://www.indeed.com/viewjob?jk=7b2a7095a94f0144", "https://www.indeed.com/viewjob?jk=7b2a7095a94f0144")</f>
        <v/>
      </c>
      <c r="F137">
        <f>HYPERLINK("https://jobs.itsmfleaders.org/job/q72275/principal-data-scientist-ai-foundations-specialist-models/new-york/ny", "https://jobs.itsmfleaders.org/job/q72275/principal-data-scientist-ai-foundations-specialist-models/new-york/ny")</f>
        <v/>
      </c>
      <c r="G137" t="inlineStr">
        <is>
          <t>New York, NY, US</t>
        </is>
      </c>
      <c r="H137" s="3" t="n">
        <v>46041</v>
      </c>
      <c r="I137" t="inlineStr">
        <is>
          <t>Posted Date
1/20/2026
Description
Principal Data Scientist \- AI Foundations, Specialist Models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builds and ships state of the art machine learning solutions to support data lifecycle within the enterprise. We partner with product, tech and design teams to deliver personalized experiences to our data and platform users to drive productivity and innovation. You will be the driving force to experiment, innovate and create next generation experiences powered by the latest emerging ML technologies.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 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Data Scientist \- AI Foundations, Specialist Models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builds and ships state of the art machine learning solutions to support data lifecycle within the enterprise. We partner with product, tech and design teams to deliver personalized experiences to our data and platform users to drive productivity and innovation. You will be the driving force to experiment, innovate and create next generation experiences powered by the latest emerging ML technologies.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 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38">
      <c r="A138" t="inlineStr">
        <is>
          <t>in-a0a9975410079977</t>
        </is>
      </c>
      <c r="B138" t="inlineStr">
        <is>
          <t>Lead Data Scientist</t>
        </is>
      </c>
      <c r="C138" t="inlineStr">
        <is>
          <t>Humana</t>
        </is>
      </c>
      <c r="D138" t="inlineStr">
        <is>
          <t>indeed</t>
        </is>
      </c>
      <c r="E138">
        <f>HYPERLINK("https://www.indeed.com/viewjob?jk=a0a9975410079977", "https://www.indeed.com/viewjob?jk=a0a9975410079977")</f>
        <v/>
      </c>
      <c r="F138">
        <f>HYPERLINK("https://click.appcast.io/t/ntn7nFyKQ0KnXtfi_qmM8ZUwzWlxnGgcQJx76UuPSpU=", "https://click.appcast.io/t/ntn7nFyKQ0KnXtfi_qmM8ZUwzWlxnGgcQJx76UuPSpU=")</f>
        <v/>
      </c>
      <c r="G138" t="inlineStr">
        <is>
          <t>Remote, US</t>
        </is>
      </c>
      <c r="H138" s="3" t="n">
        <v>46041</v>
      </c>
      <c r="I138" t="inlineStr">
        <is>
          <t>**Become a part of our caring community and help us put health first**
======================================================================
Humana is a Fortune 60 market leader in integrated healthcare whose dream is to help people achieve lifelong well\-being. As a company focused on the health and well\-being of the people we serve, Humana starts from within and is committed to providing progressive benefits that advance the employment experience and vitality of the associate community. Through offerings anchored in a whole\-person view of human well\-being, Humana embraces a focus on stimulating positive individual and population changes while nurturing a sense of security, enabling people to live life fully and be their most productive.
Against that backdrop Humana is building a best\-in\-class Enterprise Marketing organization to drive profitable membership growth across diverse business lines. Marketing Analytics is a part of Humana’s Consumer Data, Insights, and Analytics department within Enterprise Marketing, supporting marketing initiatives with actionable data and insights across the full consumer lifecycle. We champion a holistic marketing measurement strategy to ensure campaign results are measured with a consistent approach throughout all touchpoints of the consumer funnel. We are seeking a talented data professional to join our team as a Lead Data Scientist.
As the Lead Data Science, you will be responsible for strategy, execution, and adoption of data\-driven solutions to support and optimize marketing decisions for the Onboarding, Loyalty, or Retention marketing teams. You will be a highly visible and impactful resource and will oversee the analytics team efforts to provide data science and analytical solutions with the objective of optimizing performance across digital and non\-digital channels. This position requires you to have an in depth understanding of lifecycle customer marketing analytics.
**Key Role Functions**
* **Strategic Consulting/Partnership:** Partner with marketing teams to identify and size marketing opportunities, identify dependencies (i.e., data, timing, regulatory, media, etc.) and make recommendations for marketing approaches to support business goals.
* **Test Design and Analysis****:** responsible for valid test design, appropriate sample sizing and setup to ensure results are statistically significant and insights are generated. Responsible for advocating and building the discipline for continual testing, measurement, and iteration.
* **Campaign analysis and reporting****:** Responsible for post\-campaign analysis, including media performance (both actuals and to goal), consumer/audience performance and trends, consumer profiles, patient appointment analysis and trends, omni\-channel analysis (online to offline, offline to online, optimal pathway, etc.). Responsible for providing requirements to BI team to build reports into production environment. Responsible for providing recommendations for future testing and roll\-out opportunities. Will partner with marketing to share insights.
* **Advanced Analytics****:** Responsible for defining and executing on the marketing analytics roadmap. Responsible for identifying the opportunity for advanced analytics (i.e., predictive models for targeting, segmentation solutions, cross\-sell models, etc.) and working with analytics partners to develop the solution, ensuring models are stable, actionable, valid and risk compliant.
**Use your skills to make an impact**
=====================================
**Required Qualifications**
* Bachelor’s degree or higher in an analytical discipline such as statistics, mathematics, engineering, or related field
* Advanced experience in multiple marketing strategies such as omni\-channel marketing measurement, targeting, attribution, forecasting, and experimental test design
* Proficiency in statistical analysis tools and programming languages (e.g., Python, R, SQL)
* 7\+ years of analytics in a fast\-paced environment
* Experience with managing multiple projects and deadlines across teams in a large, highly matrixed company
* Experience in managing change by leading and energizing others, modeling adaptability, and inspiring strong organizational performance through periods of transformation, ambiguity, and complexity
* Excellent oral and written communications skills, including the polish, poise, and executive presence that will ensure effective interaction with senior and executive level audiences
* Highly collaborative mindset and excellent relationship\-building skills, including the ability to engage many diverse stakeholders and SMEs and win their co\-ownership in the outcome
* Experience gathering requirements for BI/reporting automation
* May require travel up to twice a year
**Preferred Qualifications**
* Master’s degree in economics or mathematics
**Additional Information**
To ensure Home or Hybrid Home/Office employees’ ability to work effectively, the self\-provided internet service of Home or Hybrid Home/Office employees must meet the following criteria:
* At minimum, a download speed of 25 Mbps and an upload speed of 10 Mbps is recommended; wireless, wired cable or DSL connection is suggested
*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Our Hiring Process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01\-23\-2026**About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9">
      <c r="A139" t="inlineStr">
        <is>
          <t>in-eda1dc327e4743ca</t>
        </is>
      </c>
      <c r="B139" t="inlineStr">
        <is>
          <t>Data Scientist</t>
        </is>
      </c>
      <c r="C139" t="inlineStr">
        <is>
          <t>Solventum</t>
        </is>
      </c>
      <c r="D139" t="inlineStr">
        <is>
          <t>indeed</t>
        </is>
      </c>
      <c r="E139">
        <f>HYPERLINK("https://www.indeed.com/viewjob?jk=eda1dc327e4743ca", "https://www.indeed.com/viewjob?jk=eda1dc327e4743ca")</f>
        <v/>
      </c>
      <c r="F139">
        <f>HYPERLINK("https://click.appcast.io/t/YhEFeg5STRxXHzipC-evmX4IUZcyQq3sQCWIpl54_pA=", "https://click.appcast.io/t/YhEFeg5STRxXHzipC-evmX4IUZcyQq3sQCWIpl54_pA=")</f>
        <v/>
      </c>
      <c r="G139" t="inlineStr">
        <is>
          <t>Eden Prairie, MN, US</t>
        </is>
      </c>
      <c r="H139" s="3" t="n">
        <v>46041</v>
      </c>
      <c r="I139"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veteran.**Job Description:**
**Job Title** **Data Scientist – Medical document analysis**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***Data Scientist specializing in medical document analysis****, you will work at the forefront of healthcare NLP. You will design, implement, and evaluate advanced natural language understanding (NLU) systems that interpret complex clinical text and support data\-driven medical decision making. This includes developing models grounded in* ***transformers, generative AI****, and research\-oriented neural architectures.*
*You will collaborate closely with clinical domain experts, fellow data scientists, ML engineers, and product teams to bring research prototypes into production systems. You will explore new modeling approaches, optimize training pipelines, and contribute to the long\-term direction of Solventum’s deep learning portfolio.*
As an **Data Scientist** you will have the opportunity to tap into your curiosity and collaborate with some of the most innovative and diverse people around the world. Here, you will make an impact by:
**How you will make an impact**
* **Scoping and designing NLP/NLU applications** that support clinical understanding of medical documents and downstream healthcare workflows.
* **Translating business and clinical requirements into mathematical and experimental criteria**, ensuring models are measurable, reliable, and auditable.
* **Processing, aligning, and enriching diverse structured and unstructured medical datasets** for deep learning, LLMs, and agentic AI systems.
* **Developing and evaluating deep learning models**, including transformer\-based architectures and **neural architectures such as CNNs and attention mechanisms for capturing linguistic patterns in clinical text**.
* **Understanding and mitigating model weaknesses**, including bias, drift, hallucination behavior, and robustness concerns.
* **Designing experiments and error analyses** that explain model behavior and enable clear communication with both technical and non\-technical audiences.
* **Deploying models into Solventum’s cloud environment**, partnering with ML engineering to ensure reliability, observability, and compliance within regulated healthcare systems.
* **Staying current with emerging research in NLP/LLMs**, evaluating new methods and identifying opportunities to advance Solventum’s deep learning initiatives.
**Your Skills and Expertise**
To set you up for success in this role from day one, Solventum requires (at a minimum) the following qualifications:
* Master's degree or PhD in computer science, mathematics, or related fields or Bachelor’s degree with at least 5 years of IT experience
* Solid experience in Python especially in deep learning for text analysis and libraries such as PyTorch and Transformers
* Solid grasp of statistics and exploratory data analysis
* US citizenship or permanent resident required
Additional qualifications that could help you succeed even further in this role include:
* Experience conducting **research\-driven NLP/NLU** work involving representation learning, attention mechanisms, or hybrid neural architectures.
* Ability to self\-organize across multiple technical and business contexts, communicating complex findings with clarity and confidence.
* Experience extracting insights from complex clinical datasets and presenting those insights to varied audiences.
* Familiarity with **AWS, GitHub, CI/CD**, and scalable ML deployment practices.
* Hands\-on experience with **LLMs**, prompting, fine\-tuning, or **agentic AI frameworks**.
* Experience with **ETL of large\-scale text** using tools such as PySpark, Spark NLP, or distributed data frameworks.
* Exposure to clinical coding systems or medical terminologies (e.g., ICD, CPT, SNOMED) is a plus.
**Work location:**
* **Remote**
**Relocation Assistance: Not authorized**
**Must be legally authorized to work in country of employment without sponsorship for employment visa status (e.g., H1B status).**
**Supporting Your Well\-being**
Solventum offers many programs to help you live your best life – both physically and financially. To ensure competitive pay and benefits, Solventum regularly benchmarks with other companies that are comparable in size and scope.
Onboarding Requirement: To improve the onboarding experience, you will have an opportunity to meet with your manager and other new employees as part of the Solventum new employee orientation. As a result, new employees hired for this position will be required to travel to a designated company location for on\-site onboarding during their initial days of employment. Travel arrangements and related expenses will be coordinated and paid for by the company in accordance with its travel policy. Applies to new hires with a start date of October 1st 2025 or later.
Applicable to US Applicants Only:The expected compensation range for this position is $106,000 \- $145,750,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https://www.solventum.com/en\-us/home/our\-company/careers/\#Total\-Rewards
Responsibilities of this position include that corporate policies, procedures and security standards are complied with while performing assigned duties.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Be wary of unsolicited emails or messages regarding Solventum job opportunities from emails with other email domains.
Please note, Solventum does not expect candidates in this position to perform work in the unincorporated areas of Los Angeles County.
Solventum is an equal opportunity employer. Solventum will not discriminate against any applicant for employment on the basis of race, color, religion, sex, sexual orientation, gender identity, national origin, age, disability, or veteran status.**Please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job at Solventum are conditioned on your acceptance and compliance with these terms.
Please access the linked document. Before submitting your application you will be asked to confirm your agreement with the  
terms.</t>
        </is>
      </c>
    </row>
    <row r="140">
      <c r="A140" t="inlineStr">
        <is>
          <t>in-1fba899090626bbb</t>
        </is>
      </c>
      <c r="B140" t="inlineStr">
        <is>
          <t>Data Scientist, Handshake AI</t>
        </is>
      </c>
      <c r="C140" t="inlineStr">
        <is>
          <t>Handshake</t>
        </is>
      </c>
      <c r="D140" t="inlineStr">
        <is>
          <t>indeed</t>
        </is>
      </c>
      <c r="E140">
        <f>HYPERLINK("https://www.indeed.com/viewjob?jk=1fba899090626bbb", "https://www.indeed.com/viewjob?jk=1fba899090626bbb")</f>
        <v/>
      </c>
      <c r="F140">
        <f>HYPERLINK("https://jobs.ashbyhq.com/handshake/14506864-f7c4-41ed-956c-908230321b07?utm_source=WwjMVx9ppK", "https://jobs.ashbyhq.com/handshake/14506864-f7c4-41ed-956c-908230321b07?utm_source=WwjMVx9ppK")</f>
        <v/>
      </c>
      <c r="G140" t="inlineStr">
        <is>
          <t>San Francisco, CA, US</t>
        </is>
      </c>
      <c r="H140" s="3" t="n">
        <v>46041</v>
      </c>
      <c r="I140" t="inlineStr">
        <is>
          <t>**About Handshake AI**
**Handshake** is building the career network for the AI economy. Our three\-sided marketplace connects 18 million students and alumni, 1,500\+ academic institutions across the U.S. and Europe, and 1 million employers to power how the next generation explores careers, builds skills, and gets hired.
**Handshake AI** is a human data labeling business that leverages the scale of the largest early career network.We work directly with the world’s leading AI research labs to build a new generation of human data products. From PhDs in physics to undergrads fluent in LLMs, Handshake AI is the trusted partner for domain\-specific data and evaluation at scale.
This is a unique opportunity to join a fast\-growing team shaping the future of AI through better data, better tools, and better systems—for experts, by experts.
Now’s a great time to join Handshake. Here’s why:
* **Leading the AI Career Revolution:** Be part of the team redefining work in the AI economy for millions worldwide.
* **Proven Market Demand:** Deep employer partnerships across Fortune 500s and the world’s leading AI research labs.
* **World\-Class Team:** Leadership from Scale AI, Meta, xAI, Notion, Coinbase, and Palantir, just to name a few.
**Capitalized \&amp; Scaling:** $3\.5B valuation from top investors including Kleiner Perkins, True Ventures, Notable Capital, and more.
**About the Role**
------------------
We’re looking for a highly motivated Data Scientist with strong SQL expertise to support analytics, measurement, and operational insights across our human data training workflows. You’ll work with messy, fast\-moving data tied to expert performance, task quality, throughput, and model outcomes.
This is a hands\-on role with real ownership, exposure to frontier AI work, and a steep growth curve for people who execute well.
**What You’ll Do**
------------------
* Write advanced SQL to analyze large, complex datasets related to expert performance, task quality, and AI training workflows.
* Build and maintain core metrics that track data quality, throughput, and operational efficiency.
* Partner with product, operations, and AI stakeholders to answer high\-impact questions.
* Support experimentation and analysis that improves task design, data quality, and model outcomes.
* Create dashboards and reporting that drive fast, informed decision\-making.
* Identify data gaps or quality issues and work cross\-functionally to resolve them.
* Take ambiguous problems and drive them to clear, actionable conclusions.
**Desired Capabilities**
------------------------
* **3–5 years of professional experience as a Data Scientist**, with a strong track record of applying data to drive product or business decisions.
* Expert\-level SQL skills
* Python experience for data analysis (e.g., pandas, notebooks).
* Strong analytical instincts and comfort working with imperfect, real\-world data.
* High ownership mindset and willingness to grind through complex problems.
* Ability to operate independently and deliver under tight timelines.
* Clear communication and comfort working cross\-functionally.
**Extra Credit**
----------------
* Experience with experimentation or metrics\-driven development.
* Exposure to AI/ML workflows, data labeling, or model evaluation.
**Perks**
---------
* Handshake delivers benefits that help you feel supported—and thrive at work and in life.
***The below benefits are for full\-time US employees.***
**Ownership:** Equity in a fast\-growing company
**Financial Wellness**: 401(k) match, competitive compensation, financial coaching
**Family Support:** Paid parental leave, fertility benefits, parental coaching
**Wellbeing:** Medical, dental, and vision, mental health support, wellness stipend
**Growth:** Learning stipend, ongoing development
**Remote \&amp; Office:** Internet, commuting, and free lunch/gym in our SF office
**Time Off:** Flexible PTO, 15 holidays \+ 2 flex days
**Connection:** Team outings \&amp; referral bonuses
Explore our mission, values, and comprehensive US benefits at joinhandshake.com/careers.
Compensation Range: $160K \- $200K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li-4364913122</t>
        </is>
      </c>
      <c r="B2" t="inlineStr">
        <is>
          <t>Data Scientist</t>
        </is>
      </c>
      <c r="C2" t="inlineStr">
        <is>
          <t>Airbnb</t>
        </is>
      </c>
      <c r="D2" t="inlineStr">
        <is>
          <t>linkedin</t>
        </is>
      </c>
      <c r="E2" t="inlineStr"/>
      <c r="F2" t="inlineStr"/>
      <c r="G2" t="inlineStr"/>
      <c r="H2" t="inlineStr"/>
      <c r="I2" t="inlineStr">
        <is>
          <t>**About The Company**
 Airbnb was founded in 2007 when two hosts welcomed three guests to their San Francisco home. Since then, the company has experienced exponential growth and now boasts over 5 million hosts worldwide, welcoming more than 2 billion guest arrivals across nearly every country on the planet. Airbnb's platform offers unique stays and experiences, enabling guests to connect with local communities in an authentic manner. The company's mission is to create a world where anyone can belong anywhere, fostering a sense of community, belonging, and shared experiences through innovative technology and personalized hospitality.
**About The Role**
 We are seeking a highly skilled and experienced Data Scientist to join our Listing Understanding Data Science team. In this role, you will be at the forefront of leveraging computer vision and multimodal data to enhance the understanding of listings, thereby improving the overall guest and host experience. You will work cross\-functionally with product, engineering, and design teams to develop and execute a strategic roadmap for integrating advanced visual understanding into our platform. Your expertise will drive innovations in how photos are utilized to assess listing quality, influence search and booking behaviors, and deliver personalized experiences. This is a hands\-on role requiring proficiency in prototyping, evaluating, and deploying machine learning models, along with a strong focus on causal impact measurement to ensure our technological solutions deliver measurable business value.
**Qualifications**
* 9\+ years of industry experience in applied Machine Learning, with a focus on Computer Vision
* Experience with CLIP, ViT, and other state\-of\-the\-art CV models
* Expertise in causal inference, preferably within marketplace or platform environments
* Advanced degree in Computer Science, Statistics, Econometrics, or a related field
* Proficiency in programming languages such as Python or R for data analysis
* Familiarity with SQL and developing proof\-of\-concept prototypes
* Deep understanding of machine learning best practices, including feature engineering, model selection, and A/B testing
* Strong communication skills, capable of collaborating effectively with cross\-functional teams
* Passion for AI, continuous learning, and exploring emerging technologies like large language models and dynamic systems
* Proven ability to work independently and succeed in collaborative environments
* Engagement with the technical community is a plus
**Responsibilities**
* Develop and prioritize a strategic roadmap for investments in computer vision and multimodal listing understanding
* Leverage visual and structured data to build, refine, and deploy models that enhance listing comprehension
* Build causal models to analyze how photos influence guest search behavior, bookings, and trip quality
* Prototype, evaluate, and iterate machine learning features in collaboration with engineering, product, and design teams
* Design and implement assessment frameworks to ensure the safety, effectiveness, and fairness of CV and multimodal models
* Measure and communicate the business impact of technological solutions through experimentation and causal analysis
* Stay current with advancements in machine learning, computer vision, and related fields, integrating new ideas into product development
* Collaborate with cross\-disciplinary teams to align technical solutions with business goals and user needs
**Benefits**
* Competitive salary and performance\-based bonuses
* Stock options and equity grants
* Comprehensive health, dental, and vision insurance plans
* Flexible work hours and remote work opportunities
* Generous paid time off and holidays
* Learning and development programs, including training and conferences
* Employee wellness programs and resources
* Travel credits and other perks to support work\-life balance
 Equal Opportunity
 Airbnb is committed to fostering an inclusive environment and is proud to be an equal opportunity employer. We welcome applicants from diverse backgrounds and do not discriminate based on race, ethnicity, gender, sexual orientation, age, disability, or any other protected characteristic. All qualified individuals are encouraged to apply. We also provide reasonable accommodations during the application and interview process for candidates with disabilities.</t>
        </is>
      </c>
    </row>
    <row r="3">
      <c r="A3" t="inlineStr">
        <is>
          <t>li-4360965773</t>
        </is>
      </c>
      <c r="B3" t="inlineStr">
        <is>
          <t>Data Scientist - NYC</t>
        </is>
      </c>
      <c r="C3" t="inlineStr">
        <is>
          <t>Embakire Workforce</t>
        </is>
      </c>
      <c r="D3" t="inlineStr">
        <is>
          <t>linkedin</t>
        </is>
      </c>
      <c r="E3" t="inlineStr"/>
      <c r="F3" t="inlineStr"/>
      <c r="G3" t="inlineStr">
        <is>
          <t>New York, NY</t>
        </is>
      </c>
      <c r="H3" t="inlineStr"/>
      <c r="I3" t="inlineStr">
        <is>
          <t>**Job Description**
 A fast\-growing, product\-led technology company operating in the SaaS/consumer digital products sector, focused on data\-driven product development and growth. The role sits within a cross\-functional product organization that uses experimentation and advanced analytics to shape roadmap and improve user engagement, monetization, and retention.
**Primary standardized title:** 
 Product Data Scientist (On\-site, NYC)
 Role \&amp; Responsibilities
* Design, run, and analyze product experiments (A/B tests) end\-to\-end to measure feature impact and inform prioritization.
* Partner closely with product managers and engineers to translate product questions into measurable hypotheses, metrics, and instrumentation plans.
* Build and maintain product analytics pipelines and dashboards to track acquisition, activation, engagement, and retention funnels.
* Apply causal inference and statistical methods to estimate treatment effects, guard against bias, and ensure experiment reliability.
* Develop predictive and segmentation models to identify high\-value user cohorts and inform personalization strategies.
* Communicate results and recommendations clearly to non\-technical stakeholders; influence roadmap with data\-backed insights.
**Skills \&amp; Qualifications**
 Must\-Have
* Python
* SQL
* A/B testing
* Experiment design
* Causal inference
* Product analytics
**Preferred**
* BigQuery
* Looker
* Snowflake
**Qualifications**
* Bachelor's or advanced degree in Statistics, Computer Science, Economics, Mathematics, or related quantitative field (or equivalent practical experience).
* Proven experience in product analytics or data science roles supporting product teams—comfortable owning experiments, metrics, and end\-to\-end analysis.
* On\-site in New York City (this role requires presence in the NYC office).
* Strong ability to translate complex analysis into concise, stakeholder\-facing recommendations and to partner with PMs and engineers on rollout and instrumentation.
 Benefits \&amp; Culture Highlights
* Collaborative, product\-focused environment where data\-driven recommendations directly shape product roadmap.
* Opportunity to work on high\-impact experiments and analytics at scale in an on\-site NYC team.
 This Product Data Scientist role is ideal for analytically rigorous candidates who enjoy designing experiments, building product metrics, and partnering with product and engineering teams to drive measurable user and business outcomes. The position is on\-site in New York City and emphasizes experimentation, causal inference, and product\-first analytics.
 Skills: experiment design,a/b testing,python,sql,causal inference</t>
        </is>
      </c>
    </row>
    <row r="4">
      <c r="A4" t="inlineStr">
        <is>
          <t>li-4364891421</t>
        </is>
      </c>
      <c r="B4" t="inlineStr">
        <is>
          <t>Data Scientist</t>
        </is>
      </c>
      <c r="C4" t="inlineStr">
        <is>
          <t>Target</t>
        </is>
      </c>
      <c r="D4" t="inlineStr">
        <is>
          <t>linkedin</t>
        </is>
      </c>
      <c r="E4" t="inlineStr"/>
      <c r="F4" t="inlineStr"/>
      <c r="G4" t="inlineStr"/>
      <c r="H4" t="inlineStr"/>
      <c r="I4" t="inlineStr">
        <is>
          <t>**About The Company**
 Join Target, a leading retail company dedicated to helping families discover the joy of everyday life. At Target, we are committed to creating a positive impact through our values and culture, fostering an environment of innovation, inclusivity, and excellence. Our mission is to deliver exceptional value and quality to our guests while maintaining a focus on sustainability and community engagement. With a strong presence across the retail landscape, Target continuously strives to enhance the shopping experience through innovative solutions and a customer\-centric approach.
**About The Role**
 We are seeking a highly skilled Lead Data Scientist to join our Last Mile Operations Design team. In this role, you will play a pivotal part in accelerating omni\-channel experimentation and fostering a culture of continuous innovation at Target. Your primary focus will be on leveraging data science to improve the guest and carrier/courier experience, optimize supply chain operations, and drive strategic decision\-making. This position offers an exciting opportunity to lead the development of advanced predictive and prescriptive algorithms that automate and enhance decision processes at scale. As a key member of our team, you will collaborate with cross\-functional partners, including Product, Business Operations, and Engineering, to translate complex data insights into actionable strategies, ultimately impacting business performance and customer satisfaction.
**Qualifications**
* PhD or MS degree in Operations Research, Industrial Engineering, Computer Science, Mathematics, Statistics, Physics, or a related quantitative field
* Minimum of 5 years of experience leading large\-scale implementations of supply chain optimization, simulation, and machine learning modeling
* Proficiency in programming languages such as Python, R, Kotlin, or Java
* Experience deploying algorithms in production environments with highly performant code
* Strong understanding of predictive and prescriptive analytics, including ML Ops practices
* Experience working with large, event\-driven distributed systems and multi\-threaded applications
* Proficiency in SQL, Hive, or similar data querying and data management tools
* Experience designing and building internal or production data tools for research or experimentation
* Expertise in advanced statistical techniques such as regression, clustering, PCA, and time series forecasting
* Exceptional communication skills, with the ability to present data\-driven insights through visualizations and narratives
* Self\-motivated, results\-oriented, and capable of working under tight deadlines
* Strong collaboration skills and ability to partner effectively across geographically dispersed teams
**Responsibilities**
* Serve as an advocate for a data\-driven culture across Product, Business Operations, and Engineering teams to maximize the use of insights for impactful initiatives
* Develop and implement solutions to complex business problems using data analysis, mining, forecasting, optimization, and machine learning techniques
* Formulate clear problem statements, synthesize analysis results, and communicate findings compellingly to stakeholders
* Analyze ecosystem data, collaborate with product managers to design in\-product experiments, and analyze results to inform strategic decisions
* Partner with Product Owners and business partners to identify gaps, define KPIs, and accelerate analytics maturity in key product areas
* Define data collection strategies for measuring success of new features or strategies, ensuring proper tracking and instrumentation
* Optimize queries on large datasets to support operations research, business stakeholders, and other analytical needs
* Design and develop self\-service dashboards using advanced visualization techniques to derive actionable insights
* Promote data democratization by delivering accessible tools and insights to enable faster, better decision\-making across teams
* Stay current with industry best practices and continuously improve analytical models and processes
* Perform other duties as assigned to support business objectives and operational excellence
**Benefits**
* Competitive salary and performance\-based incentives
* Comprehensive health insurance including medical, dental, and vision coverage
* Retirement savings plans with company match
* Flexible work arrangements, including hybrid and remote options
* Paid time off and holiday leave
* Opportunities for professional development and continuous learning
* Inclusive and collaborative work environment
* Employee discounts and wellness programs
 Equal Opportunity
 Target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in fostering a workplace that respects and values individual differences, and we are dedicated to providing equal employment opportunities across all our locations and teams.</t>
        </is>
      </c>
    </row>
    <row r="5">
      <c r="A5" t="inlineStr">
        <is>
          <t>li-4320766131</t>
        </is>
      </c>
      <c r="B5" t="inlineStr">
        <is>
          <t>Data Scientist</t>
        </is>
      </c>
      <c r="C5" t="inlineStr">
        <is>
          <t>Toyota North America</t>
        </is>
      </c>
      <c r="D5" t="inlineStr">
        <is>
          <t>linkedin</t>
        </is>
      </c>
      <c r="E5" t="inlineStr"/>
      <c r="F5" t="inlineStr"/>
      <c r="G5" t="inlineStr">
        <is>
          <t>Plano, TX</t>
        </is>
      </c>
      <c r="H5" t="inlineStr"/>
      <c r="I5"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 Work closely with team members and business partners to identify and prioritize key questions and drive impactful data\-based decisions.
* Extract, manipulate, and clean data from diverse sources using SQL and Python, preparing it for detailed analysis and model development.
* Develop and implement sophisticated predictive and prescriptive models using statistical and machine learning techniques. Ensure these models address key business challenges and deliver actionable insights.
* Create clear, compelling data visualizations to effectively communicate findings to both technical and non\-technical stakeholders.
* Effectively and efficiently transition models from development to production within the organization’s existing cloud ecosystem.
* Participate actively in project planning and prioritization sessions to ensure data initiatives align with business goals.
* Stay updated with the latest industry trends and tools and integrate this knowledge to improve methodologies and solutions.
**What You Bring**
* Master’s degree or higher in a relevant analytical field.
* Hands\-on experience building and optimizing data solutions using Python.
* Experience solving problems using a variety of statistical and machine learning techniques.
* Hands\-on experience using statistical or machine learning frameworks to solve a variety of real\-world problems (e.g., statsmodels, scikit\-learn, PyTorch).
* Knowledge of methods like Logistic Regression, Time Series Analysis, GLMs, Mixed Modeling, Multivariate Statistics, Predictive Modeling, Decision Trees, Gradient\-Boosted Trees, Random Forests, and Neural Networks.
* Experience with identifying problems and developing innovative solutions.
* Experience working in a data science role outside of a degree\-seeking academic program.
**Added bonus if you have**
* Experience with version control systems such as GitHub, and familiarity with CI/CD practices to streamline model deployment and code management.
* Hands\-on experience with cloud\-based machine learning platforms (e.g., AWS SageMaker or Azure ML) to leverage scalable computing resources and tools.
* Demonstrated ability to lead through influence, effectively navigating and prioritizing complex cross\-departmental projects to drive impactful change.
* Capability to replace and bridge existing legacy infrastructure and processes.
* Experience working with Data Science outside of a degree\-seeking program.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6">
      <c r="A6" t="inlineStr">
        <is>
          <t>li-4364691665</t>
        </is>
      </c>
      <c r="B6" t="inlineStr">
        <is>
          <t>Data Scientist</t>
        </is>
      </c>
      <c r="C6" t="inlineStr">
        <is>
          <t>Raptive</t>
        </is>
      </c>
      <c r="D6" t="inlineStr">
        <is>
          <t>linkedin</t>
        </is>
      </c>
      <c r="E6" t="inlineStr"/>
      <c r="F6" t="inlineStr"/>
      <c r="G6" t="inlineStr"/>
      <c r="H6" t="inlineStr"/>
      <c r="I6" t="inlineStr">
        <is>
          <t>Raptive is seeking a Data Scientist to join our RevOps Data Science team. Your mission is to leverage our vast data set to surface meaningful insights that drive decision\-making across the business. Given the broad scope of this effort, the ideal candidate will be driven by understanding and improving work processes and developing solutions that potentially use a wide variety of technologies.
 As a Data Scientist, you will be responsible for helping to derive meaningful insights from large amounts of data, building metrics, finding answers, and creating dependable, repeatable solutions.
 Applicants must be authorized to work for any employer in the U.S. We are unable to sponsor or take over sponsorship of an employment Visa at this time.
**What you’ll be doing:** 
* Design and analyze experiments to improve revenue
* Classify audience and content to support programmatic direct and indirect sales
* Deliver evolutionary floor price guidance
* Visualize complex systems
* Build deep understanding of data generating processes
**The skills and experience you bring to the job:** 
* Graduate degree or equivalent in Statistics, Industrial Systems Engineering, or comparable field
* Familiarity with real\-time advertising markets
* Familiarity with processing large data sets (eg with Snowflake, Hive, Presto or BigQuery), scripting (eg Bash or Python), the AWS environment, \&amp; statistical software (eg NumPy, scikit\-learn, R)
* Familiarity with cutting edge classification and regression libraries (eg TensorFlow, Keras, Pytorch) and algorithms eg (XGBoost, Convolutional NN, etc)
* Familiarity with deploying, scaling, and maintaining data science models in production environments, including experience with cloud platforms, containerization, orchestration, or related tools.
**About Raptive** 
 Raptive is a new kind of media company built for creators and home to one of the largest and most diverse audiences on the internet. Raptive combines its position as the world’s largest ad management platform with a comprehensive suite of monetization, audience and business solutions that enable creators to turn their passions and talents into thriving independent companies and enduring brands. We stand for the future of a diverse, open internet powered by the creativity and entrepreneurship of the independent creators and publishers it serves. To date, Raptive has paid over $2\.5 billion to thousands of independent creators. Join us in creating a more equitable and inclusive future for media. Raptive was recognized as a Fortune 100 Best Places To Work for 2024\-2025
 The base salary range for this position is $100,000\-$150,000\. The range provided is Raptive’s reasonable estimate of the annualized base compensation for this role. The actual amount may be higher or lower, based on non\-discriminatory factors such as experience, geographic location, knowledge, skills and abilities. This role is eligible for additional incentive compensation that isn’t included in the posted range.
 For more information, visit www.Raptive.com or follow us on LinkedIn or Instagram
*Raptive is committed to diversity, equity, and inclusion. We believe we are most impactful when people with a wide range of backgrounds, experiences, and identities come together with a common purpose. We encourage candidates from all backgrounds to apply. Raptive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is>
      </c>
    </row>
    <row r="7">
      <c r="A7" t="inlineStr">
        <is>
          <t>li-4329702092</t>
        </is>
      </c>
      <c r="B7" t="inlineStr">
        <is>
          <t>Data Scientist</t>
        </is>
      </c>
      <c r="C7" t="inlineStr">
        <is>
          <t>Dropbox</t>
        </is>
      </c>
      <c r="D7" t="inlineStr">
        <is>
          <t>linkedin</t>
        </is>
      </c>
      <c r="E7" t="inlineStr"/>
      <c r="F7" t="inlineStr"/>
      <c r="G7" t="inlineStr"/>
      <c r="H7" t="inlineStr"/>
      <c r="I7"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**Role Description**
 We're looking for a Data Scientist to partner with product, engineering, and design teams to answer key questions about how to grow revenue, optimize product, scale and monetize the business, and launch high\-impact initiatives. We solve challenging problems and boost business growth through a deep understanding of user behaviors with applied analytics techniques and business insights. An ideal candidate should have robust knowledge of consumer lifecycle and behavior analysis, customer segmentation, digital campaigns, monetization analytics and business operations for a SaaS company.
**Responsibilities**
* Develop a deep understanding of customer journey phases and key business metrics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Extract actionable insights through analyzing large, complex, multi\-dimensional customer behavior data sets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3\-5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and large unstructured datasets such as Hadoop
* Deep understanding of statistical analysis, experimentation design, and common analytical techniques like regression, decision trees
* Solid background in running multivariate experiments to optimize a product or revenue flow
* Strong verbal and written communication skills
* Proficiency in programming/scripting and knowledge of statistical packages like R or Python is a plus
**Preferred Qualifications**
* Product analytics experience in a SAAS company
* Masters’ or above in a quantitative discipline: Statistics, Applied Mathematics, Economics, Computer Science, Engineering, or related field
**Compensation**
 US Zone 1
 This role is not available in Zone 1
 US Zone 2
 $149,200—$201,800 USD
 US Zone 3
 $132,600—$179,400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8">
      <c r="A8" t="inlineStr">
        <is>
          <t>li-4361971113</t>
        </is>
      </c>
      <c r="B8" t="inlineStr">
        <is>
          <t>Data Scientist</t>
        </is>
      </c>
      <c r="C8" t="inlineStr">
        <is>
          <t>Smith Arnold Partners</t>
        </is>
      </c>
      <c r="D8" t="inlineStr">
        <is>
          <t>linkedin</t>
        </is>
      </c>
      <c r="E8" t="inlineStr"/>
      <c r="F8" t="inlineStr"/>
      <c r="G8" t="inlineStr"/>
      <c r="H8" t="inlineStr"/>
      <c r="I8" t="inlineStr">
        <is>
          <t>The company operates in the sports data science and analytics space, focusing on long\-term partnerships with emerging professional talent. Its core model provides financial support and career resources to individuals early in their professional journey, in exchange for a share of future earnings over a defined period. They also work with many well\-known NCAA programs utilizing data science and analytics to evaluate player value and fit in the new and evolving transfer portal.
**Employee testimonials:** 
* *"Casual yet collaborative environment with a great work/life balance."*
* *"Company is revolutionizing the use of data science in the sports industry!"*
* *"Culture that truly values and supports its employees."*
**Title: Sports Data Scientist** 
**Location: Remote** 
**Salary: $70,000 \- $80,000** 
 Our client is seeking a Sports Data Scientist to help us add value to their NCAA basketball clients.
 This position is an exciting opportunity to leverage data analysis to provide actionable insights, support decision\-making within the NCAA collegiate football, baseball and basketball transfer portal. The ideal candidate will have a passion for sports analytics, specifically in football, baseball or basketball, a strong foundation in statistical data analysis and data visualization, along with deep sports knowledge.
**Key Responsibilities** 
* Build predictive models utilizing insights from client and sport knowledge
* Conduct exploratory data analysis to identify data\-driven insights on the transfer portal to collegiate programs
* Answer ad\-hoc questions regarding transfer targeting
* Ensure data integrity and accuracy across several data sources
* Build predictive models utilizing insights from client and sport knowledge
**Qualifications** 
* Bachelor’s degree in Statistics, Computer Science, Data Science, or a related field
* Programming experience
* Proficiency with Python (pandas, polars, numpy) and SQL
* Experience generating data visualizations programmatically
* Deep Understanding of sports
* Strong communication skills and ability to convey complex data concepts to nontechnical audiences
* Strong self\-motivation and curiosity to challenge traditional sports beliefs •
* Attention to detail for accurate and timely report delivery
**Preferred Qualifications:** 
 Experience playing or working with college football, baseball or basketball teams</t>
        </is>
      </c>
    </row>
    <row r="9">
      <c r="A9" t="inlineStr">
        <is>
          <t>li-4364881380</t>
        </is>
      </c>
      <c r="B9" t="inlineStr">
        <is>
          <t>Data Scientist</t>
        </is>
      </c>
      <c r="C9" t="inlineStr">
        <is>
          <t>DataAnnotation</t>
        </is>
      </c>
      <c r="D9" t="inlineStr">
        <is>
          <t>linkedin</t>
        </is>
      </c>
      <c r="E9" t="inlineStr"/>
      <c r="F9" t="inlineStr"/>
      <c r="G9" t="inlineStr">
        <is>
          <t>New York, United States</t>
        </is>
      </c>
      <c r="H9" t="inlineStr"/>
      <c r="I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0">
      <c r="A10" t="inlineStr">
        <is>
          <t>li-4364652637</t>
        </is>
      </c>
      <c r="B10" t="inlineStr">
        <is>
          <t>Lead, Product Data Scientist</t>
        </is>
      </c>
      <c r="C10" t="inlineStr">
        <is>
          <t>Jobgether</t>
        </is>
      </c>
      <c r="D10" t="inlineStr">
        <is>
          <t>linkedin</t>
        </is>
      </c>
      <c r="E10" t="inlineStr"/>
      <c r="F10" t="inlineStr"/>
      <c r="G10" t="inlineStr"/>
      <c r="H10" t="inlineStr"/>
      <c r="I10" t="inlineStr">
        <is>
          <t>**This position is posted by Jobgether on behalf of a partner company. We are currently looking for a Lead, Product Data Scientist in the United States.**
 The Lead, Product Data Scientist will be responsible for translating complex data into actionable insights that shape product strategy and drive measurable impact. In this role, you will partner with senior product leadership to design predictive and causal models, develop experimentation frameworks, and inform company\-level decisions. You will work cross\-functionally to set scalable analytics standards, build self\-service tools, and guide product teams in leveraging data to improve user engagement, health outcomes, and business KPIs. This role combines deep technical expertise, strategic thinking, and strong communication skills to influence product roadmaps and enterprise\-wide decisions. You will join a mission\-driven environment that values innovation, collaboration, and professional growth while having the opportunity to make a tangible impact on members and organizational success.
**Accountabilities**
* Serve as the primary analytics partner for senior product leadership, providing insights that shape product strategy and roadmap decisions.
* Design, implement, and evaluate A/B and multivariate experiments with rigorous statistical methods.
* Develop predictive and causal models to forecast feature impact, user engagement, and health outcomes.
* Build self\-service dashboards, analytics frameworks, and reusable libraries to empower teams with actionable data.
* Translate analytical findings into executive\-level narratives, presentations, and recommendations.
* Collaborate with Data Engineering to optimize analytics pipelines and ensure technical excellence.
* Coach and raise data fluency among product managers, designers, and other stakeholders.
**Requirements**
* 5–8\+ years of experience leading product analytics or data science initiatives in SaaS, healthcare, or consumer tech.
* Advanced proficiency in SQL and Python (pandas, numpy, scikit\-learn) for analysis and modeling.
* Strong understanding of statistical inference, hypothesis testing, and causal modeling.
* Experience with experimentation platforms and product analytics tools (Amplitude, Mixpanel, Heap, Pendo).
* Proven track record influencing product and company\-level decisions using data.
* Excellent executive communication, storytelling, and collaboration skills.
* Experience building scalable analytics frameworks, KPI definitions, and measurement standards.
* Preferred: healthcare or digital health experience, machine learning for personalization, journey analytics, or health outcomes measurement.
**Benefits**
* Competitive base salary ($130,000 – $170,000\) plus 10% target bonus/variable compensation.
* Comprehensive health, dental, vision, and mental health coverage.
* Flexible work arrangements and unlimited PTO policy.
* Retirement planning support and employee savings programs.
* Professional development budget, mentorship, and clear career growth paths.
* Inclusive, collaborative, and mission\-driven work culture.
* Opportunities to make a measurable impact on product, member experience, and company strategy.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li-4364820049</t>
        </is>
      </c>
      <c r="B11" t="inlineStr">
        <is>
          <t>Data Scientist</t>
        </is>
      </c>
      <c r="C11" t="inlineStr">
        <is>
          <t>Hirenza</t>
        </is>
      </c>
      <c r="D11" t="inlineStr">
        <is>
          <t>linkedin</t>
        </is>
      </c>
      <c r="E11" t="inlineStr"/>
      <c r="F11" t="inlineStr"/>
      <c r="G11" t="inlineStr"/>
      <c r="H11" t="inlineStr"/>
      <c r="I11" t="inlineStr">
        <is>
          <t>**About The Company**
 Guidehouse is a leading global consulting firm dedicated to delivering innovative solutions across various industries, including government, financial services, healthcare, energy, and the public sector. Our mission is to help clients navigate complex challenges by providing strategic insights, operational improvements, and technological advancements. With a focus on integrity, collaboration, and excellence, Guidehouse prides itself on fostering a diverse and inclusive work environment where talented professionals can thrive. Our commitment to social responsibility and community engagement underscores our dedication to making a positive impact on society while enabling our clients to achieve their goals efficiently and sustainably.
**About The Role**
 We are seeking a skilled Data Scientist to join our AI and Data Capability Team. In this role, you will be instrumental in helping our clients unlock the full potential of their data assets. Your expertise will contribute to designing, developing, and deploying data\-driven solutions that enhance operational efficiency, support strategic decision\-making, and foster innovation. You will work closely with cross\-functional teams, including data engineers, analysts, and business stakeholders, to translate complex data into actionable insights. This position offers an exciting opportunity to be at the forefront of data science and analytics, applying your skills to solve real\-world problems in a dynamic and collaborative environment.
**Qualifications**
 The ideal candidate will possess U.S. citizenship, a bachelor’s degree in a relevant field, and at least three years of experience in data visualization, analytics, and data management. Proficiency in tools such as Power BI, Tableau, SQL, and statistical programming languages like R is essential. Candidates should have a solid understanding of statistics, probability, and experimental design, along with familiarity with cloud platforms like AWS, Azure, or Google Cloud, and containerization technologies such as Docker. Experience in applying data governance principles to ensure data quality and reliability is highly valued. Strong communication skills are necessary to effectively bridge technical and non\-technical audiences, and a curiosity\-driven mindset is key for uncovering hidden patterns and opportunities. Additional experience with Python, Java, or ML frameworks, especially within the public sector, will be considered advantageous.
**Responsibilities**
* Identify, gather, and manage data from various primary and secondary sources, ensuring its accuracy, completeness, and integrity.
* Perform data cleaning and preprocessing to prepare raw data for analysis, addressing inconsistencies, missing values, and errors.
* Apply statistical techniques and analytical methods to explore datasets, identify trends, and derive meaningful insights.
* Develop and maintain interactive reports, dashboards, and visualizations using tools like Tableau or Power BI to communicate findings effectively to stakeholders.
* Collaborate with cross\-functional teams to understand business requirements and translate them into technical solutions.
* Communicate complex data insights clearly and concisely to support data\-driven decision\-making processes.
* Address specific business challenges by analyzing data to identify underperforming processes, growth opportunities, and optimal strategies.
**Benefits**
 Guidehouse offers a comprehensive total rewards package designed to support our employees' well\-being and professional growth. Our benefits include medical, dental, vision, and prescription drug coverage, along with personal and family sick leave and paid holidays. The position may be eligible for a discretionary variable incentive bonus. We also provide parental leave, adoption assistance, and a 401(k) retirement plan to help secure your financial future. Additional benefits include basic and supplemental life insurance, health savings accounts, flexible spending accounts for dental, vision, and dependent care, short\-term and long\-term disability coverage, student loan repayment programs, tuition reimbursement, and opportunities for continuous learning and certification. Our employee programs foster development, community engagement, and work\-life balance, ensuring a supportive and rewarding environment.
 Equal Opportunity
 Guidehouse is an Equal Opportunity Employer committed to fostering an inclusive environment for all employees and applicants. We do not discriminate based on race, color, religion, national origin, gender, sexual orientation, gender identity or expression, age, disability, veteran status, or any other protected characteristic. We consider qualified applicants with criminal histories in accordance with applicable laws and ordinances, including the Fair Chance Ordinance of Los Angeles and San Francisco. We are dedicated to creating a diverse workforce and providing equal employment opportunities to all individuals. If you require accommodations during the application process, please contact Guidehouse Recruiting at the provided contact information. All communication regarding employment will originate from official Guidehouse email domains, and we never charge fees for employment opportunities or require financial transactions from applicants.</t>
        </is>
      </c>
    </row>
    <row r="12">
      <c r="A12" t="inlineStr">
        <is>
          <t>li-4318841010</t>
        </is>
      </c>
      <c r="B12" t="inlineStr">
        <is>
          <t>senior data scientist - Data &amp; Analytics (Seattle, WA)</t>
        </is>
      </c>
      <c r="C12" t="inlineStr">
        <is>
          <t>Starbucks</t>
        </is>
      </c>
      <c r="D12" t="inlineStr">
        <is>
          <t>linkedin</t>
        </is>
      </c>
      <c r="E12" t="inlineStr"/>
      <c r="F12" t="inlineStr"/>
      <c r="G12" t="inlineStr">
        <is>
          <t>Seattle, WA</t>
        </is>
      </c>
      <c r="H12" t="inlineStr"/>
      <c r="I12" t="inlineStr">
        <is>
          <t>**Now Brewing – Senior Data Scientist, Data \&amp; Analytics!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driven to uncover meaningful insights and build data\-powered solutions that shape the future of the world’s leading coffeehouse brand?
 As a Data Scientist within Starbucks’ Data \&amp; Analytics (D\&amp;A) organization, you will be part of the centralized data science and engineering team that drives strategic decision\-making and ML/AI capabilities across the business. The D\&amp;A organization spans four key pillars: Customer, Retail Operations, Supply Chain, and Enterprise. Each domain is focused on solving unique and complex challenges through data science. Whether personalizing marketing campaigns, optimizing store operations, improving inventory flow, or unlocking enterprise\-wide initiatives, our data scientists apply advanced analytics, experimentation, and modeling to elevate the Starbucks experience. This centralized recruiting approach allows us to match candidates with the most relevant opportunities based on their skills and interests, ensuring alignment with business needs and personal growth. Join a team where data meets purpose to shape what’s next for Starbucks.
***As a senior data scientist, you will…***
* Lead the design and development of scalable data science solutions from the start to the finish by utilizing machine learning, and statistical analysis. Build scalable processes for cleaning, aggregating, and loading data.
* Understanding business initiatives, challenges, questions, concerns, or ideas, transforming them into successful data science solutions, and monitor data science metrics and KPIs
* Mentor data analysts \&amp; data scientists on best practices, processes, frameworks, and KPIs
 Contribute to project planning, and assist the team with estimations, timelines, and prioritization. Assists in developing the analytical roadmap, data, and technology strategy.
**We’d Love To Hear From People With**
* Education: BS\+ with a concentration in a quantitative discipline \- Stats, Math, Comp Sci, Engineering, Econ, Quantitative Social Science or similar discipline. Masters preferred
* Minimum of 5\+ years of industry experience in data and analytics work
* Strong problem\-solving skills with the ability to influence leadership teams at different levels
* Significant experience working with predictive and statistical modeling, machine learning, and strong expertise in all phases of the modeling pipeline
* Strong SQL, databases, and ETL / ELT skills required including cleaning and managing data.
* Advanced competency and expertise in Python, R, or some combination
* Experience working with distributed data processing frameworks such as Spark and Databricks, and languages such as Java, PySpark, or Scala
* Strong collaboration instincts – desire \&amp; ability to work with partners to achieve the best outcome for the business.
* Excellent communication, presentation, and storytelling skills. The role requires effective communication with colleagues, stakeholders, and leaders from diverse backgrounds.
* Proven ability to manage multiple, time\-sensitive projects and competing priorities simultaneously to drive projects to completion with minimal guidance and high attention to details.
**Preferred Skills**
* Familiarity with Customer Identity Resolution
* Experience with Brand Monitoring
* Experience building forecasting models for time series or operational planning
* Background in optimization techniques such as linear programming, mixed\-integer programming, or heuristic algorithms for decision support
* Deep understanding of machine learning and statistical techniques, such as regression, classification, decision trees, clustering, and causal inference, with practical experience applying them to real\-world problems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t>
        </is>
      </c>
    </row>
    <row r="13">
      <c r="A13" t="inlineStr">
        <is>
          <t>li-4364891337</t>
        </is>
      </c>
      <c r="B13" t="inlineStr">
        <is>
          <t>Data Scientist</t>
        </is>
      </c>
      <c r="C13" t="inlineStr">
        <is>
          <t>DataAnnotation</t>
        </is>
      </c>
      <c r="D13" t="inlineStr">
        <is>
          <t>linkedin</t>
        </is>
      </c>
      <c r="E13" t="inlineStr"/>
      <c r="F13" t="inlineStr"/>
      <c r="G13" t="inlineStr">
        <is>
          <t>Virginia, United States</t>
        </is>
      </c>
      <c r="H13" t="inlineStr"/>
      <c r="I1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4">
      <c r="A14" t="inlineStr">
        <is>
          <t>li-4344433472</t>
        </is>
      </c>
      <c r="B14" t="inlineStr">
        <is>
          <t>Junior Data Scientist (TS/SCI)</t>
        </is>
      </c>
      <c r="C14" t="inlineStr">
        <is>
          <t>Take2 Consulting, LLC</t>
        </is>
      </c>
      <c r="D14" t="inlineStr">
        <is>
          <t>linkedin</t>
        </is>
      </c>
      <c r="E14" t="inlineStr"/>
      <c r="F14" t="inlineStr"/>
      <c r="G14" t="inlineStr">
        <is>
          <t>Springfield, VA</t>
        </is>
      </c>
      <c r="H14" t="inlineStr"/>
      <c r="I14" t="inlineStr">
        <is>
          <t>We are seeking a junior\-level Data Science professional with a strong academic foundation and early hands\-on experience to join our team as a Exploitation Specialist. The ideal candidate will hold a bachelor’s degree in a data science–related field and bring internship or project experience that demonstrates curiosity, initiative, and a willingness to learn from senior team members. This role is a great opportunity for someone eager to grow their technical skill set while supporting a high\-impact mission.
**Required Qualifications** 
* Active
 **TS/SCI clearance** 
 with the willingness to obtain a
 **CI polygraph**
* Ability to work
 **onsite in Northern Virginia** 
 , 40 hours per week (telework options are extremely limited)
* Proficiency with
 **Python** 
 and
 **SQL**
**Preferred Qualifications** 
* Familiarity with GEOINT collection and related NGA/NRO systems
* Experience with additional programming languages such as R, JavaScript, HTML, and CSS
* Understanding of object\-oriented programming
* Experience using visualization tools such as Grafana, Tableau, or Kibana
* Ability to quickly learn new technologies, adapt to evolving mission requirements, and support the development/testing of new analytic methodologies</t>
        </is>
      </c>
    </row>
    <row r="15">
      <c r="A15" t="inlineStr">
        <is>
          <t>li-4359121408</t>
        </is>
      </c>
      <c r="B15" t="inlineStr">
        <is>
          <t>Data Scientist</t>
        </is>
      </c>
      <c r="C15" t="inlineStr">
        <is>
          <t>Sysco</t>
        </is>
      </c>
      <c r="D15" t="inlineStr">
        <is>
          <t>linkedin</t>
        </is>
      </c>
      <c r="E15" t="inlineStr"/>
      <c r="F15" t="inlineStr"/>
      <c r="G15" t="inlineStr">
        <is>
          <t>Houston, TX</t>
        </is>
      </c>
      <c r="H15" t="inlineStr"/>
      <c r="I15"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6">
      <c r="A16" t="inlineStr">
        <is>
          <t>li-4362430902</t>
        </is>
      </c>
      <c r="B16" t="inlineStr">
        <is>
          <t>DATA SCIENTIST/MACHINE LEARNING (ML) ENGINEER - 74416</t>
        </is>
      </c>
      <c r="C16" t="inlineStr">
        <is>
          <t>State of Tennessee</t>
        </is>
      </c>
      <c r="D16" t="inlineStr">
        <is>
          <t>linkedin</t>
        </is>
      </c>
      <c r="E16" t="inlineStr"/>
      <c r="F16" t="inlineStr"/>
      <c r="G16" t="inlineStr">
        <is>
          <t>Davidson County, TN</t>
        </is>
      </c>
      <c r="H16" t="inlineStr"/>
      <c r="I16" t="inlineStr">
        <is>
          <t>Work Activities
**Executive Service**
**DATA SCIENTIST/MACHINE LEARNING (ML) ENGINEER**
**Finance \&amp; Administration**
**Strategic Technology Solutions**
**Nashville, TN**
**Salary: $11,353\.00/monthly\-$14,750\.00/Monthly $136,236\.00/yearly\-$177,000\.00/yearly**
**Closing Date: 01/27/2026**
 This position is designed as Hybrid.
**Background Check**
 Requires CJIS/FTI Fingerprints and name\-based checks. This position requires a criminal background check. Therefore, you may be required to provide information about your criminal history in order to be considered for this position.
**Who We Are And What We Do**
 The Data Scientist leverages advanced analytics, machine learning, and AI techniques to solve complex business problems. This role involves translating business needs into data\-driven solutions, performing exploratory analysis, and developing predictive and generative models. The ideal candidate combines strong technical expertise with business acumen and thrives in collaborative environments.
**How You Make a Difference In This Role**
 See key responsibilities below.
**Key Responsibilities**
* Works closely with agencies and STSs functional, engineering, and technology teams to solve difficult, non\-routine analysis problems, applying advanced analytical methods as needed.
* Conducts end\-to\-end analysis that includes data gathering and requirements specification, processing, analysis, ongoing deliverables, and presentations.
* Develop, validate, and deploy machine learning and AI models, including GenAI frameworks.
* Conduct feature engineering and optimize algorithms for performance.
* Communicate insights and recommendations through clear visualizations and presentations.
* Collaborate with stakeholders, engineers, and MLOps teams to integrate solutions into production.
* Research emerging technologies and contribute to internal innovation initiatives
**Required Skills \&amp; Qualifications**
* Proficiency in Python and data analysis libraries (e.g., Pandas, NumPy, Scikit\-learn).
* Experience with GenAI frameworks and deep learning techniques such as retrieval augmented generation (RAG), AI agents, and model fine\-tuning.
* Experience with SQL and data manipulation (e.g., Snowflake, Redshift).
* Strong understanding of statistical modeling, machine learning, and AI concepts.
* Familiarity with AWS\-based AI tools (Bedrock, Sagemaker). Ability to communicate technical concepts to non\-technical audiences.
**Minimum Qualifications**
***Preferred Skills:***
* Knowledge of data visualization tools (Tableau, Power BI).
* Familiarity with MLOps practices and version control (Git). Exposure to cloud\-based data pipelines and streaming technologies.
* Ability to write scripts to automate ETL tasks Actively participates and contributes in brain\-storming session.
* Can work seamlessly with people from other disciplines: IT engineers, Agency SMEs, business consultants
**Education \&amp; Experience:** 
 Bachelors degree in a quantitative field (Computer Science, Statistics, Mathematics, Engineering). Masters degree preferred. 2\+ years of experience in data science, analytics, or related roles.
*Pursuant to the State of Tennessee's Workplace Discrimination and Harassment policy, the State is firmly committed to the principle of fair and equal employment opportunities for its citizens and strives to protect the rights and opportunities of all people to seek, obtain, and hold employment without being subjected to illegal discrimination and harassment in the workplace. It is the State's policy to provide an environment free of discrimination and harassment of an individual because of that person's race, color, national origin, age (40 and over), sex, pregnancy, religion, creed, disability, veteran's status or any other category protected by state and/or federal civil rights laws.*</t>
        </is>
      </c>
    </row>
    <row r="17">
      <c r="A17" t="inlineStr">
        <is>
          <t>li-4362011425</t>
        </is>
      </c>
      <c r="B17" t="inlineStr">
        <is>
          <t>Senior Data Scientist - Energy Services</t>
        </is>
      </c>
      <c r="C17" t="inlineStr">
        <is>
          <t>Electrify America</t>
        </is>
      </c>
      <c r="D17" t="inlineStr">
        <is>
          <t>linkedin</t>
        </is>
      </c>
      <c r="E17" t="inlineStr"/>
      <c r="F17" t="inlineStr"/>
      <c r="G17" t="inlineStr"/>
      <c r="H17" t="inlineStr"/>
      <c r="I17"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The Senior Data Scientist – Energy shall be responsible for supporting the development of analytical capabilities to quantify marginal costs and associated predictive analytics for Electrify America’s network, as well as for Electrify Canada and Electrify Commercial customers as applicable. The Senior Energy Data Scientist will work closely with the Director of Energy Services to ensure that all relevant KPIs are properly tracked, measured, reported, and achieved.
****Possible Tasks within this Role****
**Role Responsibilities:** 
 List essential functions in order of importance; include percentage of time spent performing each function.
**Main responsibility** 
 – 40%
* Support the development of analytical capability to quantify the marginal cost of every session incurred on Electrify America’s network via extensive analysis of utility tariffs for over 250 utilities and over 1000 associated charging locations.
* Support framework development to account for related wholesale energy market parameters, including hourly rates, critical event pricing, and nodal pricing.
**Additional responsibilities** 
 – 30%
* Support the implementation of predictive analytics for marginal utility cost.
**Additional responsibilities – 30%**
* Quantity financial savings on an ongoing basis for Electrify America, Electrify Canada, and Commercial Customers
****Qualification requirements****
**Years of Relevant Experience:** 
 7\+ Years of Experience
**Education Required**
 Bachelor of Science in Data Science / Analytics / Computer Science
**Education Desired**
 Masters in Data Science / Analytics / Computer Science
**Skills**
* Experience with vendor and stakeholder negotiation
* Excellent written and oral communication skills
* Demonstrated record of precision and integrity in past work assignments
* Ability to own projects and drive execution
* Analytical and conceptual thinking – using logic, creative, and strategic
* Exceptional Communication skills – interpersonal, presentation, and written
* Computer savvy – skilled in the use of software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
 Salary range is dependent on factors such as geographical differentials, industry\-based experience, skills, training, credentials, and other qualifications.
 In the state of California, the salary range is $106,400 – 212,900\.
 In the state of Colorado, the salary range is $106,400 – 163,800\.
 In the state of Washington, the salary range is $106,400 – 178,700\.
 In New York City, the salary range is $152,100 – 212,900\.
 In Westchester County, the salary range is $127,600 – 178,700\.
 In the state of Rhode Island, the salary range is $106,400 – 163,800\.</t>
        </is>
      </c>
    </row>
    <row r="18">
      <c r="A18" t="inlineStr">
        <is>
          <t>li-4361991469</t>
        </is>
      </c>
      <c r="B18" t="inlineStr">
        <is>
          <t>Senior GenAI Data Scientist</t>
        </is>
      </c>
      <c r="C18" t="inlineStr">
        <is>
          <t>Fractal</t>
        </is>
      </c>
      <c r="D18" t="inlineStr">
        <is>
          <t>linkedin</t>
        </is>
      </c>
      <c r="E18" t="inlineStr"/>
      <c r="F18" t="inlineStr"/>
      <c r="G18" t="inlineStr"/>
      <c r="H18" t="inlineStr"/>
      <c r="I18"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**Key Responsibilities** 
* Integrate OpenAI models (GPT\-4 or GPT\-4o) or other LLMs with enterprise systems via REST APIs.
* Build workflows using orchestration tools (e.g., LangChain, Microsoft Semantic Kernel, or custom agents).
* Create reusable prompt chains, tools, and routing logic based on user intent.
* Collaborate with PBM SMEs to translate complex pharmacy logic into AI workflows.
* Define error handling, logging, and fallback protocols for production safety.
* Work with internal teams on compliance, PHI handling, and access control.
**Required Skills** 
* Proven Experience working with LLMs and in agentic AI (e.g., LangChain agents, tool use, memory)
* Strong understanding of prompt engineering, embeddings, and context management
* Skilled in deploying advanced evaluation metrics for agentic performance (e.g., task success, coherence, safety). Experience with
 **evaluation tools** 
 (TruLens, RAGAS, LangSmith) and
 **optimization techniques** 
 (LoRA, QLoRA etc.).
* Experience with external API Integration and data transformation and integrating AI workflows into web applications or chatbots
* DevOps skills to deploy and monitor AI agents in production
* Track record of leading generative AI initiatives from concept to deployment
* Strong coding skills; Proficiency in Python or Java
**Nice\-to\-Have** 
* Experience with Azure AI stack
* Familiarity with PBM domain (claims, PA, formularies, etc.)
* Experience integrating with healthcare APIs or HL7/FHIR systems
* Familiarity with HIPAA and data security best practices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$120,000 \- $145,000\.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19">
      <c r="A19" t="inlineStr">
        <is>
          <t>li-4350752692</t>
        </is>
      </c>
      <c r="B19" t="inlineStr">
        <is>
          <t>Data Scientist</t>
        </is>
      </c>
      <c r="C19" t="inlineStr">
        <is>
          <t>Snap Finance</t>
        </is>
      </c>
      <c r="D19" t="inlineStr">
        <is>
          <t>linkedin</t>
        </is>
      </c>
      <c r="E19" t="inlineStr"/>
      <c r="F19" t="inlineStr"/>
      <c r="G19" t="inlineStr">
        <is>
          <t>Utah, United States</t>
        </is>
      </c>
      <c r="H19" t="inlineStr"/>
      <c r="I19" t="inlineStr">
        <is>
          <t>**Company Overview:**
 At Snap Finance, we believe everyone deserves access to the things they need, regardless of credit history. Since 2012, we've used data, machine learning, and a more human approach to create flexible financing solutions that help people move forward. We're proud of our inclusive, supportive culture, built on empowering our customers, partners, and team members alike. When our people thrive, so does our innovation.
**If you're looking to make an impact and grow with a team that values you, come join us!**
**Job Description**
**Position Overview:**
 Snap Finance is looking to strengthen its dynamic, growing analytics department. We are seeking a dedicated Data Scientist II with a passion for statistics, machine learning, and solving real\-world problems with robust data. The ideal candidate understands how to apply the practices of data science to understand a problem and generate significant value through powerful predictive models. This role is tailored for working within a consumer finance company, specifically focusing on supporting the Sales and B2B Marketing departments.
**How you’ll make an impact:**
**Data Mining and Modeling:**
* Mining, modeling, and analyzing large datasets, utilizing predictive modeling techniques.
* Building and validating a variety of statistical models, providing analytic support, and developing new criteria and/or strategies.
**Experimental Design and Evaluation:**
* Design and implement experiments and processes for evaluating business performance, new products, and product features.
* Conducting required analyses incorporating project design, data collection, and analysis, summarizing findings, and presenting results in an understandable manner.
**Business Impact Analysis:**
* Compiling appropriate data, applying multidimensional data aggregation, and performing profile analysis to evaluate business impact.
* Handling large volumes of transaction\-level data to derive actionable results efficiently.
**Stakeholder Interaction:**
* Interacting with stakeholders to understand their business questions, crafting methodologies to mine/analyze datasets, and delivering insightful recommendations.
* Keeping up to date with the latest technology trends.
**What you’ll need to Succeed:**
* 3\-5 years working in a data science position or performing work that aligns with the required skills in another position.
* M.S. in quantitative fields such as Statistics, Econometrics, Mathematics, Physics, Computer Science, Quantitative Social Science, Quantitative Finance, or another related field.
* B.S. in the fields described above will be considered if the skill set and experience are robust.
* Expertise in one or more modeling/machine learning programming languages such as R or Python.
* Strong SQL skills and the ability to extract data from non\-relational data sources.
* Advanced understanding and professional experience with the following methods:
* Classification methods (e.g., Neural Net, Logistic Regression, Decision Trees, KNN, Random Forest).
* Regression methods (e.g., Linear, Nonlinear, Boosted Regression Trees).
* Clustering methods (e.g., K\-means, Fuzzy C\-means, Hierarchical Clustering, Mixture Modeling).
* Ability to generate robust statistical analyses (e.g., power analysis, hypothesis testing, experimental design, hierarchical modeling, Bayesian and frequentist methods).
* Demonstrated ability to take data science projects from development to production.
* Skilled analyst who produces regular reporting content for key stakeholder meetings, responds to ad hoc analysis requests, and generates insightful deep dives.
* Familiarity and experience with concepts in consumer finance, sales operations, and B2B marketing methods
**What would make you stand out:**
* Experience with a variety of data structures and databases (SQL, no\-SQL, graph, etc.).
* Knowledge about Big Data related techniques (e.g., Map\-Reduce, Hadoop, Hive, Apache Spark).
**Why Join Us:**
* Generous paid time off
* Competitive medical, dental \&amp; vision coverage
* 401K with company match for US
* Company\-paid life insurance
* Company\-paid short\-term and long\-term disability
* Access to mental health and wellness resources
* Company\-paid volunteer time to do good in your community
* Legal coverage and other supplemental options
* A value\-based culture where growth opportunities are endless
**More:**
 Snap values diversity and all qualified applicants will be considered for employment without attention to race, color, religion, sex, sexual orientation, gender identity, national origin, veteran or disability status. Learn more by visiting our website at www.snapfinance.com.
 California Residents, please review our California Consumer Privacy Act Notice at https://snapfinance.com/ccpa\-notice</t>
        </is>
      </c>
    </row>
    <row r="20">
      <c r="A20" t="inlineStr">
        <is>
          <t>li-4326787294</t>
        </is>
      </c>
      <c r="B20" t="inlineStr">
        <is>
          <t>Data Scientist</t>
        </is>
      </c>
      <c r="C20" t="inlineStr">
        <is>
          <t>Sysco</t>
        </is>
      </c>
      <c r="D20" t="inlineStr">
        <is>
          <t>linkedin</t>
        </is>
      </c>
      <c r="E20" t="inlineStr"/>
      <c r="F20" t="inlineStr"/>
      <c r="G20" t="inlineStr">
        <is>
          <t>Houston, TX</t>
        </is>
      </c>
      <c r="H20" t="inlineStr"/>
      <c r="I20"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21">
      <c r="A21" t="inlineStr">
        <is>
          <t>li-4364379663</t>
        </is>
      </c>
      <c r="B21" t="inlineStr">
        <is>
          <t>Data Scientist III (US)</t>
        </is>
      </c>
      <c r="C21" t="inlineStr">
        <is>
          <t>TD Securities</t>
        </is>
      </c>
      <c r="D21" t="inlineStr">
        <is>
          <t>linkedin</t>
        </is>
      </c>
      <c r="E21" t="inlineStr"/>
      <c r="F21" t="inlineStr"/>
      <c r="G21" t="inlineStr">
        <is>
          <t>New York, NY</t>
        </is>
      </c>
      <c r="H21" t="inlineStr"/>
      <c r="I21" t="inlineStr">
        <is>
          <t>**Work Location:**
 New York, New York, United States of America
**Hours**
 40
**Pay Details**
 $86,840 \- $130,000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**Depth \&amp; Scope:**
* Generally accountable for a significant business management area that typically has enterprise\-wide impact or accountability
* Enterprise or functional expert, requiring broad managerial and deep specialized knowledge at the enterprise, business, regulatory and industry levels
* Undertakes and completes a variety of complex initiatives requiring seasoned specialist knowledge and/or the integration of cross functional processes
* Position typically deals with senior/executive management
* Works independently on activities related to analysis, design and support of technical data management solutions on various projects ranging in complexity and size
* Focuses on longer\-range planning for functional area (e.g. 12 months or greater)
* May manage and prioritize multiple projects at a given time
**Education \&amp; Experience**
* Undergraduate degree or advanced technical degree preferred (e.g., math, physics, engineering, finance or computer science) Graduate's degree preferred with either progressive project work experience or
* 5\+ year of relevant experience; higher degree education and research tenure can be counted
**Customer Accountabilities**
* Works closely with business owners to identify opportunities and serves as an ambassador for data science
* Is familiar with the business context and data infrastructure and can translate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Analytical thought leadership and stays current on developments in data mining and the application of data science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enhances performance
* Adheres to enterprise frameworks or methodologies that relate to activities for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22">
      <c r="A22" t="inlineStr">
        <is>
          <t>li-4328912225</t>
        </is>
      </c>
      <c r="B22" t="inlineStr">
        <is>
          <t>Data Scientist</t>
        </is>
      </c>
      <c r="C22" t="inlineStr">
        <is>
          <t>Recruiting from Scratch</t>
        </is>
      </c>
      <c r="D22" t="inlineStr">
        <is>
          <t>linkedin</t>
        </is>
      </c>
      <c r="E22" t="inlineStr"/>
      <c r="F22" t="inlineStr"/>
      <c r="G22" t="inlineStr"/>
      <c r="H22" t="inlineStr"/>
      <c r="I22"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**Role:**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23">
      <c r="A23" t="inlineStr">
        <is>
          <t>li-4362060409</t>
        </is>
      </c>
      <c r="B23" t="inlineStr">
        <is>
          <t>HEALTHCARE DATA SCIENTIST</t>
        </is>
      </c>
      <c r="C23" t="inlineStr">
        <is>
          <t>Cooper University Health Care</t>
        </is>
      </c>
      <c r="D23" t="inlineStr">
        <is>
          <t>linkedin</t>
        </is>
      </c>
      <c r="E23" t="inlineStr"/>
      <c r="F23" t="inlineStr"/>
      <c r="G23" t="inlineStr">
        <is>
          <t>Camden, NJ</t>
        </is>
      </c>
      <c r="H23" t="inlineStr"/>
      <c r="I23" t="inlineStr">
        <is>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Data Scientist plays a pivotal role in planning, executing, and delivering machine learning\-based projects that drive business impact. This role involves analyzing large datasets, developing AI /ML /optimization models, and translating findings into actionable insights. The Data Scientist partners with business and operational leaders, supports senior leadership with analytics, and fosters a culture of data\-driven decision\-making across the organization.
**Experience Required**
 3 to 5 years of relevant project experience in successfully planning, and executing data science projects, including statistical analysis and data engineering.
**Education Requirements**
 Master's Degree Required.
 Master’s, or PhD in Computer Science, Data Science, Engineering, Statistics, Applied Mathematics, Operations Research, or a related quantitative field.
**License/Certification Requirements**
 Relevant certifications in data science/AI (e.g., Google Cloud Professional ML Engineer, AWS Certified Machine Learning).</t>
        </is>
      </c>
    </row>
    <row r="24">
      <c r="A24" t="inlineStr">
        <is>
          <t>li-4329621710</t>
        </is>
      </c>
      <c r="B24" t="inlineStr">
        <is>
          <t>Software Engineer/Data Scientist, Large Model Evaluation</t>
        </is>
      </c>
      <c r="C24" t="inlineStr">
        <is>
          <t>Waymo</t>
        </is>
      </c>
      <c r="D24" t="inlineStr">
        <is>
          <t>linkedin</t>
        </is>
      </c>
      <c r="E24" t="inlineStr"/>
      <c r="F24" t="inlineStr"/>
      <c r="G24" t="inlineStr">
        <is>
          <t>San Francisco, CA</t>
        </is>
      </c>
      <c r="H24" t="inlineStr"/>
      <c r="I2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5">
      <c r="A25" t="inlineStr">
        <is>
          <t>li-4342725935</t>
        </is>
      </c>
      <c r="B25" t="inlineStr">
        <is>
          <t>Data Scientist II</t>
        </is>
      </c>
      <c r="C25" t="inlineStr">
        <is>
          <t>Rippling</t>
        </is>
      </c>
      <c r="D25" t="inlineStr">
        <is>
          <t>linkedin</t>
        </is>
      </c>
      <c r="E25" t="inlineStr"/>
      <c r="F25" t="inlineStr"/>
      <c r="G25" t="inlineStr">
        <is>
          <t>San Francisco, CA</t>
        </is>
      </c>
      <c r="H25" t="inlineStr"/>
      <c r="I25"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Data Scientist to work in partnership with our Customer Experience teams to maximize customer retention, drive cross\-sell across our product suite, and proactively reduce escalations \&amp; improve CSAT.
 As Rippling, you’ll have the opportunity to dive into datasets to influence decision\-making \&amp; impact strategy. If you are a self\-starter who enjoys finding patterns and speaking through data, we’re looking for someone like you!
 What You’ll Do:
* Use quantitative analysis and the presentation of data to share beyond the numbers and understand what drives our business.
* Build full\-cycle analysis using SQL, R, Python, or other scripting and statistical tools.
* Produce recommendations and use statistical techniques and hypothesis testing to validate your findings.
* Provide insights to help business leaders understand marketplace dynamics, user behaviors, and long\-term trends.
* Identify and measure levers to help move essential metrics and make recommendations.
* Report against our goals by identifying essential metrics and building executive\-facing dashboards to track progress.
* Collaborate with data engineering to implement, document, validate, and monitor our evolving data infrastructure.
* Work autonomously as an individual contributor as well as showcase horizontal leadership, driving initiatives to completion and proactively identifying opportunities that will move the needle in the long run.
 Qualifications:
* Master’s degree in Analytics, Data Science, Economics, Statistics or a related field and at least 2\~3 years of work experience, or equivalent.
* Strong interest in actively working with Customer Success and Support teams, as well as cross\-functional collaboration with Product \&amp; Marketing.
* Strong proficiency in SQL, R/Python, Tableau, Mode, or other Business Intelligence tools.
* Ability to deliver actionable insights by synthesizing data into useful formats and conveying findings in a clear manner to influence decision\-makers.
* Ability to actively manage and influence senior stakeholders through strong business communication skills, both verbal and written.
* Ruthless prioritization and time management.
* Organized, attentive to detail, and intellectually curious.
* Bonus points for experience with B2B SaaS companies, Salesforce CRM \&amp; Service Cloud, as well as executive\-level exposure.
**The pay range for this role is:**
 108,000 \- 189,000 USD per year(US Tier 1\)</t>
        </is>
      </c>
    </row>
    <row r="26">
      <c r="A26" t="inlineStr">
        <is>
          <t>li-4348758199</t>
        </is>
      </c>
      <c r="B26" t="inlineStr">
        <is>
          <t>Data Scientist - Strategic Analytics</t>
        </is>
      </c>
      <c r="C26" t="inlineStr">
        <is>
          <t>Acuity Insurance</t>
        </is>
      </c>
      <c r="D26" t="inlineStr">
        <is>
          <t>linkedin</t>
        </is>
      </c>
      <c r="E26" t="inlineStr"/>
      <c r="F26" t="inlineStr"/>
      <c r="G26" t="inlineStr">
        <is>
          <t>Wisconsin, United States</t>
        </is>
      </c>
      <c r="H26" t="inlineStr"/>
      <c r="I26" t="inlineStr">
        <is>
          <t>Acuity is seeking a Data Scientist \- Strategic Analytics to work with business leaders to inform company strategies and decision\-making through an objective viewpoint by leveraging the team’s expertise in deep business knowledge, leveraging data as an asset, and utilizing statistical and advanced analytical techniques as appropriate. The role of Data Scientist – Strategic Analytics uses advanced statistical and analytical techniques to inform highly complex and sophisticated business questions. The data scientist will apply and integrate advanced statistical, mathematical, data mining, and business analysis skills and techniques to discover new behavioral insights, predict outcomes, prescribe decision options, and advise on turning new insights into actionable opportunities.
**Internal deadline to apply: December 22nd, 2025**
 ESSENTIAL FUNCTIONS:
* Develop solutions, to support analytic insights and visualization using mathematical models, algorithms, machine learning techniques, and robust analytics.
* Partner with business clients and technical leaders to spearhead the development of standards for appropriate statistical methodology, study design, power and sample size estimation, and data analysis plans for behavioral analytics.
* Provide data driven decision support for key initiatives of company strategy and measurement related to client, claims, sales, and campaign analyses to understand both growth and economic impact.
* Determine requisite data elements and partners with data engineers to design integrated datasets for analytical research purposes.
* Work closely with machine learning engineers and business partners to develop and build behavioral data science and analytics products.
* Effectively present analytical results and derived recommendations for action to senior leaders, peers, and product team members.
* Regular and predictable attendance.
* Performs other duties as assigned.
 EDUCATION:
 Bachelor’s degree in data science, statistics, math, computer science, economics, or related field. Advanced graduate level degree in a quantitative discipline (statistics, applied mathematics, computer science, econometrics, or a related field) is preferred.
 EXPERIENCE:
 A minimum of three years relevant experience to include research and data analysis, experiment design and measurement, or application of statistical research techniques.
 OTHER QUALIFICATIONS:
* Expertise in one or more development or statistical analysis tool such as R, Python, SAS, SQL, SPSS, or other tools. Tableau experience is a plus.
* Proven excellence in research, quantitative analysis, problem solving, and analytical working techniques.
* Statistical knowledge and intuition
* Strong aptitude and desire for learning new analytical and visualization tools, modeling, and quantitative techniques. Initiative to independently design and develop own deliverables while still being a team player.
* Demonstrates ability to deliver results and recommendations in written, verbal and presentation form at an appropriate level for a business audience.
 \*Acuity does not sponsor applicants for U.S. work authorization.\*
*This job is classified as exempt.*
*We are an Equal Employment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and require reasonable accommodations to apply or during the interview process, please contact our Talent Acquisition team at* 
*careers@acuity.com* 
*. Acuity is dedicated to offering reasonable accommodations during our recruitment process for qualified individuals.*</t>
        </is>
      </c>
    </row>
    <row r="27">
      <c r="A27" t="inlineStr">
        <is>
          <t>li-4310449469</t>
        </is>
      </c>
      <c r="B27" t="inlineStr">
        <is>
          <t>Staff Data Scientist, Full Stack</t>
        </is>
      </c>
      <c r="C27" t="inlineStr">
        <is>
          <t>Palo Alto Networks</t>
        </is>
      </c>
      <c r="D27" t="inlineStr">
        <is>
          <t>linkedin</t>
        </is>
      </c>
      <c r="E27" t="inlineStr"/>
      <c r="F27" t="inlineStr"/>
      <c r="G27" t="inlineStr">
        <is>
          <t>Santa Clara, CA</t>
        </is>
      </c>
      <c r="H27" t="inlineStr"/>
      <c r="I27"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Staff Data Engineer and Scientist, you will be an integral member of our Customer Analytics team, responsible for shaping the future of our business operations through robust data infrastructure and advanced analytical solutions. This unique hybrid role combines data engineering and applied AI/ML, requiring an entrepreneurial problem\-solver who thrives in tackling ambiguous business problems through their deep understanding of the business as well as deep technical expertise. You will act as both a strategic partner as well as builder, developing deep insights , building, developing and curating new datasets, as well as owning the end to end ML/AI model deployment for key customer success initiatives.
 You will be constantly challenged by tough engineering and design tasks, working in a fast\-paced setting to deliver high\-quality, impactful work.
**This is an in office role 3 days/week in our HQ, Santa Clara, CA**
**Your Impact**
 In this versatile role, you will drive impact across both data engineering and data science domains:
**Data Engineering Foundations**
* Design \&amp; Development: Design and implement scalable data architectures and datasets that support the organization's evolving data needs, providing the technical foundations for our analytics team and business users.
* Data Engineering: Support and implement large datasets in batch/real\-time analytical solutions leveraging data transformation technologies.
* Data Security \&amp; Scalability: Enable robust data\-level security features and build scalable solutions to support dynamic cloud environments, including financial considerations.
* Process Improvement: Perform code reviews with peers and make recommendations on how to improve our end\-to\-end development processes.
**AI/ML Innovation \&amp; Business Impact**
* Develop \&amp; Deploy Classical ML Models: Own the end\-to\-end lifecycle of machine learning projects. You'll build and productionize sophisticated models for critical business areas such as marketing attribution, customer churn prediction, case escalation and other relevant use\-cases to post\-sales.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Go\-to\-Market (GTM), Global Customer Services (GCS) and Product and Finance teams. You'll translate business challenges into data science use\-cases, identify opportunities for AI\-driven solutions, and present your findings in a clear, actionable manner.
* Own the Full Data Science Lifecycle: Your responsibilities will cover the entire project workflow, working with the business to understand the problem, charting a path to solve the problem, feature engineering, model selection and training, robust evaluation, deployment, and, in partnership with the data platform team, ongoing monitoring for performance degradation.
**Qualifications**
**Your Experience**
* 7 plus years experience building and maintain data pipeline both for reporting, analysis and feature engineering.
* Experience building and optimizing clean, well\-structured analytical datasets for business and data science use cases. This includes Implementing and supporting Big Data solutions for both batch (scheduled) and real\-time (streaming) analytics.
* Prior experience working extensively within dynamic cloud environments, specifically Google Cloud Services (GCS) BigQuery and Vertex AI.
* Prior experience developing dashboards in Tableau/Looker or similar data viz platform.
* Nice to have: Experience implementing and managing data\-level security features to ensure data is protected and access is properly controlled.
* Expert\-level programming skills in Python and familiarity with core data science and machine learning libraries (e.g., Scikit\-learn, Pandas, PyTorch/TensorFlow, XGBoost).
* A solid command of SQL for complex querying and data manipulation.
* Proven ability to work autonomously, navigate ambiguity, and drive projects from concept to completion.
**Preferred Qualifications**
* Prior working experience in Customer Analytics space and customer experience use\-cases, e.g. Escalation, Risk predictors, Renewals and efficiency of project delivery in Professional Services space.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 An MS or PhD in a quantitative field like Computer Science, AI, Statistics, or equivalent practical experience or equivalent military experience.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$143000\- $231000/YR.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8">
      <c r="A28" t="inlineStr">
        <is>
          <t>li-4329545209</t>
        </is>
      </c>
      <c r="B28" t="inlineStr">
        <is>
          <t>Software Engineer/Data Scientist, Large Model Evaluation</t>
        </is>
      </c>
      <c r="C28" t="inlineStr">
        <is>
          <t>Waymo</t>
        </is>
      </c>
      <c r="D28" t="inlineStr">
        <is>
          <t>linkedin</t>
        </is>
      </c>
      <c r="E28" t="inlineStr"/>
      <c r="F28" t="inlineStr"/>
      <c r="G28" t="inlineStr">
        <is>
          <t>Mountain View, CA</t>
        </is>
      </c>
      <c r="H28" t="inlineStr"/>
      <c r="I2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9">
      <c r="A29" t="inlineStr">
        <is>
          <t>li-4360948129</t>
        </is>
      </c>
      <c r="B29" t="inlineStr">
        <is>
          <t>Data Scientist</t>
        </is>
      </c>
      <c r="C29" t="inlineStr">
        <is>
          <t>Haystack</t>
        </is>
      </c>
      <c r="D29" t="inlineStr">
        <is>
          <t>linkedin</t>
        </is>
      </c>
      <c r="E29" t="inlineStr"/>
      <c r="F29" t="inlineStr"/>
      <c r="G29" t="inlineStr"/>
      <c r="H29" t="inlineStr"/>
      <c r="I29" t="inlineStr">
        <is>
          <t>**Software Engineer/Data Science Librarian \| Arnold, MD \| $107,900 \- $195,050** 
 We're working with Leidos on this exciting opportunity.
 Are you a master of data, a coding wizard, and a geospatial guru? Leidos is seeking a dynamic Software Engineer/Data Science Librarian to revolutionize GEOINT product dissemination. Dive into complex databases, optimize spatial content, and leverage your expertise in Python, Java, and SQL to drive critical national security initiatives.
**The Role** 
 • Manage and optimize databases supporting GEOINT product dissemination, including spatial content and country/state boundary generation.
 • Develop and enhance data ingest and validation scripts using Perl, Java, and Python to ensure data accuracy and efficient processing.
 • Integrate and optimize geospatial components like Oracle Spatial, ArcSDE, and SDO\_Geometry for improved data integrity and visualization.
 • Troubleshoot software and database issues, ensuring high availability and integrity of critical GEOINT data.
 • Represent the organization in customer\-facing engagements, delivering technical briefings and fostering strong stakeholder relationships.
**What You'll Need** 
 • 8\+ years of experience with a Bachelor's degree or 6\+ years with a Master's.
 • Top Secret security clearance, with the ability to obtain TS/SCI with Polygraph post\-hire.
 • Strong experience developing with Perl, Python, Java, SQL, and C\+\+ for database constructs, schemas, and stored procedures.
 • Extensive knowledge of database management with geospatial components, including Oracle Spatial, ArcSDE, and SDO\_Geometry.
 • Proficiency in ESRI ArcGIS for querying spatial data and applying multiple layers to geospatial maps, plus Sec\+ certification.
**What's On Offer** 
 • Shape the future of GEOINT product dissemination with cutting\-edge technology and impactful projects.
 • Collaborate with a diverse team of experts across multiple offices and security domains.
 • Enjoy competitive compensation and a comprehensive benefits package designed to support your well\-being.
 • Opportunities for career growth and professional development in a leading national security organization.
**Apply via Haystack today!**</t>
        </is>
      </c>
    </row>
    <row r="30">
      <c r="A30" t="inlineStr">
        <is>
          <t>li-4331344348</t>
        </is>
      </c>
      <c r="B30" t="inlineStr">
        <is>
          <t>Growth Product Senior  Staff Data Scientist</t>
        </is>
      </c>
      <c r="C30" t="inlineStr">
        <is>
          <t>Intuit</t>
        </is>
      </c>
      <c r="D30" t="inlineStr">
        <is>
          <t>linkedin</t>
        </is>
      </c>
      <c r="E30" t="inlineStr"/>
      <c r="F30" t="inlineStr"/>
      <c r="G30" t="inlineStr">
        <is>
          <t>Mountain View, CA</t>
        </is>
      </c>
      <c r="H30" t="inlineStr"/>
      <c r="I30"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 brand new product and a strategic bet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and in data\-driven decision making.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$204,500\-276,500</t>
        </is>
      </c>
    </row>
    <row r="31">
      <c r="A31" t="inlineStr">
        <is>
          <t>li-4351744741</t>
        </is>
      </c>
      <c r="B31" t="inlineStr">
        <is>
          <t>Data Scientist</t>
        </is>
      </c>
      <c r="C31" t="inlineStr">
        <is>
          <t>Underdog.io -Apply to top tech jobs in 60 seconds. A place where companies apply to you</t>
        </is>
      </c>
      <c r="D31" t="inlineStr">
        <is>
          <t>linkedin</t>
        </is>
      </c>
      <c r="E31" t="inlineStr"/>
      <c r="F31" t="inlineStr"/>
      <c r="G31" t="inlineStr"/>
      <c r="H31" t="inlineStr"/>
      <c r="I31"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32">
      <c r="A32" t="inlineStr">
        <is>
          <t>li-4353924270</t>
        </is>
      </c>
      <c r="B32" t="inlineStr">
        <is>
          <t>Infrastructure Planning Data Scientist Sr</t>
        </is>
      </c>
      <c r="C32" t="inlineStr">
        <is>
          <t>Electrify America</t>
        </is>
      </c>
      <c r="D32" t="inlineStr">
        <is>
          <t>linkedin</t>
        </is>
      </c>
      <c r="E32" t="inlineStr"/>
      <c r="F32" t="inlineStr"/>
      <c r="G32" t="inlineStr"/>
      <c r="H32" t="inlineStr"/>
      <c r="I32"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The Senior Data Scientist will be responsible for conceptualizing, building, deploying, and maintaining predictive models used within Electrify America’s infrastructure planning tools and processes. The successful candidate will draw from a background in statistical research to better understand and forecast evolving EV adoption, driving patterns, and charging habits.
****Possible Tasks within this Role****
**Main responsibility – 70%**
* Develop new statistical inference models to improve the Infrastructure Planning team’s existing site selection analysis
* Benchmark models against internal and industry data
* Support deployment of models to cloud\-infrastructure and help set up a cross\-team analysis pipeline pulling from internal and external data sources
**Additional responsibilities – 30%**
* Work with the Energy Services and Price Performance teams to understand how economic considerations can influence EV driver charging decisions
* Communicate data findings to internal and external teams
****Qualification requirements****
 Years of Experience
* 7\+ years of relevant experience
 Education – Required
* Undergraduate degree in Economics, Mathematics, Statistics, or related field
 Education – Desired
* Graduate degree in Economics, Mathematics, Statistics, or related field
**Skills**
* Analytical and conceptual thinking – using logic and reason, creative and strategic
* Exceptional communication skills – interpersonal, presentation and written
* Integration – joining people, processes or systems
* Problem solving – framing complex issues into solvable questions
* Accomplished project management skills
* Navigating uncertainty and ambiguity
**Specialized Skills – Required**
* Strong grasp of statistics
* Experience building data models in Python
* Fluency with SQL and relational databases
* Familiarity with econometric modeling and forecasting (e.g. time\-series, ARIMA, LSTM)
* Experience with machine learning forecasting approaches, especially to evaluate model accuracy through cross validation
* Experience delivering high\-quality analysis and insights with incomplete datasets
 Specialized Skills – Desired
* Familiarity or interest in infrastructure, transportation, EVs and EV charging, and/or the energy transition.
* Experience or knowledge of geospatial analysis and geospatial datatypes
* Experience deploying production models to AWS or other cloud\-compute infrastructure
 Work Flexibility
* Fully Remote Role, but with preference for onsite
* Travel Required up to 10%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
 Salary range is dependent on factors such as geographical differentials, industry\-based experience, skills, training, credentials, and other qualifications.
 In the state of California, the salary range is $106,400 – 212,900\.
 In the state of Colorado, the salary range is $106,400 – 163,800\.
 In the state of Washington, the salary range is $106,400 – 178,700\.
 In New York City, the salary range is $152,100 – 212,900\.
 In Westchester County, the salary range is $127,600 – 178,700\.
 In the state of Rhode Island, the salary range is $106,400 – 163,800\.</t>
        </is>
      </c>
    </row>
    <row r="33">
      <c r="A33" t="inlineStr">
        <is>
          <t>li-4362011077</t>
        </is>
      </c>
      <c r="B33" t="inlineStr">
        <is>
          <t>Senior Data Scientist – HighPeak (Individual Life Insurance)</t>
        </is>
      </c>
      <c r="C33" t="inlineStr">
        <is>
          <t>Prudential Financial</t>
        </is>
      </c>
      <c r="D33" t="inlineStr">
        <is>
          <t>linkedin</t>
        </is>
      </c>
      <c r="E33" t="inlineStr"/>
      <c r="F33" t="inlineStr"/>
      <c r="G33" t="inlineStr">
        <is>
          <t>Newark, NJ</t>
        </is>
      </c>
      <c r="H33" t="inlineStr"/>
      <c r="I33" t="inlineStr">
        <is>
          <t>**Job Classification**
 Technology \- Data Analytics \&amp; Management
**About Us**
 HighPeak AI builds advanced predictive analytics systems that help enterprise clients make smarter long‑term decisions. We work with massive datasets, cutting‑edge machine learning, and modern cloud infrastructure to uncover insights that drive real business outcomes.
 Role Overview
 We’re looking for a Data Scientist who can take full ownership of predictive modeling initiatives—from exploration to deployment. You’ll identify valuable datasets, build data‑driven proofs of concept, and bring production models to life that directly shape client strategy and HighPeak’s product roadmap.
 The current work arrangement for this position is Hybrid and requires your on\-site a minimum of 3 days/week in our Newark, NJ location.
 *For those outside of the commutable Newark location, we are open to virtual work arrangements* 
 .
**Responsibilities**
* Design, build, and refine predictive models using large‑scale structured datasets
* Develop feature pipelines, evaluate model performance, and ensure production‑level reliability
* Partner with engineering to deploy, monitor, and iterate on ML systems in the cloud
* Translate complex analytical findings into clear, actionable insights for internal and client stakeholders
* Contribute to shaping new data‑driven features and product capabilities
**Qualifications**
* Master’s degree or higher in a quantitative field (PhD preferred)
* 5\+ years of experience in data science or applied ML
* Strong proficiency in Python, SQL, and modern ML frameworks
* Experience deploying models into production cloud environments
* Solid statistical foundation and familiarity with advanced ML techniques
* Ability to collaborate across technical and non‑technical teams in a fast‑paced environment
* Experience building APIs or lightweight web interfaces (required)
**Preferred**
* Experience working with large, complex datasets
* Understanding of cloud‑based ML infrastructure
* Background in risk modeling, financial analytics, or health‑related data
**What We Offer You**
 Prudential is required by state specific laws to include the salary range for this role when hiring a resident in applicable locations. The salary range for this role is from $97,300\.00 to $178,800\.00\.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34">
      <c r="A34" t="inlineStr">
        <is>
          <t>li-4329545210</t>
        </is>
      </c>
      <c r="B34" t="inlineStr">
        <is>
          <t>Staff Software Engineer/Data Scientist, Large Model Evaluation</t>
        </is>
      </c>
      <c r="C34" t="inlineStr">
        <is>
          <t>Waymo</t>
        </is>
      </c>
      <c r="D34" t="inlineStr">
        <is>
          <t>linkedin</t>
        </is>
      </c>
      <c r="E34" t="inlineStr"/>
      <c r="F34" t="inlineStr"/>
      <c r="G34" t="inlineStr">
        <is>
          <t>Mountain View, CA</t>
        </is>
      </c>
      <c r="H34" t="inlineStr"/>
      <c r="I3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5">
      <c r="A35" t="inlineStr">
        <is>
          <t>li-4342607286</t>
        </is>
      </c>
      <c r="B35" t="inlineStr">
        <is>
          <t>Applied Scientist, AGI</t>
        </is>
      </c>
      <c r="C35" t="inlineStr">
        <is>
          <t>Amazon</t>
        </is>
      </c>
      <c r="D35" t="inlineStr">
        <is>
          <t>linkedin</t>
        </is>
      </c>
      <c r="E35" t="inlineStr"/>
      <c r="F35" t="inlineStr"/>
      <c r="G35" t="inlineStr">
        <is>
          <t>Sunnyvale, CA</t>
        </is>
      </c>
      <c r="H35" t="inlineStr"/>
      <c r="I35"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36">
      <c r="A36" t="inlineStr">
        <is>
          <t>li-4354073491</t>
        </is>
      </c>
      <c r="B36" t="inlineStr">
        <is>
          <t>Deployed Data Scientist</t>
        </is>
      </c>
      <c r="C36" t="inlineStr">
        <is>
          <t>IBM</t>
        </is>
      </c>
      <c r="D36" t="inlineStr">
        <is>
          <t>linkedin</t>
        </is>
      </c>
      <c r="E36" t="inlineStr"/>
      <c r="F36" t="inlineStr"/>
      <c r="G36" t="inlineStr">
        <is>
          <t>Reston, VA</t>
        </is>
      </c>
      <c r="H36" t="inlineStr"/>
      <c r="I36"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Data Scientist with expertise in Artificial Intelligence, you will skillfully combine data analysis and business acumen to tackle cognitive computing challenges. You will be responsible for architecting and delivering AI solutions using cutting\-edge technologies, with a strong focus on foundation models and large language models.
 Your primary responsibilities will include:
* Design AI Solutions: Architect and deliver AI solutions using cutting\-edge technologies, with a strong focus on foundation models and large language models, and experience in tools like Github Copilot and Amazon Code Whisperer.
* Develop Cognitive Solutions: Create comprehensive cognitive solutions that effectively process and analyze both structured and unstructured data, utilizing expertise in NLP, ML, and other specialized areas such as Image Processing, Video Processing, Voice Processing, or Watson technologies.
* Implement AI Frameworks: Apply strong programming skills, with proficiency in Python and experience with AI frameworks such as TensorFlow, PyTorch, Keras, or Hugging Face, to develop and deploy AI models.
* Manage AI Project Lifecycle: Oversee the full AI project lifecycle, from research and prototyping to deployment in production environments, ensuring successful project delivery.
* Collaborate with Stakeholders: Work with various stakeholders to identify business problems and leverage the power of artificial intelligence for cognitive computing, driving business value through AI\-driven solutions.
**Preferred Education**
 Master's Degree
**Required Technical And Professional Expertise**
* Advanced Analytics Techniques: Exposure to advanced analytics techniques for structured data, including data analysis and interpretation, to inform business decisions and tackle cognitive computing challenges.
* AI Frameworks and Tools: Experience working with AI frameworks such as TensorFlow, PyTorch, Keras, or Hugging Face, and tools like Github Copilot and Amazon Code Whisperer to develop and deploy AI models.
* Programming Skills: Proficiency in Python programming language, with experience in applying programming skills to develop and deploy AI solutions.
* NLP and ML Methods: Exposure to Natural Language Processing (NLP) and Machine Learning (ML) methods for unstructured content, including foundation models and large language models.
* Cloud Platforms and Databases: Experience working with cloud platforms (e.g. Kubernetes, AWS, Azure, GCP) and related services, as well as relational and NoSQL databases (SQL, Postgres, DB2, MongoDB).
* Must have TS/SCI w/Full Scope Poly
**Preferred Technical And Professional Experience**
* Familiarity with Modern UI: Familiarity with modern UI frameworks such as Backbone.js, AngularJS, React.js, Ember.js, Bootstrap, and JQuery, with the ability to apply this knowledge in developing AI solutions.
* Understanding of Libraries: Understanding in the usage of libraries such as SciKit Learn, Pandas, Matplotlib, etc., with the ability to apply this knowledge in developing AI solutions.
* Operating Systems Knowledge: Experience working with various operating systems (Linux, Windows, iOS, Android), with the ability to apply this knowledge in developing and deploying AI solutions.</t>
        </is>
      </c>
    </row>
    <row r="37">
      <c r="A37" t="inlineStr">
        <is>
          <t>li-4354043567</t>
        </is>
      </c>
      <c r="B37" t="inlineStr">
        <is>
          <t>Deployed Data Scientist</t>
        </is>
      </c>
      <c r="C37" t="inlineStr">
        <is>
          <t>IBM</t>
        </is>
      </c>
      <c r="D37" t="inlineStr">
        <is>
          <t>linkedin</t>
        </is>
      </c>
      <c r="E37" t="inlineStr"/>
      <c r="F37" t="inlineStr"/>
      <c r="G37" t="inlineStr">
        <is>
          <t>Chantilly, VA</t>
        </is>
      </c>
      <c r="H37" t="inlineStr"/>
      <c r="I37"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Data Scientist with expertise in Artificial Intelligence, you will skillfully combine data analysis and business acumen to tackle cognitive computing challenges. You will be responsible for architecting and delivering AI solutions using cutting\-edge technologies, with a strong focus on foundation models and large language models.
 Your primary responsibilities will include:
* Design AI Solutions: Architect and deliver AI solutions using cutting\-edge technologies, with a strong focus on foundation models and large language models, and experience in tools like Github Copilot and Amazon Code Whisperer.
* Develop Cognitive Solutions: Create comprehensive cognitive solutions that effectively process and analyze both structured and unstructured data, utilizing expertise in NLP, ML, and other specialized areas such as Image Processing, Video Processing, Voice Processing, or Watson technologies.
* Implement AI Frameworks: Apply strong programming skills, with proficiency in Python and experience with AI frameworks such as TensorFlow, PyTorch, Keras, or Hugging Face, to develop and deploy AI models.
* Manage AI Project Lifecycle: Oversee the full AI project lifecycle, from research and prototyping to deployment in production environments, ensuring successful project delivery.
* Collaborate with Stakeholders: Work with various stakeholders to identify business problems and leverage the power of artificial intelligence for cognitive computing, driving business value through AI\-driven solutions.
**Preferred Education**
 Master's Degree
**Required Technical And Professional Expertise**
* Advanced Analytics Techniques: Exposure to advanced analytics techniques for structured data, including data analysis and interpretation, to inform business decisions and tackle cognitive computing challenges.
* AI Frameworks and Tools: Experience working with AI frameworks such as TensorFlow, PyTorch, Keras, or Hugging Face, and tools like Github Copilot and Amazon Code Whisperer to develop and deploy AI models.
* Programming Skills: Proficiency in Python programming language, with experience in applying programming skills to develop and deploy AI solutions.
* NLP and ML Methods: Exposure to Natural Language Processing (NLP) and Machine Learning (ML) methods for unstructured content, including foundation models and large language models.
* Cloud Platforms and Databases: Experience working with cloud platforms (e.g. Kubernetes, AWS, Azure, GCP) and related services, as well as relational and NoSQL databases (SQL, Postgres, DB2, MongoDB).
* Must have TS/SCI w/Full Scope Poly
**Preferred Technical And Professional Experience**
* Familiarity with Modern UI: Familiarity with modern UI frameworks such as Backbone.js, AngularJS, React.js, Ember.js, Bootstrap, and JQuery, with the ability to apply this knowledge in developing AI solutions.
* Understanding of Libraries: Understanding in the usage of libraries such as SciKit Learn, Pandas, Matplotlib, etc., with the ability to apply this knowledge in developing AI solutions.
* Operating Systems Knowledge: Experience working with various operating systems (Linux, Windows, iOS, Android), with the ability to apply this knowledge in developing and deploying AI solutions.</t>
        </is>
      </c>
    </row>
    <row r="38">
      <c r="A38" t="inlineStr">
        <is>
          <t>li-4321198606</t>
        </is>
      </c>
      <c r="B38" t="inlineStr">
        <is>
          <t>Sr Manager Data Scientist (Pricing)</t>
        </is>
      </c>
      <c r="C38" t="inlineStr">
        <is>
          <t>Sysco</t>
        </is>
      </c>
      <c r="D38" t="inlineStr">
        <is>
          <t>linkedin</t>
        </is>
      </c>
      <c r="E38" t="inlineStr"/>
      <c r="F38" t="inlineStr"/>
      <c r="G38" t="inlineStr">
        <is>
          <t>Houston, TX</t>
        </is>
      </c>
      <c r="H38" t="inlineStr"/>
      <c r="I38" t="inlineStr">
        <is>
          <t>**POSITION SUMMARY:**
 Sysco is seeking a Senior Manager, Data Science for Pricing to help drive the development of industry\-leading predictive models. As a Sr Manager, you will be responsible for the technical development of predictive models to support the pricing group.
 There are three primary responsibilities of the Pricing Sr. Manager Data Scientist:
* Develop predictive analytics (“hands\-on\-keyboard”) via statistical, machine learning, and mathematical models on Sysco’s corporate data to get actionable business insights as the technical expert in pricing.
* Oversee pricing experimental design to ensure robust validation and technical rigor.
* Lead and coach data scientists to succeed in their areas of responsibility and in support of the pricing portfolio of models that you are accountable for
**RESPONSIBILITIES:**
* Lead the technical development of an industry\-leading predictive analytics portfolio in support of key functional \&amp; business priorities (e.g., demand generation, assortment optimization, supply chain design \&amp; optimization)
* Work with Sr. Directors and Directors throughout Sysco to frame business opportunities and develop appropriate analytic strategies. Ensure the appropriate analytical techniques are used to solve those business opportunities.
* Implement data science models and visualizations using SQL, Python, Tableau and open source libraries
* Manage, attract, coach, retain, and motivate a world class team of scientists and engineers
* Lead multiple projects simultaneously and help team resource planning.
* Perform regular code reviews and give feedback on approach and coding standards to junior data scientists.
* Design and execute experiments to validate solutions during product rollout and present results to leadership.
* Collaborate with cross\-functional teams to drive business results through various use cases of customer\-level in
* Work with Sysco’s technology teams on data integration to architect, build and continuously improve data assets, which are the foundation of data\-driven and customer\-centric initiatives
* Research industry leading analytics practices and recommend continuous improvement opportunities for Sysco
* Represent Sysco in industry events
**QUALIFICATIONS:**
**Education and / or Experience:**
* Master’s degree \+ 4 years or PhD \+ 2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4\+ years of experience accessing and manipulating data in SQL or NoSQL database environments
* 3\+ years of experience with scientific scripting languages (e.g., Python) and/or object\-oriented programming (e.g., C\+\+, Java)
* 4\+ years of experience with Bayesian statistics, regression analysis (beyond linear regression), supervised learning, unsupervised learning or timeseries analysis required
**Basic Qualifications:**
* Must be able to think conceptually, strategically, and creatively with little oversight or direction (i.e. display thought leadership vs. simply "do" or execute something that was developed or directed by someone else)
* Must have experience initiating, driving and delivering complex analytical projects
* Able to perform quantitative analysis using appropriate analytical and visualization tools such as Python, Tableau and open source libraries
* Strong software design and OOP fundamentals (must be functional in nearly any language)
* Demonstrated experience using machine learning algorithms in a commercial setting
* High proficiency in the use of statistical packages, understanding advantages and limitations of each
* Proficiency in statistical analysis, quantitative analytics, forecasting/predictive analytics, multivariate testing, and optimization algorithms
* Must be very comfortable with numbers and have a solid understanding of various analytical techniques and where they should be best deployed
* Must have a basic understanding of the latest trends in database systems and technologies that enable advanced analytics including cloud based solutions such as AWS
**Preferred Qualifications:**
* Experience in Pricing Strategy, CPG, Retail and /or Foodservice
* Experience with Agile Software Development
**Attributes:**
* Inquisitive, innovative, and opportunistic
* Highly motivated, inspired overachiever
* Strong communication and interpersonal skills
* Understanding of end to end process for deploying analytics within a business organization to create value</t>
        </is>
      </c>
    </row>
    <row r="39">
      <c r="A39" t="inlineStr">
        <is>
          <t>li-4342578980</t>
        </is>
      </c>
      <c r="B39" t="inlineStr">
        <is>
          <t>Sr. Applied Scientist, Amazon Ads</t>
        </is>
      </c>
      <c r="C39" t="inlineStr">
        <is>
          <t>Amazon</t>
        </is>
      </c>
      <c r="D39" t="inlineStr">
        <is>
          <t>linkedin</t>
        </is>
      </c>
      <c r="E39" t="inlineStr"/>
      <c r="F39" t="inlineStr"/>
      <c r="G39" t="inlineStr">
        <is>
          <t>New York, United States</t>
        </is>
      </c>
      <c r="H39" t="inlineStr"/>
      <c r="I39"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40">
      <c r="A40" t="inlineStr">
        <is>
          <t>li-4342605048</t>
        </is>
      </c>
      <c r="B40" t="inlineStr">
        <is>
          <t>Sr. Associate Data Scientist - AAV Upstream Process Development</t>
        </is>
      </c>
      <c r="C40" t="inlineStr">
        <is>
          <t>Forge Biologics</t>
        </is>
      </c>
      <c r="D40" t="inlineStr">
        <is>
          <t>linkedin</t>
        </is>
      </c>
      <c r="E40" t="inlineStr"/>
      <c r="F40" t="inlineStr"/>
      <c r="G40" t="inlineStr">
        <is>
          <t>Columbus, OH</t>
        </is>
      </c>
      <c r="H40" t="inlineStr"/>
      <c r="I40" t="inlineStr">
        <is>
          <t>**Forge Your Future With Us**
 At Forge Biologics, we believe in turning bold ideas into life\-changing realities. Our mission is simple yet powerful: to enable access to life\-changing gene therapies and help bring them from ideas into reality. We partner with scientists, physicians, biotech and pharma innovators, and patient communities — all united by one goal: improving lives. If you’re driven by purpose and excited to make a tangible impact, this is where your journey begins.
 Our team works out of The Hearth, a state\-of\-the\-art, 200,000\-square\-foot cGMP facility in Columbus, Ohio. Here, you won’t just watch innovation happen — you’ll be part of it. Whether you’re scaling AAV manufacturing, collaborating on cutting\-edge therapies, or supporting complex technical projects, you’ll play a key role in bringing hope to patients with genetic diseases.
 What sets Forge apart is our culture of
 **H.O.P.E.** 
 We are
 **hardworking** 
 , showing up each day with determination and grit. We are
 **open** 
 , creating a space where ideas flow freely and every voice is valued. We are
 **purpose\-driven** 
 , with every task directly tied to changing lives. And we are
 **engaged** 
 , energized by the challenges we face and the milestones we achieve together.
 At Forge, your growth matters. We’re committed to helping you expand your skills, take on new challenges, and develop your career through mentorship, hands\-on learning, and opportunities for advancement. Our people are our greatest investment, and we’re proud to see team members grow with us.
 If you’re ready to use your talent to help deliver hope to patients around the world, join us — and be part of something bigger than yourself.
**Position Overview**
 The
 **Sr. Associate Data Scientist, PD – Upstream** 
 performs data analysis, laboratory documentation, and reporting for AAV Upstream Process Development. This individual compiles experimental data, maintains datasets, and drives technical documentation and process transfer activities. They play a key role in ensuring data quality and supporting innovative process development strategies.
**What You'll Do**
* Generate and maintain a centralized AAV Upstream Process Development database. Propose solutions and recommendations based on team feedback.
* Compile experimental data for reports and responses to data inquiries.
* Prepare datasets, presentations, and dashboards for AAV Upstream Process Development.
* Compile data to drive development of innovative process development strategies.
* Present results and contribute to publications and reports.
* Support process transfer activities from Process Development to GMP.
* Review protocols, lab notebooks, and batch records for clarity and consistency; recommend adjustments and improvements.
* Generate templates for lab notebooks, presentations, and development reports for AAV Upstream Process Development.
* Identify potential errors or inconsistencies in team data and provide constructive feedback.
* Bring forward a continuous learning mentality seeking to both align with and improve upon best practices for data analysis in AAV Upstream Process Development.
**What You'll Bring**
* Bachelor's degree in Chemical Engineering, Biomedical Engineering, Biology or related discipline (or equivalent experience) OR bachelor's degree in Data Science, Data Analytics, Data Engineering, or related discipline (or equivalent experience) with a minimum of 4 years’ experience.
* Additional qualifications in Data Science, Data Analytics, Data Engineering, or related discipline, such as an associate’s degree, certification, or relevant coursework OR additional qualifications in Chemical Engineering, Biomedical Engineering, Biology or related discipline, such as an associate’s degree, certification, or relevant coursework.
* Previous data or Software Engineering role in Biology, Chemistry, or other Life Science Industry.
* Experience analyzing datasets and utilizing the corresponding data to influence decision making.
* Working knowledge of cell culture techniques utilizing mammalian, insect, or microbial cells.
* Experience reviewing experimental data.
* Prior experience assisting in the training and development of other team members.
* Experience working with any of the following: Benchling, Excel, JMP, SQL, or Power BI.
**Preferred**
* Predictive modeling, hybrid modeling, or computational fluid dynamics (CFD) experience is a plus.
* Experience working with viral vectors (AAV, Lentivirus, etc.).
* Experience and know\-how for biopharmaceutical processing and scale up (both Upstream and Downstream) is preferred.
**Physical Requirements**
* The position works in a typical office environment where the physical work demands will vary depending on the specific tasks and duties required of the job. The employee will be stationary (standing/sitting) for extended periods of time. Ability to identify small details within the field of vision, distinguish between different colors, and accurately identify objects within a specific area.
 Forge Biologics is an equal opportunity employer dedicated to building an inclusive and diverse workforce. Forge Biologics,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**We’ve Got You Covered**
 At Forge Biologics, we believe our people deserve to be taken care of – in and out of the workplace. We’ve built a comprehensive compensation and benefits package designed to help you thrive, grow, and feel valued every step of the way:
**Health from day one**
* Health, dental and vision insurance start your first day – with 90% of premiums covered for you and your family.
**Time to recharge**
* A competitive paid time off plan – because rest fuels innovation.
* 12 weeks of fully paid parental leave so you can focus on family when it matters most.
**Rewarding your impact**
* Annual bonus opportunities for all full\-time team members.
* 401(k) with company match to help you plan for the future.
* Special employee discounts, including childcare and dependent care savings.
**Your wellness, supported**
* Onsite fitness facility at The Hearth.
* Mental health counseling and financial planning services through our Employee Assistance Program.
* Employer\-paid short and long\-term disability coverage to protect your peace of mind.
**Fuel for your workday**
* A fully stocked kitchen with free snacks and beverages – we keep you energized and ready for what’s next.
**Grow with us**
* Ongoing professional development resources, training, and mentorship programs to help you build your care and grow within Forge.</t>
        </is>
      </c>
    </row>
    <row r="41">
      <c r="A41" t="inlineStr">
        <is>
          <t>li-4362015049</t>
        </is>
      </c>
      <c r="B41" t="inlineStr">
        <is>
          <t>Data Scientist</t>
        </is>
      </c>
      <c r="C41" t="inlineStr">
        <is>
          <t>Spotify</t>
        </is>
      </c>
      <c r="D41" t="inlineStr">
        <is>
          <t>linkedin</t>
        </is>
      </c>
      <c r="E41">
        <f>HYPERLINK("https://www.linkedin.com/jobs/view/4362015049", "https://www.linkedin.com/jobs/view/4362015049")</f>
        <v/>
      </c>
      <c r="F41">
        <f>HYPERLINK("https://radiantmornings.in/jobs/data-scientist-5/&amp;urlHash=8zLA", "https://radiantmornings.in/jobs/data-scientist-5/&amp;urlHash=8zLA")</f>
        <v/>
      </c>
      <c r="G41" t="inlineStr"/>
      <c r="H41" t="inlineStr"/>
      <c r="I41" t="inlineStr">
        <is>
          <t>We are seeking a highly creative, analytical, and forward\-thinking
 **Data Scientist** 
 to solve complex data challenges across our organization. In this role, you will work with large and diverse datasets, extract meaningful insights, design algorithms, build predictive models, and collaborate with cross\-functional teams to deliver impactful, data\-driven solutions.
 The ideal candidate combines curiosity, technical excellence, and strong communication skills. You should have a strong foundation in mathematics, statistics, and machine learning, and be comfortable building scalable models and automated solutions. A successful candidate stays up to date with the latest tools, technologies, and trends in data science.
**Key Responsibilities** 
 Data Collection \&amp; Exploration
* Collect, process, and interpret large volumes of data from a wide variety of internal and external sources
* Perform exploratory data analysis (EDA) to uncover patterns, detect anomalies, and identify opportunities for optimization
* Collaborate with data engineers and IT teams to ensure seamless access to high\-quality datasets
 Modeling \&amp; Algorithm Development
* Design advanced mathematical and statistical models aligned with complex business rules and project requirements
* Develop, train, test, and deploy machine learning models to address predictive and analytical challenges
* Select appropriate modeling techniques and write scalable, efficient algorithms for various business use cases
* Integrate machine learning models into business applications and production pipelines
 Automation \&amp; Process Optimization
* Build automated data pipelines and workflows to streamline recurring processes
* Optimize, integrate, and automate existing data science workflows and reporting mechanisms
* Partner with engineering teams to ensure models perform efficiently in real\-world environments
 Research \&amp; Problem Solving
* Research and propose innovative approaches to solve complex business and data analytics challenges
* Stay current with advancements in machine learning, deep learning, AI, data engineering, and statistical methods
* Experiment with new tools and techniques to continuously improve model performance</t>
        </is>
      </c>
    </row>
    <row r="42">
      <c r="A42" t="inlineStr">
        <is>
          <t>li-4320766131</t>
        </is>
      </c>
      <c r="B42" t="inlineStr">
        <is>
          <t>Data Scientist</t>
        </is>
      </c>
      <c r="C42" t="inlineStr">
        <is>
          <t>Toyota North America</t>
        </is>
      </c>
      <c r="D42" t="inlineStr">
        <is>
          <t>linkedin</t>
        </is>
      </c>
      <c r="E42">
        <f>HYPERLINK("https://www.linkedin.com/jobs/view/4320766131", "https://www.linkedin.com/jobs/view/4320766131")</f>
        <v/>
      </c>
      <c r="F42" t="inlineStr"/>
      <c r="G42" t="inlineStr">
        <is>
          <t>Plano, TX</t>
        </is>
      </c>
      <c r="H42" t="inlineStr"/>
      <c r="I42"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 Work closely with team members and business partners to identify and prioritize key questions and drive impactful data\-based decisions.
* Extract, manipulate, and clean data from diverse sources using SQL and Python, preparing it for detailed analysis and model development.
* Develop and implement sophisticated predictive and prescriptive models using statistical and machine learning techniques. Ensure these models address key business challenges and deliver actionable insights.
* Create clear, compelling data visualizations to effectively communicate findings to both technical and non\-technical stakeholders.
* Effectively and efficiently transition models from development to production within the organization’s existing cloud ecosystem.
* Participate actively in project planning and prioritization sessions to ensure data initiatives align with business goals.
* Stay updated with the latest industry trends and tools and integrate this knowledge to improve methodologies and solutions.
**What You Bring**
* Master’s degree or higher in a relevant analytical field.
* Hands\-on experience building and optimizing data solutions using Python.
* Experience solving problems using a variety of statistical and machine learning techniques.
* Hands\-on experience using statistical or machine learning frameworks to solve a variety of real\-world problems (e.g., statsmodels, scikit\-learn, PyTorch).
* Knowledge of methods like Logistic Regression, Time Series Analysis, GLMs, Mixed Modeling, Multivariate Statistics, Predictive Modeling, Decision Trees, Gradient\-Boosted Trees, Random Forests, and Neural Networks.
* Experience with identifying problems and developing innovative solutions.
* Experience working in a data science role outside of a degree\-seeking academic program.
**Added bonus if you have**
* Experience with version control systems such as GitHub, and familiarity with CI/CD practices to streamline model deployment and code management.
* Hands\-on experience with cloud\-based machine learning platforms (e.g., AWS SageMaker or Azure ML) to leverage scalable computing resources and tools.
* Demonstrated ability to lead through influence, effectively navigating and prioritizing complex cross\-departmental projects to drive impactful change.
* Capability to replace and bridge existing legacy infrastructure and processes.
* Experience working with Data Science outside of a degree\-seeking program.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43">
      <c r="A43" t="inlineStr">
        <is>
          <t>li-4361984759</t>
        </is>
      </c>
      <c r="B43" t="inlineStr">
        <is>
          <t>Data Scientist, Quant Modeling</t>
        </is>
      </c>
      <c r="C43" t="inlineStr">
        <is>
          <t>TikTok</t>
        </is>
      </c>
      <c r="D43" t="inlineStr">
        <is>
          <t>linkedin</t>
        </is>
      </c>
      <c r="E43">
        <f>HYPERLINK("https://www.linkedin.com/jobs/view/4361984759", "https://www.linkedin.com/jobs/view/4361984759")</f>
        <v/>
      </c>
      <c r="F43" t="inlineStr"/>
      <c r="G43" t="inlineStr">
        <is>
          <t>San Jose, CA</t>
        </is>
      </c>
      <c r="H43" t="inlineStr"/>
      <c r="I43" t="inlineStr">
        <is>
          <t>**Responsibilities**
 About Team
 The Product Data Analytics Team analyzes a combination of product usage and product performance data to derive meaningful insights that would serve as a guide to better product and decision making for our business leaders. As a member of the data science team, you will work with diverse and highly collaborative teams of product managers, engineers, and other data analysts to drive product impact. You will be working on exciting and challenging projects, and convert the insights into real changes, for both new initiatives and scaled products. You are a self\-starter who is excited about data, excels in product logic thinking, clear communication, and brings distinctive problem\-solving skills and impeccable quantitative modeling experience.
 As a Data Scientist, you will be working on designing and monitoring core metrics, identifying the root causes for metric movements through deep dive into the models. The role will cover a wide range of model\-driven solutions to deliver superior business outcomes through research and analyses. In particular, this role will leverage the causal structure of user behavior, identify trends and opportunities for user growth and great ecosystem, and guide the product team to make best decisions.
 Responsibilities
 \- Leverage data to solve challenging business problems from full\-spectrum of product and business lines, using analytical and statistical approaches.
 \- Build and improve applicable statistical models, e.g. LTV and ROI prediction, to guide user growth\-related decisions.
 \- Initiate model\-driven analysis to provide deep insights into various products. Catch the common rule of problems and establish the inter\-product analytic paradigm.
 \- Work with Product, Operations, Engineering and cross\-functional teams to drive product development through analytic, statistical, and algorithmic expertise
 \- Design, run and analyze A/B experiments to inform and execute the product strategy, and ultimately improve the product and support business decisions.
**Qualifications**
 Minimum Qualifications
 \- Bachelor's or a Master’s degree in a quantitative discipline (e.g. Statistics, Operations Research, Computational Biology, Computer Science, Mathematics, Economics,).
 \- 3\+ years of experience in statistical modeling (Regression, Classification, Clustering, etc.) and machine learning (deep learning), and experience in user level modeling
 \- Ability to conduct rigorous analysis and communicate conclusions to both technical and non\-technical audiences
 \- Proficiency in SQL, Python/R
 Preferred Qualifications
 \- Solid communication and collaboration skills with the ability to work effectively with internal teams in a diversified environment
 \- Passion for the Internet industry and data analysis.
 \- Self\-starter with the ability of acquiring an in\-depth understanding of the relation between data and user experience/product growth.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$176356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4">
      <c r="A44" t="inlineStr">
        <is>
          <t>li-4364989516</t>
        </is>
      </c>
      <c r="B44" t="inlineStr">
        <is>
          <t>Data Scientist, Product Analytics</t>
        </is>
      </c>
      <c r="C44" t="inlineStr">
        <is>
          <t>Lensa</t>
        </is>
      </c>
      <c r="D44" t="inlineStr">
        <is>
          <t>linkedin</t>
        </is>
      </c>
      <c r="E44">
        <f>HYPERLINK("https://www.linkedin.com/jobs/view/4364989516", "https://www.linkedin.com/jobs/view/4364989516")</f>
        <v/>
      </c>
      <c r="F44">
        <f>HYPERLINK("https://lensa.com/cgw/488b692692b846ccab637c585e67111btjo1?jpsi=directemployers_no_redirect&amp;publisher_preference=easier_apply&amp;utm_campaign=Computer%20Occupations&amp;utm_medium=slot&amp;utm_source=linkedin&amp;utm_term=jse&amp;urlHash=yuUO", "https://lensa.com/cgw/488b692692b846ccab637c585e67111btjo1?jpsi=directemployers_no_redirect&amp;publisher_preference=easier_apply&amp;utm_campaign=Computer%20Occupations&amp;utm_medium=slot&amp;utm_source=linkedin&amp;utm_term=jse&amp;urlHash=yuUO")</f>
        <v/>
      </c>
      <c r="G44" t="inlineStr">
        <is>
          <t>San Francisco, CA</t>
        </is>
      </c>
      <c r="H44" t="inlineStr"/>
      <c r="I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Preferred Qualifications:
* Master's or Ph.D. Degree in a quantitative field
**Public Compensation**
 $119,000/year to $173,000/year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45">
      <c r="A45" t="inlineStr">
        <is>
          <t>li-4362708565</t>
        </is>
      </c>
      <c r="B45" t="inlineStr">
        <is>
          <t>Data Scientist II (US)</t>
        </is>
      </c>
      <c r="C45" t="inlineStr">
        <is>
          <t>TD</t>
        </is>
      </c>
      <c r="D45" t="inlineStr">
        <is>
          <t>linkedin</t>
        </is>
      </c>
      <c r="E45">
        <f>HYPERLINK("https://www.linkedin.com/jobs/view/4362708565", "https://www.linkedin.com/jobs/view/4362708565")</f>
        <v/>
      </c>
      <c r="F45">
        <f>HYPERLINK("https://td.wd3.myworkdayjobs.com/fr-CA/TD_Bank_Careers/job/New-York-New-York/Data-Scientist-II\u002d\u002dUS-_R_1466912?source=LinkedIn&amp;urlHash=6SgC", "https://td.wd3.myworkdayjobs.com/fr-CA/TD_Bank_Careers/job/New-York-New-York/Data-Scientist-II\u002d\u002dUS-_R_1466912?source=LinkedIn&amp;urlHash=6SgC")</f>
        <v/>
      </c>
      <c r="G45" t="inlineStr">
        <is>
          <t>New York, NY</t>
        </is>
      </c>
      <c r="H45" t="inlineStr"/>
      <c r="I45" t="inlineStr">
        <is>
          <t>**Work Location:**
 New York, New York, États\-Unis d'Amérique
**Hours**
 0
**Pay Details**
 $76,128 \- $124,800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Analyses, informations et intelligence artificielle
**Job Description**
*Our team currently operates under a primarily offsite work model, employees* 
***must be available to come into a TD location for "moments that matter" at a frequency determined by the business.***
**Department Overview**
 The Data Scientist II is part of the FCRM Screening Capabilities team but also works with cross\-functional teams on various projects. He/she will resolve outstanding data issues and create innovative solutions; Conduct ongoing data mining to ensure artifacts provide value, including root cause variance analysis; Perform additional duties as assigned. SQL, Python (not required), Excel.
**Job Description Summary**
 The Data Scientist II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Works autonomously within a specialized business management function and may provide work direction to others
* Provides seasoned specialized knowledge, advice and/or guidance to various stakeholders and team members
* Scope of role may have enterprise impact
* Focuses on short to medium \- term issues (e.g. 6\-12 months)
* Undertakes and completes a variety of complex projects and initiatives requiring specialist knowledge and/or the integration of cross functional processes within own area of expertise
* Oversees and/or independently performs tasks from end\-to\-end
**Education \&amp; Experience**
* Undergraduate degree or advanced technical degree preferred (e.g., math, physics, engineering, finance or computer science) Graduate's degree preferred with either progressive project work experience, or;
* 3\+ years of relevant experience; higher degree education and research tenure can be counted
**Preferred Qualifications**
* SQL Developer
* Python
* Previous AML/Sanctions Screening experience is preferred but not mandatory.
* Degree in a quantitative field (mathematics, statistics, computer science, data science, data analytics, etc.).
* Some experience navigating large data sets and ability to extrapolate technical/complex issues.
* Hands\-on experience in developing SQL relational tables, OLAP cubes, data marts.
* Ability to manage and optimize database and data warehouse systems.
* Critical thinking, analytical thinking, attention to detail, integrity.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Adheres to enterprise frameworks or methodologies that relate to activities for our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46">
      <c r="A46" t="inlineStr">
        <is>
          <t>li-4362014926</t>
        </is>
      </c>
      <c r="B46" t="inlineStr">
        <is>
          <t>Sr. Data Scientist</t>
        </is>
      </c>
      <c r="C46" t="inlineStr">
        <is>
          <t>Cortex</t>
        </is>
      </c>
      <c r="D46" t="inlineStr">
        <is>
          <t>linkedin</t>
        </is>
      </c>
      <c r="E46">
        <f>HYPERLINK("https://www.linkedin.com/jobs/view/4362014926", "https://www.linkedin.com/jobs/view/4362014926")</f>
        <v/>
      </c>
      <c r="F46">
        <f>HYPERLINK("https://recruiting.ultipro.com/THI1001TCASH/JobBoard/d8d542e4-6904-4ef3-8527-c25c2815aa4e/OpportunityDetail?opportunityId=e1f1a693-6f31-42a8-a9fe-f1eaa54a742c&amp;urlHash=diaD", "https://recruiting.ultipro.com/THI1001TCASH/JobBoard/d8d542e4-6904-4ef3-8527-c25c2815aa4e/OpportunityDetail?opportunityId=e1f1a693-6f31-42a8-a9fe-f1eaa54a742c&amp;urlHash=diaD")</f>
        <v/>
      </c>
      <c r="G46" t="inlineStr">
        <is>
          <t>Irving, TX</t>
        </is>
      </c>
      <c r="H46" t="inlineStr"/>
      <c r="I46" t="inlineStr">
        <is>
          <t>Job Details
**Description**
* Develop, maintain, and validate statistical and AI/ML models that assist in optimizing credit and operational strategies across the consumer lifecycle.
* Consumer acquisition models across various channels including Direct mail, lead generation and other strategic partnerships. These models are employed to predict with accuracy, metrics such as propensity to response, take up rates and Customer Acquisition Cost (CAC).
* Underwriting models that assist in estimating early pay default, credit losses, and Loss Given Default (LGD) metrics.
* Fraud detection algorithms that identify fraud rings, third party fraud and first party fraud in a variety of customer acquisition scenarios.
* Development of account management models that predict likelihood of line usage, propensity to pay and default metrics.
* Collaborate with the portfolio management, marketing, loss mitigation and default services teams to deploy statistical and AI/ML algorithms that improve consumer experience, precision in estimating credit worthiness and improvement in unit economics across the consumer life cycle.
* Collaborate with the technology, product and other teams to deploy the algorithms into decision engine or other platforms in an efficient manner.
* Participate and lead data studies with external parties including Transunion, Experian, and Equifax to improve the efficiency of the algorithms used across the consumer lifecycle.
* Undertake R\&amp;D and testing of state\-of\-the\-art modeling techniques including neural networks, deep learning, unsupervised techniques and benchmark against traditional and statistical modeling algorithms such as logistic regression, linear regression, principal component analysis etc.
 Requires a Master's degree in Statistics, Mathematics, or a related field (or its equivalent) plus 4 years of related experience. Requires 4 years of experience with the following: Statistical and AI/ML model development for credit and operational strategies; Machine learning techniques and algorithms (including neural networks, deep learning, unsupervised learning); Risk strategy implementation for credit line management, collections, and authorizations; Statistical software (SAS), programming language (Python and R), and query languages (SQL) for data analysis. Telecommuting permitted.
 Applicants who are interested in this position may apply https://www.jobpostingtoday.com/ Ref \# 10704\.</t>
        </is>
      </c>
    </row>
    <row r="47">
      <c r="A47" t="inlineStr">
        <is>
          <t>li-4364977695</t>
        </is>
      </c>
      <c r="B47" t="inlineStr">
        <is>
          <t>Data Scientist</t>
        </is>
      </c>
      <c r="C47" t="inlineStr">
        <is>
          <t>Lensa</t>
        </is>
      </c>
      <c r="D47" t="inlineStr">
        <is>
          <t>linkedin</t>
        </is>
      </c>
      <c r="E47">
        <f>HYPERLINK("https://www.linkedin.com/jobs/view/4364977695", "https://www.linkedin.com/jobs/view/4364977695")</f>
        <v/>
      </c>
      <c r="F47">
        <f>HYPERLINK("https://lensa.com/cgw/a2c20cf90f1f46a6a18f6ed5f22b07e2tjo1?jpsi=directemployers&amp;publisher_preference=easier_apply&amp;utm_campaign=Computer%20Occupations&amp;utm_medium=slot&amp;utm_source=linkedin&amp;utm_term=jse&amp;urlHash=_sM-", "https://lensa.com/cgw/a2c20cf90f1f46a6a18f6ed5f22b07e2tjo1?jpsi=directemployers&amp;publisher_preference=easier_apply&amp;utm_campaign=Computer%20Occupations&amp;utm_medium=slot&amp;utm_source=linkedin&amp;utm_term=jse&amp;urlHash=_sM-")</f>
        <v/>
      </c>
      <c r="G47" t="inlineStr">
        <is>
          <t>Charlotte, NC</t>
        </is>
      </c>
      <c r="H47" t="inlineStr"/>
      <c r="I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seeking a Data Engineer for one of our large retail food service clients. This position will be within the BI \&amp; Analytics group supporting unattended retail solutions for clients and consumers across the US. This individual will be responsible for the following:
* Develop the comprehensive knowledge required to support existing Production models and forecast solutions
* Implement automated processes for efficiently generating and monitoring production forecasting models
* Design and creates algorithms, machine\-learning models, re\-trains and tunes the model for efficiency and scalability in a cloud environment
* Develop ad hoc and statistical analysis to determine trends and significant relationships
* Develop and validates predictive and prescriptive models to identify opportunity for business improvement
* Identifies unique opportunities and strategizes new uses for data; active engagement with the business customer to identify measurable criteria
* Present and communicates complex analyses and content appropriate for the audience
* Collaborate and develops a working relationship with IT, Data Engineers and Analytics teams to understand and share best practices and inter\-dependencies between teams, data sources, technologies, and platforms
* Accountable for ensuring high quality solutions are delivered within project timelines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 Graduate studies or BS Degree in Data Science, Computer Science, Mathematics, Statistics, or related field.
* 2\+ years of experience in large complex data analysis and predictive modeling in a corporate setting
* Experience with designing and building processes with large, complex data sets from multiple data sources
* 2\+ years of advanced proficiency in writing complex MS SQL, including aggregate analysis over large complex datasets, multiple joins and query optimization
* Proficient coding abilities in the major programming languages including R and Python
* Experience with "end to end" Machine Learning model development
* Skilled in best practices for data handling and imputation
* Familiar with a variety of ML modeling techniques including limitations and appropriate application of models such as forecasting, logistic regression, random forest, and gradient boost.
* Proficiency with MS Excel and pivot tables/charts.
* Experience visualizing business insights with MS Power BI or other data visualization tools preferred.
* Demonstrates excellent verbal and written communication skills as well as the ability to present complex topics effectively and in a simplified and appropriate manner
* Inquisitive, energetic initiative\-taker, able to work independently or collaboratively in a fast\-paced team environment. \- Experience with Snowflake and Snowpark preferred.
* Experience working with Azure DevOps; Sprint Agile projects preferred.
* Experience with analysis within the retail industry is a plus.
 If you have questions about this posting, please contact support@lensa.com</t>
        </is>
      </c>
    </row>
    <row r="48">
      <c r="A48" t="inlineStr">
        <is>
          <t>li-4364989647</t>
        </is>
      </c>
      <c r="B48" t="inlineStr">
        <is>
          <t>Staff Data Scientist, Forecasting-Finance</t>
        </is>
      </c>
      <c r="C48" t="inlineStr">
        <is>
          <t>Airbnb</t>
        </is>
      </c>
      <c r="D48" t="inlineStr">
        <is>
          <t>linkedin</t>
        </is>
      </c>
      <c r="E48">
        <f>HYPERLINK("https://www.linkedin.com/jobs/view/4364989647", "https://www.linkedin.com/jobs/view/4364989647")</f>
        <v/>
      </c>
      <c r="F48" t="inlineStr"/>
      <c r="G48" t="inlineStr"/>
      <c r="H48" t="inlineStr"/>
      <c r="I4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has become a global platform that connects travelers and hosts from over 34,000 cities. As such, it has collected a diverse set of numerical, textual, visual, and unstructured data, which can be mined for insights that will propel our community and product forward. We are looking for a talented Staff Data Scientist to join our Forecasting team, focusing on Revenue \&amp; Cancellation modeling.
**The Difference You Will Make**
 We are seeking a Staff Data Scientist to join our forecasting team, operating at the intersection of statistical forecasting and financial strategy. The role focuses on owning forecasting within the revenue pipeline and hierarchy, including model selection, system design, automation, and ongoing performance management. We are looking for a self\-directed practitioner who can reason about evolving business dynamics, make principled tradeoffs, and ensure forecasts remain reliable and decision relevant as the business changes.
**A Typical Day**
* Own the design, operation, and evolution of end to end forecasting systems for revenue drivers, including data pipelines, model components, validation logic, and automated delivery into planning and financial workflows.
* Select, adapt, and maintain forecasting approaches appropriate to each problem context, balancing accuracy, stability, interpretability, and operational cost rather than optimizing for modeling sophistication alone.
* Engage in stakeholder management, effectively communicating with various teams and levels within the organization to gather input and share insights.
* Drive the process of extracting actionable insights from complex data sets to influence business growth and strategic decision\-making.
* Continuously improve forecasting infrastructure and processes to reduce manual intervention, shorten cycle time, and increase trust in outputs.
**Your Expertise**
* 9\+ years of industry experience in a fast\-paced tech environment with a BS/Master’s in a technical field related to mathematics, statistics, machine learning, or 3\+ years of relevant experience and a PhD in similar fields.
* Extensive industry experience applying forecasting in production settings, with demonstrated ownership of forecasting pipelines or decision systems, not just standalone models.
* Expertise in SQL and relational databases, along with strong fluency in programming languages such as R, Python, and Stan.
* Experience building automated modeling workflows, including backtesting frameworks, model validation, scheduled retraining, and performance monitoring.
* Familiarity with version control, reproducibility, and data quality practices required for operating models in regulated or high visibility financial contexts.
* Comfort working across disciplines and making tradeoffs between statistical rigor, engineering complexity, and business constraints.
 This role is ideal for candidates with strong technical judgment who want to own how forecasts are built, operated, and used at the financial core of the business. The position emphasizes end\-to\-end forecasting systems, from data and models through automation, monitoring, and decision support, rather than isolated modeling work. If you are motivated by making forecasts reliable, interpretable, and consequential for real financial decisions, we encourage you to apply.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49">
      <c r="A49" t="inlineStr">
        <is>
          <t>li-4365000598</t>
        </is>
      </c>
      <c r="B49" t="inlineStr">
        <is>
          <t>Data Scientist – Machine Learning and Predictive Analytics - R10218634</t>
        </is>
      </c>
      <c r="C49" t="inlineStr">
        <is>
          <t>Northrop Grumman</t>
        </is>
      </c>
      <c r="D49" t="inlineStr">
        <is>
          <t>linkedin</t>
        </is>
      </c>
      <c r="E49">
        <f>HYPERLINK("https://www.linkedin.com/jobs/view/4365000598", "https://www.linkedin.com/jobs/view/4365000598")</f>
        <v/>
      </c>
      <c r="F49">
        <f>HYPERLINK("https://jsv3.recruitics.com/redirect?rx_cid=3658&amp;rx_jobId=R10218634&amp;rx_url=https%3A%2F%2Fjobs.northropgrumman.com%2Fcareers%2Fjob%2F1340069354793%3Fcode%3DJB-18202%26domain%3Dngc.com%26rx_campaign%3DLinkedin1%26rx_ch%3Dconnector%26rx_group%3D375073%26rx_id%3Db960c019-f5fa-11f0-9d6d-091d9faa30e3%26rx_job%3DR10218634%26rx_medium%3Dpost%26rx_r%3Dnone%26rx_source%3DLinkedin%26rx_ts%3D20260121T001207Z%26rx_vp%3Dslots%26source%3DJB-18202%26utm_audience%3Dprospectivetalentemployees%26utm_campaign%3Dta-general%26utm_content%3Djobfeed%26utm_format%3Dcpl%26utm_medium%3Djobboard%26utm_network%3Dpartnerdirect%26utm_source%3Dlinkedin-jobslots&amp;urlHash=HjRG", "https://jsv3.recruitics.com/redirect?rx_cid=3658&amp;rx_jobId=R10218634&amp;rx_url=https%3A%2F%2Fjobs.northropgrumman.com%2Fcareers%2Fjob%2F1340069354793%3Fcode%3DJB-18202%26domain%3Dngc.com%26rx_campaign%3DLinkedin1%26rx_ch%3Dconnector%26rx_group%3D375073%26rx_id%3Db960c019-f5fa-11f0-9d6d-091d9faa30e3%26rx_job%3DR10218634%26rx_medium%3Dpost%26rx_r%3Dnone%26rx_source%3DLinkedin%26rx_ts%3D20260121T001207Z%26rx_vp%3Dslots%26source%3DJB-18202%26utm_audience%3Dprospectivetalentemployees%26utm_campaign%3Dta-general%26utm_content%3Djobfeed%26utm_format%3Dcpl%26utm_medium%3Djobboard%26utm_network%3Dpartnerdirect%26utm_source%3Dlinkedin-jobslots&amp;urlHash=HjRG")</f>
        <v/>
      </c>
      <c r="G49" t="inlineStr">
        <is>
          <t>San Diego, CA</t>
        </is>
      </c>
      <c r="H49" t="inlineStr"/>
      <c r="I49" t="inlineStr">
        <is>
          <t>RELOCATION ASSISTANCE: Relocation assistance may be available
 CLEARANCE TYPE: Top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an early\-career,
 **Data Scientist** 
 to support our Product Support Analytics and Innovation team
 **onsite** 
 in
 **Rancho Bernardo, California** 
 .
 This position is required full\-time, in\-office. Hybrid scheduling (time split between in\-office and work\-from\-home) may become available depending on future project needs.
**Accomplish**
 We are seeking a first\-principles thinker and skilled data scientist to solve complex data challenges. This is not a role for operating pre\-built tools; this is an opportunity to architect and build the core data logic of our systems. You will be responsible for creating custom, high\-performance statistics and machine learning tools from the ground up, making meaning of complex data sets. Your work will involve deep data modeling, abstracting reusable patterns, and writing modular, maintainable code that stands the test of time.
**Essential Functions**
* Collaborate closely with software engineers, analysts, and other data scientists to understand data requirements and deliver robust, integrated solutions.
* Architect and develop custom, maintainable data science solutions from the ground up.
* Write and maintain tests and documentation for data architecture, workflows, and processes.
* Champion software engineering best practices within the data domain, including comprehensive unit/integration testing, CI/CD automation (Git, Docker), and robust documentation.
* Tune and optimize complex algorithms within our on\-premise infrastructure.
**Succeed**
 The individual we seek will be self\-motivated, proactive, goal\-oriented to help us grow our services, become even better at what we do and will possess the following qualifications.
**Basic Qualifications**
* Bachelor of Science degree in Data Science, Computer Science, Software Engineering, Applied Mathematics, or related field, with a minimum of 2 years of relevant experience, OR Master of Science degree in relevant fields with 0 years of relevant experience
* Recent professional experience in Machine Learning, Deep Learning, software development, and/or data engineering.
* Strong programming skills in Python and SQL.
* Your ability to obtain and/or transfer and maintain the final adjudicated government Top Secret clearance, and any program access (es) required for the position within a reasonable period of time, as determined by the company.
**Preferred Qualifications**
* Familiarity with CI/CD pipelines and version control (e.g., Git, Docker, etc.)
* Experience with C/C\+\+.
* Experience with machine learning pipelines and data science workflows.
* Familiarity with SQL Alchemy, Numpy, Pandas, SKLearn, PyTorch.
* Ability to troubleshoot and optimize complex data queries and workflows.
* Familiarity with big data concepts, machine learning pipelines, and MLOps.
* Excellent problem\-solving skills with the ability to troubleshoot and optimize across the entire data stack.
* Ability to work in a fast\-paced environment.
* Current, Active, DoD Top Secret clearance.
**Thrive with Us**
 At Northrop Grumman we are invested in the growth and well\-being off all our employees. We offer flexible work arrangements, phenomenal learning opportunities, exposure to a wide variety of projects and customers, and a very friendly team environment.
 Our Total Rewards Program offers a comprehensive employee benefits package, including a Retirement and Savings Plan, group medical, dental and vision coverage, life and disability insurance, and flexible spending accounts.
 We have Employee Resource Groups (ERGs) that provide benefits for the member, our leaders and the company. Our ERGs offer opportunities to be a friend, be active, be a volunteer, be a leader, to be recognized and to be yourself. Every ERG is inclusive of all employees!
 If you are ready to join us in defining possible, apply now.
 Primary Level Salary Range: $101,000\.00 \- $151,400\.00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50">
      <c r="A50" t="inlineStr">
        <is>
          <t>li-4354125862</t>
        </is>
      </c>
      <c r="B50" t="inlineStr">
        <is>
          <t>Senior Data Scientist</t>
        </is>
      </c>
      <c r="C50" t="inlineStr">
        <is>
          <t>Curative AI, Inc.</t>
        </is>
      </c>
      <c r="D50" t="inlineStr">
        <is>
          <t>linkedin</t>
        </is>
      </c>
      <c r="E50">
        <f>HYPERLINK("https://www.linkedin.com/jobs/view/4354125862", "https://www.linkedin.com/jobs/view/4354125862")</f>
        <v/>
      </c>
      <c r="F50" t="inlineStr"/>
      <c r="G50" t="inlineStr">
        <is>
          <t>Bellevue, WA</t>
        </is>
      </c>
      <c r="H50" t="inlineStr"/>
      <c r="I50"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Senior Data Scientist for our rapidly growing company. Our cutting\-edge AI platform and tools will transform healthcare management, leading with RCM solutions for streamlined documentation, faster claims processing, enhanced clinical decision support, and much more. As a Senior Data Scientist, you'll play a crucial role in developing and implementing innovative AI solutions that address critical challenges in healthcare. You'll work closely with other data scientists, AI engineers, software engineers, and domain experts to design, build, and deploy machine learning models that improve patient outcomes, streamline healthcare processes, and ultimately, transform the way healthcare is delivered. You are humble, a dedicated team player, and excited for the road ahead. Come work with a CEO renowned in the AI field with a proven record of building high performing teams, fostering career growth, and creating a positive work culture. Let's make healthcare smarter together.
**Responsibilities**
* Define and execute data science and AI strategies aligned with business objectives
* Design, develop, and implement AI and machine learning models using statistical analysis and deep learning algorithms
* Collect, clean, pre\-process, and analyze large and complex datasets from various sources
* Design and conduct experiments to validate and improve data\-driven solutions
* Deploy and maintain AI models in production environments, ensuring scalability and reliability
* Integrate AI solutions with existing systems and applications
* Monitor model performance metrics and implement improvements as needed
* Collaborate with cross\-functional teams to translate business needs into actionable insights
* Communicate insights and recommendations to stakeholders in a clear and concise manner
* Stay current with the latest advancements in AI and data science research and best practices
* Mentor and guide junior data scientists, AI engineers, and analysts
* Identify and evangelize new AI and data science opportunities within the organization
**Qualifications**
* Currently located in the Seattle Metro Region and able to work hybrid on\-site a minimum of three days at our Bellevue location
* PhD or Master's degree in Data Science, Artificial Intelligence, Computer Science, Statistics, Mathematics, or a related field
* 5\+ years of experience in designing, developing, and deploying machine learning models and data science solutions
* Deep expertise in artificial intelligence (AI) technologies and applications; Natural Language Processing (NLP) and/or Large Language Models (LLM) highly desired
* Excellent understanding of statistical methods, machine learning algorithms, and AI principles (e.g., supervised learning, unsupervised learning, reinforcement learning)
* Strong programming skills in Python or other relevant programming languages
* Experience with machine learning libraries and frameworks such as TensorFlow, PyTorch, or scikit\-learn
* Experience with data analysis tools and techniques (e.g., Pandas, NumPy)
* Strong problem\-solving and analytical skills
* Experience with distributed computing platforms such as Spark and Hadoop (a plus)
* Health care experience, notably experience with RCM solutions, highly desired
* Public cloud experience (AWS, GCP, and/or Azure) desired
* Experience with machine learning fairness and bias mitigation techniques desired
* Strong communication and collaboration skills
**Compensation And Benefits**
* Base Salary Range: $155,000 \- $195,000 per year (commensurate with experience and qualifications)
* Target Annual Performance Bonus
* Equity Package: Generous equity participation in the company's future success
* Comprehensive benefits package including medical, dental, vision, life and AD\&amp;D insurance; 401K;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51">
      <c r="A51" t="inlineStr">
        <is>
          <t>li-4364979700</t>
        </is>
      </c>
      <c r="B51" t="inlineStr">
        <is>
          <t>Data Scientist 1 - Healthcare</t>
        </is>
      </c>
      <c r="C51" t="inlineStr">
        <is>
          <t>Lensa</t>
        </is>
      </c>
      <c r="D51" t="inlineStr">
        <is>
          <t>linkedin</t>
        </is>
      </c>
      <c r="E51">
        <f>HYPERLINK("https://www.linkedin.com/jobs/view/4364979700", "https://www.linkedin.com/jobs/view/4364979700")</f>
        <v/>
      </c>
      <c r="F51" t="inlineStr"/>
      <c r="G51" t="inlineStr">
        <is>
          <t>Santa Fe, NM</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Baylor Scott \&amp; White Health. Clicking "Apply Now" or "Read more" on Lensa redirects you to the job board/employer site. Any information collected there is subject to their terms and privacy notice.
**Job Summary**
 Value\-Based Care (VBC) Analytics is an independent organization covering the Baylor Scott \&amp; White Health Plan (Payer) and Baylor Scott \&amp; White Quality Alliance (Accountable Care Organization) analytical and data science needs.
 We are seeking a customer\-facing Healthcare Data Scientist who works closely with key business stakeholders within the value\-based care team, to develop use cases related to difficult to solve and complex business challenges. The ideal candidate will work on creating machine learning models using appropriate techniques to derive predictive insights that enable stakeholders to glean insights and enable actions to improve business outcomes.
**Essential Functions Of The Role**
* Communication and Consulting: Summarize and effectively communicate complex data science concepts to inform stakeholders, gain approval, or prompt action from non\-technical audience from data\-driven recommendations.
* Applied Machine Learning: Implement machine learning solutions within production environments at scale. Apply appropriate machine learning techniques that directly impact HEDIS/Stars initiatives
* Data Collection and Optimization: Collect and analyze data from a variety of SQL environments (Snowflake, SQL Server) and other data sources, including vendor derived data, electronic health records, and claims data.
* Analyze Healthcare Data: Conduct detailed analyses on complex healthcare datasets to identify trends within HEDIS/Stars and utilization, patterns, and insights that support value\-based care initiatives, particularly in quality, adherence to standards of care.
* Stay Informed: Stay up to date on the latest advancements in data science and healthcare analytics to continuously improve our methodologies and tools.
**KEY SUCCESS FACTORS**
 The ideal candidate will have some of the following skills and an eagerness to learn the rest.
* Healthcare Knowledge: Understanding and prior experience in handling data pertaining to HEDIS, Stars measures and Regulatory specifications. Experience in admin claims data sources such as medical/pharmacy claims, social determinants of health (SDOH) and electronic health records is also required.
* Education: Bachelor's or advanced degree in mathematics, statistics, data science, Public Health or another quantitative field.
* Effective Communication: Experienced in communicating findings and recommendations directly to Executive\-level customers and healthcare professionals.
* Analytics Skills: Academic or professional experience conducting analytics and experimentation using algorithms associated with advanced analytics topics, including binary classification algorithms, regression algorithms, Neural Network frameworks, Natural Language Processing, etc.
* Technical Skills: Proficiency in common language / tools for AI/ML such as Python, PySpark. Understanding of software engineering topics, including version control, CI/CD, and unit tests.
* Problem Solving: A passion for solving puzzles and digging into data.
* Technology Stack: Familiarity with deploying data science products at scale in a cloud environment such as Snowflake, Databricks or Azure AI/ML Studio.
**Benefits**
 Our competitive benefits package includes the following
* 
* Immediate eligibility for health and welfare benefits
* 
* 401(k) savings plan with dollar\-for\-dollar match up to 5%
* 
* Tuition Reimbursement
* 
* PTO accrual beginning Day 1
 Note: Benefits may vary based upon position type and/or level
**Qualifications**
* EDUCATION \- Masters' or Bachelors plus 2 years of work experience above the minimum qualification
* EXPERIENCE \- 3 Years of Experience
 As a health care system committed to improving the health of those we serve, we are asking our employees to model the same behaviours that we promote to our patients. As of January 1, 2012, Baylor Scott \&amp; White Health no longer hires individuals who use nicotine products. We are an equal opportunity employer committed to ensuring a diverse workforce. All qualified applicants will receive consideration for employment without regard to race, color, religion, sex, national origin, disability status, protected veteran status, or any other characteristic protected by law.
 If you have questions about this posting, please contact support@lensa.com</t>
        </is>
      </c>
    </row>
    <row r="52">
      <c r="A52" t="inlineStr">
        <is>
          <t>li-4365015527</t>
        </is>
      </c>
      <c r="B52" t="inlineStr">
        <is>
          <t>Data Scientist I</t>
        </is>
      </c>
      <c r="C52" t="inlineStr">
        <is>
          <t>Early Warning®</t>
        </is>
      </c>
      <c r="D52" t="inlineStr">
        <is>
          <t>linkedin</t>
        </is>
      </c>
      <c r="E52">
        <f>HYPERLINK("https://www.linkedin.com/jobs/view/4365015527", "https://www.linkedin.com/jobs/view/4365015527")</f>
        <v/>
      </c>
      <c r="F52" t="inlineStr"/>
      <c r="G52" t="inlineStr">
        <is>
          <t>New York, NY</t>
        </is>
      </c>
      <c r="H52" t="inlineStr"/>
      <c r="I52"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company delivering leading edge machine learning and artificial intelligence concepts from start to finish in collaboration with senior technical and business leaders. This includes understanding the business problem, aggregating, and exploring data, building, and validating algorithms, quantifying the value of the model to Early Warning Customers by performing simulations utilizing real world inputs, understanding, and articulating the model risks, deploying completed models to deliver business results and regularly measuring model accuracy, drift and performance.
**Essential Functions**
* Produces standard and ad hoc analytic reports.
* Assists with developing, testing, and documenting open\-source codes for data analysis and modeling.
* Performs data analysis tasks, which include programming data transformations, interpreting results and investigating root causes.
* Participates in the creation of Internal model validation procedures, supporting external Model Validations, and performing regular model validation as part of the Model Risk Management program.
* Explore and aggregate data independently to uncover data anomalies that impact algorithm performance
* End to end feature engineering \- brainstorm, create, validate, down\-select, etc.
* Write production level code in a dynamic, fast paced environment
* Apply of a variety of machine learning techniques to a business problem to arrive at optimal approach
* Partner with Product and Engineering teams to solve problems and identify trends and opportunities
* Partnering with Sales and Products to perform Customer Value tests to support the company’s business development efforts for current and future Models.
* Explain and visualize results and algorithm performance to non\-technical audiences
* Support the company's commitment to protect the integrity and confidentiality of systems and data.
**Minimum Qualifications**
* Bachelor’s Degree in Engineering, Mathematics, Statistics, Computer Science, Operational Research or related field or equivalent work experience.
* A minimum of 2 years data science, engineering, mathematics, or related work/ intern/ course experience is required with Bachelor's degree or Master's degree without experience (or some internship)
* Able to write Model development technical documents.
* Willingness to troubleshoot system/data issues hindering the analytics environment functionality.
* Experience using data visualization tools.
* Able to write production level code, which is well\-written and explainable.
* SAS, Python, SQL or R programming training or experience.
* Experience applying various machine learning techniques and understanding the key parameters that affect their performance.
* Ability to effectively communicate findings from complex analyses to non\-technical audiences. Ability to communicate with various levels of employees within the department and proven technical and analytical skills.
* Ability and adaptability to work on multiple projects concurrently, manipulate large data sets and produce business\-relevant results.
* Background and drug screen
**Preferred Qualifications**
* Master’s in Mathematics, Statistics, Computer Science, Engineering, Operational Research, or related field preferred.
* Knowledge of ML algorithms
* Experience using ML\-related libraries, such as scikit\-learn, pandas, etc.
* Experience in writing and tuning SQL.
* Experience developing data science pipelines \&amp; workflows in Python, R or equivalent programming languages.
* Demonstrable track record of dealing well with ambiguity, prioritizing needs, and delivering results in a dynamic environment.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$83,000 \- $110,000\.
 New York, NY/ San Francisco, CA in USD per year is: $99,000 \- $132,000\.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53">
      <c r="A53" t="inlineStr">
        <is>
          <t>li-4364981759</t>
        </is>
      </c>
      <c r="B53" t="inlineStr">
        <is>
          <t>Data Scientist 1 - Healthcare</t>
        </is>
      </c>
      <c r="C53" t="inlineStr">
        <is>
          <t>Lensa</t>
        </is>
      </c>
      <c r="D53" t="inlineStr">
        <is>
          <t>linkedin</t>
        </is>
      </c>
      <c r="E53">
        <f>HYPERLINK("https://www.linkedin.com/jobs/view/4364981759", "https://www.linkedin.com/jobs/view/4364981759")</f>
        <v/>
      </c>
      <c r="F53" t="inlineStr"/>
      <c r="G53" t="inlineStr">
        <is>
          <t>Providence, RI</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Baylor Scott \&amp; White Health. Clicking "Apply Now" or "Read more" on Lensa redirects you to the job board/employer site. Any information collected there is subject to their terms and privacy notice.
**Job Summary**
 Value\-Based Care (VBC) Analytics is an independent organization covering the Baylor Scott \&amp; White Health Plan (Payer) and Baylor Scott \&amp; White Quality Alliance (Accountable Care Organization) analytical and data science needs.
 We are seeking a customer\-facing Healthcare Data Scientist who works closely with key business stakeholders within the value\-based care team, to develop use cases related to difficult to solve and complex business challenges. The ideal candidate will work on creating machine learning models using appropriate techniques to derive predictive insights that enable stakeholders to glean insights and enable actions to improve business outcomes.
**Essential Functions Of The Role**
* Communication and Consulting: Summarize and effectively communicate complex data science concepts to inform stakeholders, gain approval, or prompt action from non\-technical audience from data\-driven recommendations.
* Applied Machine Learning: Implement machine learning solutions within production environments at scale. Apply appropriate machine learning techniques that directly impact HEDIS/Stars initiatives
* Data Collection and Optimization: Collect and analyze data from a variety of SQL environments (Snowflake, SQL Server) and other data sources, including vendor derived data, electronic health records, and claims data.
* Analyze Healthcare Data: Conduct detailed analyses on complex healthcare datasets to identify trends within HEDIS/Stars and utilization, patterns, and insights that support value\-based care initiatives, particularly in quality, adherence to standards of care.
* Stay Informed: Stay up to date on the latest advancements in data science and healthcare analytics to continuously improve our methodologies and tools.
**KEY SUCCESS FACTORS**
 The ideal candidate will have some of the following skills and an eagerness to learn the rest.
* Healthcare Knowledge: Understanding and prior experience in handling data pertaining to HEDIS, Stars measures and Regulatory specifications. Experience in admin claims data sources such as medical/pharmacy claims, social determinants of health (SDOH) and electronic health records is also required.
* Education: Bachelor’s or advanced degree in mathematics, statistics, data science, Public Health or another quantitative field.
* Effective Communication: Experienced in communicating findings and recommendations directly to Executive\-level customers and healthcare professionals.
* Analytics Skills: Academic or professional experience conducting analytics and experimentation using algorithms associated with advanced analytics topics, including binary classification algorithms, regression algorithms, Neural Network frameworks, Natural Language Processing, etc.
* Technical Skills: Proficiency in common language / tools for AI/ML such as Python, PySpark. Understanding of software engineering topics, including version control, CI/CD, and unit tests.
* Problem Solving: A passion for solving puzzles and digging into data.
* Technology Stack: Familiarity with deploying data science products at scale in a cloud environment such as Snowflake, Databricks or Azure AI/ML Studio.
**Benefits**
 Our competitive benefits package includes the following
* 
* Immediate eligibility for health and welfare benefits
* 
* 401(k) savings plan with dollar\-for\-dollar match up to 5%
* 
* Tuition Reimbursement
* 
* PTO accrual beginning Day 1
 Note: Benefits may vary based upon position type and/or level
**Qualifications**
* EDUCATION \- Masters' or Bachelors plus 2 years of work experience above the minimum qualification
* EXPERIENCE \- 3 Years of Experience
 As a health care system committed to improving the health of those we serve, we are asking our employees to model the same behaviours that we promote to our patients. As of January 1, 2012, Baylor Scott \&amp; White Health no longer hires individuals who use nicotine products. We are an equal opportunity employer committed to ensuring a diverse workforce. All qualified applicants will receive consideration for employment without regard to race, color, religion, sex, national origin, disability status, protected veteran status, or any other characteristic protected by law.
 If you have questions about this posting, please contact support@lensa.com</t>
        </is>
      </c>
    </row>
    <row r="54">
      <c r="A54" t="inlineStr">
        <is>
          <t>li-4365017549</t>
        </is>
      </c>
      <c r="B54" t="inlineStr">
        <is>
          <t>Data Scientist - Commitments AI</t>
        </is>
      </c>
      <c r="C54" t="inlineStr">
        <is>
          <t>CVS Health</t>
        </is>
      </c>
      <c r="D54" t="inlineStr">
        <is>
          <t>linkedin</t>
        </is>
      </c>
      <c r="E54">
        <f>HYPERLINK("https://www.linkedin.com/jobs/view/4365017549", "https://www.linkedin.com/jobs/view/4365017549")</f>
        <v/>
      </c>
      <c r="F54" t="inlineStr"/>
      <c r="G54" t="inlineStr">
        <is>
          <t>Trenton, NJ</t>
        </is>
      </c>
      <c r="H54" t="inlineStr"/>
      <c r="I5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**Overview**
 CVS Caremark is seeking a Data Scientist to extract key information from legal contracts using AI. In this position, you will develop and optimize extraction algorithms, build and track system KPIs, and quantify business results from system improvements. This role offers the opportunity to be curious, explore cutting\-edge technologies, and implement the latest research papers to advance our extraction capabilities.
**Position Summary**
* Implements systems using data\-oriented programming languages and visualization software to explore, analyze, and interpret large volumes of contract data and solve complex business problems.
* Deploys data science initiatives using data mining, data modeling, NLP, and ML techniques (RAG, vector embeddings, LLMs) to extract key information from contracts.
* Designs data solutions that meet client requirements by leveraging industry\-leading tools and best practices to profile and translate contract data.
* Applies data science and ML knowledge to improve contract extraction capabilities, optimize document processing operations, and drive evidence\-based decision\-making.
* Develops analytical frameworks, key metrics, and performance dashboards to monitor extraction accuracy, processing efficiency, and system performance, including OKRs.
* Communicates with stakeholders (executives, legal professionals, IT, business analysts) to understand needs and provide data\-driven solutions.
* Coordinates presentations and consultative services that outline data analytics results and demonstrate business impact of system improvements.
* Stays current on innovative data analysis techniques, visualization tools, programming languages, and latest research papers in RAG, LLM applications, and information extraction.
* Ensures adherence to data governance policies and procedures by educating team members on data science best practices and quality standards.
**Required Qualification**
* 1\-2\+ years of relevant analytic experience
* Experience programming using R or Python
* Experience in SQL and MongoDB querying
* Experience working in at least 1 cloud environment (Azure preferred)
* Experience with data analysis libraries.
**Preferred Qualifications**
* Demonstrates good written and verbal communication skills and a strong ability to communicate technical concepts and implications to business partners
* Effectively resolves problems and roadblocks as they occur
* Demonstrates proficiency in several areas of data modeling, machine learning algorithms, statistical analysis, data engineering, and data visualization
* Ability to work with large data sets from multiple data sources
* Experience with Generative AI/LLM applications, prompt engineering, model evaluation.
* Experience with vector embeddings and semantic search analysis
* Experience with document processing and text analysis
* Familiarity with data validation frameworks and quality assurance systems
* Experience with performance analysis and optimization metrics
**Education**
* Bachelor’s degree in Finance, Economics, Mathematics, Actuarial Science, Data Science, or a related field is required.
* A Master’s degree in a quantitative field or an MBA is strongly preferred.
**Why Join Us?**
* This is a unique opportunity to make a significant impact on Caremark’s Underwriting business. If you are a strategic thinker with a passion for analytics and a desire to drive meaningful change, we invite you to apply and be part of our dynamic team!
**Anticipated Weekly Hours**
 40
**Time Type**
 Full time
**Pay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55">
      <c r="A55" t="inlineStr">
        <is>
          <t>li-4365001716</t>
        </is>
      </c>
      <c r="B55" t="inlineStr">
        <is>
          <t>Data Scientist I</t>
        </is>
      </c>
      <c r="C55" t="inlineStr">
        <is>
          <t>Early Warning®</t>
        </is>
      </c>
      <c r="D55" t="inlineStr">
        <is>
          <t>linkedin</t>
        </is>
      </c>
      <c r="E55">
        <f>HYPERLINK("https://www.linkedin.com/jobs/view/4365001716", "https://www.linkedin.com/jobs/view/4365001716")</f>
        <v/>
      </c>
      <c r="F55">
        <f>HYPERLINK("https://earlywarning.wd5.myworkdayjobs.com/earlywarningcareers/job/New-York-City/Data-Scientist-I_REQ2025986?source=LinkedIn&amp;urlHash=sLYb", "https://earlywarning.wd5.myworkdayjobs.com/earlywarningcareers/job/New-York-City/Data-Scientist-I_REQ2025986?source=LinkedIn&amp;urlHash=sLYb")</f>
        <v/>
      </c>
      <c r="G55" t="inlineStr">
        <is>
          <t>San Francisco, CA</t>
        </is>
      </c>
      <c r="H55" t="inlineStr"/>
      <c r="I55"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company delivering leading edge machine learning and artificial intelligence concepts from start to finish in collaboration with senior technical and business leaders. This includes understanding the business problem, aggregating, and exploring data, building, and validating algorithms, quantifying the value of the model to Early Warning Customers by performing simulations utilizing real world inputs, understanding, and articulating the model risks, deploying completed models to deliver business results and regularly measuring model accuracy, drift and performance.
**Essential Functions**
* Produces standard and ad hoc analytic reports.
* Assists with developing, testing, and documenting open\-source codes for data analysis and modeling.
* Performs data analysis tasks, which include programming data transformations, interpreting results and investigating root causes.
* Participates in the creation of Internal model validation procedures, supporting external Model Validations, and performing regular model validation as part of the Model Risk Management program.
* Explore and aggregate data independently to uncover data anomalies that impact algorithm performance
* End to end feature engineering \- brainstorm, create, validate, down\-select, etc.
* Write production level code in a dynamic, fast paced environment
* Apply of a variety of machine learning techniques to a business problem to arrive at optimal approach
* Partner with Product and Engineering teams to solve problems and identify trends and opportunities
* Partnering with Sales and Products to perform Customer Value tests to support the company’s business development efforts for current and future Models.
* Explain and visualize results and algorithm performance to non\-technical audiences
* Support the company's commitment to protect the integrity and confidentiality of systems and data.
**Minimum Qualifications**
* Bachelor’s Degree in Engineering, Mathematics, Statistics, Computer Science, Operational Research or related field or equivalent work experience.
* A minimum of 2 years data science, engineering, mathematics, or related work/ intern/ course experience is required with Bachelor's degree or Master's degree without experience (or some internship)
* Able to write Model development technical documents.
* Willingness to troubleshoot system/data issues hindering the analytics environment functionality.
* Experience using data visualization tools.
* Able to write production level code, which is well\-written and explainable.
* SAS, Python, SQL or R programming training or experience.
* Experience applying various machine learning techniques and understanding the key parameters that affect their performance.
* Ability to effectively communicate findings from complex analyses to non\-technical audiences. Ability to communicate with various levels of employees within the department and proven technical and analytical skills.
* Ability and adaptability to work on multiple projects concurrently, manipulate large data sets and produce business\-relevant results.
* Background and drug screen
**Preferred Qualifications**
* Master’s in Mathematics, Statistics, Computer Science, Engineering, Operational Research, or related field preferred.
* Knowledge of ML algorithms
* Experience using ML\-related libraries, such as scikit\-learn, pandas, etc.
* Experience in writing and tuning SQL.
* Experience developing data science pipelines \&amp; workflows in Python, R or equivalent programming languages.
* Demonstrable track record of dealing well with ambiguity, prioritizing needs, and delivering results in a dynamic environment.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$83,000 \- $110,000\.
 New York, NY/ San Francisco, CA in USD per year is: $99,000 \- $132,000\.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56">
      <c r="A56" t="inlineStr">
        <is>
          <t>li-4361913796</t>
        </is>
      </c>
      <c r="B56" t="inlineStr">
        <is>
          <t>Data Scientist - TikTok Social and Creation (San Jose)</t>
        </is>
      </c>
      <c r="C56" t="inlineStr">
        <is>
          <t>TikTok</t>
        </is>
      </c>
      <c r="D56" t="inlineStr">
        <is>
          <t>linkedin</t>
        </is>
      </c>
      <c r="E56">
        <f>HYPERLINK("https://www.linkedin.com/jobs/view/4361913796", "https://www.linkedin.com/jobs/view/4361913796")</f>
        <v/>
      </c>
      <c r="F56" t="inlineStr"/>
      <c r="G56" t="inlineStr">
        <is>
          <t>San Jose, CA</t>
        </is>
      </c>
      <c r="H56" t="inlineStr"/>
      <c r="I56" t="inlineStr">
        <is>
          <t>**Responsibilities**
 TikTok\-Data Science team is responsible for all data science and analytics related work, cooperating with all key value chains in TikTok, including User Growth, PGC, Content Ecosystem, Social, Creation, Product Infrastructure, Research and Science etc. The goal of the team is to generate actionable insights from data and help the stakeholders to make the right decisions. Our main tasks include metrics defining, root cause analysis, experimentation methodology, feature/strategy evaluation and exploratory analysis to find more opportunities.
 The primary role of a Data Scientist for our Data team is to conduct deep analysis into user behavior, product features and content ecosystem to generate business insights that could be applied to actionable improving initiatives. You will work closely with cross\-function teams, such as Product Management, Research and Development, Machine Learning Engineering, to improve user experience and fulfill growth of TikTok in all different regions.
 About Team
 Our social team's mission is to help people discover, build, and sustain meaningful connections. We design features that spark interactions, measure the health of relationships on our platform, and use experimentation and causal inference to ensure we’re improving outcomes that matter—quality conversations, trusted interactions, and highly retained relationships. You'll collaborate closely with Product, Engineering, and Trust \&amp; Safety to turn insights into experiences that make connecting easier and better.
 What You’ll Do
 \- Participate in data science and data analysis work related to TikTok's UGC creation, social interaction, community interaction, photo\-text business, deeply understand business logic and user needs, solve challenging problems in product and strategy optimization, and optimize user experience
 \- Design a reasonable metric system to measure the healthy growth of the business, identify anomalies through monitoring, decomposition, and prediction of core metrics, and attribute them
 \- Measure the impact of strategies through quantitative analysis, statistical modeling, experimental design, causal analysis, etc., identify opportunities for business growth, and provide actionable iterative suggestions
 \- Work closely with product, algorithm, operations, research and development teams to advance projects together
**Qualifications**
 Minimum Qualifications
 \- Master's degree or above, major in statistics, mathematics, economics, computer science, or related fields, with 2\+ years of data analysis experience
 \- Proficient in quantitative analysis, solid foundation in statistics, familiar with A/B testing, causal inference, machine learning models, etc.
 \- Proficient in SQL, familiar with one or more tools in Python/R
 Preferred Qualifications
 \- Strong logical thinking ability, self\-driven, and strong cross\-team communication and collaboration skills
 \- Experience in the internet industry preferred
 \- Understanding of recommendation systems, experience in analysis related to social platforms, photo\&amp;text communities, etc.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7">
      <c r="A57" t="inlineStr">
        <is>
          <t>li-4365018511</t>
        </is>
      </c>
      <c r="B57" t="inlineStr">
        <is>
          <t>Applied Scientist II - Moloco Ads</t>
        </is>
      </c>
      <c r="C57" t="inlineStr">
        <is>
          <t>Moloco</t>
        </is>
      </c>
      <c r="D57" t="inlineStr">
        <is>
          <t>linkedin</t>
        </is>
      </c>
      <c r="E57">
        <f>HYPERLINK("https://www.linkedin.com/jobs/view/4365018511", "https://www.linkedin.com/jobs/view/4365018511")</f>
        <v/>
      </c>
      <c r="F57">
        <f>HYPERLINK("https://job-boards.greenhouse.io/moloco/jobs/6643909003?gh_src=3276b55b3us&amp;urlHash=-xmD", "https://job-boards.greenhouse.io/moloco/jobs/6643909003?gh_src=3276b55b3us&amp;urlHash=-xmD")</f>
        <v/>
      </c>
      <c r="G57" t="inlineStr">
        <is>
          <t>Menlo Park, CA</t>
        </is>
      </c>
      <c r="H57" t="inlineStr"/>
      <c r="I57"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$140,400—$180,400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58">
      <c r="A58" t="inlineStr">
        <is>
          <t>li-4359486849</t>
        </is>
      </c>
      <c r="B58" t="inlineStr">
        <is>
          <t>Data Scientist - Stats Focus</t>
        </is>
      </c>
      <c r="C58" t="inlineStr">
        <is>
          <t>Harnham</t>
        </is>
      </c>
      <c r="D58" t="inlineStr">
        <is>
          <t>linkedin</t>
        </is>
      </c>
      <c r="E58">
        <f>HYPERLINK("https://www.linkedin.com/jobs/view/4359486849", "https://www.linkedin.com/jobs/view/4359486849")</f>
        <v/>
      </c>
      <c r="F58" t="inlineStr"/>
      <c r="G58" t="inlineStr">
        <is>
          <t>Austin, Texas Metropolitan Area</t>
        </is>
      </c>
      <c r="H58" t="inlineStr"/>
      <c r="I58" t="inlineStr">
        <is>
          <t>**Title:** 
 Data Scientist \- Statistical Modeling (open to senior\-level)
**About the Role** 
 We're looking for a Data Scientist with strong statistical expertise to drive data\-informed decisions across our autonomous vehicle platform. You'll design experiments, analyze real\-world vehicle data, and apply rigorous statistical methods to evaluate system performance, safety, and reliability.
**What You'll Do** 
* Design and analyze A/B tests and experiments to evaluate AV system performance and algorithm changes
* Build statistical models (regression, time series, ANOVA) to analyze vehicle behavior and fleet performance across millions of miles
* Develop metrics and KPIs to measure safety and reliability using hypothesis testing and confidence intervals
* Perform segmentation analysis across driving scenarios to identify performance patterns and improvement areas
* Conduct failure analysis and anomaly detection using statistical methods
* Build data pipelines and automated reporting for continuous fleet monitoring
* Partner with engineering teams to translate insights into actionable recommendations
**What You'll Need** 
* Strong foundation in statistics and experimental design (hypothesis testing, regression, time series, A/B testing)
* Expert Python proficiency with statistical libraries (statsmodels, SciPy, NumPy, scikit\-learn, Pandas)
* Solid SQL skills and experience with distributed computing (Spark, Hadoop)
* Data visualization experience (Matplotlib, Plotly, Tableau)
* Strong communication skills to explain complex statistical concepts to technical teams
**Nice to Have** 
* Experience with autonomous vehicles, robotics, or sensor data
* Bayesian methods and causal inference knowledge
* Background in safety analysis or reliability engineering
* Experience with R or SAS</t>
        </is>
      </c>
    </row>
    <row r="59">
      <c r="A59" t="inlineStr">
        <is>
          <t>li-4364981596</t>
        </is>
      </c>
      <c r="B59" t="inlineStr">
        <is>
          <t>Data Scientist</t>
        </is>
      </c>
      <c r="C59" t="inlineStr">
        <is>
          <t>Lensa</t>
        </is>
      </c>
      <c r="D59" t="inlineStr">
        <is>
          <t>linkedin</t>
        </is>
      </c>
      <c r="E59">
        <f>HYPERLINK("https://www.linkedin.com/jobs/view/4364981596", "https://www.linkedin.com/jobs/view/4364981596")</f>
        <v/>
      </c>
      <c r="F59">
        <f>HYPERLINK("https://lensa.com/cgw/58f98d69670244b5b290100304c28a79tjo1?jpsi=directemployers&amp;publisher_preference=easier_apply&amp;utm_campaign=Computer%20Occupations&amp;utm_medium=slot&amp;utm_source=linkedin&amp;utm_term=jse&amp;urlHash=KQvh", "https://lensa.com/cgw/58f98d69670244b5b290100304c28a79tjo1?jpsi=directemployers&amp;publisher_preference=easier_apply&amp;utm_campaign=Computer%20Occupations&amp;utm_medium=slot&amp;utm_source=linkedin&amp;utm_term=jse&amp;urlHash=KQvh")</f>
        <v/>
      </c>
      <c r="G59" t="inlineStr">
        <is>
          <t>Minneapolis, MN</t>
        </is>
      </c>
      <c r="H59" t="inlineStr"/>
      <c r="I5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RELX. Clicking "Apply Now" or "Read more" on Lensa redirects you to the job board/employer site. Any information collected there is subject to their terms and privacy notice.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https://risk.lexisnexis.com
**About Our Team**
 The Analytic Customer Management team at LexisNexis Risk Solutions delivers actionable insights that fuel product growth. We respond to client needs, conduct both proactive and reactive analyses, and present findings that help uncover new opportunities. It’s a fast\-paced, problem\-solving environment where each day brings fresh challenges and meaningful impact.
**About The Role**
 We’re seeking a Data Scientist to lead predictive modeling and statistical analysis across domains such as risk and fraud. The ideal candidate will bring strong expertise in data mining and analytics to deliver impactful insights and scalable solutions.
**Responsibilities**
* Build and deploy machine learning models using R, Python, SAS, and SQL.
* Develop cloud\-based analytic solutions and integrate them into enterprise systems.
* Analyze large datasets to uncover insights and support product development.
* Collaborate with stakeholders to validate scoring code and ensure model accuracy.
* Document methodologies and follow best practices in statistical modeling.
**Requirements**
* Computer Science, Statistics, Mathematics, or related field
* Experience in predictive modeling.
* Proficiency in SAS, R, Python, and Big Data technologies.
* Strong communication skills and ability to work cross\-functionally.
* Fraud analytics experience is a plus.
 Working for you
**Benefits**
 We know that your wellbeing and happiness are key to a long and successful career. These are some of the benefits we are delighted to offer:
*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In addition to annual Paid Time Off, we offer up to two days of paid leave each to participate in Employee Resource Groups and to volunteer with your charity of choice
 Learn more about the LexisNexis Risk team and our culture here (https://relx.wd3\.myworkdayjobs.com/RiskSolutions/page/21c296c982531000b79663f3194b0000\) .
 The salary range provided in this posting is the base salary range for Minnesota:$77,300\.00 \- $128,700\.00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If you have questions about this posting, please contact support@lensa.com</t>
        </is>
      </c>
    </row>
    <row r="60">
      <c r="A60" t="inlineStr">
        <is>
          <t>li-4365020425</t>
        </is>
      </c>
      <c r="B60" t="inlineStr">
        <is>
          <t>Applied Scientist, Marketing Measurement</t>
        </is>
      </c>
      <c r="C60" t="inlineStr">
        <is>
          <t>Uber</t>
        </is>
      </c>
      <c r="D60" t="inlineStr">
        <is>
          <t>linkedin</t>
        </is>
      </c>
      <c r="E60">
        <f>HYPERLINK("https://www.linkedin.com/jobs/view/4365020425", "https://www.linkedin.com/jobs/view/4365020425")</f>
        <v/>
      </c>
      <c r="F60" t="inlineStr"/>
      <c r="G60" t="inlineStr">
        <is>
          <t>New York, NY</t>
        </is>
      </c>
      <c r="H60" t="inlineStr"/>
      <c r="I60" t="inlineStr">
        <is>
          <t>**About The Role**
 As an Applied Scientist on the incrementality foundations team within marketing measurement, you will contribute to Uber Marketing Org's commitment to science\-backed decision making. This team is responsible for building experiment forms, models, \&amp; processes for turning complex hypotheses into reliable, actionable incrementality signals that inform planning, forecasting, and investment decisions across the business. Your work will focus on building robust processes for interpreting measurement data, building foundational models for estimation \&amp; inference, and researching experimentation best practices for accurate and complete incrementality measurement. Your work will inform smarter investment and decision\-making systems across Uber's Brand and Performance Marketing. This team sits close to production systems, partnering with Product, Engineering, and cross\-functional Science teams to ensure incrementality measurement is rigorous, scalable, and decision\-ready
**What The Candidate Will Need / Bonus Points**
* Develop and apply statistical and causal inference models to estimate the incremental impact of marketing across channels, markets, and test designs.
* Design custom tests \&amp; analyze results from complex experiments, including multi\-cell, market\-level, and longitudinal tests.
* Contribute to foundational modeling efforts such as hierarchical smoothing, aggregation across tests, and handling of low\-signal or sparse data.
* Assist in research on advanced topics, including learning elasticity with experiments and analyzing event relationships to improve experiment accuracy and interpretation.
* Partner with Product and Engineering to integrate incrementality models into reporting and decision\-making workflows
* Research and help establish best practices for experiment design, post\-analysis interpretation, and measurement tradeoffs.
* Collaborate with other Applied Science and Data Science teams to align incrementality outputs with broader measurement and investment frameworks.
**Basic Qualifications**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incrementality, or quasi\-experimental methods.
* Hands\-on experience designing, analyzing, and interpreting experiments, including evaluation of uncertainty, limitations, and tradeoffs.
* Proficiency in Python or R and SQL for analyzing and modeling large, complex datasets.
* Experience working with marketing, growth, advertising, or similar business domains where measurement and investment decisions are central.
* Ability to clearly communicate analytical insights to technical and non\-technical stakeholders and collaborate effectively in cross\-functional teams.
* Demonstrated ability to collaborate effectively in cross\-functional, fast\-moving environments.
**Preferred Qualifications**
* Bachelor's, Master's or PhD in a quantitative discipline (e.g., Statistics, Economics, Mathematics, Computer Science),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 Experience contributing to shared codebases or production\-adjacent analytics systems, including collaboration with Product or Engineering partners.
* Ability to independently drive scoped projects end\-to\-end with guidance, and operate effectively in ambiguous or evolving problem spaces.
* Curiosity and learning mindset, with demonstrated ability to ramp quickly on new domains, tools, or methodologies.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1">
      <c r="A61" t="inlineStr">
        <is>
          <t>li-4365011481</t>
        </is>
      </c>
      <c r="B61" t="inlineStr">
        <is>
          <t>Sr. Staff Computational Data Scientist - R10219751</t>
        </is>
      </c>
      <c r="C61" t="inlineStr">
        <is>
          <t>Northrop Grumman</t>
        </is>
      </c>
      <c r="D61" t="inlineStr">
        <is>
          <t>linkedin</t>
        </is>
      </c>
      <c r="E61">
        <f>HYPERLINK("https://www.linkedin.com/jobs/view/4365011481", "https://www.linkedin.com/jobs/view/4365011481")</f>
        <v/>
      </c>
      <c r="F61" t="inlineStr"/>
      <c r="G61" t="inlineStr">
        <is>
          <t>Fairfax, VA</t>
        </is>
      </c>
      <c r="H61" t="inlineStr"/>
      <c r="I61" t="inlineStr">
        <is>
          <t>RELOCATION ASSISTANCE: Relocation assistance may be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 and we have an insatiable drive to do what others think is impossible. Our employees are not only part of history, they are making history.
 Northrop Grumman Space Systems, located in Fairfax, VA, is seeking an experienced Computational Scientist with expertise in AI/ML modeling. This role involves collaborating with a multi\-disciplinary team on cutting\-edge projects in free space optical communications (FSOC). The ideal candidate will have a strong background in computational science, machine learning, and applied mathematics, with experience in data analysis, high performance computing, and GPU\-based model development and optimization. The candidate will collaborate with scientists and engineers to understand atmospheric effects on FSOC missions and develop computational solutions to mitigate their impacts. In this role, the candidate will lead a small team to develop, implement, and optimize solutions using the latest AI/ML or other computational techniques, and educate team members on the latest AI advancements. Key attributes include creativity, curiosity, and critical thinking.
 The candidate should expect to work in\-office in
 **Fairfax, VA** 
 , alongside a team of atmospheric scientists and systems and software/hardware engineers whose experience ranges from junior to senior levels. Additionally, the candidate will provide advisory support to the Program Manager on meeting customer mission requirements.
**What You'll Get To Do**
* Design, develop, document, and test algorithms and applications that meet mission requirements
* Develop, implement, and optimize computational solutions, including AI/ML models, to support the mitigation of atmospheric impacts on FSOC
* Design and build data pipelines and analysis workflows for large datasets; deploy predictive models in production to support mission operations
* Collaborate with atmospheric scientists, systems and hardware engineers in planning, design, and development of atmospheric mitigation technologies.
* Meet with customers to understand requirements for mission success.
* Design and develop optimized computing algorithms and applications required to meet customers mission requirements
* Provide mentorship and guidance to other team members
* Work with junior engineers and atmospheric scientists to implement and validate algorithms
* Stay up\-to\-date with cutting\-edge advancements in AI/ML
**What You Need To Be Successful In The Role**
* Comfortable with requirements\-analysis and stake\-holder engagement.
* Strong problem\-solving skills and root\-cause analysis to ensure that curated data is accurate, repeatable, and explainable.
* Solid communication skills (written, verbal, and visual)
* Ability to communicate data and engineering analysis regarding conclusions that were reached.
* Ability to create and present data reports to support investigations.
* Excellent attention to detail.
* Development /programming of tools to improve pipeline efficiency, eliminate repetitive tasks, and implement new analysis tools/techniques.
* Prioritization skills to manage workload and make sound decisions for assigned team's model development and data analysis activities.
**Basic Qualifications**
* Ability to obtain and maintain a Top Secret (TS/SCI) clearance with Polygraph. US Citizenship is a requirement.
* A PhD in a physical or computational science with 9 or more years of experience.
* Experience applying AI/ML techniques to solve real\-world problems
* Demonstrated use of High Performance Computing (HPC) Systems
* Demonstrated use of accelerated computing, numerical analysis, applied mathematics
* Demonstrated proficiency with Python, C\+\+, CUDA
* Demonstrated proficiency with one or more machine learning and deep learning frameworks (e.g. TensorFlow, PyTorch, Keras)
* Demonstrated proficiency using libraries and toolkits including: TensorFlow, PyTorch
* Experience with Git and version control
* Experience communicating technical insights through development of briefings and/or papers
**Preferred Qualifications**
* Experience with C, C\+\+, Fortran software languages
* Experience with atmospheric science and modeling
* Experience with time series modeling, or probabilistic modeling including the use and application of deep neural networks
* Proven experience designing and building data pipelines and analysis workflows for large datasets
* Proven experience deploying predictive models in production to support mission operations
* Experience interfacing and presenting to executive audiences
 Primary Level Salary Range: $212,100\.00 \- $318,100\.00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2">
      <c r="A62" t="inlineStr">
        <is>
          <t>li-4365015526</t>
        </is>
      </c>
      <c r="B62" t="inlineStr">
        <is>
          <t>Data Scientist I</t>
        </is>
      </c>
      <c r="C62" t="inlineStr">
        <is>
          <t>Early Warning®</t>
        </is>
      </c>
      <c r="D62" t="inlineStr">
        <is>
          <t>linkedin</t>
        </is>
      </c>
      <c r="E62">
        <f>HYPERLINK("https://www.linkedin.com/jobs/view/4365015526", "https://www.linkedin.com/jobs/view/4365015526")</f>
        <v/>
      </c>
      <c r="F62">
        <f>HYPERLINK("https://earlywarning.wd5.myworkdayjobs.com/earlywarningcareers/job/New-York-City/Data-Scientist-I_REQ2025986?source=LinkedIn&amp;urlHash=sLYb", "https://earlywarning.wd5.myworkdayjobs.com/earlywarningcareers/job/New-York-City/Data-Scientist-I_REQ2025986?source=LinkedIn&amp;urlHash=sLYb")</f>
        <v/>
      </c>
      <c r="G62" t="inlineStr">
        <is>
          <t>Scottsdale, AZ</t>
        </is>
      </c>
      <c r="H62" t="inlineStr"/>
      <c r="I62"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company delivering leading edge machine learning and artificial intelligence concepts from start to finish in collaboration with senior technical and business leaders. This includes understanding the business problem, aggregating, and exploring data, building, and validating algorithms, quantifying the value of the model to Early Warning Customers by performing simulations utilizing real world inputs, understanding, and articulating the model risks, deploying completed models to deliver business results and regularly measuring model accuracy, drift and performance.
**Essential Functions**
* Produces standard and ad hoc analytic reports.
* Assists with developing, testing, and documenting open\-source codes for data analysis and modeling.
* Performs data analysis tasks, which include programming data transformations, interpreting results and investigating root causes.
* Participates in the creation of Internal model validation procedures, supporting external Model Validations, and performing regular model validation as part of the Model Risk Management program.
* Explore and aggregate data independently to uncover data anomalies that impact algorithm performance
* End to end feature engineering \- brainstorm, create, validate, down\-select, etc.
* Write production level code in a dynamic, fast paced environment
* Apply of a variety of machine learning techniques to a business problem to arrive at optimal approach
* Partner with Product and Engineering teams to solve problems and identify trends and opportunities
* Partnering with Sales and Products to perform Customer Value tests to support the company’s business development efforts for current and future Models.
* Explain and visualize results and algorithm performance to non\-technical audiences
* Support the company's commitment to protect the integrity and confidentiality of systems and data.
**Minimum Qualifications**
* Bachelor’s Degree in Engineering, Mathematics, Statistics, Computer Science, Operational Research or related field or equivalent work experience.
* A minimum of 2 years data science, engineering, mathematics, or related work/ intern/ course experience is required with Bachelor's degree or Master's degree without experience (or some internship)
* Able to write Model development technical documents.
* Willingness to troubleshoot system/data issues hindering the analytics environment functionality.
* Experience using data visualization tools.
* Able to write production level code, which is well\-written and explainable.
* SAS, Python, SQL or R programming training or experience.
* Experience applying various machine learning techniques and understanding the key parameters that affect their performance.
* Ability to effectively communicate findings from complex analyses to non\-technical audiences. Ability to communicate with various levels of employees within the department and proven technical and analytical skills.
* Ability and adaptability to work on multiple projects concurrently, manipulate large data sets and produce business\-relevant results.
* Background and drug screen
**Preferred Qualifications**
* Master’s in Mathematics, Statistics, Computer Science, Engineering, Operational Research, or related field preferred.
* Knowledge of ML algorithms
* Experience using ML\-related libraries, such as scikit\-learn, pandas, etc.
* Experience in writing and tuning SQL.
* Experience developing data science pipelines \&amp; workflows in Python, R or equivalent programming languages.
* Demonstrable track record of dealing well with ambiguity, prioritizing needs, and delivering results in a dynamic environment.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$83,000 \- $110,000\.
 New York, NY/ San Francisco, CA in USD per year is: $99,000 \- $132,000\.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63">
      <c r="A63" t="inlineStr">
        <is>
          <t>li-4364997241</t>
        </is>
      </c>
      <c r="B63" t="inlineStr">
        <is>
          <t>Data Scientist Director</t>
        </is>
      </c>
      <c r="C63" t="inlineStr">
        <is>
          <t>The Coca-Cola Company</t>
        </is>
      </c>
      <c r="D63" t="inlineStr">
        <is>
          <t>linkedin</t>
        </is>
      </c>
      <c r="E63">
        <f>HYPERLINK("https://www.linkedin.com/jobs/view/4364997241", "https://www.linkedin.com/jobs/view/4364997241")</f>
        <v/>
      </c>
      <c r="F63" t="inlineStr"/>
      <c r="G63" t="inlineStr">
        <is>
          <t>Atlanta, GA</t>
        </is>
      </c>
      <c r="H63" t="inlineStr"/>
      <c r="I63"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the experiences that keep the business running, including customer journeys, service delivery, sales workflows, and the systems that connect them. Elevating our data and experimentation capability is essential to unlocking new value and guiding the evolution of our products and platforms.
****About The Role****
**Data Scientist Directors** 
 in our product organization are embedded in empowered, cross\-functional teams. You will work alongside Product Managers, Designers, Engineers, and Analysts to uncover insights, design experiments, and build models that shape how customers, partners, and associates experience our digital products.
 This role blends research, modeling, experimentation, and strategy. You will turn raw data into insight, insight into clarity, and clarity into decisions that help teams learn faster, reduce uncertainty, and make meaningful progress. Your work will influence how businesses operate, how issues are resolved, how sales teams engage customers, and how our platforms evolve.
 We are looking for someone with curiosity, statistical rigor, creativity, and strong product instinct.
****Responsibilities****
* Use advanced analytical and statistical methods to understand user behavior, product performance, and the impact of new features
* Design, run, and interpret A/B tests, incrementality experiments, and quasi\-experimental analyses
* Define and evolve core product metrics that track engagement, health, value creation, and long\-term success
* Build predictive or machine\-learning models to personalize experiences, forecast demand, or reveal patterns that unlock new opportunities
* Partner with Product, Design, Engineering, Data, Commercial, and Operations to shape product strategy with rigorous insight
* Work with data engineering to ensure trustworthy instrumentation, scalable pipelines, and high\-quality measurement foundations
* Develop reusable frameworks, measurement playbooks, and experimentation standards that elevate analytical maturity across teams
* Communicate insights through clear stories, visualizations, and recommendations that guide priorities and product decisions
* Advocate for thoughtful, ethical, and high\-quality use of data across the product organization
****Key Qualifications****
* 4\+ years of experience applying data science techniques in a product or digital environment
* Education: Bachelor’s or Master’s degree in Statistics, Computer Science, Data Science, Applied Math, Economics, Engineering, or a related quantitative field
* Strong proficiency with SQL and Python (or R) and experience working with large, complex datasets
* Hands\-on experience designing, executing, and analyzing A/B tests and incrementality experiments
* Strong foundation in statistics, causal inference, modeling, and data exploration
* Experience with modern analytics or experimentation tools such as Snowflake, Databricks, Amplitude, Looker, or Optimizely
* Ability to distill complex analyses into clear insights and recommendations
* Proven success influencing decisions in cross\-functional environments
****Preferred Qualifications****
* Experience working with multimodal or behavioral datasets
* Experience deploying predictive models into production or working within modern ML environments
* Familiarity with LLMs, generative AI, or agentic systems
* Experience in B2B or multi\-stakeholder environments
* Comfort with data visualization tools such as Looker or Tableau
****Skills****
* Analytical rigor: Applies strong statistical and causal methods to break down ambiguous problems and uncover meaningful drivers, patterns, and opportunities.
* Product thinking: Connects modeling and experimentation to real user behavior, value creation, and product strategy; influences direction through clarity and evidence.
* Experimentation and measurement: Designs robust KPIs, constructs reliable measurement frameworks, and leads A/B and quasi\-experimental analyses that reduce uncertainty and accelerate learning.
* Modeling expertise: Builds interpretable, scalable models that inform decisions, enable personalization, forecast behavior, or reveal new opportunities.
* Data storytelling: Synthesizes complex analyses into clear narratives and visualizations that influence priorities and align cross\-functional teams.
* Collaboration and influence: Works deeply within product teams, elevates analytical standards, and helps teams adopt evidence\-based decision\-making.
* Bias for impact: Balances rigor with speed; focuses on insights and models that meaningfully shape decisions and outcomes.
****Skills****
 Agile Methodology; User Experience (UX); Microsoft Office; Communication; Microsoft Azure Databricks; Business Process Modeling; Digital Transformation; DevOps; Enterprise Architecture Framework; Data Flow Diagram; Change Management; Cloud Platform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Range:$164,000 \- $193,000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64">
      <c r="A64" t="inlineStr">
        <is>
          <t>li-4360456184</t>
        </is>
      </c>
      <c r="B64" t="inlineStr">
        <is>
          <t>Senior Data Scientist - AI/ML Specialist</t>
        </is>
      </c>
      <c r="C64" t="inlineStr">
        <is>
          <t>General Dynamics Mission Systems</t>
        </is>
      </c>
      <c r="D64" t="inlineStr">
        <is>
          <t>linkedin</t>
        </is>
      </c>
      <c r="E64">
        <f>HYPERLINK("https://www.linkedin.com/jobs/view/4360456184", "https://www.linkedin.com/jobs/view/4360456184")</f>
        <v/>
      </c>
      <c r="F64" t="inlineStr"/>
      <c r="G64" t="inlineStr">
        <is>
          <t>Huntsville, AL</t>
        </is>
      </c>
      <c r="H64" t="inlineStr"/>
      <c r="I64" t="inlineStr">
        <is>
          <t>**Basic Qualifications**
**Education Requirements:**
 Requires a Bachelor’s degree in Engineering, or a related Science, Technology or Mathematics field. Also requires 10\+ years of job\-related experience, or a Master's degree plus 8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The Systems Engineering and Integration Team is seeking an Artificial Intelligence/Machine Learning (AI/ML) Specialist to support the design, guidance, and implementation of AI/ML\-enabled capabilities for missile defense mission areas. The successful candidate will contribute across multiple phases of the mission lifecycle, supporting analytical, modeling, simulation, and decision\-support activities related to detection, tracking, discrimination, fire control, and engagement functions within a complex system\-of\-systems environment. The AI/ML Specialist will collaborate with systems engineers, domain experts, and software developers to identify appropriate problem formulations and opportunities for the application of AI/ML techniques. Responsibilities include developing and curating training and evaluation datasets from diverse sources, defining data management and labeling strategies, and designing scalable training, testing, and validation infrastructure consistent with program constraints and security requirements. The candidate will be responsible for guiding the selection, development, and integration of AI/ML models into existing analytical, modeling, and simulation frameworks, ensuring alignment with system architectures, interfaces, and performance objectives. This includes supporting model evaluation, uncertainty characterization, robustness assessments, and lifecycle considerations such as retraining, configuration management, and traceability. The AI/ML Specialist will also contribute to the establishment of best practices, standards, and governance for AI/ML usage, including documentation, verification and validation approaches, and coordination with broader digital engineering and systems engineering processes. Emphasis will be placed on explainability, testability, and integration within mission\-relevant workflows, while maintaining compliance with applicable policies, security requirements, and program constraints. The AI/ML Specialist will provide guidance and subject matter expertise to the Digital Ecosystem and Platforms team for the SE\&amp;I Team's AI adoption strategy. Key tasks include identification, evaluation, and integration of Large Language Model(s), as well as use case specific AI tooling such as SysML modeling and Integrated Development Environment (IDE) plug\-ins. This position is contingent upon contract award and continued program funding. Employment offers may be extended prior to award; however, start dates and work assignments are subject to contractual authorization.
**REQUIRED QUALIFICATIONS:**
* Demonstrated experience applying multiple Artificial Intelligence and/or Machine Learning techniques (e.g., artificial neural networks, Bayesian belief networks, decision trees) to complex technical or analytical problems.
* Experience working with data\-centric workflows, including data preparation, curation, labeling, and quality assessment for analytical or modeling purposes.
* Familiarity with the full AI/ML lifecycle, including model development, training, testing, validation, and iterative improvement.
* Experience collaborating with multidisciplinary teams, including systems engineering, software development, and domain subject matter experts.
* Ability to translate high\-level mission or system objectives into well\-defined analytical or computational problem statements.
* Experience documenting technical approaches, assumptions, and results in a clear and structured manner suitable for engineering and programmatic review.
* Understanding of basic software engineering practices, including version control, modular design, and reproducibility.
* Ability to work within established program constraints, including security, configuration management, and governance processes.
**DESIRED QUALIFICATIONS:**
* Experience applying AI/ML techniques within complex, distributed, or system\-of\-systems environments.
* Familiarity with modeling and simulation, digital engineering, or analytical frameworks used to support system design, assessment, or decision support.
* Experience with scalable training, testing, or evaluation infrastructure, including compute resource management and automation.
* Exposure to uncertainty quantification, robustness analysis, model verification and validation, or performance assessment methodologies.
* Experience supporting data governance, model traceability, or lifecycle management in regulated or mission\-critical environments.
* Familiarity with explainable AI concepts or techniques and their application in engineering or decision\-support contexts.
* Experience working in government, defense, aerospace, or other highly regulated technical domains.
* Ability to communicate technical concepts effectively to both technical and non\-technical stakeholders.
* Experience supporting transition of analytical or AI/ML capabilities from development environments into operationally relevant workflows.
* Familiarity with hardware, programming languages, scientific computing environments, and resource management tools commonly used for data analysis and modeling to include graphical processing units (GPUs), Python / MATLAB / SQL, High Performance Computing (HPC) clusters and SLURM.
 Target salary range: USD $191,146\.00/Yr. \- USD $212,053\.00/Yr.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65">
      <c r="A65" t="inlineStr">
        <is>
          <t>li-4362092918</t>
        </is>
      </c>
      <c r="B65" t="inlineStr">
        <is>
          <t>Data Scientist- Insurance</t>
        </is>
      </c>
      <c r="C65" t="inlineStr">
        <is>
          <t>TransUnion</t>
        </is>
      </c>
      <c r="D65" t="inlineStr">
        <is>
          <t>linkedin</t>
        </is>
      </c>
      <c r="E65">
        <f>HYPERLINK("https://www.linkedin.com/jobs/view/4362092918", "https://www.linkedin.com/jobs/view/4362092918")</f>
        <v/>
      </c>
      <c r="F65" t="inlineStr"/>
      <c r="G65" t="inlineStr">
        <is>
          <t>Chicago, IL</t>
        </is>
      </c>
      <c r="H65" t="inlineStr"/>
      <c r="I65"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This position is responsible for supporting the development of analytic solutions through consulting engagements for TransUnion’s clients across a broad array of credit, fraud, insurance and marketing business applications. This position requires a general understanding of US financial services risk management practices.
**What You'll Bring**
* Master’s or PhD degree in statistics, applied mathematics, financial mathematics, computer science, engineering, operations research, or other highly quantitative field; or a Bachelor’s degree in a quantitative field with at least three (3\) years of relevant professional experience. In either case, the candidate will demonstrate a consistent track record of academic excellence.
* Experience and demonstrated success in client\-facing roles over a period of at least one (1\) year and at least one (1\) year of professional experience performing analytic work, preferably in industries served by Transunion. These experiences may or may not overlap.
* Strong analytical, critical thinking, and creative problem solving skills.
* Advanced programming skills and aptitude; proficiency with statistical programs such as R or Python; experience with other programming languages (SQL, C/C\+\+, Java, Ab Initio) and platforms (Hive, Spark); high level of familiarity with Microsoft Office tools.
**Preferred Skills**
**We’re also looking for the preferred skills below. Whether you are proficient or could use some brushing up, we’re happy to support your development in** 
 :
* Proven ability to operate effectively under modest supervision in a complex and dynamic, matrixed environment.
* Familiarity with credit bureau data and solutions.
* Work experience in industries served by TransUnion, such as financial services, insurance, fraud, and digital marketing.
**Impact You'll Make**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customers within the various industries served by TransUnion.
* You will lead analytic client engagements involving descriptive, predictive, and prescriptive analysis for a variety of business use cases leveraging multiple analytic techniques. As a project leader, you will take ownership of all aspects of the project from design, to development, to peer review, to client presentation, to implementation and audit.
* You will identify strategies and opportunities for customers to test and adopt TransUnion’s analytic products and services and develop project proposals, sales presentations and promotional collateral to enable the adoption of integrated customer solutions supported by TransUnion, applying your practical analytic experience to find areas of new value of TransUnion customers. In the context of these opportunities, you will interact directly with TransUnion Sales and business unit partners and provide an analytic perspective and general support as needed.
* You will design, write, and test programs for data extraction, segmentation and statistical analysis on large population datasets using languages such as R, Python, SQL, Hive and Spark, formalizing some of these efforts into repeatable process improvements.
* You will deliver analytic insights and recommendations in succinct and compelling presentations for internal and external customers representing a wide range of backgrounds and levels.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66">
      <c r="A66" t="inlineStr">
        <is>
          <t>li-4364975725</t>
        </is>
      </c>
      <c r="B66" t="inlineStr">
        <is>
          <t>AI &amp; GenAI Data Scientist - Manager</t>
        </is>
      </c>
      <c r="C66" t="inlineStr">
        <is>
          <t>Lensa</t>
        </is>
      </c>
      <c r="D66" t="inlineStr">
        <is>
          <t>linkedin</t>
        </is>
      </c>
      <c r="E66">
        <f>HYPERLINK("https://www.linkedin.com/jobs/view/4364975725", "https://www.linkedin.com/jobs/view/4364975725")</f>
        <v/>
      </c>
      <c r="F66" t="inlineStr"/>
      <c r="G66" t="inlineStr">
        <is>
          <t>Irvine, CA</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If you have questions about this posting, please contact support@lensa.com</t>
        </is>
      </c>
    </row>
    <row r="67">
      <c r="A67" t="inlineStr">
        <is>
          <t>li-4364996434</t>
        </is>
      </c>
      <c r="B67" t="inlineStr">
        <is>
          <t>Data Scientist, Privacy</t>
        </is>
      </c>
      <c r="C67" t="inlineStr">
        <is>
          <t>Lensa</t>
        </is>
      </c>
      <c r="D67" t="inlineStr">
        <is>
          <t>linkedin</t>
        </is>
      </c>
      <c r="E67">
        <f>HYPERLINK("https://www.linkedin.com/jobs/view/4364996434", "https://www.linkedin.com/jobs/view/4364996434")</f>
        <v/>
      </c>
      <c r="F67" t="inlineStr"/>
      <c r="G67" t="inlineStr">
        <is>
          <t>Des Moines, IA</t>
        </is>
      </c>
      <c r="H67" t="inlineStr"/>
      <c r="I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Datavant. Clicking "Apply Now" or "Read more" on Lensa redirects you to the job board/employer site. Any information collected there is subject to their terms and privacy notice.
 Datavant is a data platform company and the world’s leader in health data exchange. Our vision is that every healthcare decision is powered by the right data, at the right time, in the right format.
 Our platform is powered by the largest, most diverse health data network in the U.S., enabling data to be secure, accessible and usable to inform better health decisions. Datavant is trusted by the world’s leading life sciences companies, government agencies, and those who deliver and pay for care.
 By joining Datavant today, you’re stepping onto a high\-performing, values\-driven team. Together, we’re rising to the challenge of tackling some of healthcare’s most complex problems with technology\-forward solutions. Datavanters bring a diversity of professional, educational and life experiences to realize our bold vision for healthcare.
 As part of the Privacy Science team within Privacy Hub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 Critically analyze large health datasets using standard and bespoke software libraries
* Discuss your findings and progress with internal and external stakeholders
* Produce high quality reports which summarise your findings
* Contribute to research activities as we explore novel and established sources of re\-identification risk
**What You Will Bring To The Table**
* Excellent communication skills. Meticulous attention to detail in the production of comprehensive, well\-presented reports
* A good understanding of statistical probability distributions, bias, error and power as well as sampling and resampling methods
* Seeks to understand real\-world data in context rather than consider it in abstraction.
* Familiarity or proficiency with programmable data analysis software R or Python, and the desire to develop expertise in its language
* Application of scientific methods to practical problems through experimental design, exploratory data analysis and hypothesis testing to reach robust conclusions
* Strong time management skills and demonstrable experience of prioritising work to meet tight deadlines
* Initiative and ability to independently explore and research novel topics and concepts as they arise, to expand Privacy Hub’s knowledge base
* An appreciation of the need for effective methods in data privacy and security, and an awareness of the relevant legislation
* Familiarity with Amazon Web Services cloud\-based storage and computing facilities
**Bonus Points If You Have**
* Experience creating documents using LATEX
* Detailed knowledge of one or more types of health information, e.g., genomics, disease, health images
* Experience working with or supporting public sector organizations, such as federal agencies (e.g., CMS, NIH, VA, CDC), state health departments, or public health research partners. Familiarity with government data environments, procurement processes, or privacy frameworks in regulated settings is highly valued.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$104,000—$130,000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(https://www.datavant.com/eeo\-commitment\-statement) . Know Your Rights (https://www.eeoc.gov/know\-your\-rights\-workplace\-discrimination\-illegal) ,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(https://peopleteam.datavant.com/portal/en/newticket?departmentId\=248697000248790029\&amp;layoutId\=248697000248795462\) by selecting the ‘Interview Accommodation Request’ category. You will need your requisition ID when submitting your request, you can find instructions for locating it here (https://app.tango.us/app/workflow/Greenhouse\-\-Locating\-Requisition\-ID\-2c7d618c8a8a423da4330ff12330695e) . Requests for reasonable accommodations will be reviewed on a case\-by\-case basis.
 For more information about how we collect and use your data, please review our Privacy Policy (https://www.datavant.com/privacy\-policy) .
 If you have questions about this posting, please contact support@lensa.com</t>
        </is>
      </c>
    </row>
    <row r="68">
      <c r="A68" t="inlineStr">
        <is>
          <t>li-4365011657</t>
        </is>
      </c>
      <c r="B68" t="inlineStr">
        <is>
          <t>Senior Staff Data Scientist - Growth Product</t>
        </is>
      </c>
      <c r="C68" t="inlineStr">
        <is>
          <t>Intuit</t>
        </is>
      </c>
      <c r="D68" t="inlineStr">
        <is>
          <t>linkedin</t>
        </is>
      </c>
      <c r="E68">
        <f>HYPERLINK("https://www.linkedin.com/jobs/view/4365011657", "https://www.linkedin.com/jobs/view/4365011657")</f>
        <v/>
      </c>
      <c r="F68" t="inlineStr"/>
      <c r="G68" t="inlineStr">
        <is>
          <t>Mountain View, CA</t>
        </is>
      </c>
      <c r="H68" t="inlineStr"/>
      <c r="I68"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 brand new product and a strategic bet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and in data\-driven decision making.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eld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$204,500\-276,500</t>
        </is>
      </c>
    </row>
    <row r="69">
      <c r="A69" t="inlineStr">
        <is>
          <t>li-4353965747</t>
        </is>
      </c>
      <c r="B69" t="inlineStr">
        <is>
          <t>Staff Data Scientist</t>
        </is>
      </c>
      <c r="C69" t="inlineStr">
        <is>
          <t>RentSpree</t>
        </is>
      </c>
      <c r="D69" t="inlineStr">
        <is>
          <t>linkedin</t>
        </is>
      </c>
      <c r="E69">
        <f>HYPERLINK("https://www.linkedin.com/jobs/view/4353965747", "https://www.linkedin.com/jobs/view/4353965747")</f>
        <v/>
      </c>
      <c r="F69" t="inlineStr"/>
      <c r="G69" t="inlineStr">
        <is>
          <t>Seattle, WA</t>
        </is>
      </c>
      <c r="H69" t="inlineStr"/>
      <c r="I69" t="inlineStr">
        <is>
          <t>**About RentSpree**
 RentSpree is the nation's leading home rental software. Our award\-winning product suite simplifies the entire rental journey—from applications and screening to payments and lease management. Our mission is to bring transparency, efficiency, and trust to agents, landlords, and renters alike.
 With over 3 million users, partnerships with 300\+ leading real estate companies and MLS platforms, and nine years of consistent growth, RentSpree is at the forefront of proptech innovation. Our award\-winning solutions deliver automation and real\-time insights that make renting faster, easier, and more secure for our customers.
 RentSpree is a proud Forbes' Best Startup Employer and we were also ranked one of BuiltIn Seattle’s Best Places to Work. As one of the fastest\-growing property tech startups in the U.S., we’re looking for talented problem\-solvers to contribute meaningful impact as we scale.
 Staff Data Scientist \- Seattle, WA (hybrid) \- paid relocation available
 Join the Data department at RentSpree as a
 ****Staff Data Scientist****
 ! You will play a key role in developing, evaluating, and fine\-tuning cutting\-edge machine learning and large language models (LLMs), collaborating closely with product, analytics, and engineering teams to create impactful AI\-powered features and internal tools.
 This position offers a unique opportunity to work collaboratively with cross\-functional teams located in Thailand and the US, helping transform advanced AI models into scalable, production\-ready applications.
 If you’re excited to work on challenging projects that leverage rich datasets and LLM technologies—and you’re passionate about applying AI research in high\-impact business scenarios—we want you! Take the lead and bring your proactive, builder mindset to RentSpree.
****This role is based in Seattle with 2 days per week in\-office.****
 What You'll Do
* Strategic AI Alignment: Collaborate with Product, Engineering, and Data leaders to define and refine RentSpree’s ML/LLM strategy, ensuring alignment with business priorities, roadmap milestones, and measurable success criteria.
* AI Use Case Translation: Partner with analytics teams to turn business challenges into well\-defined, testable LLM/ML use cases, accelerating time\-to\-production for AI solutions.
* Mentorship \&amp; Skill Uplift: Coach data scientists, analysts, and engineers in LLM concepts, evaluation design, RAG patterns, and applied AI/ML best practices.
* Full AI Lifecycle Ownership: Design, fine\-tune, evaluate, and deploy ML/LLM models for both product\-facing features and internal AI assistants, with a focus on scalability, safety, and maintainability.
* Agentic AI Infrastructure: Architect and implement workflows for agentic AI systems — including multi\-agent coordination, tool integration, memory management, and retrieval\-augmented generation (RAG) — enabling autonomous and semi\-autonomous AI\-powered decisioning.
**Our job descriptions evolve with our business needs and priorities. In addition to the description above, your role may include additional tasks, projects and team support as needed.**
 Skills You Bring
* Bachelor’s or Master’s degree in computer science, data science, machine learning, or a related quantitative field.
* 6\+ years in applied ML, NLP, or AI engineering, with demonstrated experience in shipping production AI/ML features.
* Expert proficiency in Python modern ML/LLM frameworks (PyTorch, Hugging Face, LangChain, LlamaIndex), and strong SQL/data pipeline skills.
* Proven hands\-on experience fine\-tuning LLMs, building RAG pipelines, and creating agentic AI workflows (e.g., multi\-step reasoning, autonomous agents, internal AI copilots).
* Experience defining and running LLM evaluation frameworks and integrating human feedback loops.
* Strong communication skills to bridge technical and non\-technical teams, with the ability to influence AI product direction.
* SaaS or proptech domain experience is a plus, especially with real estate transaction, tenant screening, or property management data.
 Qualities You Practice
**These Encompass Our Guiding Principles And Startup Culture Competencies**
* Take full ownership and accountability: Drives projects from idea to execution, with pride, urgency, and a “do what it takes” mentality.
* Collaborate with clarity, candor, and respect: Communicate openly and courageously, offer and receive feedback well, and build trust through transparency and reliable partnership.
* Strive for excellence while staying humble: Driven with a bias for action, hold a high bar, think critically, and continuously look to improve.
* Bring a versatile, proactive mindset: Adapt to evolving needs, anticipate challenges, take initiative, be resourceful, and embrace opportunities to achieve high quality results.
* Innovate and learn fast: Experiment, learn from failure, and seek opportunities to introduce new methods or diverse ways of achieving results.
* Engage in healthy debate and commit as a team: Contribute ideas, challenge constructively, and align quickly for decisive action.
* AI is a core skill: Equip yourself to use AI in your daily workflow, boosting productivity, accelerating RentSpree’s growth, and building future\-ready career skills in a world where AI literacy is essential.
 Why Join Us? Our Award\-Winning Benefits \&amp; Culture
**Benefits**
**As a fast\-growing startup, our culture is built on collaboration, curiosity, and the drive to build something meaningful together. From most comprehensive benefits starting on day one to an environment built on trust, respect, and belonging, we make sure our team feels supported every step of the way. Here’s what we offer:**
* Compensation: $180k\-$202,5k base salary
* Equity Options: Share in the value we’re creating—your work makes a real impact.
* Team\-First Culture: Join a group of talented, supportive teammates who inspire each other to do their best work and celebrate every win.
* Learning \&amp; Development: Ongoing support for your growth through resources, coaching, and career development opportunities.
* Health Coverage: Comprehensive employee \+ dependent medical, dental, and vision insurance, as well as HSA/FSA options. Plus, enjoy additional health perks like access to Headspace Care\+, gym membership discounts, and much more — because your well\-being matters, inside and out.
* Plan for your future: Life, disability, and Simple IRA retirement plan with company match to support your future.
* Flexible Vacation Policy: We trust you to take the time you need to rest and recharge.
* Holidays: Enjoy 12 holidays throughout the year, as a part of our commitment to honoring culture, history, and time to recharge.
* Events: We make time to connect and celebrate through reimbursable weekly team lunches, game nights, events, and more, both in\-person and remotely.
* Recognition Programs: Team members can recognize their peers with Sprees, which are redeemable for gift cards and/or donations to an organization of your choice, or nominate a colleague for a S.P.R.E.E. Award to spotlight above\-and\-beyond contributions, which may be rewarded with a spot bonus. Our Work Anniversary Program also honors employee milestones with personalized tokens of appreciation!
* Business Expense Allowance \&amp; Internet Reimbursement: Get the tools and support you need to do your best work.
* Parental Leave \&amp; Fertility Support: Inclusive benefits to support you and your family, wherever you are in life.
* Legal \&amp; tax benefits: We offer group legal benefits and tax support through RocketLawyer.
* Seattle HQ: If you’ll be working from our Seattle office, you’ll receive a company\-sponsored Orca card to cover the cost of public transportation to and from the office!
 Ready to Build Something Big?
 We’re a team of talented, kind, and supportive people who take ownership, move with urgency, and strive for excellence. If you’re ready to roll up your sleeves and take on exciting challenges, we’d love to hear from you, even if you don’t meet every requirement!
 EEO Statement
 RentSpree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RentSpree makes hiring decisions based solely on qualifications, merit, and business needs at the time.</t>
        </is>
      </c>
    </row>
    <row r="70">
      <c r="A70" t="inlineStr">
        <is>
          <t>li-4365011165</t>
        </is>
      </c>
      <c r="B70" t="inlineStr">
        <is>
          <t>Applied Scientist II - Gen AI &amp; LLM, PXT</t>
        </is>
      </c>
      <c r="C70" t="inlineStr">
        <is>
          <t>Amazon</t>
        </is>
      </c>
      <c r="D70" t="inlineStr">
        <is>
          <t>linkedin</t>
        </is>
      </c>
      <c r="E70">
        <f>HYPERLINK("https://www.linkedin.com/jobs/view/4365011165", "https://www.linkedin.com/jobs/view/4365011165")</f>
        <v/>
      </c>
      <c r="F70">
        <f>HYPERLINK("https://www.amazon.jobs/jobs/3162762/applied-scientist-ii\u002d\u002dgen-ai\u002d\u002dllm-pxt?cmpid=SPLICX0248M&amp;utm_source=linkedin.com&amp;utm_campaign=cxro&amp;utm_medium=social_media&amp;utm_content=job_posting&amp;ss=paid&amp;urlHash=OWKu", "https://www.amazon.jobs/jobs/3162762/applied-scientist-ii\u002d\u002dgen-ai\u002d\u002dllm-pxt?cmpid=SPLICX0248M&amp;utm_source=linkedin.com&amp;utm_campaign=cxro&amp;utm_medium=social_media&amp;utm_content=job_posting&amp;ss=paid&amp;urlHash=OWKu")</f>
        <v/>
      </c>
      <c r="G70" t="inlineStr">
        <is>
          <t>Seattle, WA</t>
        </is>
      </c>
      <c r="H70" t="inlineStr"/>
      <c r="I70" t="inlineStr">
        <is>
          <t>**Description**
 Amazon is seeking an Applied Scientist II to join our team and drive innovation in Generative AI and Large Language Model (LLM) applications. In this role, you will design, develop, and deploy AI solutions that directly impact millions of customers and transform how Amazon operates at scale. You'll work with state\-of\-the\-art technologies including foundation models, prompt engineering, retrieval\-augmented generation (RAG), and fine\-tuning techniques to solve complex business problems.
 Key job responsibilities
* Model Development \&amp; Innovation: Design and implement novel GenAI/LLM solutions using foundation models (e.g., Claude, GPT, LLaMA) and AWS services including Amazon Bedrock, SageMaker, and other AWS AI/ML tools
* Research \&amp; Experimentation: Conduct applied research to advance the state\-of\-the\-art in LLM applications, including prompt engineering, few\-shot learning, fine\-tuning, and model evaluation
* Production Deployment: Build scalable, production\-ready AI systems that serve millions of requests with high reliability, low latency, and cost efficiency
* Cross\-Functional Collaboration: Partner with product managers, engineers, and business stakeholders to translate business requirements into technical solutions and drive measurable impact
* Technical Leadership: Mentor junior scientists, contribute to technical strategy, and establish best practices for GenAI development across the organization
* Evaluation \&amp; Metrics: Design rigorous evaluation frameworks to measure model performance, bias, safety, and business impact
* Documentation \&amp; Communication: Publish technical papers, create detailed documentation, and present findings to both technical and non\-technical audiences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2\+ years of hands\-on experience with foundation models and LLM applications (prompt engineering, RAG, fine\-tuning, RLHF, Transformer models, and AI Agents)
* Experience with AWS AI/ML services (Amazon Bedrock, SageMaker, Lambda, etc.)
* Publications in top\-tier conferences (NeurIPS, ICML, ACL, EMNLP, ICLR, COLM, etc.)
* Experience with model optimization techniques (quantization, distillation, efficient inference)
* Knowledge of responsible AI practices including bias detection, fairness, and safety evaluation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USA, WA, Seattle \- 142,800\.00 \- 193,200\.00 USD annually
**Company** 
 \- Amazon.com Services LLC \- A57
 Job ID: A3162762</t>
        </is>
      </c>
    </row>
    <row r="71">
      <c r="A71" t="inlineStr">
        <is>
          <t>li-4362004004</t>
        </is>
      </c>
      <c r="B71" t="inlineStr">
        <is>
          <t>Data Scientist</t>
        </is>
      </c>
      <c r="C71" t="inlineStr">
        <is>
          <t>Jobs via Dice</t>
        </is>
      </c>
      <c r="D71" t="inlineStr">
        <is>
          <t>linkedin</t>
        </is>
      </c>
      <c r="E71">
        <f>HYPERLINK("https://www.linkedin.com/jobs/view/4362004004", "https://www.linkedin.com/jobs/view/4362004004")</f>
        <v/>
      </c>
      <c r="F71" t="inlineStr"/>
      <c r="G71" t="inlineStr">
        <is>
          <t>South Carolina, United States</t>
        </is>
      </c>
      <c r="H71" t="inlineStr"/>
      <c r="I71"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up coming need for a Dats Scientist supporting AFCENT A2 at Shaw AFB, SC 29152
 Responsibilities include, but are not limited to the duties listed below:
* Provide expert analytic support through the development and publishing of threat operating areas and procedures to directly support USCENTCOM directed planning efforts. These products may include, but are not limited to oral briefings and discussions, PowerPoint presentations, formal messages, background papers, collection requirements, production requirements, RFI answers, and staff summary packages for general officers, and intelligence community SMEs. .
* Provide critical oversight of training on predictive and forensic analysis of S2S/WMD programs throughout the Middle East. Expertise shall center on Theater Ballistic Missile (TBM), Cruise Missiles, Long Range Rockets (LRRs), operations; sub\-categories include operational command and control; battle management; S2S system and subsystem capabilities, inventory and disposition; tactics, techniques, and procedures; denial and deception.
* Provide expert analytic support to 9AF (AFCENT) planning by authoring and reviewing prioritized intelligence, collection, and production requirements, and integration of new TTPs to advance planning efforts. Member will serve as the adversary Airpower authority on 9AF (AFCENT) s Red Team, during war\-gaming and exercises, and in support of 9AF (AFCENT) s adaptive planning processes.
* As directed, leverage all formal and informal analytic exchanges, as well as training opportunities, to foster peer\-to\-peer collaboration, ensure thorough vetting of products, and deliberately pursue/maintain acuity on essential elements of tradecraft.
* Maintain coordination/collaboration, critical to mission success, with: the National Command Authority; National, International, and Service Intelligence Centers; Combatant Commands, Air Components, and Wing Intelligence.
* As a member of a focused analytic team, work with all available sources to develop new methods to support USAFCENT F2T development efforts. Member will be responsible for leveraging advanced analytic techniques to advance understanding of adversary TTPs to directly support USAFCENT operational priorities while balancing Intelligence Community requirements.
* Effectively operating as a member of an analytical team in support of CJOA requirements
* Travel to CJOA and/or within CONUS in order to provide/receive training
* Briefing skills to include the ability to clearly articulate information
* The following is required: Alternate Compensatory Control Measures (ACCM) and access to Special Access Programs (SAP) information.
**Requirements**
* TS/SCI
* Bachelor s degree or eight (8\) years USAF experience.
* Six (6\) years comparable experience.
* Formal Intelligence Analysis training.
* Experience analyzing and briefing adversary surface\-to\-surface missile capabilities.
* Experience with structured analytic techniques to develop new solutions for analytic gaps
* Working knowledge of US Air Force Collection, Targeting, and Planning Processes
* Working knowledge of USCENTCOM AOR, political/military threats, understanding of violent extremist organizations, terrorist organizations; working knowledge of intelligence analysis and TTPs.
* Proficient in utilizing standard computer applications and intelligence related automation to support analytical efforts and product development
* Advanced Analytic training: preferred.
* Experience working with structured data and data scientists to develop analytic solutions to complex intelligence problems: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2026-01-21T05:43:13Z</dcterms:created>
  <dcterms:modified xsi:type="dcterms:W3CDTF">2026-01-21T05:43:13Z</dcterms:modified>
</cp:coreProperties>
</file>